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28ab26e2f84ce2" /></Relationships>
</file>

<file path=xl/workbook.xml><?xml version="1.0" encoding="utf-8"?>
<x:workbook xmlns:x="http://schemas.openxmlformats.org/spreadsheetml/2006/main">
  <x:sheets>
    <x:sheet xmlns:r="http://schemas.openxmlformats.org/officeDocument/2006/relationships" name="Summary" sheetId="1" r:id="Rbed092dba08641d1"/>
    <x:sheet xmlns:r="http://schemas.openxmlformats.org/officeDocument/2006/relationships" name="Betas" sheetId="2" r:id="Re72845775db3427a"/>
    <x:sheet xmlns:r="http://schemas.openxmlformats.org/officeDocument/2006/relationships" name="Fit" sheetId="3" r:id="R1c141d45153c4c43"/>
    <x:sheet xmlns:r="http://schemas.openxmlformats.org/officeDocument/2006/relationships" name="Stage risk" sheetId="4" r:id="R77ea546a0e3644a8"/>
    <x:sheet xmlns:r="http://schemas.openxmlformats.org/officeDocument/2006/relationships" name="Factor covariance" sheetId="5" r:id="R9177df1d3c554e55"/>
    <x:sheet xmlns:r="http://schemas.openxmlformats.org/officeDocument/2006/relationships" name="Residual covariance" sheetId="6" r:id="R169bb54f32574f34"/>
    <x:sheet xmlns:r="http://schemas.openxmlformats.org/officeDocument/2006/relationships" name="PCA" sheetId="7" r:id="Rf2a374abd4df4e8e"/>
    <x:sheet xmlns:r="http://schemas.openxmlformats.org/officeDocument/2006/relationships" name="Eigenvectors" sheetId="8" r:id="R57b21fbc24a444ba"/>
    <x:sheet xmlns:r="http://schemas.openxmlformats.org/officeDocument/2006/relationships" name="PC scores" sheetId="9" r:id="Rd890241943d3448f"/>
    <x:sheet xmlns:r="http://schemas.openxmlformats.org/officeDocument/2006/relationships" name="Coefficients" sheetId="10" r:id="Ra03048f005354c16"/>
    <x:sheet xmlns:r="http://schemas.openxmlformats.org/officeDocument/2006/relationships" name="Selection log" sheetId="11" r:id="R309b267cfd004d1f"/>
    <x:sheet xmlns:r="http://schemas.openxmlformats.org/officeDocument/2006/relationships" name="Stage returns" sheetId="12" r:id="R17b8bc97d3ee46c7"/>
    <x:sheet xmlns:r="http://schemas.openxmlformats.org/officeDocument/2006/relationships" name="Common sample" sheetId="13" r:id="Rf167c3e32128420a"/>
    <x:sheet xmlns:r="http://schemas.openxmlformats.org/officeDocument/2006/relationships" name="Factor returns" sheetId="14" r:id="R46735f1e8e9e4203"/>
    <x:sheet xmlns:r="http://schemas.openxmlformats.org/officeDocument/2006/relationships" name="Stock returns" sheetId="15" r:id="R1364893152a34529"/>
    <x:sheet xmlns:r="http://schemas.openxmlformats.org/officeDocument/2006/relationships" name="Companies" sheetId="16" r:id="Rc4df4f131228472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0"/>
    <x:numFmt numFmtId="201" formatCode="@"/>
    <x:numFmt numFmtId="202" formatCode="0"/>
    <x:numFmt numFmtId="203" formatCode="mm/dd/yy"/>
    <x:numFmt numFmtId="204" formatCode="0.0%"/>
    <x:numFmt numFmtId="205" formatCode="0.000000"/>
  </x:numFmts>
  <x:fonts count="11">
    <x:font>
      <x:sz val="11"/>
      <x:name val="Carlito"/>
    </x:font>
    <x:font>
      <x:sz val="10"/>
      <x:color rgb="FF222222"/>
      <x:name val="Arial"/>
    </x:font>
    <x:font>
      <x:b/>
      <x:sz val="15"/>
      <x:color rgb="FF203B56"/>
      <x:name val="Arial"/>
    </x:font>
    <x:font>
      <x:i/>
      <x:sz val="10"/>
      <x:color rgb="FF555555"/>
      <x:name val="Arial"/>
    </x:font>
    <x:font>
      <x:b/>
      <x:sz val="10"/>
      <x:color rgb="FFFFFFFF"/>
      <x:name val="Arial"/>
    </x:font>
    <x:font>
      <x:b/>
      <x:sz val="11"/>
      <x:color rgb="FFFFFFFF"/>
      <x:name val="Carlito"/>
    </x:font>
    <x:font>
      <x:b/>
      <x:sz val="10"/>
      <x:name val="Arial"/>
    </x:font>
    <x:font>
      <x:sz val="10"/>
      <x:color rgb="FF000000"/>
      <x:name val="Arial"/>
    </x:font>
    <x:font>
      <x:b/>
      <x:sz val="10"/>
      <x:color rgb="FF000000"/>
      <x:name val="Arial"/>
    </x:font>
    <x:font>
      <x:i/>
      <x:sz val="10"/>
      <x:color rgb="FF000000"/>
      <x:name val="Arial"/>
    </x:font>
    <x:font>
      <x:b/>
      <x:sz val="12"/>
      <x:color rgb="FF000000"/>
      <x:name val="Arial"/>
    </x:font>
  </x:fonts>
  <x:fills count="4">
    <x:fill>
      <x:patternFill patternType="none"/>
    </x:fill>
    <x:fill>
      <x:patternFill patternType="gray125"/>
    </x:fill>
    <x:fill>
      <x:patternFill patternType="solid">
        <x:fgColor rgb="FF203B56"/>
      </x:patternFill>
    </x:fill>
    <x:fill>
      <x:patternFill patternType="solid">
        <x:fgColor rgb="FFEEEEEE"/>
      </x:patternFill>
    </x:fill>
  </x:fills>
  <x:borders count="1">
    <x:border>
      <x:left/>
      <x:right/>
      <x:top/>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xf numFmtId="204"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extLst>
        <x:ext uri="{C7286773-470A-42A8-94C5-96B5CB345126}">
          <xfpb:xfComplement xmlns:xfpb="http://schemas.microsoft.com/office/spreadsheetml/2022/featurepropertybag" i="0"/>
        </x:ext>
      </x:extLst>
    </x:xf>
    <x:xf numFmtId="205" fontId="1" fillId="0" borderId="0"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204" fontId="0"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vertical="top"/>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8" fillId="0" borderId="0" xfId="0" applyNumberFormat="1" applyFont="1" applyFill="1" applyBorder="1"/>
    <x:xf numFmtId="0" fontId="9" fillId="0" borderId="0" xfId="0" applyNumberFormat="1" applyFont="1" applyFill="1" applyBorder="1"/>
    <x:xf numFmtId="0" fontId="8" fillId="2" borderId="0" xfId="0" applyNumberFormat="1" applyFont="1" applyFill="1" applyBorder="1" applyAlignment="1">
      <x:alignment horizontal="center" vertical="center" wrapText="1"/>
    </x:xf>
    <x:xf numFmtId="201" fontId="7" fillId="0" borderId="0" xfId="0" applyNumberFormat="1" applyFont="1" applyFill="1" applyBorder="1"/>
    <x:xf numFmtId="202" fontId="7" fillId="0" borderId="0" xfId="0" applyNumberFormat="1" applyFont="1" applyFill="1" applyBorder="1"/>
    <x:xf numFmtId="204" fontId="7" fillId="0" borderId="0" xfId="0" applyNumberFormat="1" applyFont="1" applyFill="1" applyBorder="1"/>
    <x:xf numFmtId="0" fontId="8" fillId="2" borderId="0" xfId="0" applyNumberFormat="1" applyFont="1" applyFill="1" applyBorder="1" applyAlignment="1">
      <x:alignment wrapText="1"/>
    </x:xf>
    <x:xf numFmtId="0" fontId="8" fillId="0" borderId="0" xfId="0" applyNumberFormat="1" applyFont="1" applyFill="1" applyBorder="1" applyAlignment="1">
      <x:alignment vertical="top"/>
    </x:xf>
    <x:xf numFmtId="0" fontId="10" fillId="0" borderId="0" xfId="0" applyNumberFormat="1" applyFont="1" applyFill="1" applyBorder="1"/>
    <x:xf numFmtId="0" fontId="8" fillId="3" borderId="0" xfId="0" applyNumberFormat="1" applyFont="1" applyFill="1" applyBorder="1" applyAlignment="1">
      <x:alignment horizontal="center" vertical="center" wrapText="1"/>
    </x:xf>
    <x:xf numFmtId="0" fontId="7" fillId="3" borderId="0" xfId="0" applyNumberFormat="1" applyFont="1" applyFill="1" applyBorder="1"/>
    <x:xf numFmtId="0" fontId="8" fillId="3" borderId="0" xfId="0" applyNumberFormat="1" applyFont="1" applyFill="1" applyBorder="1"/>
    <x:xf numFmtId="200" fontId="7" fillId="0" borderId="0" xfId="0" applyNumberFormat="1" applyFont="1" applyFill="1" applyBorder="1"/>
    <x:xf numFmtId="203" fontId="7" fillId="0" borderId="0" xfId="0" applyNumberFormat="1" applyFont="1" applyFill="1" applyBorder="1"/>
    <x:xf numFmtId="0" fontId="8" fillId="3" borderId="0" xfId="0" applyNumberFormat="1" applyFont="1" applyFill="1" applyBorder="1" applyAlignment="1">
      <x:alignment wrapText="1"/>
    </x:xf>
    <x:xf numFmtId="205" fontId="7" fillId="0" borderId="0" xfId="0" applyNumberFormat="1" applyFont="1" applyFill="1" applyBorder="1"/>
    <x:xf numFmtId="200" fontId="7"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aa67ef376c40b1" /><Relationship Type="http://schemas.openxmlformats.org/officeDocument/2006/relationships/theme" Target="/xl/theme/theme1.xml" Id="Rc2896e707c244016" /><Relationship Type="http://schemas.microsoft.com/office/2022/11/relationships/FeaturePropertyBag" Target="/xl/featurePropertyBag/featurePropertyBag.xml" Id="Rc3d8a00d6caf479b" /><Relationship Type="http://schemas.openxmlformats.org/officeDocument/2006/relationships/sharedStrings" Target="/xl/sharedStrings.xml" Id="R63a6331e1e4e46a1" /><Relationship Type="http://schemas.openxmlformats.org/officeDocument/2006/relationships/worksheet" Target="/xl/worksheets/sheet1.xml" Id="Rbed092dba08641d1" /><Relationship Type="http://schemas.openxmlformats.org/officeDocument/2006/relationships/worksheet" Target="/xl/worksheets/sheet2.xml" Id="Re72845775db3427a" /><Relationship Type="http://schemas.openxmlformats.org/officeDocument/2006/relationships/worksheet" Target="/xl/worksheets/sheet3.xml" Id="R1c141d45153c4c43" /><Relationship Type="http://schemas.openxmlformats.org/officeDocument/2006/relationships/worksheet" Target="/xl/worksheets/sheet4.xml" Id="R77ea546a0e3644a8" /><Relationship Type="http://schemas.openxmlformats.org/officeDocument/2006/relationships/worksheet" Target="/xl/worksheets/sheet5.xml" Id="R9177df1d3c554e55" /><Relationship Type="http://schemas.openxmlformats.org/officeDocument/2006/relationships/worksheet" Target="/xl/worksheets/sheet6.xml" Id="R169bb54f32574f34" /><Relationship Type="http://schemas.openxmlformats.org/officeDocument/2006/relationships/worksheet" Target="/xl/worksheets/sheet7.xml" Id="Rf2a374abd4df4e8e" /><Relationship Type="http://schemas.openxmlformats.org/officeDocument/2006/relationships/worksheet" Target="/xl/worksheets/sheet8.xml" Id="R57b21fbc24a444ba" /><Relationship Type="http://schemas.openxmlformats.org/officeDocument/2006/relationships/worksheet" Target="/xl/worksheets/sheet9.xml" Id="Rd890241943d3448f" /><Relationship Type="http://schemas.openxmlformats.org/officeDocument/2006/relationships/worksheet" Target="/xl/worksheets/sheet10.xml" Id="Ra03048f005354c16" /><Relationship Type="http://schemas.openxmlformats.org/officeDocument/2006/relationships/worksheet" Target="/xl/worksheets/sheet11.xml" Id="R309b267cfd004d1f" /><Relationship Type="http://schemas.openxmlformats.org/officeDocument/2006/relationships/worksheet" Target="/xl/worksheets/sheet12.xml" Id="R17b8bc97d3ee46c7" /><Relationship Type="http://schemas.openxmlformats.org/officeDocument/2006/relationships/worksheet" Target="/xl/worksheets/sheet13.xml" Id="Rf167c3e32128420a" /><Relationship Type="http://schemas.openxmlformats.org/officeDocument/2006/relationships/worksheet" Target="/xl/worksheets/sheet14.xml" Id="R46735f1e8e9e4203" /><Relationship Type="http://schemas.openxmlformats.org/officeDocument/2006/relationships/worksheet" Target="/xl/worksheets/sheet15.xml" Id="R1364893152a34529" /><Relationship Type="http://schemas.openxmlformats.org/officeDocument/2006/relationships/worksheet" Target="/xl/worksheets/sheet16.xml" Id="Rc4df4f13122847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da653263562f4dcd" /></Relationships>
</file>

<file path=xl/drawings/_rels/drawing2.xml.rels>&#65279;<?xml version="1.0" encoding="utf-8"?><Relationships xmlns="http://schemas.openxmlformats.org/package/2006/relationships"><Relationship Type="http://schemas.openxmlformats.org/officeDocument/2006/relationships/chart" Target="/xl/drawings/charts/chart2.xml" Id="R7a86948e673f46b5" /><Relationship Type="http://schemas.openxmlformats.org/officeDocument/2006/relationships/chart" Target="/xl/drawings/charts/chart3.xml" Id="R1d87bdbe8b3b445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remaining variation by stage</a:t>
            </a:r>
          </a:p>
        </c:rich>
      </c:tx>
      <c:overlay val="0"/>
    </c:title>
    <c:plotArea>
      <c:lineChart>
        <c:grouping val="standard"/>
        <c:varyColors val="0"/>
        <c:ser>
          <c:idx val="0"/>
          <c:order val="0"/>
          <c:tx>
            <c:v>Mean std / original std</c:v>
          </c:tx>
          <c:spPr>
            <a:ln xmlns:a="http://schemas.openxmlformats.org/drawingml/2006/main" w="19050">
              <a:solidFill>
                <a:srgbClr val="2E75A4"/>
              </a:solidFill>
              <a:prstDash val="solid"/>
            </a:ln>
          </c:spPr>
          <c:marker>
            <c:symbol val="none"/>
          </c:marker>
          <c:cat>
            <c:strRef>
              <c:f>'Summary'!$A$16:$A$21</c:f>
              <c:strCache>
                <c:ptCount val="0"/>
              </c:strCache>
            </c:strRef>
          </c:cat>
          <c:val>
            <c:numRef>
              <c:f>'Summary'!$B$16:$B$21</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Cumulative residual variance explained</a:t>
            </a:r>
          </a:p>
        </c:rich>
      </c:tx>
      <c:overlay val="0"/>
    </c:title>
    <c:plotArea>
      <c:lineChart>
        <c:grouping val="standard"/>
        <c:varyColors val="0"/>
        <c:ser>
          <c:idx val="0"/>
          <c:order val="0"/>
          <c:tx>
            <c:v>cumulative_share</c:v>
          </c:tx>
          <c:spPr>
            <a:ln xmlns:a="http://schemas.openxmlformats.org/drawingml/2006/main" w="19050">
              <a:solidFill>
                <a:srgbClr val="2E75A4"/>
              </a:solidFill>
              <a:prstDash val="solid"/>
            </a:ln>
          </c:spPr>
          <c:marker>
            <c:symbol val="none"/>
          </c:marker>
          <c:cat>
            <c:strRef>
              <c:f>'PCA'!$A$6:$A$48</c:f>
              <c:strCache>
                <c:ptCount val="0"/>
              </c:strCache>
            </c:strRef>
          </c:cat>
          <c:val>
            <c:numRef>
              <c:f>'PCA'!$D$6:$D$48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First 15 eigenvalues</a:t>
            </a:r>
          </a:p>
        </c:rich>
      </c:tx>
      <c:overlay val="0"/>
    </c:title>
    <c:plotArea>
      <c:barChart>
        <c:barDir val="col"/>
        <c:varyColors val="0"/>
        <c:ser>
          <c:idx val="0"/>
          <c:order val="0"/>
          <c:tx>
            <c:v>eigenvalue</c:v>
          </c:tx>
          <c:spPr>
            <a:solidFill xmlns:a="http://schemas.openxmlformats.org/drawingml/2006/main">
              <a:srgbClr val="2E75A4"/>
            </a:solidFill>
          </c:spPr>
          <c:invertIfNegative val="0"/>
          <c:cat>
            <c:strRef>
              <c:f>'PCA'!$A$6:$A$20</c:f>
              <c:strCache>
                <c:ptCount val="0"/>
              </c:strCache>
            </c:strRef>
          </c:cat>
          <c:val>
            <c:numRef>
              <c:f>'PCA'!$B$6:$B$20</c:f>
              <c:numCache>
                <c:formatCode>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13</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653263562f4dcd"/>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4</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86948e673f46b5"/>
        </a:graphicData>
      </a:graphic>
    </xdr:graphicFrame>
    <xdr:clientData/>
  </xdr:twoCellAnchor>
  <xdr:twoCellAnchor>
    <xdr:from>
      <xdr:col>5</xdr:col>
      <xdr:colOff>0</xdr:colOff>
      <xdr:row>24</xdr:row>
      <xdr:rowOff>0</xdr:rowOff>
    </xdr:from>
    <xdr:to>
      <xdr:col>15</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87bdbe8b3b445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Group 1">
  <a:themeElements>
    <a:clrScheme name="Group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Group 1">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727136c0e2e4b32" /></Relationships>
</file>

<file path=xl/worksheets/_rels/sheet7.xml.rels>&#65279;<?xml version="1.0" encoding="utf-8"?><Relationships xmlns="http://schemas.openxmlformats.org/package/2006/relationships"><Relationship Type="http://schemas.openxmlformats.org/officeDocument/2006/relationships/drawing" Target="/xl/drawings/drawing2.xml" Id="R7f15260d25dc45b0" /></Relationships>
</file>

<file path=xl/worksheets/sheet1.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33" hidden="0" customWidth="1"/>
    <x:col min="2" max="2" width="20" hidden="0" customWidth="1"/>
  </x:cols>
  <x:sheetData>
    <x:row r="1" ht="19" customHeight="1">
      <x:c r="A1" s="23"/>
      <x:c r="B1" s="23"/>
      <x:c r="C1" s="23"/>
      <x:c r="D1" s="23"/>
      <x:c r="E1" s="23"/>
      <x:c r="F1" s="23"/>
      <x:c r="G1" s="23"/>
      <x:c r="H1" s="23"/>
      <x:c r="I1" s="23"/>
      <x:c r="J1" s="23"/>
      <x:c r="K1" s="23"/>
      <x:c r="L1" s="23"/>
      <x:c r="M1" s="23"/>
    </x:row>
    <x:row r="2" ht="19" customHeight="1">
      <x:c r="A2" s="34" t="str">
        <x:v>Group 1 factor analysis</x:v>
      </x:c>
      <x:c r="B2" s="23"/>
      <x:c r="C2" s="23"/>
      <x:c r="D2" s="23"/>
      <x:c r="E2" s="23"/>
      <x:c r="F2" s="23"/>
      <x:c r="G2" s="23"/>
      <x:c r="H2" s="23"/>
      <x:c r="I2" s="23"/>
      <x:c r="J2" s="23"/>
      <x:c r="K2" s="23"/>
      <x:c r="L2" s="23"/>
      <x:c r="M2" s="23"/>
    </x:row>
    <x:row r="3" ht="19" customHeight="1">
      <x:c r="A3" s="27"/>
      <x:c r="B3" s="23"/>
      <x:c r="C3" s="23"/>
      <x:c r="D3" s="23"/>
      <x:c r="E3" s="23"/>
      <x:c r="F3" s="23"/>
      <x:c r="G3" s="23"/>
      <x:c r="H3" s="23"/>
      <x:c r="I3" s="23"/>
      <x:c r="J3" s="23"/>
      <x:c r="K3" s="23"/>
      <x:c r="L3" s="23"/>
      <x:c r="M3" s="23"/>
    </x:row>
    <x:row r="4" ht="19" customHeight="1">
      <x:c r="A4" s="23"/>
      <x:c r="B4" s="23"/>
      <x:c r="C4" s="23"/>
      <x:c r="D4" s="23"/>
      <x:c r="E4" s="23"/>
      <x:c r="F4" s="23"/>
      <x:c r="G4" s="23"/>
      <x:c r="H4" s="23"/>
      <x:c r="I4" s="23"/>
      <x:c r="J4" s="23"/>
      <x:c r="K4" s="23"/>
      <x:c r="L4" s="23"/>
      <x:c r="M4" s="23"/>
    </x:row>
    <x:row r="5" ht="42" customHeight="1">
      <x:c r="A5" s="35" t="str">
        <x:v>Measure</x:v>
      </x:c>
      <x:c r="B5" s="35" t="str">
        <x:v>Value</x:v>
      </x:c>
      <x:c r="C5" s="37"/>
      <x:c r="D5" s="37"/>
      <x:c r="E5" s="37"/>
      <x:c r="F5" s="37"/>
      <x:c r="G5" s="37"/>
      <x:c r="H5" s="37"/>
      <x:c r="I5" s="37"/>
      <x:c r="J5" s="37"/>
      <x:c r="K5" s="37"/>
      <x:c r="L5" s="37"/>
      <x:c r="M5" s="37"/>
    </x:row>
    <x:row r="6" ht="19" customHeight="1">
      <x:c r="A6" s="29" t="str">
        <x:v>Stocks</x:v>
      </x:c>
      <x:c r="B6" s="30" t="n">
        <x:v>43</x:v>
      </x:c>
      <x:c r="C6" s="23"/>
      <x:c r="D6" s="23"/>
      <x:c r="E6" s="23"/>
      <x:c r="F6" s="23"/>
      <x:c r="G6" s="23"/>
      <x:c r="H6" s="23"/>
      <x:c r="I6" s="23"/>
      <x:c r="J6" s="23"/>
      <x:c r="K6" s="23"/>
      <x:c r="L6" s="23"/>
      <x:c r="M6" s="23"/>
    </x:row>
    <x:row r="7" ht="19" customHeight="1">
      <x:c r="A7" s="29" t="str">
        <x:v>Available factors</x:v>
      </x:c>
      <x:c r="B7" s="30" t="n">
        <x:v>18</x:v>
      </x:c>
      <x:c r="C7" s="23"/>
      <x:c r="D7" s="23"/>
      <x:c r="E7" s="23"/>
      <x:c r="F7" s="23"/>
      <x:c r="G7" s="23"/>
      <x:c r="H7" s="23"/>
      <x:c r="I7" s="23"/>
      <x:c r="J7" s="23"/>
      <x:c r="K7" s="23"/>
      <x:c r="L7" s="23"/>
      <x:c r="M7" s="23"/>
    </x:row>
    <x:row r="8" ht="19" customHeight="1">
      <x:c r="A8" s="29" t="str">
        <x:v>Common dates</x:v>
      </x:c>
      <x:c r="B8" s="30" t="n">
        <x:v>70</x:v>
      </x:c>
      <x:c r="C8" s="23"/>
      <x:c r="D8" s="23"/>
      <x:c r="E8" s="23"/>
      <x:c r="F8" s="23"/>
      <x:c r="G8" s="23"/>
      <x:c r="H8" s="23"/>
      <x:c r="I8" s="23"/>
      <x:c r="J8" s="23"/>
      <x:c r="K8" s="23"/>
      <x:c r="L8" s="23"/>
      <x:c r="M8" s="23"/>
    </x:row>
    <x:row r="9" ht="19" customHeight="1">
      <x:c r="A9" s="29" t="str">
        <x:v>Median std reduction</x:v>
      </x:c>
      <x:c r="B9" s="31" t="n">
        <x:f>MEDIAN('Stage risk'!H6:H48)</x:f>
        <x:v>0.2451765440717114</x:v>
      </x:c>
      <x:c r="C9" s="23"/>
      <x:c r="D9" s="23"/>
      <x:c r="E9" s="23"/>
      <x:c r="F9" s="23"/>
      <x:c r="G9" s="23"/>
      <x:c r="H9" s="23"/>
      <x:c r="I9" s="23"/>
      <x:c r="J9" s="23"/>
      <x:c r="K9" s="23"/>
      <x:c r="L9" s="23"/>
      <x:c r="M9" s="23"/>
    </x:row>
    <x:row r="10" ht="19" customHeight="1">
      <x:c r="A10" s="29" t="str">
        <x:v>Median variance reduction</x:v>
      </x:c>
      <x:c r="B10" s="31" t="n">
        <x:f>MEDIAN('Fit'!L6:L48)</x:f>
        <x:v>0.43024155038047496</x:v>
      </x:c>
      <x:c r="C10" s="23"/>
      <x:c r="D10" s="23"/>
      <x:c r="E10" s="23"/>
      <x:c r="F10" s="23"/>
      <x:c r="G10" s="23"/>
      <x:c r="H10" s="23"/>
      <x:c r="I10" s="23"/>
      <x:c r="J10" s="23"/>
      <x:c r="K10" s="23"/>
      <x:c r="L10" s="23"/>
      <x:c r="M10" s="23"/>
    </x:row>
    <x:row r="11" ht="19" customHeight="1">
      <x:c r="A11" s="29" t="str">
        <x:v>PC1 variance share</x:v>
      </x:c>
      <x:c r="B11" s="31" t="n">
        <x:f>'PCA'!C6</x:f>
        <x:v>0.14726180147730566</x:v>
      </x:c>
      <x:c r="C11" s="23"/>
      <x:c r="D11" s="23"/>
      <x:c r="E11" s="23"/>
      <x:c r="F11" s="23"/>
      <x:c r="G11" s="23"/>
      <x:c r="H11" s="23"/>
      <x:c r="I11" s="23"/>
      <x:c r="J11" s="23"/>
      <x:c r="K11" s="23"/>
      <x:c r="L11" s="23"/>
      <x:c r="M11" s="23"/>
    </x:row>
    <x:row r="12" ht="19" customHeight="1">
      <x:c r="A12" s="29" t="str">
        <x:v>First 5 PCs variance share</x:v>
      </x:c>
      <x:c r="B12" s="31" t="n">
        <x:f>'PCA'!D10</x:f>
        <x:v>0.5392133108499632</x:v>
      </x:c>
      <x:c r="C12" s="23"/>
      <x:c r="D12" s="23"/>
      <x:c r="E12" s="23"/>
      <x:c r="F12" s="23"/>
      <x:c r="G12" s="23"/>
      <x:c r="H12" s="23"/>
      <x:c r="I12" s="23"/>
      <x:c r="J12" s="23"/>
      <x:c r="K12" s="23"/>
      <x:c r="L12" s="23"/>
      <x:c r="M12" s="23"/>
    </x:row>
    <x:row r="13">
      <x:c r="A13" s="23"/>
      <x:c r="B13" s="23"/>
      <x:c r="C13" s="23"/>
      <x:c r="D13" s="23"/>
      <x:c r="E13" s="23"/>
      <x:c r="F13" s="23"/>
      <x:c r="G13" s="23"/>
      <x:c r="H13" s="23"/>
      <x:c r="I13" s="23"/>
      <x:c r="J13" s="23"/>
      <x:c r="K13" s="23"/>
      <x:c r="L13" s="23"/>
      <x:c r="M13" s="23"/>
    </x:row>
    <x:row r="14">
      <x:c r="A14" s="23"/>
      <x:c r="B14" s="23"/>
      <x:c r="C14" s="23"/>
      <x:c r="D14" s="23"/>
      <x:c r="E14" s="23"/>
      <x:c r="F14" s="23"/>
      <x:c r="G14" s="23"/>
      <x:c r="H14" s="23"/>
      <x:c r="I14" s="23"/>
      <x:c r="J14" s="23"/>
      <x:c r="K14" s="23"/>
      <x:c r="L14" s="23"/>
      <x:c r="M14" s="23"/>
    </x:row>
    <x:row r="15" ht="32" customHeight="1">
      <x:c r="A15" s="40" t="str">
        <x:v>Stage</x:v>
      </x:c>
      <x:c r="B15" s="40" t="str">
        <x:v>Mean std / original std</x:v>
      </x:c>
      <x:c r="C15" s="23"/>
      <x:c r="D15" s="23"/>
      <x:c r="E15" s="23"/>
      <x:c r="F15" s="23"/>
      <x:c r="G15" s="23"/>
      <x:c r="H15" s="23"/>
      <x:c r="I15" s="23"/>
      <x:c r="J15" s="23"/>
      <x:c r="K15" s="23"/>
      <x:c r="L15" s="23"/>
      <x:c r="M15" s="23"/>
    </x:row>
    <x:row r="16">
      <x:c r="A16" s="23" t="str">
        <x:v>Original</x:v>
      </x:c>
      <x:c r="B16" s="31" t="n">
        <x:f>AVERAGE('Stage risk'!J6:J48)</x:f>
        <x:v>1</x:v>
      </x:c>
      <x:c r="C16" s="23"/>
      <x:c r="D16" s="23"/>
      <x:c r="E16" s="23"/>
      <x:c r="F16" s="23"/>
      <x:c r="G16" s="23"/>
      <x:c r="H16" s="23"/>
      <x:c r="I16" s="23"/>
      <x:c r="J16" s="23"/>
      <x:c r="K16" s="23"/>
      <x:c r="L16" s="23"/>
      <x:c r="M16" s="23"/>
    </x:row>
    <x:row r="17">
      <x:c r="A17" s="23" t="str">
        <x:v>Home FX</x:v>
      </x:c>
      <x:c r="B17" s="31" t="n">
        <x:f>AVERAGE('Stage risk'!K6:K48)</x:f>
        <x:v>0.9972580454291515</x:v>
      </x:c>
      <x:c r="C17" s="23"/>
      <x:c r="D17" s="23"/>
      <x:c r="E17" s="23"/>
      <x:c r="F17" s="23"/>
      <x:c r="G17" s="23"/>
      <x:c r="H17" s="23"/>
      <x:c r="I17" s="23"/>
      <x:c r="J17" s="23"/>
      <x:c r="K17" s="23"/>
      <x:c r="L17" s="23"/>
      <x:c r="M17" s="23"/>
    </x:row>
    <x:row r="18">
      <x:c r="A18" s="23" t="str">
        <x:v>Other FX</x:v>
      </x:c>
      <x:c r="B18" s="31" t="n">
        <x:f>AVERAGE('Stage risk'!L6:L48)</x:f>
        <x:v>0.9365775360661561</x:v>
      </x:c>
      <x:c r="C18" s="23"/>
      <x:c r="D18" s="23"/>
      <x:c r="E18" s="23"/>
      <x:c r="F18" s="23"/>
      <x:c r="G18" s="23"/>
      <x:c r="H18" s="23"/>
      <x:c r="I18" s="23"/>
      <x:c r="J18" s="23"/>
      <x:c r="K18" s="23"/>
      <x:c r="L18" s="23"/>
      <x:c r="M18" s="23"/>
    </x:row>
    <x:row r="19">
      <x:c r="A19" s="23" t="str">
        <x:v>SPY</x:v>
      </x:c>
      <x:c r="B19" s="31" t="n">
        <x:f>AVERAGE('Stage risk'!M6:M48)</x:f>
        <x:v>0.8925651502272259</x:v>
      </x:c>
      <x:c r="C19" s="23"/>
      <x:c r="D19" s="23"/>
      <x:c r="E19" s="23"/>
      <x:c r="F19" s="23"/>
      <x:c r="G19" s="23"/>
      <x:c r="H19" s="23"/>
      <x:c r="I19" s="23"/>
      <x:c r="J19" s="23"/>
      <x:c r="K19" s="23"/>
      <x:c r="L19" s="23"/>
      <x:c r="M19" s="23"/>
    </x:row>
    <x:row r="20">
      <x:c r="A20" s="23" t="str">
        <x:v>Primary sector</x:v>
      </x:c>
      <x:c r="B20" s="31" t="n">
        <x:f>AVERAGE('Stage risk'!N6:N48)</x:f>
        <x:v>0.8072371109911167</x:v>
      </x:c>
      <x:c r="C20" s="23"/>
      <x:c r="D20" s="23"/>
      <x:c r="E20" s="23"/>
      <x:c r="F20" s="23"/>
      <x:c r="G20" s="23"/>
      <x:c r="H20" s="23"/>
      <x:c r="I20" s="23"/>
      <x:c r="J20" s="23"/>
      <x:c r="K20" s="23"/>
      <x:c r="L20" s="23"/>
      <x:c r="M20" s="23"/>
    </x:row>
    <x:row r="21">
      <x:c r="A21" s="23" t="str">
        <x:v>Other sectors</x:v>
      </x:c>
      <x:c r="B21" s="31" t="n">
        <x:f>AVERAGE('Stage risk'!O6:O48)</x:f>
        <x:v>0.7579812886469972</x:v>
      </x:c>
      <x:c r="C21" s="23"/>
      <x:c r="D21" s="23"/>
      <x:c r="E21" s="23"/>
      <x:c r="F21" s="23"/>
      <x:c r="G21" s="23"/>
      <x:c r="H21" s="23"/>
      <x:c r="I21" s="23"/>
      <x:c r="J21" s="23"/>
      <x:c r="K21" s="23"/>
      <x:c r="L21" s="23"/>
      <x:c r="M21" s="23"/>
    </x:row>
    <x:row r="22">
      <x:c r="A22" s="23"/>
      <x:c r="B22" s="23"/>
      <x:c r="C22" s="23"/>
      <x:c r="D22" s="23"/>
      <x:c r="E22" s="23"/>
      <x:c r="F22" s="23"/>
      <x:c r="G22" s="23"/>
      <x:c r="H22" s="23"/>
      <x:c r="I22" s="23"/>
      <x:c r="J22" s="23"/>
      <x:c r="K22" s="23"/>
      <x:c r="L22" s="23"/>
      <x:c r="M22" s="23"/>
    </x:row>
    <x:row r="23">
      <x:c r="A23" s="23"/>
      <x:c r="B23" s="23"/>
      <x:c r="C23" s="23"/>
      <x:c r="D23" s="23"/>
      <x:c r="E23" s="23"/>
      <x:c r="F23" s="23"/>
      <x:c r="G23" s="23"/>
      <x:c r="H23" s="23"/>
      <x:c r="I23" s="23"/>
      <x:c r="J23" s="23"/>
      <x:c r="K23" s="23"/>
      <x:c r="L23" s="23"/>
      <x:c r="M23" s="23"/>
    </x:row>
    <x:row r="24" ht="250" customHeight="1">
      <x:c r="A24" s="33" t="str">
        <x:v>Method notes</x:v>
      </x:c>
      <x:c r="B24" s="25" t="str">
        <x:v>Scope: Group 1, stagger_1. 43 unique stocks, 6 currencies, SPY, 11 sector residual factors.
Source: companies_and_staggered_returns.xlsx from hankrugg/QPMFall26 main at dc79746.
Sample: Per-stock complete cases for regression; 70 shared dates for both covariances and PCA.
Units: Class-weighted four-week returns. Standard deviations are not annualized; covariance units are squared.
Step 1: Foreign stocks: univariate home-currency regression with intercept; always retain beta.
Step 2: Remaining currencies: backward elimination by smallest absolute t; retain only |t| &gt; 2.
Step 3: Univariate SPY regression on the incoming residuals; always retain beta.
Step 4: Primary sector first, always retained; then backward elimination on the ten remaining sectors.
Equality at 2: The board omits an explicit equality case. This implementation removes coefficients at |t| = 2.
Empty block: If all candidates are removed, pass the incoming response through unchanged.
Prior meaning: The primary sector is interpreted as a mandatory first univariate fit, not a forced term in later joint fits.
R-squared: Overall reconstruction R² = 1 - SSE(final residuals) / SST(original weighted return).
Stage R-squared: Coefficients lists each retained stage R²; repeated values belong to one joint fit.
PCA: Centered covariance PCA, no standardization. All eigenvalues, eigenvectors and scores are included.
Sequential model: Betas depend on stage order. Later fits can reintroduce correlation with earlier factors.
Selection: Classical OLS t-statistics; exploratory in-sample selection without multiple-testing correction.
Refresh: Run the notebook or stock_factor_regressions.py to regenerate CSVs; rebuild the workbook after changes.
Excel behavior: Ratios and covariances are formulas. Selection, regression, and PCA require rerunning Python.
18 versus 23: No unnamed factors or principal components were inserted to force the board sketch to 23 columns.</x:v>
      </x:c>
      <x:c r="C24" s="25"/>
      <x:c r="D24" s="25"/>
      <x:c r="E24" s="25"/>
      <x:c r="F24" s="25"/>
      <x:c r="G24" s="25"/>
      <x:c r="H24" s="25"/>
      <x:c r="I24" s="25"/>
      <x:c r="J24" s="25"/>
      <x:c r="K24" s="25"/>
      <x:c r="L24" s="25"/>
      <x:c r="M24" s="25"/>
    </x:row>
    <x:row r="25">
      <x:c r="A25" s="23"/>
      <x:c r="B25" s="23"/>
      <x:c r="C25" s="23"/>
      <x:c r="D25" s="23"/>
      <x:c r="E25" s="23"/>
      <x:c r="F25" s="23"/>
      <x:c r="G25" s="23"/>
      <x:c r="H25" s="23"/>
      <x:c r="I25" s="23"/>
      <x:c r="J25" s="23"/>
      <x:c r="K25" s="23"/>
      <x:c r="L25" s="23"/>
      <x:c r="M25" s="23"/>
    </x:row>
    <x:row r="26">
      <x:c r="A26" s="23"/>
      <x:c r="B26" s="23"/>
      <x:c r="C26" s="23"/>
      <x:c r="D26" s="23"/>
      <x:c r="E26" s="23"/>
      <x:c r="F26" s="23"/>
      <x:c r="G26" s="23"/>
      <x:c r="H26" s="23"/>
      <x:c r="I26" s="23"/>
      <x:c r="J26" s="23"/>
      <x:c r="K26" s="23"/>
      <x:c r="L26" s="23"/>
      <x:c r="M26" s="23"/>
    </x:row>
    <x:row r="27" ht="24" customHeight="1">
      <x:c r="A27" s="37" t="str">
        <x:v>Tab</x:v>
      </x:c>
      <x:c r="B27" s="37" t="str">
        <x:v>What is in it and how to read it</x:v>
      </x:c>
      <x:c r="C27" s="37"/>
      <x:c r="D27" s="37"/>
      <x:c r="E27" s="37"/>
      <x:c r="F27" s="37"/>
      <x:c r="G27" s="37"/>
      <x:c r="H27" s="37"/>
      <x:c r="I27" s="37"/>
      <x:c r="J27" s="37"/>
      <x:c r="K27" s="37"/>
      <x:c r="L27" s="37"/>
      <x:c r="M27" s="37"/>
    </x:row>
    <x:row r="28" ht="32" customHeight="1">
      <x:c r="A28" s="25" t="str">
        <x:v>Summary</x:v>
      </x:c>
      <x:c r="B28" s="25" t="str">
        <x:v>Start here. The top table gives stock/factor counts, median reductions, and PCA variance shares. The line chart shows average remaining standard deviation after each stage. Method notes are in B24; the rows below explain each tab.</x:v>
      </x:c>
      <x:c r="C28" s="25"/>
      <x:c r="D28" s="25"/>
      <x:c r="E28" s="25"/>
      <x:c r="F28" s="25"/>
      <x:c r="G28" s="25"/>
      <x:c r="H28" s="25"/>
      <x:c r="I28" s="25"/>
      <x:c r="J28" s="25"/>
      <x:c r="K28" s="25"/>
      <x:c r="L28" s="25"/>
      <x:c r="M28" s="25"/>
    </x:row>
    <x:row r="29" ht="32" customHeight="1">
      <x:c r="A29" s="25" t="str">
        <x:v>Betas</x:v>
      </x:c>
      <x:c r="B29" s="25" t="str">
        <x:v>One row per stock. B:S contain applied betas for the 18 factors; T is total alpha and U is overall reconstruction R². A positive beta means the return moves with that factor at its fitted stage; a negative beta means the opposite. Zero means the factor was omitted.</x:v>
      </x:c>
      <x:c r="C29" s="25"/>
      <x:c r="D29" s="25"/>
      <x:c r="E29" s="25"/>
      <x:c r="F29" s="25"/>
      <x:c r="G29" s="25"/>
      <x:c r="H29" s="25"/>
      <x:c r="I29" s="25"/>
      <x:c r="J29" s="25"/>
      <x:c r="K29" s="25"/>
      <x:c r="L29" s="25"/>
      <x:c r="M29" s="25"/>
    </x:row>
    <x:row r="30" ht="32" customHeight="1">
      <x:c r="A30" s="25" t="str">
        <x:v>Fit</x:v>
      </x:c>
      <x:c r="B30" s="25" t="str">
        <x:v>One row per stock with company, currency, sector, observation count, and dates. I:J compare original and final standard deviation; K:L give standard-deviation and variance reductions; M is overall R². N:O list selected factors; P checks reconstruction error.</x:v>
      </x:c>
      <x:c r="C30" s="25"/>
      <x:c r="D30" s="25"/>
      <x:c r="E30" s="25"/>
      <x:c r="F30" s="25"/>
      <x:c r="G30" s="25"/>
      <x:c r="H30" s="25"/>
      <x:c r="I30" s="25"/>
      <x:c r="J30" s="25"/>
      <x:c r="K30" s="25"/>
      <x:c r="L30" s="25"/>
      <x:c r="M30" s="25"/>
    </x:row>
    <x:row r="31" ht="32" customHeight="1">
      <x:c r="A31" s="25" t="str">
        <x:v>Stage risk</x:v>
      </x:c>
      <x:c r="B31" s="25" t="str">
        <x:v>B:G show each stock’s standard deviation from original returns through final residuals. H is total proportional reduction. J:O divide each stage by the original standard deviation and feed the Summary chart. Flat values mean no reduction at that stage.</x:v>
      </x:c>
      <x:c r="C31" s="25"/>
      <x:c r="D31" s="25"/>
      <x:c r="E31" s="25"/>
      <x:c r="F31" s="25"/>
      <x:c r="G31" s="25"/>
      <x:c r="H31" s="25"/>
      <x:c r="I31" s="25"/>
      <x:c r="J31" s="25"/>
      <x:c r="K31" s="25"/>
      <x:c r="L31" s="25"/>
      <x:c r="M31" s="25"/>
    </x:row>
    <x:row r="32" ht="32" customHeight="1">
      <x:c r="A32" s="25" t="str">
        <x:v>Factor covariance</x:v>
      </x:c>
      <x:c r="B32" s="25" t="str">
        <x:v>An 18 × 18 sample covariance matrix for the supplied factors. Diagonal cells are factor variances; off-diagonal cells measure how two factors move together. Excel formulas use the 70 shared dates in Common sample. Units are weighted returns squared.</x:v>
      </x:c>
      <x:c r="C32" s="25"/>
      <x:c r="D32" s="25"/>
      <x:c r="E32" s="25"/>
      <x:c r="F32" s="25"/>
      <x:c r="G32" s="25"/>
      <x:c r="H32" s="25"/>
      <x:c r="I32" s="25"/>
      <x:c r="J32" s="25"/>
      <x:c r="K32" s="25"/>
      <x:c r="L32" s="25"/>
      <x:c r="M32" s="25"/>
    </x:row>
    <x:row r="33" ht="32" customHeight="1">
      <x:c r="A33" s="25" t="str">
        <x:v>Residual covariance</x:v>
      </x:c>
      <x:c r="B33" s="25" t="str">
        <x:v>A 43 × 43 sample covariance matrix of final stock residuals, using the same 70 dates. Diagonal cells are residual variances; off-diagonal cells show remaining shared variation. This matrix is the input to PCA.</x:v>
      </x:c>
      <x:c r="C33" s="25"/>
      <x:c r="D33" s="25"/>
      <x:c r="E33" s="25"/>
      <x:c r="F33" s="25"/>
      <x:c r="G33" s="25"/>
      <x:c r="H33" s="25"/>
      <x:c r="I33" s="25"/>
      <x:c r="J33" s="25"/>
      <x:c r="K33" s="25"/>
      <x:c r="L33" s="25"/>
      <x:c r="M33" s="25"/>
    </x:row>
    <x:row r="34" ht="32" customHeight="1">
      <x:c r="A34" s="25" t="str">
        <x:v>PCA</x:v>
      </x:c>
      <x:c r="B34" s="25" t="str">
        <x:v>One row per principal component, largest eigenvalue first. B gives its eigenvalue (variance), C its share of total residual variance, and D the cumulative share. The charts show the first 15 eigenvalues and cumulative variance explained by all components.</x:v>
      </x:c>
      <x:c r="C34" s="25"/>
      <x:c r="D34" s="25"/>
      <x:c r="E34" s="25"/>
      <x:c r="F34" s="25"/>
      <x:c r="G34" s="25"/>
      <x:c r="H34" s="25"/>
      <x:c r="I34" s="25"/>
      <x:c r="J34" s="25"/>
      <x:c r="K34" s="25"/>
      <x:c r="L34" s="25"/>
      <x:c r="M34" s="25"/>
    </x:row>
    <x:row r="35" ht="32" customHeight="1">
      <x:c r="A35" s="25" t="str">
        <x:v>Eigenvectors</x:v>
      </x:c>
      <x:c r="B35" s="25" t="str">
        <x:v>Rows are stocks; columns are principal components. Each cell is that stock’s weight in a unit-length component direction. Larger absolute weights mean more influence on that component. Signs are arbitrary; these are not variance-scaled loadings.</x:v>
      </x:c>
      <x:c r="C35" s="25"/>
      <x:c r="D35" s="25"/>
      <x:c r="E35" s="25"/>
      <x:c r="F35" s="25"/>
      <x:c r="G35" s="25"/>
      <x:c r="H35" s="25"/>
      <x:c r="I35" s="25"/>
      <x:c r="J35" s="25"/>
      <x:c r="K35" s="25"/>
      <x:c r="L35" s="25"/>
      <x:c r="M35" s="25"/>
    </x:row>
    <x:row r="36" ht="32" customHeight="1">
      <x:c r="A36" s="25" t="str">
        <x:v>PC scores</x:v>
      </x:c>
      <x:c r="B36" s="25" t="str">
        <x:v>One row per shared date and one column per component. Values are the centered final residual returns projected onto the eigenvectors. They show how strongly each component was present on each date.</x:v>
      </x:c>
      <x:c r="C36" s="25"/>
      <x:c r="D36" s="25"/>
      <x:c r="E36" s="25"/>
      <x:c r="F36" s="25"/>
      <x:c r="G36" s="25"/>
      <x:c r="H36" s="25"/>
      <x:c r="I36" s="25"/>
      <x:c r="J36" s="25"/>
      <x:c r="K36" s="25"/>
      <x:c r="L36" s="25"/>
      <x:c r="M36" s="25"/>
    </x:row>
    <x:row r="37" ht="32" customHeight="1">
      <x:c r="A37" s="25" t="str">
        <x:v>Coefficients</x:v>
      </x:c>
      <x:c r="B37" s="25" t="str">
        <x:v>One row per retained stock-stage-factor coefficient, with alpha, beta, t-statistic, p-value, observation count, and stage R². Alpha and R² repeat for factors in the same joint fit: count each joint-fit alpha only once. Mandatory prior factors need not pass |t| &gt; 2.</x:v>
      </x:c>
      <x:c r="C37" s="25"/>
      <x:c r="D37" s="25"/>
      <x:c r="E37" s="25"/>
      <x:c r="F37" s="25"/>
      <x:c r="G37" s="25"/>
      <x:c r="H37" s="25"/>
      <x:c r="I37" s="25"/>
      <x:c r="J37" s="25"/>
      <x:c r="K37" s="25"/>
      <x:c r="L37" s="25"/>
      <x:c r="M37" s="25"/>
    </x:row>
    <x:row r="38" ht="32" customHeight="1">
      <x:c r="A38" s="25" t="str">
        <x:v>Selection log</x:v>
      </x:c>
      <x:c r="B38" s="25" t="str">
        <x:v>Every candidate coefficient at every backward-elimination iteration. Removed marks the weakest factor dropped at that iteration. Final_fit marks a retained joint fit. Filter by ticker and stage to follow a stock’s currency or sector selection.</x:v>
      </x:c>
      <x:c r="C38" s="25"/>
      <x:c r="D38" s="25"/>
      <x:c r="E38" s="25"/>
      <x:c r="F38" s="25"/>
      <x:c r="G38" s="25"/>
      <x:c r="H38" s="25"/>
      <x:c r="I38" s="25"/>
      <x:c r="J38" s="25"/>
      <x:c r="K38" s="25"/>
      <x:c r="L38" s="25"/>
      <x:c r="M38" s="25"/>
    </x:row>
    <x:row r="39" ht="32" customHeight="1">
      <x:c r="A39" s="25" t="str">
        <x:v>Stage returns</x:v>
      </x:c>
      <x:c r="B39" s="25" t="str">
        <x:v>Rows contain the stage, date, and each stock’s passed-forward return. Original contains model-sample stock returns; later stages contain residuals after the named step. Blank cells mean that date was not in that stock’s model sample.</x:v>
      </x:c>
      <x:c r="C39" s="25"/>
      <x:c r="D39" s="25"/>
      <x:c r="E39" s="25"/>
      <x:c r="F39" s="25"/>
      <x:c r="G39" s="25"/>
      <x:c r="H39" s="25"/>
      <x:c r="I39" s="25"/>
      <x:c r="J39" s="25"/>
      <x:c r="K39" s="25"/>
      <x:c r="L39" s="25"/>
      <x:c r="M39" s="25"/>
    </x:row>
    <x:row r="40" ht="32" customHeight="1">
      <x:c r="A40" s="25" t="str">
        <x:v>Common sample</x:v>
      </x:c>
      <x:c r="B40" s="25" t="str">
        <x:v>The 70 dates used by both covariance matrices and PCA. A is date; B:AR are final residuals for 43 stocks; AS:BJ are the 18 factor returns. Every included date is available for every stock and factor.</x:v>
      </x:c>
      <x:c r="C40" s="25"/>
      <x:c r="D40" s="25"/>
      <x:c r="E40" s="25"/>
      <x:c r="F40" s="25"/>
      <x:c r="G40" s="25"/>
      <x:c r="H40" s="25"/>
      <x:c r="I40" s="25"/>
      <x:c r="J40" s="25"/>
      <x:c r="K40" s="25"/>
      <x:c r="L40" s="25"/>
      <x:c r="M40" s="25"/>
    </x:row>
    <x:row r="41" ht="32" customHeight="1">
      <x:c r="A41" s="25" t="str">
        <x:v>Factor returns</x:v>
      </x:c>
      <x:c r="B41" s="25" t="str">
        <x:v>All 80 source dates for six currency factors, SPY, and eleven sector residual factors. These preserve the class time weights. Sector columns are returns already residualized against SPY, not raw ETF returns.</x:v>
      </x:c>
      <x:c r="C41" s="25"/>
      <x:c r="D41" s="25"/>
      <x:c r="E41" s="25"/>
      <x:c r="F41" s="25"/>
      <x:c r="G41" s="25"/>
      <x:c r="H41" s="25"/>
      <x:c r="I41" s="25"/>
      <x:c r="J41" s="25"/>
      <x:c r="K41" s="25"/>
      <x:c r="L41" s="25"/>
      <x:c r="M41" s="25"/>
    </x:row>
    <x:row r="42" ht="32" customHeight="1">
      <x:c r="A42" s="25" t="str">
        <x:v>Stock returns</x:v>
      </x:c>
      <x:c r="B42" s="25" t="str">
        <x:v>All 80 source dates for the 43 stocks, with the original class-weighted returns. Missing observations remain blank. The regressions use each stock’s complete-case subset of this data.</x:v>
      </x:c>
      <x:c r="C42" s="25"/>
      <x:c r="D42" s="25"/>
      <x:c r="E42" s="25"/>
      <x:c r="F42" s="25"/>
      <x:c r="G42" s="25"/>
      <x:c r="H42" s="25"/>
      <x:c r="I42" s="25"/>
      <x:c r="J42" s="25"/>
      <x:c r="K42" s="25"/>
      <x:c r="L42" s="25"/>
      <x:c r="M42" s="25"/>
    </x:row>
    <x:row r="43" ht="32" customHeight="1">
      <x:c r="A43" s="25" t="str">
        <x:v>Companies</x:v>
      </x:c>
      <x:c r="B43" s="25" t="str">
        <x:v>The 43 distinct stock assignments: ticker, company name, country, sector, and currency. Currency identifies the home-currency prior for foreign stocks; sector identifies the mandatory primary-sector factor.</x:v>
      </x:c>
      <x:c r="C43" s="25"/>
      <x:c r="D43" s="25"/>
      <x:c r="E43" s="25"/>
      <x:c r="F43" s="25"/>
      <x:c r="G43" s="25"/>
      <x:c r="H43" s="25"/>
      <x:c r="I43" s="25"/>
      <x:c r="J43" s="25"/>
      <x:c r="K43" s="25"/>
      <x:c r="L43" s="25"/>
      <x:c r="M43" s="25"/>
    </x:row>
  </x:sheetData>
  <x:mergeCells>
    <x:mergeCell ref="B24:M24"/>
    <x:mergeCell ref="B27:M27"/>
    <x:mergeCell ref="B28:M28"/>
    <x:mergeCell ref="B29:M29"/>
    <x:mergeCell ref="B30:M30"/>
    <x:mergeCell ref="B31:M31"/>
    <x:mergeCell ref="B32:M32"/>
    <x:mergeCell ref="B33:M33"/>
    <x:mergeCell ref="B34:M34"/>
    <x:mergeCell ref="B35:M35"/>
    <x:mergeCell ref="B36:M36"/>
    <x:mergeCell ref="B37:M37"/>
    <x:mergeCell ref="B38:M38"/>
    <x:mergeCell ref="B39:M39"/>
    <x:mergeCell ref="B40:M40"/>
    <x:mergeCell ref="B41:M41"/>
    <x:mergeCell ref="B42:M42"/>
    <x:mergeCell ref="B43:M43"/>
  </x:mergeCells>
  <x:pageMargins left="0.7" right="0.7" top="0.75" bottom="0.75" header="0.3" footer="0.3"/>
  <x:drawing xmlns:r="http://schemas.openxmlformats.org/officeDocument/2006/relationships" r:id="Re727136c0e2e4b32"/>
</x:worksheet>
</file>

<file path=xl/worksheets/sheet2.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row>
    <x:row r="2" ht="19" customHeight="1">
      <x:c r="A2" s="34" t="str">
        <x:v>Applied factor exposures</x:v>
      </x:c>
      <x:c r="B2" s="23"/>
      <x:c r="C2" s="23"/>
      <x:c r="D2" s="23"/>
      <x:c r="E2" s="23"/>
      <x:c r="F2" s="23"/>
      <x:c r="G2" s="23"/>
      <x:c r="H2" s="23"/>
      <x:c r="I2" s="23"/>
      <x:c r="J2" s="23"/>
      <x:c r="K2" s="23"/>
      <x:c r="L2" s="23"/>
      <x:c r="M2" s="23"/>
      <x:c r="N2" s="23"/>
      <x:c r="O2" s="23"/>
      <x:c r="P2" s="23"/>
      <x:c r="Q2" s="23"/>
      <x:c r="R2" s="23"/>
      <x:c r="S2" s="23"/>
      <x:c r="T2" s="23"/>
      <x:c r="U2" s="23"/>
    </x:row>
    <x:row r="3" ht="19" customHeight="1">
      <x:c r="A3" s="27"/>
      <x:c r="B3" s="23"/>
      <x:c r="C3" s="23"/>
      <x:c r="D3" s="23"/>
      <x:c r="E3" s="23"/>
      <x:c r="F3" s="23"/>
      <x:c r="G3" s="23"/>
      <x:c r="H3" s="23"/>
      <x:c r="I3" s="23"/>
      <x:c r="J3" s="23"/>
      <x:c r="K3" s="23"/>
      <x:c r="L3" s="23"/>
      <x:c r="M3" s="23"/>
      <x:c r="N3" s="23"/>
      <x:c r="O3" s="23"/>
      <x:c r="P3" s="23"/>
      <x:c r="Q3" s="23"/>
      <x:c r="R3" s="23"/>
      <x:c r="S3" s="23"/>
      <x:c r="T3" s="23"/>
      <x:c r="U3" s="23"/>
    </x:row>
    <x:row r="4" ht="19" customHeight="1">
      <x:c r="A4" s="23"/>
      <x:c r="B4" s="23"/>
      <x:c r="C4" s="23"/>
      <x:c r="D4" s="23"/>
      <x:c r="E4" s="23"/>
      <x:c r="F4" s="23"/>
      <x:c r="G4" s="23"/>
      <x:c r="H4" s="23"/>
      <x:c r="I4" s="23"/>
      <x:c r="J4" s="23"/>
      <x:c r="K4" s="23"/>
      <x:c r="L4" s="23"/>
      <x:c r="M4" s="23"/>
      <x:c r="N4" s="23"/>
      <x:c r="O4" s="23"/>
      <x:c r="P4" s="23"/>
      <x:c r="Q4" s="23"/>
      <x:c r="R4" s="23"/>
      <x:c r="S4" s="23"/>
      <x:c r="T4" s="23"/>
      <x:c r="U4" s="23"/>
    </x:row>
    <x:row r="5" ht="42" customHeight="1">
      <x:c r="A5" s="35" t="str">
        <x:v>Ticker</x:v>
      </x:c>
      <x:c r="B5" s="35" t="str">
        <x:v>MXN/USD</x:v>
      </x:c>
      <x:c r="C5" s="35" t="str">
        <x:v>SGD/USD</x:v>
      </x:c>
      <x:c r="D5" s="35" t="str">
        <x:v>DKK/USD</x:v>
      </x:c>
      <x:c r="E5" s="35" t="str">
        <x:v>EUR/USD</x:v>
      </x:c>
      <x:c r="F5" s="35" t="str">
        <x:v>AUD/USD</x:v>
      </x:c>
      <x:c r="G5" s="35" t="str">
        <x:v>CAD/USD</x:v>
      </x:c>
      <x:c r="H5" s="35" t="str">
        <x:v>SPY</x:v>
      </x:c>
      <x:c r="I5" s="35" t="str">
        <x:v>XLC</x:v>
      </x:c>
      <x:c r="J5" s="35" t="str">
        <x:v>XLY</x:v>
      </x:c>
      <x:c r="K5" s="35" t="str">
        <x:v>XLP</x:v>
      </x:c>
      <x:c r="L5" s="35" t="str">
        <x:v>XLE</x:v>
      </x:c>
      <x:c r="M5" s="35" t="str">
        <x:v>XLF</x:v>
      </x:c>
      <x:c r="N5" s="35" t="str">
        <x:v>XLV</x:v>
      </x:c>
      <x:c r="O5" s="35" t="str">
        <x:v>XLI</x:v>
      </x:c>
      <x:c r="P5" s="35" t="str">
        <x:v>XLB</x:v>
      </x:c>
      <x:c r="Q5" s="35" t="str">
        <x:v>XLRE</x:v>
      </x:c>
      <x:c r="R5" s="35" t="str">
        <x:v>XLK</x:v>
      </x:c>
      <x:c r="S5" s="35" t="str">
        <x:v>XLU</x:v>
      </x:c>
      <x:c r="T5" s="35" t="str">
        <x:v>Total alpha</x:v>
      </x:c>
      <x:c r="U5" s="35" t="str">
        <x:v>Reconstruction R²</x:v>
      </x:c>
    </x:row>
    <x:row r="6" ht="19" customHeight="1">
      <x:c r="A6" s="29" t="str">
        <x:v>VST</x:v>
      </x:c>
      <x:c r="B6" s="38" t="n">
        <x:v>0</x:v>
      </x:c>
      <x:c r="C6" s="38" t="n">
        <x:v>0</x:v>
      </x:c>
      <x:c r="D6" s="38" t="n">
        <x:v>0</x:v>
      </x:c>
      <x:c r="E6" s="38" t="n">
        <x:v>0</x:v>
      </x:c>
      <x:c r="F6" s="38" t="n">
        <x:v>0</x:v>
      </x:c>
      <x:c r="G6" s="38" t="n">
        <x:v>0</x:v>
      </x:c>
      <x:c r="H6" s="38" t="n">
        <x:v>1.080769288</x:v>
      </x:c>
      <x:c r="I6" s="38" t="n">
        <x:v>0</x:v>
      </x:c>
      <x:c r="J6" s="38" t="n">
        <x:v>0</x:v>
      </x:c>
      <x:c r="K6" s="38" t="n">
        <x:v>0</x:v>
      </x:c>
      <x:c r="L6" s="38" t="n">
        <x:v>0</x:v>
      </x:c>
      <x:c r="M6" s="38" t="n">
        <x:v>0</x:v>
      </x:c>
      <x:c r="N6" s="38" t="n">
        <x:v>-0.799347608</x:v>
      </x:c>
      <x:c r="O6" s="38" t="n">
        <x:v>0.8169156576</x:v>
      </x:c>
      <x:c r="P6" s="38" t="n">
        <x:v>0</x:v>
      </x:c>
      <x:c r="Q6" s="38" t="n">
        <x:v>-0.7542327724</x:v>
      </x:c>
      <x:c r="R6" s="38" t="n">
        <x:v>0</x:v>
      </x:c>
      <x:c r="S6" s="38" t="n">
        <x:v>0.7739386244</x:v>
      </x:c>
      <x:c r="T6" s="38" t="n">
        <x:v>0.0135364232</x:v>
      </x:c>
      <x:c r="U6" s="38" t="n">
        <x:f>'Fit'!M6</x:f>
        <x:v>0.3765082472</x:v>
      </x:c>
    </x:row>
    <x:row r="7" ht="19" customHeight="1">
      <x:c r="A7" s="29" t="str">
        <x:v>VIST</x:v>
      </x:c>
      <x:c r="B7" s="38" t="n">
        <x:v>0.0958171985</x:v>
      </x:c>
      <x:c r="C7" s="38" t="n">
        <x:v>0</x:v>
      </x:c>
      <x:c r="D7" s="38" t="n">
        <x:v>0</x:v>
      </x:c>
      <x:c r="E7" s="38" t="n">
        <x:v>0</x:v>
      </x:c>
      <x:c r="F7" s="38" t="n">
        <x:v>0</x:v>
      </x:c>
      <x:c r="G7" s="38" t="n">
        <x:v>0</x:v>
      </x:c>
      <x:c r="H7" s="38" t="n">
        <x:v>-0.105158732</x:v>
      </x:c>
      <x:c r="I7" s="38" t="n">
        <x:v>0</x:v>
      </x:c>
      <x:c r="J7" s="38" t="n">
        <x:v>0</x:v>
      </x:c>
      <x:c r="K7" s="38" t="n">
        <x:v>0</x:v>
      </x:c>
      <x:c r="L7" s="38" t="n">
        <x:v>0.9012884373</x:v>
      </x:c>
      <x:c r="M7" s="38" t="n">
        <x:v>0</x:v>
      </x:c>
      <x:c r="N7" s="38" t="n">
        <x:v>-0.8508837427</x:v>
      </x:c>
      <x:c r="O7" s="38" t="n">
        <x:v>0</x:v>
      </x:c>
      <x:c r="P7" s="38" t="n">
        <x:v>0</x:v>
      </x:c>
      <x:c r="Q7" s="38" t="n">
        <x:v>0</x:v>
      </x:c>
      <x:c r="R7" s="38" t="n">
        <x:v>0</x:v>
      </x:c>
      <x:c r="S7" s="38" t="n">
        <x:v>0</x:v>
      </x:c>
      <x:c r="T7" s="38" t="n">
        <x:v>0.0368570361</x:v>
      </x:c>
      <x:c r="U7" s="38" t="n">
        <x:f>'Fit'!M7</x:f>
        <x:v>0.3420624548</x:v>
      </x:c>
    </x:row>
    <x:row r="8" ht="19" customHeight="1">
      <x:c r="A8" s="29" t="str">
        <x:v>AEP</x:v>
      </x:c>
      <x:c r="B8" s="38" t="n">
        <x:v>0</x:v>
      </x:c>
      <x:c r="C8" s="38" t="n">
        <x:v>1.7967653828</x:v>
      </x:c>
      <x:c r="D8" s="38" t="n">
        <x:v>0</x:v>
      </x:c>
      <x:c r="E8" s="38" t="n">
        <x:v>0</x:v>
      </x:c>
      <x:c r="F8" s="38" t="n">
        <x:v>0</x:v>
      </x:c>
      <x:c r="G8" s="38" t="n">
        <x:v>0</x:v>
      </x:c>
      <x:c r="H8" s="38" t="n">
        <x:v>0.0927295922</x:v>
      </x:c>
      <x:c r="I8" s="38" t="n">
        <x:v>0</x:v>
      </x:c>
      <x:c r="J8" s="38" t="n">
        <x:v>0</x:v>
      </x:c>
      <x:c r="K8" s="38" t="n">
        <x:v>0</x:v>
      </x:c>
      <x:c r="L8" s="38" t="n">
        <x:v>0</x:v>
      </x:c>
      <x:c r="M8" s="38" t="n">
        <x:v>0</x:v>
      </x:c>
      <x:c r="N8" s="38" t="n">
        <x:v>0</x:v>
      </x:c>
      <x:c r="O8" s="38" t="n">
        <x:v>-0.2984670079</x:v>
      </x:c>
      <x:c r="P8" s="38" t="n">
        <x:v>0</x:v>
      </x:c>
      <x:c r="Q8" s="38" t="n">
        <x:v>0.249958672</x:v>
      </x:c>
      <x:c r="R8" s="38" t="n">
        <x:v>0</x:v>
      </x:c>
      <x:c r="S8" s="38" t="n">
        <x:v>0.9508835618</x:v>
      </x:c>
      <x:c r="T8" s="38" t="n">
        <x:v>0.0062387687</x:v>
      </x:c>
      <x:c r="U8" s="38" t="n">
        <x:f>'Fit'!M8</x:f>
        <x:v>0.6702117538</x:v>
      </x:c>
    </x:row>
    <x:row r="9" ht="19" customHeight="1">
      <x:c r="A9" s="29" t="str">
        <x:v>ETR</x:v>
      </x:c>
      <x:c r="B9" s="38" t="n">
        <x:v>0</x:v>
      </x:c>
      <x:c r="C9" s="38" t="n">
        <x:v>0</x:v>
      </x:c>
      <x:c r="D9" s="38" t="n">
        <x:v>0</x:v>
      </x:c>
      <x:c r="E9" s="38" t="n">
        <x:v>0</x:v>
      </x:c>
      <x:c r="F9" s="38" t="n">
        <x:v>0</x:v>
      </x:c>
      <x:c r="G9" s="38" t="n">
        <x:v>0</x:v>
      </x:c>
      <x:c r="H9" s="38" t="n">
        <x:v>0.355562464</x:v>
      </x:c>
      <x:c r="I9" s="38" t="n">
        <x:v>0</x:v>
      </x:c>
      <x:c r="J9" s="38" t="n">
        <x:v>0</x:v>
      </x:c>
      <x:c r="K9" s="38" t="n">
        <x:v>0</x:v>
      </x:c>
      <x:c r="L9" s="38" t="n">
        <x:v>0</x:v>
      </x:c>
      <x:c r="M9" s="38" t="n">
        <x:v>0</x:v>
      </x:c>
      <x:c r="N9" s="38" t="n">
        <x:v>0</x:v>
      </x:c>
      <x:c r="O9" s="38" t="n">
        <x:v>0</x:v>
      </x:c>
      <x:c r="P9" s="38" t="n">
        <x:v>0</x:v>
      </x:c>
      <x:c r="Q9" s="38" t="n">
        <x:v>0</x:v>
      </x:c>
      <x:c r="R9" s="38" t="n">
        <x:v>0</x:v>
      </x:c>
      <x:c r="S9" s="38" t="n">
        <x:v>0.9424741936</x:v>
      </x:c>
      <x:c r="T9" s="38" t="n">
        <x:v>0.0104151732</x:v>
      </x:c>
      <x:c r="U9" s="38" t="n">
        <x:f>'Fit'!M9</x:f>
        <x:v>0.615760719</x:v>
      </x:c>
    </x:row>
    <x:row r="10" ht="19" customHeight="1">
      <x:c r="A10" s="29" t="str">
        <x:v>DIS</x:v>
      </x:c>
      <x:c r="B10" s="38" t="n">
        <x:v>0</x:v>
      </x:c>
      <x:c r="C10" s="38" t="n">
        <x:v>1.9157949942</x:v>
      </x:c>
      <x:c r="D10" s="38" t="n">
        <x:v>0</x:v>
      </x:c>
      <x:c r="E10" s="38" t="n">
        <x:v>0</x:v>
      </x:c>
      <x:c r="F10" s="38" t="n">
        <x:v>0</x:v>
      </x:c>
      <x:c r="G10" s="38" t="n">
        <x:v>0</x:v>
      </x:c>
      <x:c r="H10" s="38" t="n">
        <x:v>1.082555175</x:v>
      </x:c>
      <x:c r="I10" s="38" t="n">
        <x:v>0.4215341066</x:v>
      </x:c>
      <x:c r="J10" s="38" t="n">
        <x:v>0.7074044533</x:v>
      </x:c>
      <x:c r="K10" s="38" t="n">
        <x:v>0</x:v>
      </x:c>
      <x:c r="L10" s="38" t="n">
        <x:v>0.226671223</x:v>
      </x:c>
      <x:c r="M10" s="38" t="n">
        <x:v>0.748054599</x:v>
      </x:c>
      <x:c r="N10" s="38" t="n">
        <x:v>0</x:v>
      </x:c>
      <x:c r="O10" s="38" t="n">
        <x:v>0</x:v>
      </x:c>
      <x:c r="P10" s="38" t="n">
        <x:v>0</x:v>
      </x:c>
      <x:c r="Q10" s="38" t="n">
        <x:v>0</x:v>
      </x:c>
      <x:c r="R10" s="38" t="n">
        <x:v>0.8744847471</x:v>
      </x:c>
      <x:c r="S10" s="38" t="n">
        <x:v>0</x:v>
      </x:c>
      <x:c r="T10" s="38" t="n">
        <x:v>-0.0165196152</x:v>
      </x:c>
      <x:c r="U10" s="38" t="n">
        <x:f>'Fit'!M10</x:f>
        <x:v>0.4785434749</x:v>
      </x:c>
    </x:row>
    <x:row r="11" ht="19" customHeight="1">
      <x:c r="A11" s="29" t="str">
        <x:v>CMG</x:v>
      </x:c>
      <x:c r="B11" s="38" t="n">
        <x:v>0</x:v>
      </x:c>
      <x:c r="C11" s="38" t="n">
        <x:v>0</x:v>
      </x:c>
      <x:c r="D11" s="38" t="n">
        <x:v>0</x:v>
      </x:c>
      <x:c r="E11" s="38" t="n">
        <x:v>0</x:v>
      </x:c>
      <x:c r="F11" s="38" t="n">
        <x:v>1.0424836686</x:v>
      </x:c>
      <x:c r="G11" s="38" t="n">
        <x:v>0</x:v>
      </x:c>
      <x:c r="H11" s="38" t="n">
        <x:v>0.6580235836</x:v>
      </x:c>
      <x:c r="I11" s="38" t="n">
        <x:v>0</x:v>
      </x:c>
      <x:c r="J11" s="38" t="n">
        <x:v>0.531742343</x:v>
      </x:c>
      <x:c r="K11" s="38" t="n">
        <x:v>0</x:v>
      </x:c>
      <x:c r="L11" s="38" t="n">
        <x:v>-0.3247562354</x:v>
      </x:c>
      <x:c r="M11" s="38" t="n">
        <x:v>0</x:v>
      </x:c>
      <x:c r="N11" s="38" t="n">
        <x:v>0</x:v>
      </x:c>
      <x:c r="O11" s="38" t="n">
        <x:v>0</x:v>
      </x:c>
      <x:c r="P11" s="38" t="n">
        <x:v>0</x:v>
      </x:c>
      <x:c r="Q11" s="38" t="n">
        <x:v>0</x:v>
      </x:c>
      <x:c r="R11" s="38" t="n">
        <x:v>0</x:v>
      </x:c>
      <x:c r="S11" s="38" t="n">
        <x:v>0</x:v>
      </x:c>
      <x:c r="T11" s="38" t="n">
        <x:v>-0.0083620489</x:v>
      </x:c>
      <x:c r="U11" s="38" t="n">
        <x:f>'Fit'!M11</x:f>
        <x:v>0.1942746789</x:v>
      </x:c>
    </x:row>
    <x:row r="12" ht="19" customHeight="1">
      <x:c r="A12" s="29" t="str">
        <x:v>AMZN</x:v>
      </x:c>
      <x:c r="B12" s="38" t="n">
        <x:v>0</x:v>
      </x:c>
      <x:c r="C12" s="38" t="n">
        <x:v>0</x:v>
      </x:c>
      <x:c r="D12" s="38" t="n">
        <x:v>14.9064040447</x:v>
      </x:c>
      <x:c r="E12" s="38" t="n">
        <x:v>-14.1551632868</x:v>
      </x:c>
      <x:c r="F12" s="38" t="n">
        <x:v>0</x:v>
      </x:c>
      <x:c r="G12" s="38" t="n">
        <x:v>0</x:v>
      </x:c>
      <x:c r="H12" s="38" t="n">
        <x:v>1.2820479783</x:v>
      </x:c>
      <x:c r="I12" s="38" t="n">
        <x:v>0</x:v>
      </x:c>
      <x:c r="J12" s="38" t="n">
        <x:v>1.0036952524</x:v>
      </x:c>
      <x:c r="K12" s="38" t="n">
        <x:v>0</x:v>
      </x:c>
      <x:c r="L12" s="38" t="n">
        <x:v>0</x:v>
      </x:c>
      <x:c r="M12" s="38" t="n">
        <x:v>0</x:v>
      </x:c>
      <x:c r="N12" s="38" t="n">
        <x:v>0</x:v>
      </x:c>
      <x:c r="O12" s="38" t="n">
        <x:v>0</x:v>
      </x:c>
      <x:c r="P12" s="38" t="n">
        <x:v>-0.78452981</x:v>
      </x:c>
      <x:c r="Q12" s="38" t="n">
        <x:v>0</x:v>
      </x:c>
      <x:c r="R12" s="38" t="n">
        <x:v>0</x:v>
      </x:c>
      <x:c r="S12" s="38" t="n">
        <x:v>0</x:v>
      </x:c>
      <x:c r="T12" s="38" t="n">
        <x:v>-0.0064897647</x:v>
      </x:c>
      <x:c r="U12" s="38" t="n">
        <x:f>'Fit'!M12</x:f>
        <x:v>0.646272807</x:v>
      </x:c>
    </x:row>
    <x:row r="13" ht="19" customHeight="1">
      <x:c r="A13" s="29" t="str">
        <x:v>FIX</x:v>
      </x:c>
      <x:c r="B13" s="38" t="n">
        <x:v>1.7507289915</x:v>
      </x:c>
      <x:c r="C13" s="38" t="n">
        <x:v>0</x:v>
      </x:c>
      <x:c r="D13" s="38" t="n">
        <x:v>0</x:v>
      </x:c>
      <x:c r="E13" s="38" t="n">
        <x:v>0</x:v>
      </x:c>
      <x:c r="F13" s="38" t="n">
        <x:v>0</x:v>
      </x:c>
      <x:c r="G13" s="38" t="n">
        <x:v>0</x:v>
      </x:c>
      <x:c r="H13" s="38" t="n">
        <x:v>1.115499711</x:v>
      </x:c>
      <x:c r="I13" s="38" t="n">
        <x:v>0</x:v>
      </x:c>
      <x:c r="J13" s="38" t="n">
        <x:v>0</x:v>
      </x:c>
      <x:c r="K13" s="38" t="n">
        <x:v>0</x:v>
      </x:c>
      <x:c r="L13" s="38" t="n">
        <x:v>0</x:v>
      </x:c>
      <x:c r="M13" s="38" t="n">
        <x:v>-0.8388154103</x:v>
      </x:c>
      <x:c r="N13" s="38" t="n">
        <x:v>-0.776604736</x:v>
      </x:c>
      <x:c r="O13" s="38" t="n">
        <x:v>0.6600006224</x:v>
      </x:c>
      <x:c r="P13" s="38" t="n">
        <x:v>0</x:v>
      </x:c>
      <x:c r="Q13" s="38" t="n">
        <x:v>0</x:v>
      </x:c>
      <x:c r="R13" s="38" t="n">
        <x:v>0</x:v>
      </x:c>
      <x:c r="S13" s="38" t="n">
        <x:v>0</x:v>
      </x:c>
      <x:c r="T13" s="38" t="n">
        <x:v>0.0312035227</x:v>
      </x:c>
      <x:c r="U13" s="38" t="n">
        <x:f>'Fit'!M13</x:f>
        <x:v>0.4568938204</x:v>
      </x:c>
    </x:row>
    <x:row r="14" ht="19" customHeight="1">
      <x:c r="A14" s="29" t="str">
        <x:v>STX</x:v>
      </x:c>
      <x:c r="B14" s="38" t="n">
        <x:v>1.650820962</x:v>
      </x:c>
      <x:c r="C14" s="38" t="n">
        <x:v>3.8723524064</x:v>
      </x:c>
      <x:c r="D14" s="38" t="n">
        <x:v>0</x:v>
      </x:c>
      <x:c r="E14" s="38" t="n">
        <x:v>-3.9009440936</x:v>
      </x:c>
      <x:c r="F14" s="38" t="n">
        <x:v>2.2438855476</x:v>
      </x:c>
      <x:c r="G14" s="38" t="n">
        <x:v>0</x:v>
      </x:c>
      <x:c r="H14" s="38" t="n">
        <x:v>1.586204076</x:v>
      </x:c>
      <x:c r="I14" s="38" t="n">
        <x:v>0</x:v>
      </x:c>
      <x:c r="J14" s="38" t="n">
        <x:v>0</x:v>
      </x:c>
      <x:c r="K14" s="38" t="n">
        <x:v>0</x:v>
      </x:c>
      <x:c r="L14" s="38" t="n">
        <x:v>0</x:v>
      </x:c>
      <x:c r="M14" s="38" t="n">
        <x:v>0</x:v>
      </x:c>
      <x:c r="N14" s="38" t="n">
        <x:v>0</x:v>
      </x:c>
      <x:c r="O14" s="38" t="n">
        <x:v>0</x:v>
      </x:c>
      <x:c r="P14" s="38" t="n">
        <x:v>0</x:v>
      </x:c>
      <x:c r="Q14" s="38" t="n">
        <x:v>0</x:v>
      </x:c>
      <x:c r="R14" s="38" t="n">
        <x:v>2.5416243202</x:v>
      </x:c>
      <x:c r="S14" s="38" t="n">
        <x:v>0</x:v>
      </x:c>
      <x:c r="T14" s="38" t="n">
        <x:v>0.0219890081</x:v>
      </x:c>
      <x:c r="U14" s="38" t="n">
        <x:f>'Fit'!M14</x:f>
        <x:v>0.5768768921</x:v>
      </x:c>
    </x:row>
    <x:row r="15" ht="19" customHeight="1">
      <x:c r="A15" s="29" t="str">
        <x:v>VLO</x:v>
      </x:c>
      <x:c r="B15" s="38" t="n">
        <x:v>0</x:v>
      </x:c>
      <x:c r="C15" s="38" t="n">
        <x:v>0</x:v>
      </x:c>
      <x:c r="D15" s="38" t="n">
        <x:v>0</x:v>
      </x:c>
      <x:c r="E15" s="38" t="n">
        <x:v>0</x:v>
      </x:c>
      <x:c r="F15" s="38" t="n">
        <x:v>0</x:v>
      </x:c>
      <x:c r="G15" s="38" t="n">
        <x:v>0</x:v>
      </x:c>
      <x:c r="H15" s="38" t="n">
        <x:v>-0.076131771</x:v>
      </x:c>
      <x:c r="I15" s="38" t="n">
        <x:v>0</x:v>
      </x:c>
      <x:c r="J15" s="38" t="n">
        <x:v>0</x:v>
      </x:c>
      <x:c r="K15" s="38" t="n">
        <x:v>0</x:v>
      </x:c>
      <x:c r="L15" s="38" t="n">
        <x:v>1.1936531674</x:v>
      </x:c>
      <x:c r="M15" s="38" t="n">
        <x:v>0</x:v>
      </x:c>
      <x:c r="N15" s="38" t="n">
        <x:v>0</x:v>
      </x:c>
      <x:c r="O15" s="38" t="n">
        <x:v>0</x:v>
      </x:c>
      <x:c r="P15" s="38" t="n">
        <x:v>0</x:v>
      </x:c>
      <x:c r="Q15" s="38" t="n">
        <x:v>0</x:v>
      </x:c>
      <x:c r="R15" s="38" t="n">
        <x:v>0</x:v>
      </x:c>
      <x:c r="S15" s="38" t="n">
        <x:v>0</x:v>
      </x:c>
      <x:c r="T15" s="38" t="n">
        <x:v>0.0294052553</x:v>
      </x:c>
      <x:c r="U15" s="38" t="n">
        <x:f>'Fit'!M15</x:f>
        <x:v>0.6068988469</x:v>
      </x:c>
    </x:row>
    <x:row r="16" ht="19" customHeight="1">
      <x:c r="A16" s="29" t="str">
        <x:v>CF</x:v>
      </x:c>
      <x:c r="B16" s="38" t="n">
        <x:v>-1.1043288681</x:v>
      </x:c>
      <x:c r="C16" s="38" t="n">
        <x:v>0</x:v>
      </x:c>
      <x:c r="D16" s="38" t="n">
        <x:v>0</x:v>
      </x:c>
      <x:c r="E16" s="38" t="n">
        <x:v>0</x:v>
      </x:c>
      <x:c r="F16" s="38" t="n">
        <x:v>0</x:v>
      </x:c>
      <x:c r="G16" s="38" t="n">
        <x:v>2.0118855475</x:v>
      </x:c>
      <x:c r="H16" s="38" t="n">
        <x:v>-0.42581464</x:v>
      </x:c>
      <x:c r="I16" s="38" t="n">
        <x:v>0</x:v>
      </x:c>
      <x:c r="J16" s="38" t="n">
        <x:v>0.6847459634</x:v>
      </x:c>
      <x:c r="K16" s="38" t="n">
        <x:v>0</x:v>
      </x:c>
      <x:c r="L16" s="38" t="n">
        <x:v>0.8014997674</x:v>
      </x:c>
      <x:c r="M16" s="38" t="n">
        <x:v>0</x:v>
      </x:c>
      <x:c r="N16" s="38" t="n">
        <x:v>0</x:v>
      </x:c>
      <x:c r="O16" s="38" t="n">
        <x:v>0</x:v>
      </x:c>
      <x:c r="P16" s="38" t="n">
        <x:v>0.5684492166</x:v>
      </x:c>
      <x:c r="Q16" s="38" t="n">
        <x:v>0</x:v>
      </x:c>
      <x:c r="R16" s="38" t="n">
        <x:v>0</x:v>
      </x:c>
      <x:c r="S16" s="38" t="n">
        <x:v>0</x:v>
      </x:c>
      <x:c r="T16" s="38" t="n">
        <x:v>0.028006201</x:v>
      </x:c>
      <x:c r="U16" s="38" t="n">
        <x:f>'Fit'!M16</x:f>
        <x:v>0.4488474153</x:v>
      </x:c>
    </x:row>
    <x:row r="17" ht="19" customHeight="1">
      <x:c r="A17" s="29" t="str">
        <x:v>NTR</x:v>
      </x:c>
      <x:c r="B17" s="38" t="n">
        <x:v>0</x:v>
      </x:c>
      <x:c r="C17" s="38" t="n">
        <x:v>0</x:v>
      </x:c>
      <x:c r="D17" s="38" t="n">
        <x:v>-1.3617178234</x:v>
      </x:c>
      <x:c r="E17" s="38" t="n">
        <x:v>0</x:v>
      </x:c>
      <x:c r="F17" s="38" t="n">
        <x:v>1.4485812864</x:v>
      </x:c>
      <x:c r="G17" s="38" t="n">
        <x:v>1.8947299428</x:v>
      </x:c>
      <x:c r="H17" s="38" t="n">
        <x:v>-0.2515613028</x:v>
      </x:c>
      <x:c r="I17" s="38" t="n">
        <x:v>0</x:v>
      </x:c>
      <x:c r="J17" s="38" t="n">
        <x:v>0</x:v>
      </x:c>
      <x:c r="K17" s="38" t="n">
        <x:v>0</x:v>
      </x:c>
      <x:c r="L17" s="38" t="n">
        <x:v>0</x:v>
      </x:c>
      <x:c r="M17" s="38" t="n">
        <x:v>0</x:v>
      </x:c>
      <x:c r="N17" s="38" t="n">
        <x:v>0</x:v>
      </x:c>
      <x:c r="O17" s="38" t="n">
        <x:v>0</x:v>
      </x:c>
      <x:c r="P17" s="38" t="n">
        <x:v>0.4223209168</x:v>
      </x:c>
      <x:c r="Q17" s="38" t="n">
        <x:v>0</x:v>
      </x:c>
      <x:c r="R17" s="38" t="n">
        <x:v>-0.5668997003</x:v>
      </x:c>
      <x:c r="S17" s="38" t="n">
        <x:v>0</x:v>
      </x:c>
      <x:c r="T17" s="38" t="n">
        <x:v>0.0133548053</x:v>
      </x:c>
      <x:c r="U17" s="38" t="n">
        <x:f>'Fit'!M17</x:f>
        <x:v>0.3755385009</x:v>
      </x:c>
    </x:row>
    <x:row r="18" ht="19" customHeight="1">
      <x:c r="A18" s="29" t="str">
        <x:v>LNN</x:v>
      </x:c>
      <x:c r="B18" s="38" t="n">
        <x:v>0</x:v>
      </x:c>
      <x:c r="C18" s="38" t="n">
        <x:v>1.888102965</x:v>
      </x:c>
      <x:c r="D18" s="38" t="n">
        <x:v>0</x:v>
      </x:c>
      <x:c r="E18" s="38" t="n">
        <x:v>0</x:v>
      </x:c>
      <x:c r="F18" s="38" t="n">
        <x:v>0</x:v>
      </x:c>
      <x:c r="G18" s="38" t="n">
        <x:v>0</x:v>
      </x:c>
      <x:c r="H18" s="38" t="n">
        <x:v>0.2133658884</x:v>
      </x:c>
      <x:c r="I18" s="38" t="n">
        <x:v>0.5991801149</x:v>
      </x:c>
      <x:c r="J18" s="38" t="n">
        <x:v>1.1227646636</x:v>
      </x:c>
      <x:c r="K18" s="38" t="n">
        <x:v>0.9999375642</x:v>
      </x:c>
      <x:c r="L18" s="38" t="n">
        <x:v>0</x:v>
      </x:c>
      <x:c r="M18" s="38" t="n">
        <x:v>1.039359409</x:v>
      </x:c>
      <x:c r="N18" s="38" t="n">
        <x:v>0.7577467229</x:v>
      </x:c>
      <x:c r="O18" s="38" t="n">
        <x:v>0.8961643685</x:v>
      </x:c>
      <x:c r="P18" s="38" t="n">
        <x:v>0</x:v>
      </x:c>
      <x:c r="Q18" s="38" t="n">
        <x:v>-0.5388925079</x:v>
      </x:c>
      <x:c r="R18" s="38" t="n">
        <x:v>1.6600813404</x:v>
      </x:c>
      <x:c r="S18" s="38" t="n">
        <x:v>0</x:v>
      </x:c>
      <x:c r="T18" s="38" t="n">
        <x:v>-0.0036018966</x:v>
      </x:c>
      <x:c r="U18" s="38" t="n">
        <x:f>'Fit'!M18</x:f>
        <x:v>0.4403260893</x:v>
      </x:c>
    </x:row>
    <x:row r="19" ht="19" customHeight="1">
      <x:c r="A19" s="29" t="str">
        <x:v>WDC</x:v>
      </x:c>
      <x:c r="B19" s="38" t="n">
        <x:v>1.9833834298</x:v>
      </x:c>
      <x:c r="C19" s="38" t="n">
        <x:v>0</x:v>
      </x:c>
      <x:c r="D19" s="38" t="n">
        <x:v>0</x:v>
      </x:c>
      <x:c r="E19" s="38" t="n">
        <x:v>-3.3229072264</x:v>
      </x:c>
      <x:c r="F19" s="38" t="n">
        <x:v>2.5257181379</x:v>
      </x:c>
      <x:c r="G19" s="38" t="n">
        <x:v>0</x:v>
      </x:c>
      <x:c r="H19" s="38" t="n">
        <x:v>1.3466833684</x:v>
      </x:c>
      <x:c r="I19" s="38" t="n">
        <x:v>0</x:v>
      </x:c>
      <x:c r="J19" s="38" t="n">
        <x:v>0</x:v>
      </x:c>
      <x:c r="K19" s="38" t="n">
        <x:v>0</x:v>
      </x:c>
      <x:c r="L19" s="38" t="n">
        <x:v>0</x:v>
      </x:c>
      <x:c r="M19" s="38" t="n">
        <x:v>0</x:v>
      </x:c>
      <x:c r="N19" s="38" t="n">
        <x:v>0</x:v>
      </x:c>
      <x:c r="O19" s="38" t="n">
        <x:v>1.3950064892</x:v>
      </x:c>
      <x:c r="P19" s="38" t="n">
        <x:v>0</x:v>
      </x:c>
      <x:c r="Q19" s="38" t="n">
        <x:v>0</x:v>
      </x:c>
      <x:c r="R19" s="38" t="n">
        <x:v>2.427949857</x:v>
      </x:c>
      <x:c r="S19" s="38" t="n">
        <x:v>0</x:v>
      </x:c>
      <x:c r="T19" s="38" t="n">
        <x:v>0.0239839078</x:v>
      </x:c>
      <x:c r="U19" s="38" t="n">
        <x:f>'Fit'!M19</x:f>
        <x:v>0.4742578213</x:v>
      </x:c>
    </x:row>
    <x:row r="20" ht="19" customHeight="1">
      <x:c r="A20" s="29" t="str">
        <x:v>ASND</x:v>
      </x:c>
      <x:c r="B20" s="38" t="n">
        <x:v>0</x:v>
      </x:c>
      <x:c r="C20" s="38" t="n">
        <x:v>0</x:v>
      </x:c>
      <x:c r="D20" s="38" t="n">
        <x:v>0.7807794261</x:v>
      </x:c>
      <x:c r="E20" s="38" t="n">
        <x:v>0</x:v>
      </x:c>
      <x:c r="F20" s="38" t="n">
        <x:v>0</x:v>
      </x:c>
      <x:c r="G20" s="38" t="n">
        <x:v>0</x:v>
      </x:c>
      <x:c r="H20" s="38" t="n">
        <x:v>0.3045576325</x:v>
      </x:c>
      <x:c r="I20" s="38" t="n">
        <x:v>0</x:v>
      </x:c>
      <x:c r="J20" s="38" t="n">
        <x:v>0</x:v>
      </x:c>
      <x:c r="K20" s="38" t="n">
        <x:v>0</x:v>
      </x:c>
      <x:c r="L20" s="38" t="n">
        <x:v>0</x:v>
      </x:c>
      <x:c r="M20" s="38" t="n">
        <x:v>0</x:v>
      </x:c>
      <x:c r="N20" s="38" t="n">
        <x:v>0.3183935032</x:v>
      </x:c>
      <x:c r="O20" s="38" t="n">
        <x:v>0</x:v>
      </x:c>
      <x:c r="P20" s="38" t="n">
        <x:v>0</x:v>
      </x:c>
      <x:c r="Q20" s="38" t="n">
        <x:v>0</x:v>
      </x:c>
      <x:c r="R20" s="38" t="n">
        <x:v>0</x:v>
      </x:c>
      <x:c r="S20" s="38" t="n">
        <x:v>0</x:v>
      </x:c>
      <x:c r="T20" s="38" t="n">
        <x:v>0.0065097708</x:v>
      </x:c>
      <x:c r="U20" s="38" t="n">
        <x:f>'Fit'!M20</x:f>
        <x:v>0.0455524589</x:v>
      </x:c>
    </x:row>
    <x:row r="21" ht="19" customHeight="1">
      <x:c r="A21" s="29" t="str">
        <x:v>DOCN</x:v>
      </x:c>
      <x:c r="B21" s="38" t="n">
        <x:v>0</x:v>
      </x:c>
      <x:c r="C21" s="38" t="n">
        <x:v>0</x:v>
      </x:c>
      <x:c r="D21" s="38" t="n">
        <x:v>0</x:v>
      </x:c>
      <x:c r="E21" s="38" t="n">
        <x:v>0</x:v>
      </x:c>
      <x:c r="F21" s="38" t="n">
        <x:v>0</x:v>
      </x:c>
      <x:c r="G21" s="38" t="n">
        <x:v>0</x:v>
      </x:c>
      <x:c r="H21" s="38" t="n">
        <x:v>1.5461896107</x:v>
      </x:c>
      <x:c r="I21" s="38" t="n">
        <x:v>0</x:v>
      </x:c>
      <x:c r="J21" s="38" t="n">
        <x:v>0</x:v>
      </x:c>
      <x:c r="K21" s="38" t="n">
        <x:v>0</x:v>
      </x:c>
      <x:c r="L21" s="38" t="n">
        <x:v>0.7941591511</x:v>
      </x:c>
      <x:c r="M21" s="38" t="n">
        <x:v>0</x:v>
      </x:c>
      <x:c r="N21" s="38" t="n">
        <x:v>0</x:v>
      </x:c>
      <x:c r="O21" s="38" t="n">
        <x:v>0</x:v>
      </x:c>
      <x:c r="P21" s="38" t="n">
        <x:v>0</x:v>
      </x:c>
      <x:c r="Q21" s="38" t="n">
        <x:v>0</x:v>
      </x:c>
      <x:c r="R21" s="38" t="n">
        <x:v>2.4233237917</x:v>
      </x:c>
      <x:c r="S21" s="38" t="n">
        <x:v>0</x:v>
      </x:c>
      <x:c r="T21" s="38" t="n">
        <x:v>0.0040454914</x:v>
      </x:c>
      <x:c r="U21" s="38" t="n">
        <x:f>'Fit'!M21</x:f>
        <x:v>0.3410558289</x:v>
      </x:c>
    </x:row>
    <x:row r="22" ht="19" customHeight="1">
      <x:c r="A22" s="29" t="str">
        <x:v>CME</x:v>
      </x:c>
      <x:c r="B22" s="38" t="n">
        <x:v>0</x:v>
      </x:c>
      <x:c r="C22" s="38" t="n">
        <x:v>1.4999348669</x:v>
      </x:c>
      <x:c r="D22" s="38" t="n">
        <x:v>0</x:v>
      </x:c>
      <x:c r="E22" s="38" t="n">
        <x:v>0</x:v>
      </x:c>
      <x:c r="F22" s="38" t="n">
        <x:v>0</x:v>
      </x:c>
      <x:c r="G22" s="38" t="n">
        <x:v>0</x:v>
      </x:c>
      <x:c r="H22" s="38" t="n">
        <x:v>-0.0553315884</x:v>
      </x:c>
      <x:c r="I22" s="38" t="n">
        <x:v>0</x:v>
      </x:c>
      <x:c r="J22" s="38" t="n">
        <x:v>0</x:v>
      </x:c>
      <x:c r="K22" s="38" t="n">
        <x:v>0</x:v>
      </x:c>
      <x:c r="L22" s="38" t="n">
        <x:v>0.2591096794</x:v>
      </x:c>
      <x:c r="M22" s="38" t="n">
        <x:v>-0.2582189728</x:v>
      </x:c>
      <x:c r="N22" s="38" t="n">
        <x:v>0</x:v>
      </x:c>
      <x:c r="O22" s="38" t="n">
        <x:v>0</x:v>
      </x:c>
      <x:c r="P22" s="38" t="n">
        <x:v>0</x:v>
      </x:c>
      <x:c r="Q22" s="38" t="n">
        <x:v>0</x:v>
      </x:c>
      <x:c r="R22" s="38" t="n">
        <x:v>0</x:v>
      </x:c>
      <x:c r="S22" s="38" t="n">
        <x:v>0</x:v>
      </x:c>
      <x:c r="T22" s="38" t="n">
        <x:v>0.0080104427</x:v>
      </x:c>
      <x:c r="U22" s="38" t="n">
        <x:f>'Fit'!M22</x:f>
        <x:v>0.2144810844</x:v>
      </x:c>
    </x:row>
    <x:row r="23" ht="19" customHeight="1">
      <x:c r="A23" s="29" t="str">
        <x:v>NET</x:v>
      </x:c>
      <x:c r="B23" s="38" t="n">
        <x:v>0</x:v>
      </x:c>
      <x:c r="C23" s="38" t="n">
        <x:v>0</x:v>
      </x:c>
      <x:c r="D23" s="38" t="n">
        <x:v>22.2671919707</x:v>
      </x:c>
      <x:c r="E23" s="38" t="n">
        <x:v>-22.6211709966</x:v>
      </x:c>
      <x:c r="F23" s="38" t="n">
        <x:v>0</x:v>
      </x:c>
      <x:c r="G23" s="38" t="n">
        <x:v>0</x:v>
      </x:c>
      <x:c r="H23" s="38" t="n">
        <x:v>1.1092975084</x:v>
      </x:c>
      <x:c r="I23" s="38" t="n">
        <x:v>0</x:v>
      </x:c>
      <x:c r="J23" s="38" t="n">
        <x:v>1.4358589052</x:v>
      </x:c>
      <x:c r="K23" s="38" t="n">
        <x:v>-0.9890599922</x:v>
      </x:c>
      <x:c r="L23" s="38" t="n">
        <x:v>0.4953575796</x:v>
      </x:c>
      <x:c r="M23" s="38" t="n">
        <x:v>0</x:v>
      </x:c>
      <x:c r="N23" s="38" t="n">
        <x:v>0</x:v>
      </x:c>
      <x:c r="O23" s="38" t="n">
        <x:v>0</x:v>
      </x:c>
      <x:c r="P23" s="38" t="n">
        <x:v>0</x:v>
      </x:c>
      <x:c r="Q23" s="38" t="n">
        <x:v>0</x:v>
      </x:c>
      <x:c r="R23" s="38" t="n">
        <x:v>-0.024684752</x:v>
      </x:c>
      <x:c r="S23" s="38" t="n">
        <x:v>0</x:v>
      </x:c>
      <x:c r="T23" s="38" t="n">
        <x:v>0.0166506233</x:v>
      </x:c>
      <x:c r="U23" s="38" t="n">
        <x:f>'Fit'!M23</x:f>
        <x:v>0.3311181643</x:v>
      </x:c>
    </x:row>
    <x:row r="24" ht="19" customHeight="1">
      <x:c r="A24" s="29" t="str">
        <x:v>MRNA</x:v>
      </x:c>
      <x:c r="B24" s="38" t="n">
        <x:v>2.5484491166</x:v>
      </x:c>
      <x:c r="C24" s="38" t="n">
        <x:v>0</x:v>
      </x:c>
      <x:c r="D24" s="38" t="n">
        <x:v>0</x:v>
      </x:c>
      <x:c r="E24" s="38" t="n">
        <x:v>0</x:v>
      </x:c>
      <x:c r="F24" s="38" t="n">
        <x:v>0</x:v>
      </x:c>
      <x:c r="G24" s="38" t="n">
        <x:v>0</x:v>
      </x:c>
      <x:c r="H24" s="38" t="n">
        <x:v>0.0509440423</x:v>
      </x:c>
      <x:c r="I24" s="38" t="n">
        <x:v>0</x:v>
      </x:c>
      <x:c r="J24" s="38" t="n">
        <x:v>0</x:v>
      </x:c>
      <x:c r="K24" s="38" t="n">
        <x:v>0</x:v>
      </x:c>
      <x:c r="L24" s="38" t="n">
        <x:v>0</x:v>
      </x:c>
      <x:c r="M24" s="38" t="n">
        <x:v>0</x:v>
      </x:c>
      <x:c r="N24" s="38" t="n">
        <x:v>0.6645743861</x:v>
      </x:c>
      <x:c r="O24" s="38" t="n">
        <x:v>0</x:v>
      </x:c>
      <x:c r="P24" s="38" t="n">
        <x:v>0</x:v>
      </x:c>
      <x:c r="Q24" s="38" t="n">
        <x:v>0</x:v>
      </x:c>
      <x:c r="R24" s="38" t="n">
        <x:v>0</x:v>
      </x:c>
      <x:c r="S24" s="38" t="n">
        <x:v>0</x:v>
      </x:c>
      <x:c r="T24" s="38" t="n">
        <x:v>-0.0121389861</x:v>
      </x:c>
      <x:c r="U24" s="38" t="n">
        <x:f>'Fit'!M24</x:f>
        <x:v>0.1455221056</x:v>
      </x:c>
    </x:row>
    <x:row r="25" ht="19" customHeight="1">
      <x:c r="A25" s="29" t="str">
        <x:v>AXON</x:v>
      </x:c>
      <x:c r="B25" s="38" t="n">
        <x:v>0</x:v>
      </x:c>
      <x:c r="C25" s="38" t="n">
        <x:v>5.7749233989</x:v>
      </x:c>
      <x:c r="D25" s="38" t="n">
        <x:v>0</x:v>
      </x:c>
      <x:c r="E25" s="38" t="n">
        <x:v>0</x:v>
      </x:c>
      <x:c r="F25" s="38" t="n">
        <x:v>-2.1216407686</x:v>
      </x:c>
      <x:c r="G25" s="38" t="n">
        <x:v>0</x:v>
      </x:c>
      <x:c r="H25" s="38" t="n">
        <x:v>0.7945060427</x:v>
      </x:c>
      <x:c r="I25" s="38" t="n">
        <x:v>0</x:v>
      </x:c>
      <x:c r="J25" s="38" t="n">
        <x:v>1.035841757</x:v>
      </x:c>
      <x:c r="K25" s="38" t="n">
        <x:v>0</x:v>
      </x:c>
      <x:c r="L25" s="38" t="n">
        <x:v>0</x:v>
      </x:c>
      <x:c r="M25" s="38" t="n">
        <x:v>0</x:v>
      </x:c>
      <x:c r="N25" s="38" t="n">
        <x:v>0</x:v>
      </x:c>
      <x:c r="O25" s="38" t="n">
        <x:v>1.1949539185</x:v>
      </x:c>
      <x:c r="P25" s="38" t="n">
        <x:v>0</x:v>
      </x:c>
      <x:c r="Q25" s="38" t="n">
        <x:v>0</x:v>
      </x:c>
      <x:c r="R25" s="38" t="n">
        <x:v>0</x:v>
      </x:c>
      <x:c r="S25" s="38" t="n">
        <x:v>0</x:v>
      </x:c>
      <x:c r="T25" s="38" t="n">
        <x:v>0.0073209799</x:v>
      </x:c>
      <x:c r="U25" s="38" t="n">
        <x:f>'Fit'!M25</x:f>
        <x:v>0.2888428624</x:v>
      </x:c>
    </x:row>
    <x:row r="26" ht="19" customHeight="1">
      <x:c r="A26" s="29" t="str">
        <x:v>NFLX</x:v>
      </x:c>
      <x:c r="B26" s="38" t="n">
        <x:v>0</x:v>
      </x:c>
      <x:c r="C26" s="38" t="n">
        <x:v>0</x:v>
      </x:c>
      <x:c r="D26" s="38" t="n">
        <x:v>1.8073990469</x:v>
      </x:c>
      <x:c r="E26" s="38" t="n">
        <x:v>0</x:v>
      </x:c>
      <x:c r="F26" s="38" t="n">
        <x:v>0</x:v>
      </x:c>
      <x:c r="G26" s="38" t="n">
        <x:v>0</x:v>
      </x:c>
      <x:c r="H26" s="38" t="n">
        <x:v>0.7902774555</x:v>
      </x:c>
      <x:c r="I26" s="38" t="n">
        <x:v>0.9954936722</x:v>
      </x:c>
      <x:c r="J26" s="38" t="n">
        <x:v>0</x:v>
      </x:c>
      <x:c r="K26" s="38" t="n">
        <x:v>0</x:v>
      </x:c>
      <x:c r="L26" s="38" t="n">
        <x:v>0</x:v>
      </x:c>
      <x:c r="M26" s="38" t="n">
        <x:v>0</x:v>
      </x:c>
      <x:c r="N26" s="38" t="n">
        <x:v>0</x:v>
      </x:c>
      <x:c r="O26" s="38" t="n">
        <x:v>0</x:v>
      </x:c>
      <x:c r="P26" s="38" t="n">
        <x:v>0</x:v>
      </x:c>
      <x:c r="Q26" s="38" t="n">
        <x:v>0</x:v>
      </x:c>
      <x:c r="R26" s="38" t="n">
        <x:v>1.0130131857</x:v>
      </x:c>
      <x:c r="S26" s="38" t="n">
        <x:v>0.7045190575</x:v>
      </x:c>
      <x:c r="T26" s="38" t="n">
        <x:v>-0.0043440914</x:v>
      </x:c>
      <x:c r="U26" s="38" t="n">
        <x:f>'Fit'!M26</x:f>
        <x:v>0.3179621073</x:v>
      </x:c>
    </x:row>
    <x:row r="27" ht="19" customHeight="1">
      <x:c r="A27" s="29" t="str">
        <x:v>CMCSA</x:v>
      </x:c>
      <x:c r="B27" s="38" t="n">
        <x:v>0</x:v>
      </x:c>
      <x:c r="C27" s="38" t="n">
        <x:v>2.8442789654</x:v>
      </x:c>
      <x:c r="D27" s="38" t="n">
        <x:v>0</x:v>
      </x:c>
      <x:c r="E27" s="38" t="n">
        <x:v>0</x:v>
      </x:c>
      <x:c r="F27" s="38" t="n">
        <x:v>0</x:v>
      </x:c>
      <x:c r="G27" s="38" t="n">
        <x:v>0</x:v>
      </x:c>
      <x:c r="H27" s="38" t="n">
        <x:v>0.132471543</x:v>
      </x:c>
      <x:c r="I27" s="38" t="n">
        <x:v>0.9646492543</x:v>
      </x:c>
      <x:c r="J27" s="38" t="n">
        <x:v>0</x:v>
      </x:c>
      <x:c r="K27" s="38" t="n">
        <x:v>0</x:v>
      </x:c>
      <x:c r="L27" s="38" t="n">
        <x:v>0.3452709527</x:v>
      </x:c>
      <x:c r="M27" s="38" t="n">
        <x:v>0</x:v>
      </x:c>
      <x:c r="N27" s="38" t="n">
        <x:v>0</x:v>
      </x:c>
      <x:c r="O27" s="38" t="n">
        <x:v>0</x:v>
      </x:c>
      <x:c r="P27" s="38" t="n">
        <x:v>0</x:v>
      </x:c>
      <x:c r="Q27" s="38" t="n">
        <x:v>0</x:v>
      </x:c>
      <x:c r="R27" s="38" t="n">
        <x:v>0</x:v>
      </x:c>
      <x:c r="S27" s="38" t="n">
        <x:v>0</x:v>
      </x:c>
      <x:c r="T27" s="38" t="n">
        <x:v>-0.0089207289</x:v>
      </x:c>
      <x:c r="U27" s="38" t="n">
        <x:f>'Fit'!M27</x:f>
        <x:v>0.4917460032</x:v>
      </x:c>
    </x:row>
    <x:row r="28" ht="19" customHeight="1">
      <x:c r="A28" s="29" t="str">
        <x:v>MU</x:v>
      </x:c>
      <x:c r="B28" s="38" t="n">
        <x:v>2.1245911193</x:v>
      </x:c>
      <x:c r="C28" s="38" t="n">
        <x:v>0</x:v>
      </x:c>
      <x:c r="D28" s="38" t="n">
        <x:v>0</x:v>
      </x:c>
      <x:c r="E28" s="38" t="n">
        <x:v>-2.9949378817</x:v>
      </x:c>
      <x:c r="F28" s="38" t="n">
        <x:v>2.4633857752</x:v>
      </x:c>
      <x:c r="G28" s="38" t="n">
        <x:v>0</x:v>
      </x:c>
      <x:c r="H28" s="38" t="n">
        <x:v>1.2909407438</x:v>
      </x:c>
      <x:c r="I28" s="38" t="n">
        <x:v>0</x:v>
      </x:c>
      <x:c r="J28" s="38" t="n">
        <x:v>-1.4154113196</x:v>
      </x:c>
      <x:c r="K28" s="38" t="n">
        <x:v>0</x:v>
      </x:c>
      <x:c r="L28" s="38" t="n">
        <x:v>0</x:v>
      </x:c>
      <x:c r="M28" s="38" t="n">
        <x:v>0</x:v>
      </x:c>
      <x:c r="N28" s="38" t="n">
        <x:v>0</x:v>
      </x:c>
      <x:c r="O28" s="38" t="n">
        <x:v>0</x:v>
      </x:c>
      <x:c r="P28" s="38" t="n">
        <x:v>0</x:v>
      </x:c>
      <x:c r="Q28" s="38" t="n">
        <x:v>0</x:v>
      </x:c>
      <x:c r="R28" s="38" t="n">
        <x:v>2.4189716525</x:v>
      </x:c>
      <x:c r="S28" s="38" t="n">
        <x:v>0</x:v>
      </x:c>
      <x:c r="T28" s="38" t="n">
        <x:v>0.0261347369</x:v>
      </x:c>
      <x:c r="U28" s="38" t="n">
        <x:f>'Fit'!M28</x:f>
        <x:v>0.4681418534</x:v>
      </x:c>
    </x:row>
    <x:row r="29" ht="19" customHeight="1">
      <x:c r="A29" s="29" t="str">
        <x:v>NEM</x:v>
      </x:c>
      <x:c r="B29" s="38" t="n">
        <x:v>0</x:v>
      </x:c>
      <x:c r="C29" s="38" t="n">
        <x:v>0</x:v>
      </x:c>
      <x:c r="D29" s="38" t="n">
        <x:v>0</x:v>
      </x:c>
      <x:c r="E29" s="38" t="n">
        <x:v>0</x:v>
      </x:c>
      <x:c r="F29" s="38" t="n">
        <x:v>3.4605771185</x:v>
      </x:c>
      <x:c r="G29" s="38" t="n">
        <x:v>0</x:v>
      </x:c>
      <x:c r="H29" s="38" t="n">
        <x:v>-0.1044804315</x:v>
      </x:c>
      <x:c r="I29" s="38" t="n">
        <x:v>0</x:v>
      </x:c>
      <x:c r="J29" s="38" t="n">
        <x:v>0</x:v>
      </x:c>
      <x:c r="K29" s="38" t="n">
        <x:v>0</x:v>
      </x:c>
      <x:c r="L29" s="38" t="n">
        <x:v>0</x:v>
      </x:c>
      <x:c r="M29" s="38" t="n">
        <x:v>0</x:v>
      </x:c>
      <x:c r="N29" s="38" t="n">
        <x:v>0</x:v>
      </x:c>
      <x:c r="O29" s="38" t="n">
        <x:v>0</x:v>
      </x:c>
      <x:c r="P29" s="38" t="n">
        <x:v>0.490383411</x:v>
      </x:c>
      <x:c r="Q29" s="38" t="n">
        <x:v>0</x:v>
      </x:c>
      <x:c r="R29" s="38" t="n">
        <x:v>0</x:v>
      </x:c>
      <x:c r="S29" s="38" t="n">
        <x:v>0</x:v>
      </x:c>
      <x:c r="T29" s="38" t="n">
        <x:v>0.0152427566</x:v>
      </x:c>
      <x:c r="U29" s="38" t="n">
        <x:f>'Fit'!M29</x:f>
        <x:v>0.396784618</x:v>
      </x:c>
    </x:row>
    <x:row r="30" ht="19" customHeight="1">
      <x:c r="A30" s="29" t="str">
        <x:v>PGR</x:v>
      </x:c>
      <x:c r="B30" s="38" t="n">
        <x:v>0</x:v>
      </x:c>
      <x:c r="C30" s="38" t="n">
        <x:v>1.1225843735</x:v>
      </x:c>
      <x:c r="D30" s="38" t="n">
        <x:v>0</x:v>
      </x:c>
      <x:c r="E30" s="38" t="n">
        <x:v>0</x:v>
      </x:c>
      <x:c r="F30" s="38" t="n">
        <x:v>0</x:v>
      </x:c>
      <x:c r="G30" s="38" t="n">
        <x:v>0</x:v>
      </x:c>
      <x:c r="H30" s="38" t="n">
        <x:v>0.0979419451</x:v>
      </x:c>
      <x:c r="I30" s="38" t="n">
        <x:v>0</x:v>
      </x:c>
      <x:c r="J30" s="38" t="n">
        <x:v>0</x:v>
      </x:c>
      <x:c r="K30" s="38" t="n">
        <x:v>0.4003509544</x:v>
      </x:c>
      <x:c r="L30" s="38" t="n">
        <x:v>0</x:v>
      </x:c>
      <x:c r="M30" s="38" t="n">
        <x:v>0.5001049531</x:v>
      </x:c>
      <x:c r="N30" s="38" t="n">
        <x:v>0</x:v>
      </x:c>
      <x:c r="O30" s="38" t="n">
        <x:v>0</x:v>
      </x:c>
      <x:c r="P30" s="38" t="n">
        <x:v>0</x:v>
      </x:c>
      <x:c r="Q30" s="38" t="n">
        <x:v>0</x:v>
      </x:c>
      <x:c r="R30" s="38" t="n">
        <x:v>0</x:v>
      </x:c>
      <x:c r="S30" s="38" t="n">
        <x:v>0</x:v>
      </x:c>
      <x:c r="T30" s="38" t="n">
        <x:v>0.0092927032</x:v>
      </x:c>
      <x:c r="U30" s="38" t="n">
        <x:f>'Fit'!M30</x:f>
        <x:v>0.1970509617</x:v>
      </x:c>
    </x:row>
    <x:row r="31" ht="19" customHeight="1">
      <x:c r="A31" s="29" t="str">
        <x:v>ORKA</x:v>
      </x:c>
      <x:c r="B31" s="38" t="n">
        <x:v>0</x:v>
      </x:c>
      <x:c r="C31" s="38" t="n">
        <x:v>-8.3558896296</x:v>
      </x:c>
      <x:c r="D31" s="38" t="n">
        <x:v>0</x:v>
      </x:c>
      <x:c r="E31" s="38" t="n">
        <x:v>0</x:v>
      </x:c>
      <x:c r="F31" s="38" t="n">
        <x:v>4.5666173757</x:v>
      </x:c>
      <x:c r="G31" s="38" t="n">
        <x:v>0</x:v>
      </x:c>
      <x:c r="H31" s="38" t="n">
        <x:v>0.0956665213</x:v>
      </x:c>
      <x:c r="I31" s="38" t="n">
        <x:v>-1.9328131364</x:v>
      </x:c>
      <x:c r="J31" s="38" t="n">
        <x:v>-1.5886206871</x:v>
      </x:c>
      <x:c r="K31" s="38" t="n">
        <x:v>-2.0155857811</x:v>
      </x:c>
      <x:c r="L31" s="38" t="n">
        <x:v>0</x:v>
      </x:c>
      <x:c r="M31" s="38" t="n">
        <x:v>-2.1074237515</x:v>
      </x:c>
      <x:c r="N31" s="38" t="n">
        <x:v>-0.6191424401</x:v>
      </x:c>
      <x:c r="O31" s="38" t="n">
        <x:v>0</x:v>
      </x:c>
      <x:c r="P31" s="38" t="n">
        <x:v>0</x:v>
      </x:c>
      <x:c r="Q31" s="38" t="n">
        <x:v>0</x:v>
      </x:c>
      <x:c r="R31" s="38" t="n">
        <x:v>-2.6010717692</x:v>
      </x:c>
      <x:c r="S31" s="38" t="n">
        <x:v>0</x:v>
      </x:c>
      <x:c r="T31" s="38" t="n">
        <x:v>0.0348665495</x:v>
      </x:c>
      <x:c r="U31" s="38" t="n">
        <x:f>'Fit'!M31</x:f>
        <x:v>0.270521762</x:v>
      </x:c>
    </x:row>
    <x:row r="32" ht="19" customHeight="1">
      <x:c r="A32" s="29" t="str">
        <x:v>UPST</x:v>
      </x:c>
      <x:c r="B32" s="38" t="n">
        <x:v>0</x:v>
      </x:c>
      <x:c r="C32" s="38" t="n">
        <x:v>0</x:v>
      </x:c>
      <x:c r="D32" s="38" t="n">
        <x:v>51.2324180288</x:v>
      </x:c>
      <x:c r="E32" s="38" t="n">
        <x:v>-49.3012082119</x:v>
      </x:c>
      <x:c r="F32" s="38" t="n">
        <x:v>0</x:v>
      </x:c>
      <x:c r="G32" s="38" t="n">
        <x:v>0</x:v>
      </x:c>
      <x:c r="H32" s="38" t="n">
        <x:v>1.5236416536</x:v>
      </x:c>
      <x:c r="I32" s="38" t="n">
        <x:v>0</x:v>
      </x:c>
      <x:c r="J32" s="38" t="n">
        <x:v>0</x:v>
      </x:c>
      <x:c r="K32" s="38" t="n">
        <x:v>-1.8872210557</x:v>
      </x:c>
      <x:c r="L32" s="38" t="n">
        <x:v>0</x:v>
      </x:c>
      <x:c r="M32" s="38" t="n">
        <x:v>2.0745981762</x:v>
      </x:c>
      <x:c r="N32" s="38" t="n">
        <x:v>0</x:v>
      </x:c>
      <x:c r="O32" s="38" t="n">
        <x:v>0</x:v>
      </x:c>
      <x:c r="P32" s="38" t="n">
        <x:v>0</x:v>
      </x:c>
      <x:c r="Q32" s="38" t="n">
        <x:v>0</x:v>
      </x:c>
      <x:c r="R32" s="38" t="n">
        <x:v>0</x:v>
      </x:c>
      <x:c r="S32" s="38" t="n">
        <x:v>0</x:v>
      </x:c>
      <x:c r="T32" s="38" t="n">
        <x:v>-0.0250893984</x:v>
      </x:c>
      <x:c r="U32" s="38" t="n">
        <x:f>'Fit'!M32</x:f>
        <x:v>0.2982199895</x:v>
      </x:c>
    </x:row>
    <x:row r="33" ht="19" customHeight="1">
      <x:c r="A33" s="29" t="str">
        <x:v>PG</x:v>
      </x:c>
      <x:c r="B33" s="38" t="n">
        <x:v>0</x:v>
      </x:c>
      <x:c r="C33" s="38" t="n">
        <x:v>2.4338357843</x:v>
      </x:c>
      <x:c r="D33" s="38" t="n">
        <x:v>0</x:v>
      </x:c>
      <x:c r="E33" s="38" t="n">
        <x:v>0</x:v>
      </x:c>
      <x:c r="F33" s="38" t="n">
        <x:v>0</x:v>
      </x:c>
      <x:c r="G33" s="38" t="n">
        <x:v>-0.9687631594</x:v>
      </x:c>
      <x:c r="H33" s="38" t="n">
        <x:v>0.3067755355</x:v>
      </x:c>
      <x:c r="I33" s="38" t="n">
        <x:v>0</x:v>
      </x:c>
      <x:c r="J33" s="38" t="n">
        <x:v>0</x:v>
      </x:c>
      <x:c r="K33" s="38" t="n">
        <x:v>0.8437402003</x:v>
      </x:c>
      <x:c r="L33" s="38" t="n">
        <x:v>0</x:v>
      </x:c>
      <x:c r="M33" s="38" t="n">
        <x:v>0</x:v>
      </x:c>
      <x:c r="N33" s="38" t="n">
        <x:v>0</x:v>
      </x:c>
      <x:c r="O33" s="38" t="n">
        <x:v>0</x:v>
      </x:c>
      <x:c r="P33" s="38" t="n">
        <x:v>0</x:v>
      </x:c>
      <x:c r="Q33" s="38" t="n">
        <x:v>0</x:v>
      </x:c>
      <x:c r="R33" s="38" t="n">
        <x:v>0</x:v>
      </x:c>
      <x:c r="S33" s="38" t="n">
        <x:v>0</x:v>
      </x:c>
      <x:c r="T33" s="38" t="n">
        <x:v>-0.0045409694</x:v>
      </x:c>
      <x:c r="U33" s="38" t="n">
        <x:f>'Fit'!M33</x:f>
        <x:v>0.5307069205</x:v>
      </x:c>
    </x:row>
    <x:row r="34" ht="19" customHeight="1">
      <x:c r="A34" s="29" t="str">
        <x:v>F</x:v>
      </x:c>
      <x:c r="B34" s="38" t="n">
        <x:v>0.9194587731</x:v>
      </x:c>
      <x:c r="C34" s="38" t="n">
        <x:v>0</x:v>
      </x:c>
      <x:c r="D34" s="38" t="n">
        <x:v>0</x:v>
      </x:c>
      <x:c r="E34" s="38" t="n">
        <x:v>0</x:v>
      </x:c>
      <x:c r="F34" s="38" t="n">
        <x:v>1.4746781711</x:v>
      </x:c>
      <x:c r="G34" s="38" t="n">
        <x:v>0</x:v>
      </x:c>
      <x:c r="H34" s="38" t="n">
        <x:v>0.776002732</x:v>
      </x:c>
      <x:c r="I34" s="38" t="n">
        <x:v>0</x:v>
      </x:c>
      <x:c r="J34" s="38" t="n">
        <x:v>0.5234717012</x:v>
      </x:c>
      <x:c r="K34" s="38" t="n">
        <x:v>0</x:v>
      </x:c>
      <x:c r="L34" s="38" t="n">
        <x:v>0</x:v>
      </x:c>
      <x:c r="M34" s="38" t="n">
        <x:v>0</x:v>
      </x:c>
      <x:c r="N34" s="38" t="n">
        <x:v>0</x:v>
      </x:c>
      <x:c r="O34" s="38" t="n">
        <x:v>0</x:v>
      </x:c>
      <x:c r="P34" s="38" t="n">
        <x:v>0</x:v>
      </x:c>
      <x:c r="Q34" s="38" t="n">
        <x:v>0</x:v>
      </x:c>
      <x:c r="R34" s="38" t="n">
        <x:v>0</x:v>
      </x:c>
      <x:c r="S34" s="38" t="n">
        <x:v>0</x:v>
      </x:c>
      <x:c r="T34" s="38" t="n">
        <x:v>-0.0018784485</x:v>
      </x:c>
      <x:c r="U34" s="38" t="n">
        <x:f>'Fit'!M34</x:f>
        <x:v>0.3394988582</x:v>
      </x:c>
    </x:row>
    <x:row r="35" ht="19" customHeight="1">
      <x:c r="A35" s="29" t="str">
        <x:v>HPE</x:v>
      </x:c>
      <x:c r="B35" s="38" t="n">
        <x:v>0</x:v>
      </x:c>
      <x:c r="C35" s="38" t="n">
        <x:v>0</x:v>
      </x:c>
      <x:c r="D35" s="38" t="n">
        <x:v>0</x:v>
      </x:c>
      <x:c r="E35" s="38" t="n">
        <x:v>0</x:v>
      </x:c>
      <x:c r="F35" s="38" t="n">
        <x:v>0</x:v>
      </x:c>
      <x:c r="G35" s="38" t="n">
        <x:v>0</x:v>
      </x:c>
      <x:c r="H35" s="38" t="n">
        <x:v>1.2852879621</x:v>
      </x:c>
      <x:c r="I35" s="38" t="n">
        <x:v>-1.0202042528</x:v>
      </x:c>
      <x:c r="J35" s="38" t="n">
        <x:v>0</x:v>
      </x:c>
      <x:c r="K35" s="38" t="n">
        <x:v>0</x:v>
      </x:c>
      <x:c r="L35" s="38" t="n">
        <x:v>0.3303200197</x:v>
      </x:c>
      <x:c r="M35" s="38" t="n">
        <x:v>1.0723565201</x:v>
      </x:c>
      <x:c r="N35" s="38" t="n">
        <x:v>0</x:v>
      </x:c>
      <x:c r="O35" s="38" t="n">
        <x:v>0</x:v>
      </x:c>
      <x:c r="P35" s="38" t="n">
        <x:v>0</x:v>
      </x:c>
      <x:c r="Q35" s="38" t="n">
        <x:v>-0.6525762875</x:v>
      </x:c>
      <x:c r="R35" s="38" t="n">
        <x:v>1.2533752245</x:v>
      </x:c>
      <x:c r="S35" s="38" t="n">
        <x:v>0</x:v>
      </x:c>
      <x:c r="T35" s="38" t="n">
        <x:v>0.0136453296</x:v>
      </x:c>
      <x:c r="U35" s="38" t="n">
        <x:f>'Fit'!M35</x:f>
        <x:v>0.5192735328</x:v>
      </x:c>
    </x:row>
    <x:row r="36" ht="19" customHeight="1">
      <x:c r="A36" s="29" t="str">
        <x:v>BA</x:v>
      </x:c>
      <x:c r="B36" s="38" t="n">
        <x:v>1.1757238986</x:v>
      </x:c>
      <x:c r="C36" s="38" t="n">
        <x:v>2.7149153353</x:v>
      </x:c>
      <x:c r="D36" s="38" t="n">
        <x:v>0</x:v>
      </x:c>
      <x:c r="E36" s="38" t="n">
        <x:v>0</x:v>
      </x:c>
      <x:c r="F36" s="38" t="n">
        <x:v>0</x:v>
      </x:c>
      <x:c r="G36" s="38" t="n">
        <x:v>0</x:v>
      </x:c>
      <x:c r="H36" s="38" t="n">
        <x:v>0.5339049664</x:v>
      </x:c>
      <x:c r="I36" s="38" t="n">
        <x:v>0</x:v>
      </x:c>
      <x:c r="J36" s="38" t="n">
        <x:v>0</x:v>
      </x:c>
      <x:c r="K36" s="38" t="n">
        <x:v>0</x:v>
      </x:c>
      <x:c r="L36" s="38" t="n">
        <x:v>0</x:v>
      </x:c>
      <x:c r="M36" s="38" t="n">
        <x:v>0</x:v>
      </x:c>
      <x:c r="N36" s="38" t="n">
        <x:v>0</x:v>
      </x:c>
      <x:c r="O36" s="38" t="n">
        <x:v>0.2084742872</x:v>
      </x:c>
      <x:c r="P36" s="38" t="n">
        <x:v>0</x:v>
      </x:c>
      <x:c r="Q36" s="38" t="n">
        <x:v>0</x:v>
      </x:c>
      <x:c r="R36" s="38" t="n">
        <x:v>0</x:v>
      </x:c>
      <x:c r="S36" s="38" t="n">
        <x:v>0</x:v>
      </x:c>
      <x:c r="T36" s="38" t="n">
        <x:v>-0.0096607493</x:v>
      </x:c>
      <x:c r="U36" s="38" t="n">
        <x:f>'Fit'!M36</x:f>
        <x:v>0.3741266987</x:v>
      </x:c>
    </x:row>
    <x:row r="37" ht="19" customHeight="1">
      <x:c r="A37" s="29" t="str">
        <x:v>HII</x:v>
      </x:c>
      <x:c r="B37" s="38" t="n">
        <x:v>0</x:v>
      </x:c>
      <x:c r="C37" s="38" t="n">
        <x:v>0</x:v>
      </x:c>
      <x:c r="D37" s="38" t="n">
        <x:v>0</x:v>
      </x:c>
      <x:c r="E37" s="38" t="n">
        <x:v>0</x:v>
      </x:c>
      <x:c r="F37" s="38" t="n">
        <x:v>1.7449135935</x:v>
      </x:c>
      <x:c r="G37" s="38" t="n">
        <x:v>0</x:v>
      </x:c>
      <x:c r="H37" s="38" t="n">
        <x:v>-0.3645910783</x:v>
      </x:c>
      <x:c r="I37" s="38" t="n">
        <x:v>0</x:v>
      </x:c>
      <x:c r="J37" s="38" t="n">
        <x:v>0</x:v>
      </x:c>
      <x:c r="K37" s="38" t="n">
        <x:v>0</x:v>
      </x:c>
      <x:c r="L37" s="38" t="n">
        <x:v>0</x:v>
      </x:c>
      <x:c r="M37" s="38" t="n">
        <x:v>-0.9944817973</x:v>
      </x:c>
      <x:c r="N37" s="38" t="n">
        <x:v>0</x:v>
      </x:c>
      <x:c r="O37" s="38" t="n">
        <x:v>0.8169778171</x:v>
      </x:c>
      <x:c r="P37" s="38" t="n">
        <x:v>0</x:v>
      </x:c>
      <x:c r="Q37" s="38" t="n">
        <x:v>-0.6178993788</x:v>
      </x:c>
      <x:c r="R37" s="38" t="n">
        <x:v>-1.0021628652</x:v>
      </x:c>
      <x:c r="S37" s="38" t="n">
        <x:v>0</x:v>
      </x:c>
      <x:c r="T37" s="38" t="n">
        <x:v>0.0138402785</x:v>
      </x:c>
      <x:c r="U37" s="38" t="n">
        <x:f>'Fit'!M37</x:f>
        <x:v>0.3542791887</x:v>
      </x:c>
    </x:row>
    <x:row r="38" ht="19" customHeight="1">
      <x:c r="A38" s="29" t="str">
        <x:v>AMD</x:v>
      </x:c>
      <x:c r="B38" s="38" t="n">
        <x:v>0</x:v>
      </x:c>
      <x:c r="C38" s="38" t="n">
        <x:v>0</x:v>
      </x:c>
      <x:c r="D38" s="38" t="n">
        <x:v>24.5315905321</x:v>
      </x:c>
      <x:c r="E38" s="38" t="n">
        <x:v>-22.5368701236</x:v>
      </x:c>
      <x:c r="F38" s="38" t="n">
        <x:v>0</x:v>
      </x:c>
      <x:c r="G38" s="38" t="n">
        <x:v>0</x:v>
      </x:c>
      <x:c r="H38" s="38" t="n">
        <x:v>1.9736447617</x:v>
      </x:c>
      <x:c r="I38" s="38" t="n">
        <x:v>0</x:v>
      </x:c>
      <x:c r="J38" s="38" t="n">
        <x:v>0</x:v>
      </x:c>
      <x:c r="K38" s="38" t="n">
        <x:v>0</x:v>
      </x:c>
      <x:c r="L38" s="38" t="n">
        <x:v>0</x:v>
      </x:c>
      <x:c r="M38" s="38" t="n">
        <x:v>0</x:v>
      </x:c>
      <x:c r="N38" s="38" t="n">
        <x:v>0</x:v>
      </x:c>
      <x:c r="O38" s="38" t="n">
        <x:v>0</x:v>
      </x:c>
      <x:c r="P38" s="38" t="n">
        <x:v>0</x:v>
      </x:c>
      <x:c r="Q38" s="38" t="n">
        <x:v>0</x:v>
      </x:c>
      <x:c r="R38" s="38" t="n">
        <x:v>2.6601838974</x:v>
      </x:c>
      <x:c r="S38" s="38" t="n">
        <x:v>0</x:v>
      </x:c>
      <x:c r="T38" s="38" t="n">
        <x:v>0.007748059</x:v>
      </x:c>
      <x:c r="U38" s="38" t="n">
        <x:f>'Fit'!M38</x:f>
        <x:v>0.5921141414</x:v>
      </x:c>
    </x:row>
    <x:row r="39" ht="19" customHeight="1">
      <x:c r="A39" s="29" t="str">
        <x:v>LLY</x:v>
      </x:c>
      <x:c r="B39" s="38" t="n">
        <x:v>0</x:v>
      </x:c>
      <x:c r="C39" s="38" t="n">
        <x:v>0</x:v>
      </x:c>
      <x:c r="D39" s="38" t="n">
        <x:v>0</x:v>
      </x:c>
      <x:c r="E39" s="38" t="n">
        <x:v>0</x:v>
      </x:c>
      <x:c r="F39" s="38" t="n">
        <x:v>0</x:v>
      </x:c>
      <x:c r="G39" s="38" t="n">
        <x:v>0</x:v>
      </x:c>
      <x:c r="H39" s="38" t="n">
        <x:v>0.4170006213</x:v>
      </x:c>
      <x:c r="I39" s="38" t="n">
        <x:v>0</x:v>
      </x:c>
      <x:c r="J39" s="38" t="n">
        <x:v>-0.6645312872</x:v>
      </x:c>
      <x:c r="K39" s="38" t="n">
        <x:v>0</x:v>
      </x:c>
      <x:c r="L39" s="38" t="n">
        <x:v>0</x:v>
      </x:c>
      <x:c r="M39" s="38" t="n">
        <x:v>0</x:v>
      </x:c>
      <x:c r="N39" s="38" t="n">
        <x:v>1.3772468691</x:v>
      </x:c>
      <x:c r="O39" s="38" t="n">
        <x:v>0</x:v>
      </x:c>
      <x:c r="P39" s="38" t="n">
        <x:v>0</x:v>
      </x:c>
      <x:c r="Q39" s="38" t="n">
        <x:v>0</x:v>
      </x:c>
      <x:c r="R39" s="38" t="n">
        <x:v>0</x:v>
      </x:c>
      <x:c r="S39" s="38" t="n">
        <x:v>-0.5383526869</x:v>
      </x:c>
      <x:c r="T39" s="38" t="n">
        <x:v>0.0193120832</x:v>
      </x:c>
      <x:c r="U39" s="38" t="n">
        <x:f>'Fit'!M39</x:f>
        <x:v>0.4302415503</x:v>
      </x:c>
    </x:row>
    <x:row r="40" ht="19" customHeight="1">
      <x:c r="A40" s="29" t="str">
        <x:v>WELL</x:v>
      </x:c>
      <x:c r="B40" s="38" t="n">
        <x:v>0</x:v>
      </x:c>
      <x:c r="C40" s="38" t="n">
        <x:v>0</x:v>
      </x:c>
      <x:c r="D40" s="38" t="n">
        <x:v>0</x:v>
      </x:c>
      <x:c r="E40" s="38" t="n">
        <x:v>0</x:v>
      </x:c>
      <x:c r="F40" s="38" t="n">
        <x:v>1.2466373392</x:v>
      </x:c>
      <x:c r="G40" s="38" t="n">
        <x:v>0</x:v>
      </x:c>
      <x:c r="H40" s="38" t="n">
        <x:v>0.3689608673</x:v>
      </x:c>
      <x:c r="I40" s="38" t="n">
        <x:v>0</x:v>
      </x:c>
      <x:c r="J40" s="38" t="n">
        <x:v>-0.4723060404</x:v>
      </x:c>
      <x:c r="K40" s="38" t="n">
        <x:v>0</x:v>
      </x:c>
      <x:c r="L40" s="38" t="n">
        <x:v>0</x:v>
      </x:c>
      <x:c r="M40" s="38" t="n">
        <x:v>0</x:v>
      </x:c>
      <x:c r="N40" s="38" t="n">
        <x:v>0</x:v>
      </x:c>
      <x:c r="O40" s="38" t="n">
        <x:v>0</x:v>
      </x:c>
      <x:c r="P40" s="38" t="n">
        <x:v>-0.7639729894</x:v>
      </x:c>
      <x:c r="Q40" s="38" t="n">
        <x:v>0.9029098857</x:v>
      </x:c>
      <x:c r="R40" s="38" t="n">
        <x:v>-0.8783955743</x:v>
      </x:c>
      <x:c r="S40" s="38" t="n">
        <x:v>0</x:v>
      </x:c>
      <x:c r="T40" s="38" t="n">
        <x:v>0.017020383</x:v>
      </x:c>
      <x:c r="U40" s="38" t="n">
        <x:f>'Fit'!M40</x:f>
        <x:v>0.5415001227</x:v>
      </x:c>
    </x:row>
    <x:row r="41" ht="19" customHeight="1">
      <x:c r="A41" s="29" t="str">
        <x:v>NOK</x:v>
      </x:c>
      <x:c r="B41" s="38" t="n">
        <x:v>0</x:v>
      </x:c>
      <x:c r="C41" s="38" t="n">
        <x:v>0</x:v>
      </x:c>
      <x:c r="D41" s="38" t="n">
        <x:v>0</x:v>
      </x:c>
      <x:c r="E41" s="38" t="n">
        <x:v>0.3739468287</x:v>
      </x:c>
      <x:c r="F41" s="38" t="n">
        <x:v>0</x:v>
      </x:c>
      <x:c r="G41" s="38" t="n">
        <x:v>0</x:v>
      </x:c>
      <x:c r="H41" s="38" t="n">
        <x:v>0.9715928689</x:v>
      </x:c>
      <x:c r="I41" s="38" t="n">
        <x:v>0</x:v>
      </x:c>
      <x:c r="J41" s="38" t="n">
        <x:v>0</x:v>
      </x:c>
      <x:c r="K41" s="38" t="n">
        <x:v>0</x:v>
      </x:c>
      <x:c r="L41" s="38" t="n">
        <x:v>0.3927158483</x:v>
      </x:c>
      <x:c r="M41" s="38" t="n">
        <x:v>0</x:v>
      </x:c>
      <x:c r="N41" s="38" t="n">
        <x:v>0</x:v>
      </x:c>
      <x:c r="O41" s="38" t="n">
        <x:v>0</x:v>
      </x:c>
      <x:c r="P41" s="38" t="n">
        <x:v>0</x:v>
      </x:c>
      <x:c r="Q41" s="38" t="n">
        <x:v>0</x:v>
      </x:c>
      <x:c r="R41" s="38" t="n">
        <x:v>1.5276014886</x:v>
      </x:c>
      <x:c r="S41" s="38" t="n">
        <x:v>0</x:v>
      </x:c>
      <x:c r="T41" s="38" t="n">
        <x:v>0.0050157489</x:v>
      </x:c>
      <x:c r="U41" s="38" t="n">
        <x:f>'Fit'!M41</x:f>
        <x:v>0.2744089698</x:v>
      </x:c>
    </x:row>
    <x:row r="42" ht="19" customHeight="1">
      <x:c r="A42" s="29" t="str">
        <x:v>MSFT</x:v>
      </x:c>
      <x:c r="B42" s="38" t="n">
        <x:v>0</x:v>
      </x:c>
      <x:c r="C42" s="38" t="n">
        <x:v>0</x:v>
      </x:c>
      <x:c r="D42" s="38" t="n">
        <x:v>13.6976269848</x:v>
      </x:c>
      <x:c r="E42" s="38" t="n">
        <x:v>-12.3492944523</x:v>
      </x:c>
      <x:c r="F42" s="38" t="n">
        <x:v>0</x:v>
      </x:c>
      <x:c r="G42" s="38" t="n">
        <x:v>0</x:v>
      </x:c>
      <x:c r="H42" s="38" t="n">
        <x:v>0.9535581834</x:v>
      </x:c>
      <x:c r="I42" s="38" t="n">
        <x:v>0</x:v>
      </x:c>
      <x:c r="J42" s="38" t="n">
        <x:v>0</x:v>
      </x:c>
      <x:c r="K42" s="38" t="n">
        <x:v>0</x:v>
      </x:c>
      <x:c r="L42" s="38" t="n">
        <x:v>0</x:v>
      </x:c>
      <x:c r="M42" s="38" t="n">
        <x:v>0</x:v>
      </x:c>
      <x:c r="N42" s="38" t="n">
        <x:v>0</x:v>
      </x:c>
      <x:c r="O42" s="38" t="n">
        <x:v>-0.6965924641</x:v>
      </x:c>
      <x:c r="P42" s="38" t="n">
        <x:v>0</x:v>
      </x:c>
      <x:c r="Q42" s="38" t="n">
        <x:v>0</x:v>
      </x:c>
      <x:c r="R42" s="38" t="n">
        <x:v>0.4703515339</x:v>
      </x:c>
      <x:c r="S42" s="38" t="n">
        <x:v>0</x:v>
      </x:c>
      <x:c r="T42" s="38" t="n">
        <x:v>-0.0014391442</x:v>
      </x:c>
      <x:c r="U42" s="38" t="n">
        <x:f>'Fit'!M42</x:f>
        <x:v>0.4877451106</x:v>
      </x:c>
    </x:row>
    <x:row r="43" ht="19" customHeight="1">
      <x:c r="A43" s="29" t="str">
        <x:v>GOOGL</x:v>
      </x:c>
      <x:c r="B43" s="38" t="n">
        <x:v>0</x:v>
      </x:c>
      <x:c r="C43" s="38" t="n">
        <x:v>-3.864358875</x:v>
      </x:c>
      <x:c r="D43" s="38" t="n">
        <x:v>18.0221232497</x:v>
      </x:c>
      <x:c r="E43" s="38" t="n">
        <x:v>-16.6753474859</x:v>
      </x:c>
      <x:c r="F43" s="38" t="n">
        <x:v>1.7128202349</x:v>
      </x:c>
      <x:c r="G43" s="38" t="n">
        <x:v>0</x:v>
      </x:c>
      <x:c r="H43" s="38" t="n">
        <x:v>0.9925796269</x:v>
      </x:c>
      <x:c r="I43" s="38" t="n">
        <x:v>0.7211353211</x:v>
      </x:c>
      <x:c r="J43" s="38" t="n">
        <x:v>0</x:v>
      </x:c>
      <x:c r="K43" s="38" t="n">
        <x:v>-0.7844789443</x:v>
      </x:c>
      <x:c r="L43" s="38" t="n">
        <x:v>0</x:v>
      </x:c>
      <x:c r="M43" s="38" t="n">
        <x:v>-0.6695132584</x:v>
      </x:c>
      <x:c r="N43" s="38" t="n">
        <x:v>0</x:v>
      </x:c>
      <x:c r="O43" s="38" t="n">
        <x:v>0</x:v>
      </x:c>
      <x:c r="P43" s="38" t="n">
        <x:v>0</x:v>
      </x:c>
      <x:c r="Q43" s="38" t="n">
        <x:v>0</x:v>
      </x:c>
      <x:c r="R43" s="38" t="n">
        <x:v>0</x:v>
      </x:c>
      <x:c r="S43" s="38" t="n">
        <x:v>0</x:v>
      </x:c>
      <x:c r="T43" s="38" t="n">
        <x:v>0.0114047932</x:v>
      </x:c>
      <x:c r="U43" s="38" t="n">
        <x:f>'Fit'!M43</x:f>
        <x:v>0.5419220075</x:v>
      </x:c>
    </x:row>
    <x:row r="44" ht="19" customHeight="1">
      <x:c r="A44" s="29" t="str">
        <x:v>COST</x:v>
      </x:c>
      <x:c r="B44" s="38" t="n">
        <x:v>0</x:v>
      </x:c>
      <x:c r="C44" s="38" t="n">
        <x:v>3.3399788611</x:v>
      </x:c>
      <x:c r="D44" s="38" t="n">
        <x:v>0</x:v>
      </x:c>
      <x:c r="E44" s="38" t="n">
        <x:v>-1.1743614956</x:v>
      </x:c>
      <x:c r="F44" s="38" t="n">
        <x:v>0</x:v>
      </x:c>
      <x:c r="G44" s="38" t="n">
        <x:v>0</x:v>
      </x:c>
      <x:c r="H44" s="38" t="n">
        <x:v>0.4154330444</x:v>
      </x:c>
      <x:c r="I44" s="38" t="n">
        <x:v>0</x:v>
      </x:c>
      <x:c r="J44" s="38" t="n">
        <x:v>0.4353245063</x:v>
      </x:c>
      <x:c r="K44" s="38" t="n">
        <x:v>0.4689132039</x:v>
      </x:c>
      <x:c r="L44" s="38" t="n">
        <x:v>0</x:v>
      </x:c>
      <x:c r="M44" s="38" t="n">
        <x:v>0</x:v>
      </x:c>
      <x:c r="N44" s="38" t="n">
        <x:v>0</x:v>
      </x:c>
      <x:c r="O44" s="38" t="n">
        <x:v>-0.4455073949</x:v>
      </x:c>
      <x:c r="P44" s="38" t="n">
        <x:v>0</x:v>
      </x:c>
      <x:c r="Q44" s="38" t="n">
        <x:v>0</x:v>
      </x:c>
      <x:c r="R44" s="38" t="n">
        <x:v>0</x:v>
      </x:c>
      <x:c r="S44" s="38" t="n">
        <x:v>0</x:v>
      </x:c>
      <x:c r="T44" s="38" t="n">
        <x:v>0.0052688715</x:v>
      </x:c>
      <x:c r="U44" s="38" t="n">
        <x:f>'Fit'!M44</x:f>
        <x:v>0.4477427538</x:v>
      </x:c>
    </x:row>
    <x:row r="45" ht="19" customHeight="1">
      <x:c r="A45" s="29" t="str">
        <x:v>HD</x:v>
      </x:c>
      <x:c r="B45" s="38" t="n">
        <x:v>0</x:v>
      </x:c>
      <x:c r="C45" s="38" t="n">
        <x:v>2.3561679509</x:v>
      </x:c>
      <x:c r="D45" s="38" t="n">
        <x:v>0</x:v>
      </x:c>
      <x:c r="E45" s="38" t="n">
        <x:v>0</x:v>
      </x:c>
      <x:c r="F45" s="38" t="n">
        <x:v>0</x:v>
      </x:c>
      <x:c r="G45" s="38" t="n">
        <x:v>0</x:v>
      </x:c>
      <x:c r="H45" s="38" t="n">
        <x:v>0.6606555609</x:v>
      </x:c>
      <x:c r="I45" s="38" t="n">
        <x:v>0</x:v>
      </x:c>
      <x:c r="J45" s="38" t="n">
        <x:v>0.7190861113</x:v>
      </x:c>
      <x:c r="K45" s="38" t="n">
        <x:v>0</x:v>
      </x:c>
      <x:c r="L45" s="38" t="n">
        <x:v>0</x:v>
      </x:c>
      <x:c r="M45" s="38" t="n">
        <x:v>0</x:v>
      </x:c>
      <x:c r="N45" s="38" t="n">
        <x:v>0</x:v>
      </x:c>
      <x:c r="O45" s="38" t="n">
        <x:v>0.5266019149</x:v>
      </x:c>
      <x:c r="P45" s="38" t="n">
        <x:v>0</x:v>
      </x:c>
      <x:c r="Q45" s="38" t="n">
        <x:v>0</x:v>
      </x:c>
      <x:c r="R45" s="38" t="n">
        <x:v>0</x:v>
      </x:c>
      <x:c r="S45" s="38" t="n">
        <x:v>0</x:v>
      </x:c>
      <x:c r="T45" s="38" t="n">
        <x:v>-0.0071653305</x:v>
      </x:c>
      <x:c r="U45" s="38" t="n">
        <x:f>'Fit'!M45</x:f>
        <x:v>0.4238995252</x:v>
      </x:c>
    </x:row>
    <x:row r="46" ht="19" customHeight="1">
      <x:c r="A46" s="29" t="str">
        <x:v>KO</x:v>
      </x:c>
      <x:c r="B46" s="38" t="n">
        <x:v>0</x:v>
      </x:c>
      <x:c r="C46" s="38" t="n">
        <x:v>2.0268713764</x:v>
      </x:c>
      <x:c r="D46" s="38" t="n">
        <x:v>0</x:v>
      </x:c>
      <x:c r="E46" s="38" t="n">
        <x:v>0</x:v>
      </x:c>
      <x:c r="F46" s="38" t="n">
        <x:v>0</x:v>
      </x:c>
      <x:c r="G46" s="38" t="n">
        <x:v>0</x:v>
      </x:c>
      <x:c r="H46" s="38" t="n">
        <x:v>0.0682999471</x:v>
      </x:c>
      <x:c r="I46" s="38" t="n">
        <x:v>-0.4873241608</x:v>
      </x:c>
      <x:c r="J46" s="38" t="n">
        <x:v>0</x:v>
      </x:c>
      <x:c r="K46" s="38" t="n">
        <x:v>0.8003655635</x:v>
      </x:c>
      <x:c r="L46" s="38" t="n">
        <x:v>0.130854144</x:v>
      </x:c>
      <x:c r="M46" s="38" t="n">
        <x:v>0</x:v>
      </x:c>
      <x:c r="N46" s="38" t="n">
        <x:v>0</x:v>
      </x:c>
      <x:c r="O46" s="38" t="n">
        <x:v>0</x:v>
      </x:c>
      <x:c r="P46" s="38" t="n">
        <x:v>-0.2660681814</x:v>
      </x:c>
      <x:c r="Q46" s="38" t="n">
        <x:v>0</x:v>
      </x:c>
      <x:c r="R46" s="38" t="n">
        <x:v>0</x:v>
      </x:c>
      <x:c r="S46" s="38" t="n">
        <x:v>0</x:v>
      </x:c>
      <x:c r="T46" s="38" t="n">
        <x:v>0.008153085</x:v>
      </x:c>
      <x:c r="U46" s="38" t="n">
        <x:f>'Fit'!M46</x:f>
        <x:v>0.6631739587</x:v>
      </x:c>
    </x:row>
    <x:row r="47" ht="19" customHeight="1">
      <x:c r="A47" s="29" t="str">
        <x:v>JNJ</x:v>
      </x:c>
      <x:c r="B47" s="38" t="n">
        <x:v>0</x:v>
      </x:c>
      <x:c r="C47" s="38" t="n">
        <x:v>1.1485951872</x:v>
      </x:c>
      <x:c r="D47" s="38" t="n">
        <x:v>0</x:v>
      </x:c>
      <x:c r="E47" s="38" t="n">
        <x:v>0</x:v>
      </x:c>
      <x:c r="F47" s="38" t="n">
        <x:v>0</x:v>
      </x:c>
      <x:c r="G47" s="38" t="n">
        <x:v>0</x:v>
      </x:c>
      <x:c r="H47" s="38" t="n">
        <x:v>-0.0740383376</x:v>
      </x:c>
      <x:c r="I47" s="38" t="n">
        <x:v>0</x:v>
      </x:c>
      <x:c r="J47" s="38" t="n">
        <x:v>0</x:v>
      </x:c>
      <x:c r="K47" s="38" t="n">
        <x:v>0.279168135</x:v>
      </x:c>
      <x:c r="L47" s="38" t="n">
        <x:v>0</x:v>
      </x:c>
      <x:c r="M47" s="38" t="n">
        <x:v>0</x:v>
      </x:c>
      <x:c r="N47" s="38" t="n">
        <x:v>0.9830388219</x:v>
      </x:c>
      <x:c r="O47" s="38" t="n">
        <x:v>0</x:v>
      </x:c>
      <x:c r="P47" s="38" t="n">
        <x:v>0</x:v>
      </x:c>
      <x:c r="Q47" s="38" t="n">
        <x:v>0</x:v>
      </x:c>
      <x:c r="R47" s="38" t="n">
        <x:v>0</x:v>
      </x:c>
      <x:c r="S47" s="38" t="n">
        <x:v>0</x:v>
      </x:c>
      <x:c r="T47" s="38" t="n">
        <x:v>0.0117872286</x:v>
      </x:c>
      <x:c r="U47" s="38" t="n">
        <x:f>'Fit'!M47</x:f>
        <x:v>0.5161275132</x:v>
      </x:c>
    </x:row>
    <x:row r="48" ht="19" customHeight="1">
      <x:c r="A48" s="29" t="str">
        <x:v>BRK-B</x:v>
      </x:c>
      <x:c r="B48" s="38" t="n">
        <x:v>0</x:v>
      </x:c>
      <x:c r="C48" s="38" t="n">
        <x:v>0</x:v>
      </x:c>
      <x:c r="D48" s="38" t="n">
        <x:v>0</x:v>
      </x:c>
      <x:c r="E48" s="38" t="n">
        <x:v>0.6995190025</x:v>
      </x:c>
      <x:c r="F48" s="38" t="n">
        <x:v>0</x:v>
      </x:c>
      <x:c r="G48" s="38" t="n">
        <x:v>0</x:v>
      </x:c>
      <x:c r="H48" s="38" t="n">
        <x:v>0.2671342112</x:v>
      </x:c>
      <x:c r="I48" s="38" t="n">
        <x:v>0</x:v>
      </x:c>
      <x:c r="J48" s="38" t="n">
        <x:v>0</x:v>
      </x:c>
      <x:c r="K48" s="38" t="n">
        <x:v>0.4062432469</x:v>
      </x:c>
      <x:c r="L48" s="38" t="n">
        <x:v>0</x:v>
      </x:c>
      <x:c r="M48" s="38" t="n">
        <x:v>0.4479513093</x:v>
      </x:c>
      <x:c r="N48" s="38" t="n">
        <x:v>0</x:v>
      </x:c>
      <x:c r="O48" s="38" t="n">
        <x:v>0</x:v>
      </x:c>
      <x:c r="P48" s="38" t="n">
        <x:v>0</x:v>
      </x:c>
      <x:c r="Q48" s="38" t="n">
        <x:v>0</x:v>
      </x:c>
      <x:c r="R48" s="38" t="n">
        <x:v>0</x:v>
      </x:c>
      <x:c r="S48" s="38" t="n">
        <x:v>0</x:v>
      </x:c>
      <x:c r="T48" s="38" t="n">
        <x:v>0.006971031</x:v>
      </x:c>
      <x:c r="U48" s="38" t="n">
        <x:f>'Fit'!M48</x:f>
        <x:v>0.3734777386</x:v>
      </x:c>
    </x:row>
  </x:sheetData>
  <x:pageMargins left="0.7" right="0.7" top="0.75" bottom="0.75" header="0.3" footer="0.3"/>
</x:worksheet>
</file>

<file path=xl/worksheets/sheet3.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43" hidden="0" customWidth="1"/>
    <x:col min="4" max="4" width="16" hidden="0" customWidth="1"/>
    <x:col min="5" max="5" width="16"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42" hidden="0" customWidth="1"/>
    <x:col min="15" max="15" width="42" hidden="0" customWidth="1"/>
    <x:col min="16" max="16" width="23" hidden="0" customWidth="1"/>
  </x:cols>
  <x:sheetData>
    <x:row r="1" ht="19" customHeight="1">
      <x:c r="A1" s="23"/>
      <x:c r="B1" s="23"/>
      <x:c r="C1" s="23"/>
      <x:c r="D1" s="23"/>
      <x:c r="E1" s="23"/>
      <x:c r="F1" s="23"/>
      <x:c r="G1" s="23"/>
      <x:c r="H1" s="23"/>
      <x:c r="I1" s="23"/>
      <x:c r="J1" s="23"/>
      <x:c r="K1" s="23"/>
      <x:c r="L1" s="23"/>
      <x:c r="M1" s="23"/>
      <x:c r="N1" s="23"/>
      <x:c r="O1" s="23"/>
      <x:c r="P1" s="23"/>
    </x:row>
    <x:row r="2" ht="19" customHeight="1">
      <x:c r="A2" s="34" t="str">
        <x:v>Stock fit diagnostics</x:v>
      </x:c>
      <x:c r="B2" s="23"/>
      <x:c r="C2" s="23"/>
      <x:c r="D2" s="23"/>
      <x:c r="E2" s="23"/>
      <x:c r="F2" s="23"/>
      <x:c r="G2" s="23"/>
      <x:c r="H2" s="23"/>
      <x:c r="I2" s="23"/>
      <x:c r="J2" s="23"/>
      <x:c r="K2" s="23"/>
      <x:c r="L2" s="23"/>
      <x:c r="M2" s="23"/>
      <x:c r="N2" s="23"/>
      <x:c r="O2" s="23"/>
      <x:c r="P2" s="23"/>
    </x:row>
    <x:row r="3" ht="19" customHeight="1">
      <x:c r="A3" s="27"/>
      <x:c r="B3" s="23"/>
      <x:c r="C3" s="23"/>
      <x:c r="D3" s="23"/>
      <x:c r="E3" s="23"/>
      <x:c r="F3" s="23"/>
      <x:c r="G3" s="23"/>
      <x:c r="H3" s="23"/>
      <x:c r="I3" s="23"/>
      <x:c r="J3" s="23"/>
      <x:c r="K3" s="23"/>
      <x:c r="L3" s="23"/>
      <x:c r="M3" s="23"/>
      <x:c r="N3" s="23"/>
      <x:c r="O3" s="23"/>
      <x:c r="P3" s="23"/>
    </x:row>
    <x:row r="4" ht="19" customHeight="1">
      <x:c r="A4" s="23"/>
      <x:c r="B4" s="23"/>
      <x:c r="C4" s="23"/>
      <x:c r="D4" s="23"/>
      <x:c r="E4" s="23"/>
      <x:c r="F4" s="23"/>
      <x:c r="G4" s="23"/>
      <x:c r="H4" s="23"/>
      <x:c r="I4" s="23"/>
      <x:c r="J4" s="23"/>
      <x:c r="K4" s="23"/>
      <x:c r="L4" s="23"/>
      <x:c r="M4" s="23"/>
      <x:c r="N4" s="23"/>
      <x:c r="O4" s="23"/>
      <x:c r="P4" s="23"/>
    </x:row>
    <x:row r="5" ht="42" customHeight="1">
      <x:c r="A5" s="35" t="str">
        <x:v>stagger</x:v>
      </x:c>
      <x:c r="B5" s="35" t="str">
        <x:v>ticker</x:v>
      </x:c>
      <x:c r="C5" s="35" t="str">
        <x:v>company</x:v>
      </x:c>
      <x:c r="D5" s="35" t="str">
        <x:v>currency</x:v>
      </x:c>
      <x:c r="E5" s="35" t="str">
        <x:v>primary_sector</x:v>
      </x:c>
      <x:c r="F5" s="35" t="str">
        <x:v>observations</x:v>
      </x:c>
      <x:c r="G5" s="35" t="str">
        <x:v>start</x:v>
      </x:c>
      <x:c r="H5" s="35" t="str">
        <x:v>end</x:v>
      </x:c>
      <x:c r="I5" s="35" t="str">
        <x:v>original_std</x:v>
      </x:c>
      <x:c r="J5" s="35" t="str">
        <x:v>residual_std</x:v>
      </x:c>
      <x:c r="K5" s="35" t="str">
        <x:v>std_reduction</x:v>
      </x:c>
      <x:c r="L5" s="35" t="str">
        <x:v>variance_reduction</x:v>
      </x:c>
      <x:c r="M5" s="35" t="str">
        <x:v>reconstruction_r_squared</x:v>
      </x:c>
      <x:c r="N5" s="35" t="str">
        <x:v>retained_fx</x:v>
      </x:c>
      <x:c r="O5" s="35" t="str">
        <x:v>additional_sectors</x:v>
      </x:c>
      <x:c r="P5" s="35" t="str">
        <x:v>reconstruction_error</x:v>
      </x:c>
    </x:row>
    <x:row r="6" ht="19" customHeight="1">
      <x:c r="A6" s="29" t="str">
        <x:v>stagger_1</x:v>
      </x:c>
      <x:c r="B6" s="38" t="str">
        <x:v>VST</x:v>
      </x:c>
      <x:c r="C6" s="38" t="str">
        <x:v>Vistra Corp.</x:v>
      </x:c>
      <x:c r="D6" s="38" t="str">
        <x:v>USD</x:v>
      </x:c>
      <x:c r="E6" s="38" t="str">
        <x:v>XLU</x:v>
      </x:c>
      <x:c r="F6" s="30" t="n">
        <x:v>80</x:v>
      </x:c>
      <x:c r="G6" s="39" t="d">
        <x:v>2020-07-20T00:00:00.000Z</x:v>
      </x:c>
      <x:c r="H6" s="39" t="d">
        <x:v>2026-08-10T00:00:00.000Z</x:v>
      </x:c>
      <x:c r="I6" s="38" t="n">
        <x:v>0.1163561701</x:v>
      </x:c>
      <x:c r="J6" s="38" t="n">
        <x:v>0.0918765702</x:v>
      </x:c>
      <x:c r="K6" s="31" t="n">
        <x:f>1-J6/I6</x:f>
        <x:v>0.21038506062000406</x:v>
      </x:c>
      <x:c r="L6" s="31" t="n">
        <x:f>1-(J6/I6)^2</x:f>
        <x:v>0.37650824750792533</x:v>
      </x:c>
      <x:c r="M6" s="31" t="n">
        <x:v>0.3765082472</x:v>
      </x:c>
      <x:c r="N6" s="38"/>
      <x:c r="O6" s="38" t="str">
        <x:v>XLI,XLRE,XLV</x:v>
      </x:c>
      <x:c r="P6" s="38" t="n">
        <x:v>5.551115123e-17</x:v>
      </x:c>
    </x:row>
    <x:row r="7" ht="19" customHeight="1">
      <x:c r="A7" s="29" t="str">
        <x:v>stagger_1</x:v>
      </x:c>
      <x:c r="B7" s="38" t="str">
        <x:v>VIST</x:v>
      </x:c>
      <x:c r="C7" s="38" t="str">
        <x:v>Vista Energy, S.A.B. de C.V.</x:v>
      </x:c>
      <x:c r="D7" s="38" t="str">
        <x:v>MXN</x:v>
      </x:c>
      <x:c r="E7" s="38" t="str">
        <x:v>XLE</x:v>
      </x:c>
      <x:c r="F7" s="30" t="n">
        <x:v>80</x:v>
      </x:c>
      <x:c r="G7" s="39" t="d">
        <x:v>2020-07-20T00:00:00.000Z</x:v>
      </x:c>
      <x:c r="H7" s="39" t="d">
        <x:v>2026-08-10T00:00:00.000Z</x:v>
      </x:c>
      <x:c r="I7" s="38" t="n">
        <x:v>0.122013495</x:v>
      </x:c>
      <x:c r="J7" s="38" t="n">
        <x:v>0.0989692325</x:v>
      </x:c>
      <x:c r="K7" s="31" t="n">
        <x:f>1-J7/I7</x:f>
        <x:v>0.1888665061188518</x:v>
      </x:c>
      <x:c r="L7" s="31" t="n">
        <x:f>1-(J7/I7)^2</x:f>
        <x:v>0.34206245510416133</x:v>
      </x:c>
      <x:c r="M7" s="31" t="n">
        <x:v>0.3420624548</x:v>
      </x:c>
      <x:c r="N7" s="38"/>
      <x:c r="O7" s="38" t="str">
        <x:v>XLV</x:v>
      </x:c>
      <x:c r="P7" s="38" t="n">
        <x:v>5.551115123e-17</x:v>
      </x:c>
    </x:row>
    <x:row r="8" ht="19" customHeight="1">
      <x:c r="A8" s="29" t="str">
        <x:v>stagger_1</x:v>
      </x:c>
      <x:c r="B8" s="38" t="str">
        <x:v>AEP</x:v>
      </x:c>
      <x:c r="C8" s="38" t="str">
        <x:v>American Electric Power Company, Inc.</x:v>
      </x:c>
      <x:c r="D8" s="38" t="str">
        <x:v>USD</x:v>
      </x:c>
      <x:c r="E8" s="38" t="str">
        <x:v>XLU</x:v>
      </x:c>
      <x:c r="F8" s="30" t="n">
        <x:v>80</x:v>
      </x:c>
      <x:c r="G8" s="39" t="d">
        <x:v>2020-07-20T00:00:00.000Z</x:v>
      </x:c>
      <x:c r="H8" s="39" t="d">
        <x:v>2026-08-10T00:00:00.000Z</x:v>
      </x:c>
      <x:c r="I8" s="38" t="n">
        <x:v>0.0562364065</x:v>
      </x:c>
      <x:c r="J8" s="38" t="n">
        <x:v>0.0322949895</x:v>
      </x:c>
      <x:c r="K8" s="31" t="n">
        <x:f>1-J8/I8</x:f>
        <x:v>0.42572807350341635</x:v>
      </x:c>
      <x:c r="L8" s="31" t="n">
        <x:f>1-(J8/I8)^2</x:f>
        <x:v>0.6702117544379025</x:v>
      </x:c>
      <x:c r="M8" s="31" t="n">
        <x:v>0.6702117538</x:v>
      </x:c>
      <x:c r="N8" s="38" t="str">
        <x:v>SGD/USD</x:v>
      </x:c>
      <x:c r="O8" s="38" t="str">
        <x:v>XLI,XLRE</x:v>
      </x:c>
      <x:c r="P8" s="38" t="n">
        <x:v>1.387778781e-17</x:v>
      </x:c>
    </x:row>
    <x:row r="9" ht="19" customHeight="1">
      <x:c r="A9" s="29" t="str">
        <x:v>stagger_1</x:v>
      </x:c>
      <x:c r="B9" s="38" t="str">
        <x:v>ETR</x:v>
      </x:c>
      <x:c r="C9" s="38" t="str">
        <x:v>Entergy Corporation</x:v>
      </x:c>
      <x:c r="D9" s="38" t="str">
        <x:v>USD</x:v>
      </x:c>
      <x:c r="E9" s="38" t="str">
        <x:v>XLU</x:v>
      </x:c>
      <x:c r="F9" s="30" t="n">
        <x:v>80</x:v>
      </x:c>
      <x:c r="G9" s="39" t="d">
        <x:v>2020-07-20T00:00:00.000Z</x:v>
      </x:c>
      <x:c r="H9" s="39" t="d">
        <x:v>2026-08-10T00:00:00.000Z</x:v>
      </x:c>
      <x:c r="I9" s="38" t="n">
        <x:v>0.0531769197</x:v>
      </x:c>
      <x:c r="J9" s="38" t="n">
        <x:v>0.0329627971</x:v>
      </x:c>
      <x:c r="K9" s="31" t="n">
        <x:f>1-J9/I9</x:f>
        <x:v>0.38012962604902434</x:v>
      </x:c>
      <x:c r="L9" s="31" t="n">
        <x:f>1-(J9/I9)^2</x:f>
        <x:v>0.6157607194978776</x:v>
      </x:c>
      <x:c r="M9" s="31" t="n">
        <x:v>0.615760719</x:v>
      </x:c>
      <x:c r="N9" s="38"/>
      <x:c r="O9" s="38"/>
      <x:c r="P9" s="38" t="n">
        <x:v>1.387778781e-17</x:v>
      </x:c>
    </x:row>
    <x:row r="10" ht="19" customHeight="1">
      <x:c r="A10" s="29" t="str">
        <x:v>stagger_1</x:v>
      </x:c>
      <x:c r="B10" s="38" t="str">
        <x:v>DIS</x:v>
      </x:c>
      <x:c r="C10" s="38" t="str">
        <x:v>The Walt Disney Company</x:v>
      </x:c>
      <x:c r="D10" s="38" t="str">
        <x:v>USD</x:v>
      </x:c>
      <x:c r="E10" s="38" t="str">
        <x:v>XLC</x:v>
      </x:c>
      <x:c r="F10" s="30" t="n">
        <x:v>80</x:v>
      </x:c>
      <x:c r="G10" s="39" t="d">
        <x:v>2020-07-20T00:00:00.000Z</x:v>
      </x:c>
      <x:c r="H10" s="39" t="d">
        <x:v>2026-08-10T00:00:00.000Z</x:v>
      </x:c>
      <x:c r="I10" s="38" t="n">
        <x:v>0.0829697536</x:v>
      </x:c>
      <x:c r="J10" s="38" t="n">
        <x:v>0.0599140743</x:v>
      </x:c>
      <x:c r="K10" s="31" t="n">
        <x:f>1-J10/I10</x:f>
        <x:v>0.27788053235823995</x:v>
      </x:c>
      <x:c r="L10" s="31" t="n">
        <x:f>1-(J10/I10)^2</x:f>
        <x:v>0.4785434744527811</x:v>
      </x:c>
      <x:c r="M10" s="31" t="n">
        <x:v>0.4785434749</x:v>
      </x:c>
      <x:c r="N10" s="38" t="str">
        <x:v>SGD/USD</x:v>
      </x:c>
      <x:c r="O10" s="38" t="str">
        <x:v>XLE,XLF,XLK,XLY</x:v>
      </x:c>
      <x:c r="P10" s="38" t="n">
        <x:v>2.775557562e-17</x:v>
      </x:c>
    </x:row>
    <x:row r="11" ht="19" customHeight="1">
      <x:c r="A11" s="29" t="str">
        <x:v>stagger_1</x:v>
      </x:c>
      <x:c r="B11" s="38" t="str">
        <x:v>CMG</x:v>
      </x:c>
      <x:c r="C11" s="38" t="str">
        <x:v>Chipotle Mexican Grill, Inc.</x:v>
      </x:c>
      <x:c r="D11" s="38" t="str">
        <x:v>USD</x:v>
      </x:c>
      <x:c r="E11" s="38" t="str">
        <x:v>XLY</x:v>
      </x:c>
      <x:c r="F11" s="30" t="n">
        <x:v>80</x:v>
      </x:c>
      <x:c r="G11" s="39" t="d">
        <x:v>2020-07-20T00:00:00.000Z</x:v>
      </x:c>
      <x:c r="H11" s="39" t="d">
        <x:v>2026-08-10T00:00:00.000Z</x:v>
      </x:c>
      <x:c r="I11" s="38" t="n">
        <x:v>0.1023850984</x:v>
      </x:c>
      <x:c r="J11" s="38" t="n">
        <x:v>0.0919031206</x:v>
      </x:c>
      <x:c r="K11" s="31" t="n">
        <x:f>1-J11/I11</x:f>
        <x:v>0.1023779628462026</x:v>
      </x:c>
      <x:c r="L11" s="31" t="n">
        <x:f>1-(J11/I11)^2</x:f>
        <x:v>0.19427467841586676</x:v>
      </x:c>
      <x:c r="M11" s="31" t="n">
        <x:v>0.1942746789</x:v>
      </x:c>
      <x:c r="N11" s="38" t="str">
        <x:v>AUD/USD</x:v>
      </x:c>
      <x:c r="O11" s="38" t="str">
        <x:v>XLE</x:v>
      </x:c>
      <x:c r="P11" s="38" t="n">
        <x:v>5.551115123e-17</x:v>
      </x:c>
    </x:row>
    <x:row r="12" ht="19" customHeight="1">
      <x:c r="A12" s="29" t="str">
        <x:v>stagger_1</x:v>
      </x:c>
      <x:c r="B12" s="38" t="str">
        <x:v>AMZN</x:v>
      </x:c>
      <x:c r="C12" s="38" t="str">
        <x:v>Amazon.com, Inc.</x:v>
      </x:c>
      <x:c r="D12" s="38" t="str">
        <x:v>USD</x:v>
      </x:c>
      <x:c r="E12" s="38" t="str">
        <x:v>XLY</x:v>
      </x:c>
      <x:c r="F12" s="30" t="n">
        <x:v>80</x:v>
      </x:c>
      <x:c r="G12" s="39" t="d">
        <x:v>2020-07-20T00:00:00.000Z</x:v>
      </x:c>
      <x:c r="H12" s="39" t="d">
        <x:v>2026-08-10T00:00:00.000Z</x:v>
      </x:c>
      <x:c r="I12" s="38" t="n">
        <x:v>0.0917694272</x:v>
      </x:c>
      <x:c r="J12" s="38" t="n">
        <x:v>0.0545798383</x:v>
      </x:c>
      <x:c r="K12" s="31" t="n">
        <x:f>1-J12/I12</x:f>
        <x:v>0.40525031085733965</x:v>
      </x:c>
      <x:c r="L12" s="31" t="n">
        <x:f>1-(J12/I12)^2</x:f>
        <x:v>0.6462728072647088</x:v>
      </x:c>
      <x:c r="M12" s="31" t="n">
        <x:v>0.646272807</x:v>
      </x:c>
      <x:c r="N12" s="38" t="str">
        <x:v>DKK/USD,EUR/USD</x:v>
      </x:c>
      <x:c r="O12" s="38" t="str">
        <x:v>XLB</x:v>
      </x:c>
      <x:c r="P12" s="38" t="n">
        <x:v>2.775557562e-17</x:v>
      </x:c>
    </x:row>
    <x:row r="13" ht="19" customHeight="1">
      <x:c r="A13" s="29" t="str">
        <x:v>stagger_1</x:v>
      </x:c>
      <x:c r="B13" s="38" t="str">
        <x:v>FIX</x:v>
      </x:c>
      <x:c r="C13" s="38" t="str">
        <x:v>Comfort Systems USA, Inc.</x:v>
      </x:c>
      <x:c r="D13" s="38" t="str">
        <x:v>USD</x:v>
      </x:c>
      <x:c r="E13" s="38" t="str">
        <x:v>XLI</x:v>
      </x:c>
      <x:c r="F13" s="30" t="n">
        <x:v>80</x:v>
      </x:c>
      <x:c r="G13" s="39" t="d">
        <x:v>2020-07-20T00:00:00.000Z</x:v>
      </x:c>
      <x:c r="H13" s="39" t="d">
        <x:v>2026-08-10T00:00:00.000Z</x:v>
      </x:c>
      <x:c r="I13" s="38" t="n">
        <x:v>0.1178604928</x:v>
      </x:c>
      <x:c r="J13" s="38" t="n">
        <x:v>0.08685816</x:v>
      </x:c>
      <x:c r="K13" s="31" t="n">
        <x:f>1-J13/I13</x:f>
        <x:v>0.2630426198251904</x:v>
      </x:c>
      <x:c r="L13" s="31" t="n">
        <x:f>1-(J13/I13)^2</x:f>
        <x:v>0.4568938198058812</x:v>
      </x:c>
      <x:c r="M13" s="31" t="n">
        <x:v>0.4568938204</x:v>
      </x:c>
      <x:c r="N13" s="38" t="str">
        <x:v>MXN/USD</x:v>
      </x:c>
      <x:c r="O13" s="38" t="str">
        <x:v>XLF,XLV</x:v>
      </x:c>
      <x:c r="P13" s="38" t="n">
        <x:v>5.551115123e-17</x:v>
      </x:c>
    </x:row>
    <x:row r="14" ht="19" customHeight="1">
      <x:c r="A14" s="29" t="str">
        <x:v>stagger_1</x:v>
      </x:c>
      <x:c r="B14" s="38" t="str">
        <x:v>STX</x:v>
      </x:c>
      <x:c r="C14" s="38" t="str">
        <x:v>Seagate Technology Holdings plc</x:v>
      </x:c>
      <x:c r="D14" s="38" t="str">
        <x:v>SGD</x:v>
      </x:c>
      <x:c r="E14" s="38" t="str">
        <x:v>XLK</x:v>
      </x:c>
      <x:c r="F14" s="30" t="n">
        <x:v>80</x:v>
      </x:c>
      <x:c r="G14" s="39" t="d">
        <x:v>2020-07-20T00:00:00.000Z</x:v>
      </x:c>
      <x:c r="H14" s="39" t="d">
        <x:v>2026-08-10T00:00:00.000Z</x:v>
      </x:c>
      <x:c r="I14" s="38" t="n">
        <x:v>0.1716249469</x:v>
      </x:c>
      <x:c r="J14" s="38" t="n">
        <x:v>0.1116384474</x:v>
      </x:c>
      <x:c r="K14" s="31" t="n">
        <x:f>1-J14/I14</x:f>
        <x:v>0.34952086269225235</x:v>
      </x:c>
      <x:c r="L14" s="31" t="n">
        <x:f>1-(J14/I14)^2</x:f>
        <x:v>0.5768768919273684</x:v>
      </x:c>
      <x:c r="M14" s="31" t="n">
        <x:v>0.5768768921</x:v>
      </x:c>
      <x:c r="N14" s="38" t="str">
        <x:v>AUD/USD,EUR/USD,MXN/USD</x:v>
      </x:c>
      <x:c r="O14" s="38"/>
      <x:c r="P14" s="38" t="n">
        <x:v>1.387778781e-16</x:v>
      </x:c>
    </x:row>
    <x:row r="15" ht="19" customHeight="1">
      <x:c r="A15" s="29" t="str">
        <x:v>stagger_1</x:v>
      </x:c>
      <x:c r="B15" s="38" t="str">
        <x:v>VLO</x:v>
      </x:c>
      <x:c r="C15" s="38" t="str">
        <x:v>Valero Energy Corporation</x:v>
      </x:c>
      <x:c r="D15" s="38" t="str">
        <x:v>USD</x:v>
      </x:c>
      <x:c r="E15" s="38" t="str">
        <x:v>XLE</x:v>
      </x:c>
      <x:c r="F15" s="30" t="n">
        <x:v>80</x:v>
      </x:c>
      <x:c r="G15" s="39" t="d">
        <x:v>2020-07-20T00:00:00.000Z</x:v>
      </x:c>
      <x:c r="H15" s="39" t="d">
        <x:v>2026-08-10T00:00:00.000Z</x:v>
      </x:c>
      <x:c r="I15" s="38" t="n">
        <x:v>0.1099660181</x:v>
      </x:c>
      <x:c r="J15" s="38" t="n">
        <x:v>0.0689462514</x:v>
      </x:c>
      <x:c r="K15" s="31" t="n">
        <x:f>1-J15/I15</x:f>
        <x:v>0.3730222063937767</x:v>
      </x:c>
      <x:c r="L15" s="31" t="n">
        <x:f>1-(J15/I15)^2</x:f>
        <x:v>0.6068988463246721</x:v>
      </x:c>
      <x:c r="M15" s="31" t="n">
        <x:v>0.6068988469</x:v>
      </x:c>
      <x:c r="N15" s="38"/>
      <x:c r="O15" s="38"/>
      <x:c r="P15" s="38" t="n">
        <x:v>2.775557562e-17</x:v>
      </x:c>
    </x:row>
    <x:row r="16" ht="19" customHeight="1">
      <x:c r="A16" s="29" t="str">
        <x:v>stagger_1</x:v>
      </x:c>
      <x:c r="B16" s="38" t="str">
        <x:v>CF</x:v>
      </x:c>
      <x:c r="C16" s="38" t="str">
        <x:v>CF Industries Holdings, Inc.</x:v>
      </x:c>
      <x:c r="D16" s="38" t="str">
        <x:v>USD</x:v>
      </x:c>
      <x:c r="E16" s="38" t="str">
        <x:v>XLB</x:v>
      </x:c>
      <x:c r="F16" s="30" t="n">
        <x:v>80</x:v>
      </x:c>
      <x:c r="G16" s="39" t="d">
        <x:v>2020-07-20T00:00:00.000Z</x:v>
      </x:c>
      <x:c r="H16" s="39" t="d">
        <x:v>2026-08-10T00:00:00.000Z</x:v>
      </x:c>
      <x:c r="I16" s="38" t="n">
        <x:v>0.1061590311</x:v>
      </x:c>
      <x:c r="J16" s="38" t="n">
        <x:v>0.0788120946</x:v>
      </x:c>
      <x:c r="K16" s="31" t="n">
        <x:f>1-J16/I16</x:f>
        <x:v>0.25760348617198336</x:v>
      </x:c>
      <x:c r="L16" s="31" t="n">
        <x:f>1-(J16/I16)^2</x:f>
        <x:v>0.44884741625600755</x:v>
      </x:c>
      <x:c r="M16" s="31" t="n">
        <x:v>0.4488474153</x:v>
      </x:c>
      <x:c r="N16" s="38" t="str">
        <x:v>CAD/USD,MXN/USD</x:v>
      </x:c>
      <x:c r="O16" s="38" t="str">
        <x:v>XLE,XLY</x:v>
      </x:c>
      <x:c r="P16" s="38" t="n">
        <x:v>2.775557562e-17</x:v>
      </x:c>
    </x:row>
    <x:row r="17" ht="19" customHeight="1">
      <x:c r="A17" s="29" t="str">
        <x:v>stagger_1</x:v>
      </x:c>
      <x:c r="B17" s="38" t="str">
        <x:v>NTR</x:v>
      </x:c>
      <x:c r="C17" s="38" t="str">
        <x:v>Nutrien Ltd.</x:v>
      </x:c>
      <x:c r="D17" s="38" t="str">
        <x:v>CAD</x:v>
      </x:c>
      <x:c r="E17" s="38" t="str">
        <x:v>XLB</x:v>
      </x:c>
      <x:c r="F17" s="30" t="n">
        <x:v>80</x:v>
      </x:c>
      <x:c r="G17" s="39" t="d">
        <x:v>2020-07-20T00:00:00.000Z</x:v>
      </x:c>
      <x:c r="H17" s="39" t="d">
        <x:v>2026-08-10T00:00:00.000Z</x:v>
      </x:c>
      <x:c r="I17" s="38" t="n">
        <x:v>0.0742500309</x:v>
      </x:c>
      <x:c r="J17" s="38" t="n">
        <x:v>0.0586745101</x:v>
      </x:c>
      <x:c r="K17" s="31" t="n">
        <x:f>1-J17/I17</x:f>
        <x:v>0.20977123660698704</x:v>
      </x:c>
      <x:c r="L17" s="31" t="n">
        <x:f>1-(J17/I17)^2</x:f>
        <x:v>0.3755385015063496</x:v>
      </x:c>
      <x:c r="M17" s="31" t="n">
        <x:v>0.3755385009</x:v>
      </x:c>
      <x:c r="N17" s="38" t="str">
        <x:v>AUD/USD,DKK/USD</x:v>
      </x:c>
      <x:c r="O17" s="38" t="str">
        <x:v>XLK</x:v>
      </x:c>
      <x:c r="P17" s="38" t="n">
        <x:v>2.775557562e-17</x:v>
      </x:c>
    </x:row>
    <x:row r="18" ht="19" customHeight="1">
      <x:c r="A18" s="29" t="str">
        <x:v>stagger_1</x:v>
      </x:c>
      <x:c r="B18" s="38" t="str">
        <x:v>LNN</x:v>
      </x:c>
      <x:c r="C18" s="38" t="str">
        <x:v>Lindsay Corporation</x:v>
      </x:c>
      <x:c r="D18" s="38" t="str">
        <x:v>USD</x:v>
      </x:c>
      <x:c r="E18" s="38" t="str">
        <x:v>XLI</x:v>
      </x:c>
      <x:c r="F18" s="30" t="n">
        <x:v>80</x:v>
      </x:c>
      <x:c r="G18" s="39" t="d">
        <x:v>2020-07-20T00:00:00.000Z</x:v>
      </x:c>
      <x:c r="H18" s="39" t="d">
        <x:v>2026-08-10T00:00:00.000Z</x:v>
      </x:c>
      <x:c r="I18" s="38" t="n">
        <x:v>0.0747298805</x:v>
      </x:c>
      <x:c r="J18" s="38" t="n">
        <x:v>0.0559064375</x:v>
      </x:c>
      <x:c r="K18" s="31" t="n">
        <x:f>1-J18/I18</x:f>
        <x:v>0.2518864324960348</x:v>
      </x:c>
      <x:c r="L18" s="31" t="n">
        <x:f>1-(J18/I18)^2</x:f>
        <x:v>0.44032609011649015</x:v>
      </x:c>
      <x:c r="M18" s="31" t="n">
        <x:v>0.4403260893</x:v>
      </x:c>
      <x:c r="N18" s="38" t="str">
        <x:v>SGD/USD</x:v>
      </x:c>
      <x:c r="O18" s="38" t="str">
        <x:v>XLC,XLF,XLK,XLP,XLRE,XLV,XLY</x:v>
      </x:c>
      <x:c r="P18" s="38" t="n">
        <x:v>5.551115123e-17</x:v>
      </x:c>
    </x:row>
    <x:row r="19" ht="19" customHeight="1">
      <x:c r="A19" s="29" t="str">
        <x:v>stagger_1</x:v>
      </x:c>
      <x:c r="B19" s="38" t="str">
        <x:v>WDC</x:v>
      </x:c>
      <x:c r="C19" s="38" t="str">
        <x:v>Western Digital Corporation</x:v>
      </x:c>
      <x:c r="D19" s="38" t="str">
        <x:v>USD</x:v>
      </x:c>
      <x:c r="E19" s="38" t="str">
        <x:v>XLK</x:v>
      </x:c>
      <x:c r="F19" s="30" t="n">
        <x:v>80</x:v>
      </x:c>
      <x:c r="G19" s="39" t="d">
        <x:v>2020-07-20T00:00:00.000Z</x:v>
      </x:c>
      <x:c r="H19" s="39" t="d">
        <x:v>2026-08-10T00:00:00.000Z</x:v>
      </x:c>
      <x:c r="I19" s="38" t="n">
        <x:v>0.1819368091</x:v>
      </x:c>
      <x:c r="J19" s="38" t="n">
        <x:v>0.1319188886</x:v>
      </x:c>
      <x:c r="K19" s="31" t="n">
        <x:f>1-J19/I19</x:f>
        <x:v>0.2749191917096231</x:v>
      </x:c>
      <x:c r="L19" s="31" t="n">
        <x:f>1-(J19/I19)^2</x:f>
        <x:v>0.47425782144897366</x:v>
      </x:c>
      <x:c r="M19" s="31" t="n">
        <x:v>0.4742578213</x:v>
      </x:c>
      <x:c r="N19" s="38" t="str">
        <x:v>AUD/USD,EUR/USD,MXN/USD</x:v>
      </x:c>
      <x:c r="O19" s="38" t="str">
        <x:v>XLI</x:v>
      </x:c>
      <x:c r="P19" s="38" t="n">
        <x:v>1.110223025e-16</x:v>
      </x:c>
    </x:row>
    <x:row r="20" ht="19" customHeight="1">
      <x:c r="A20" s="29" t="str">
        <x:v>stagger_1</x:v>
      </x:c>
      <x:c r="B20" s="38" t="str">
        <x:v>ASND</x:v>
      </x:c>
      <x:c r="C20" s="38" t="str">
        <x:v>Ascendis Pharma A/S</x:v>
      </x:c>
      <x:c r="D20" s="38" t="str">
        <x:v>DKK</x:v>
      </x:c>
      <x:c r="E20" s="38" t="str">
        <x:v>XLV</x:v>
      </x:c>
      <x:c r="F20" s="30" t="n">
        <x:v>80</x:v>
      </x:c>
      <x:c r="G20" s="39" t="d">
        <x:v>2020-07-20T00:00:00.000Z</x:v>
      </x:c>
      <x:c r="H20" s="39" t="d">
        <x:v>2026-08-10T00:00:00.000Z</x:v>
      </x:c>
      <x:c r="I20" s="38" t="n">
        <x:v>0.1039460161</x:v>
      </x:c>
      <x:c r="J20" s="38" t="n">
        <x:v>0.1015509243</x:v>
      </x:c>
      <x:c r="K20" s="31" t="n">
        <x:f>1-J20/I20</x:f>
        <x:v>0.023041689233147977</x:v>
      </x:c>
      <x:c r="L20" s="31" t="n">
        <x:f>1-(J20/I20)^2</x:f>
        <x:v>0.04555245902357896</x:v>
      </x:c>
      <x:c r="M20" s="31" t="n">
        <x:v>0.0455524589</x:v>
      </x:c>
      <x:c r="N20" s="38"/>
      <x:c r="O20" s="38"/>
      <x:c r="P20" s="38" t="n">
        <x:v>5.551115123e-17</x:v>
      </x:c>
    </x:row>
    <x:row r="21" ht="19" customHeight="1">
      <x:c r="A21" s="29" t="str">
        <x:v>stagger_1</x:v>
      </x:c>
      <x:c r="B21" s="38" t="str">
        <x:v>DOCN</x:v>
      </x:c>
      <x:c r="C21" s="38" t="str">
        <x:v>DigitalOcean Holdings, Inc.</x:v>
      </x:c>
      <x:c r="D21" s="38" t="str">
        <x:v>USD</x:v>
      </x:c>
      <x:c r="E21" s="38" t="str">
        <x:v>XLK</x:v>
      </x:c>
      <x:c r="F21" s="30" t="n">
        <x:v>70</x:v>
      </x:c>
      <x:c r="G21" s="39" t="d">
        <x:v>2021-04-26T00:00:00.000Z</x:v>
      </x:c>
      <x:c r="H21" s="39" t="d">
        <x:v>2026-08-10T00:00:00.000Z</x:v>
      </x:c>
      <x:c r="I21" s="38" t="n">
        <x:v>0.2071760013</x:v>
      </x:c>
      <x:c r="J21" s="38" t="n">
        <x:v>0.1681758986</x:v>
      </x:c>
      <x:c r="K21" s="31" t="n">
        <x:f>1-J21/I21</x:f>
        <x:v>0.18824623728269618</x:v>
      </x:c>
      <x:c r="L21" s="31" t="n">
        <x:f>1-(J21/I21)^2</x:f>
        <x:v>0.3410558287142992</x:v>
      </x:c>
      <x:c r="M21" s="31" t="n">
        <x:v>0.3410558289</x:v>
      </x:c>
      <x:c r="N21" s="38"/>
      <x:c r="O21" s="38" t="str">
        <x:v>XLE</x:v>
      </x:c>
      <x:c r="P21" s="38" t="n">
        <x:v>4.163336342e-17</x:v>
      </x:c>
    </x:row>
    <x:row r="22" ht="19" customHeight="1">
      <x:c r="A22" s="29" t="str">
        <x:v>stagger_1</x:v>
      </x:c>
      <x:c r="B22" s="38" t="str">
        <x:v>CME</x:v>
      </x:c>
      <x:c r="C22" s="38" t="str">
        <x:v>CME Group Inc.</x:v>
      </x:c>
      <x:c r="D22" s="38" t="str">
        <x:v>USD</x:v>
      </x:c>
      <x:c r="E22" s="38" t="str">
        <x:v>XLF</x:v>
      </x:c>
      <x:c r="F22" s="30" t="n">
        <x:v>80</x:v>
      </x:c>
      <x:c r="G22" s="39" t="d">
        <x:v>2020-07-20T00:00:00.000Z</x:v>
      </x:c>
      <x:c r="H22" s="39" t="d">
        <x:v>2026-08-10T00:00:00.000Z</x:v>
      </x:c>
      <x:c r="I22" s="38" t="n">
        <x:v>0.0577690082</x:v>
      </x:c>
      <x:c r="J22" s="38" t="n">
        <x:v>0.051200386</x:v>
      </x:c>
      <x:c r="K22" s="31" t="n">
        <x:f>1-J22/I22</x:f>
        <x:v>0.11370495019161497</x:v>
      </x:c>
      <x:c r="L22" s="31" t="n">
        <x:f>1-(J22/I22)^2</x:f>
        <x:v>0.21448108468515226</x:v>
      </x:c>
      <x:c r="M22" s="31" t="n">
        <x:v>0.2144810844</x:v>
      </x:c>
      <x:c r="N22" s="38" t="str">
        <x:v>SGD/USD</x:v>
      </x:c>
      <x:c r="O22" s="38" t="str">
        <x:v>XLE</x:v>
      </x:c>
      <x:c r="P22" s="38" t="n">
        <x:v>1.387778781e-17</x:v>
      </x:c>
    </x:row>
    <x:row r="23" ht="19" customHeight="1">
      <x:c r="A23" s="29" t="str">
        <x:v>stagger_1</x:v>
      </x:c>
      <x:c r="B23" s="38" t="str">
        <x:v>NET</x:v>
      </x:c>
      <x:c r="C23" s="38" t="str">
        <x:v>Cloudflare, Inc.</x:v>
      </x:c>
      <x:c r="D23" s="38" t="str">
        <x:v>USD</x:v>
      </x:c>
      <x:c r="E23" s="38" t="str">
        <x:v>XLK</x:v>
      </x:c>
      <x:c r="F23" s="30" t="n">
        <x:v>80</x:v>
      </x:c>
      <x:c r="G23" s="39" t="d">
        <x:v>2020-07-20T00:00:00.000Z</x:v>
      </x:c>
      <x:c r="H23" s="39" t="d">
        <x:v>2026-08-10T00:00:00.000Z</x:v>
      </x:c>
      <x:c r="I23" s="38" t="n">
        <x:v>0.1505181581</x:v>
      </x:c>
      <x:c r="J23" s="38" t="n">
        <x:v>0.1231015713</x:v>
      </x:c>
      <x:c r="K23" s="31" t="n">
        <x:f>1-J23/I23</x:f>
        <x:v>0.18214803546682512</x:v>
      </x:c>
      <x:c r="L23" s="31" t="n">
        <x:f>1-(J23/I23)^2</x:f>
        <x:v>0.33111816410922645</x:v>
      </x:c>
      <x:c r="M23" s="31" t="n">
        <x:v>0.3311181643</x:v>
      </x:c>
      <x:c r="N23" s="38" t="str">
        <x:v>DKK/USD,EUR/USD</x:v>
      </x:c>
      <x:c r="O23" s="38" t="str">
        <x:v>XLE,XLP,XLY</x:v>
      </x:c>
      <x:c r="P23" s="38" t="n">
        <x:v>5.551115123e-17</x:v>
      </x:c>
    </x:row>
    <x:row r="24" ht="19" customHeight="1">
      <x:c r="A24" s="29" t="str">
        <x:v>stagger_1</x:v>
      </x:c>
      <x:c r="B24" s="38" t="str">
        <x:v>MRNA</x:v>
      </x:c>
      <x:c r="C24" s="38" t="str">
        <x:v>Moderna, Inc.</x:v>
      </x:c>
      <x:c r="D24" s="38" t="str">
        <x:v>USD</x:v>
      </x:c>
      <x:c r="E24" s="38" t="str">
        <x:v>XLV</x:v>
      </x:c>
      <x:c r="F24" s="30" t="n">
        <x:v>80</x:v>
      </x:c>
      <x:c r="G24" s="39" t="d">
        <x:v>2020-07-20T00:00:00.000Z</x:v>
      </x:c>
      <x:c r="H24" s="39" t="d">
        <x:v>2026-08-10T00:00:00.000Z</x:v>
      </x:c>
      <x:c r="I24" s="38" t="n">
        <x:v>0.1897742975</x:v>
      </x:c>
      <x:c r="J24" s="38" t="n">
        <x:v>0.1754235148</x:v>
      </x:c>
      <x:c r="K24" s="31" t="n">
        <x:f>1-J24/I24</x:f>
        <x:v>0.07562026517315912</x:v>
      </x:c>
      <x:c r="L24" s="31" t="n">
        <x:f>1-(J24/I24)^2</x:f>
        <x:v>0.1455221058414593</x:v>
      </x:c>
      <x:c r="M24" s="31" t="n">
        <x:v>0.1455221056</x:v>
      </x:c>
      <x:c r="N24" s="38" t="str">
        <x:v>MXN/USD</x:v>
      </x:c>
      <x:c r="O24" s="38"/>
      <x:c r="P24" s="38" t="n">
        <x:v>5.551115123e-17</x:v>
      </x:c>
    </x:row>
    <x:row r="25" ht="19" customHeight="1">
      <x:c r="A25" s="29" t="str">
        <x:v>stagger_1</x:v>
      </x:c>
      <x:c r="B25" s="38" t="str">
        <x:v>AXON</x:v>
      </x:c>
      <x:c r="C25" s="38" t="str">
        <x:v>Axon Enterprise Inc</x:v>
      </x:c>
      <x:c r="D25" s="38" t="str">
        <x:v>USD</x:v>
      </x:c>
      <x:c r="E25" s="38" t="str">
        <x:v>XLI</x:v>
      </x:c>
      <x:c r="F25" s="30" t="n">
        <x:v>80</x:v>
      </x:c>
      <x:c r="G25" s="39" t="d">
        <x:v>2020-07-20T00:00:00.000Z</x:v>
      </x:c>
      <x:c r="H25" s="39" t="d">
        <x:v>2026-08-10T00:00:00.000Z</x:v>
      </x:c>
      <x:c r="I25" s="38" t="n">
        <x:v>0.1331197547</x:v>
      </x:c>
      <x:c r="J25" s="38" t="n">
        <x:v>0.1122600665</x:v>
      </x:c>
      <x:c r="K25" s="31" t="n">
        <x:f>1-J25/I25</x:f>
        <x:v>0.15669866765462126</x:v>
      </x:c>
      <x:c r="L25" s="31" t="n">
        <x:f>1-(J25/I25)^2</x:f>
        <x:v>0.2888428628645091</x:v>
      </x:c>
      <x:c r="M25" s="31" t="n">
        <x:v>0.2888428624</x:v>
      </x:c>
      <x:c r="N25" s="38" t="str">
        <x:v>AUD/USD,SGD/USD</x:v>
      </x:c>
      <x:c r="O25" s="38" t="str">
        <x:v>XLY</x:v>
      </x:c>
      <x:c r="P25" s="38" t="n">
        <x:v>5.551115123e-17</x:v>
      </x:c>
    </x:row>
    <x:row r="26" ht="19" customHeight="1">
      <x:c r="A26" s="29" t="str">
        <x:v>stagger_1</x:v>
      </x:c>
      <x:c r="B26" s="38" t="str">
        <x:v>NFLX</x:v>
      </x:c>
      <x:c r="C26" s="38" t="str">
        <x:v>Netflix, Inc.</x:v>
      </x:c>
      <x:c r="D26" s="38" t="str">
        <x:v>USD</x:v>
      </x:c>
      <x:c r="E26" s="38" t="str">
        <x:v>XLC</x:v>
      </x:c>
      <x:c r="F26" s="30" t="n">
        <x:v>80</x:v>
      </x:c>
      <x:c r="G26" s="39" t="d">
        <x:v>2020-07-20T00:00:00.000Z</x:v>
      </x:c>
      <x:c r="H26" s="39" t="d">
        <x:v>2026-08-10T00:00:00.000Z</x:v>
      </x:c>
      <x:c r="I26" s="38" t="n">
        <x:v>0.1147191527</x:v>
      </x:c>
      <x:c r="J26" s="38" t="n">
        <x:v>0.0947414839</x:v>
      </x:c>
      <x:c r="K26" s="31" t="n">
        <x:f>1-J26/I26</x:f>
        <x:v>0.1741441453306688</x:v>
      </x:c>
      <x:c r="L26" s="31" t="n">
        <x:f>1-(J26/I26)^2</x:f>
        <x:v>0.3179621073083885</x:v>
      </x:c>
      <x:c r="M26" s="31" t="n">
        <x:v>0.3179621073</x:v>
      </x:c>
      <x:c r="N26" s="38" t="str">
        <x:v>DKK/USD</x:v>
      </x:c>
      <x:c r="O26" s="38" t="str">
        <x:v>XLK,XLU</x:v>
      </x:c>
      <x:c r="P26" s="38" t="n">
        <x:v>5.551115123e-17</x:v>
      </x:c>
    </x:row>
    <x:row r="27" ht="19" customHeight="1">
      <x:c r="A27" s="29" t="str">
        <x:v>stagger_1</x:v>
      </x:c>
      <x:c r="B27" s="38" t="str">
        <x:v>CMCSA</x:v>
      </x:c>
      <x:c r="C27" s="38" t="str">
        <x:v>Comcast Corp</x:v>
      </x:c>
      <x:c r="D27" s="38" t="str">
        <x:v>USD</x:v>
      </x:c>
      <x:c r="E27" s="38" t="str">
        <x:v>XLC</x:v>
      </x:c>
      <x:c r="F27" s="30" t="n">
        <x:v>80</x:v>
      </x:c>
      <x:c r="G27" s="39" t="d">
        <x:v>2020-07-20T00:00:00.000Z</x:v>
      </x:c>
      <x:c r="H27" s="39" t="d">
        <x:v>2026-08-10T00:00:00.000Z</x:v>
      </x:c>
      <x:c r="I27" s="38" t="n">
        <x:v>0.0710733817</x:v>
      </x:c>
      <x:c r="J27" s="38" t="n">
        <x:v>0.0506695889</x:v>
      </x:c>
      <x:c r="K27" s="31" t="n">
        <x:f>1-J27/I27</x:f>
        <x:v>0.2870806525869867</x:v>
      </x:c>
      <x:c r="L27" s="31" t="n">
        <x:f>1-(J27/I27)^2</x:f>
        <x:v>0.4917460040842032</x:v>
      </x:c>
      <x:c r="M27" s="31" t="n">
        <x:v>0.4917460032</x:v>
      </x:c>
      <x:c r="N27" s="38" t="str">
        <x:v>SGD/USD</x:v>
      </x:c>
      <x:c r="O27" s="38" t="str">
        <x:v>XLE</x:v>
      </x:c>
      <x:c r="P27" s="38" t="n">
        <x:v>2.081668171e-17</x:v>
      </x:c>
    </x:row>
    <x:row r="28" ht="19" customHeight="1">
      <x:c r="A28" s="29" t="str">
        <x:v>stagger_1</x:v>
      </x:c>
      <x:c r="B28" s="38" t="str">
        <x:v>MU</x:v>
      </x:c>
      <x:c r="C28" s="38" t="str">
        <x:v>Micron Technology, Inc.</x:v>
      </x:c>
      <x:c r="D28" s="38" t="str">
        <x:v>USD</x:v>
      </x:c>
      <x:c r="E28" s="38" t="str">
        <x:v>XLK</x:v>
      </x:c>
      <x:c r="F28" s="30" t="n">
        <x:v>80</x:v>
      </x:c>
      <x:c r="G28" s="39" t="d">
        <x:v>2020-07-20T00:00:00.000Z</x:v>
      </x:c>
      <x:c r="H28" s="39" t="d">
        <x:v>2026-08-10T00:00:00.000Z</x:v>
      </x:c>
      <x:c r="I28" s="38" t="n">
        <x:v>0.1839648327</x:v>
      </x:c>
      <x:c r="J28" s="38" t="n">
        <x:v>0.1341629867</x:v>
      </x:c>
      <x:c r="K28" s="31" t="n">
        <x:f>1-J28/I28</x:f>
        <x:v>0.27071394716627273</x:v>
      </x:c>
      <x:c r="L28" s="31" t="n">
        <x:f>1-(J28/I28)^2</x:f>
        <x:v>0.4681418531422019</x:v>
      </x:c>
      <x:c r="M28" s="31" t="n">
        <x:v>0.4681418534</x:v>
      </x:c>
      <x:c r="N28" s="38" t="str">
        <x:v>AUD/USD,EUR/USD,MXN/USD</x:v>
      </x:c>
      <x:c r="O28" s="38" t="str">
        <x:v>XLY</x:v>
      </x:c>
      <x:c r="P28" s="38" t="n">
        <x:v>1.110223025e-16</x:v>
      </x:c>
    </x:row>
    <x:row r="29" ht="19" customHeight="1">
      <x:c r="A29" s="29" t="str">
        <x:v>stagger_1</x:v>
      </x:c>
      <x:c r="B29" s="38" t="str">
        <x:v>NEM</x:v>
      </x:c>
      <x:c r="C29" s="38" t="str">
        <x:v>Newmont Corporation</x:v>
      </x:c>
      <x:c r="D29" s="38" t="str">
        <x:v>USD</x:v>
      </x:c>
      <x:c r="E29" s="38" t="str">
        <x:v>XLB</x:v>
      </x:c>
      <x:c r="F29" s="30" t="n">
        <x:v>80</x:v>
      </x:c>
      <x:c r="G29" s="39" t="d">
        <x:v>2020-07-20T00:00:00.000Z</x:v>
      </x:c>
      <x:c r="H29" s="39" t="d">
        <x:v>2026-08-10T00:00:00.000Z</x:v>
      </x:c>
      <x:c r="I29" s="38" t="n">
        <x:v>0.1248098645</x:v>
      </x:c>
      <x:c r="J29" s="38" t="n">
        <x:v>0.0969360046</x:v>
      </x:c>
      <x:c r="K29" s="31" t="n">
        <x:f>1-J29/I29</x:f>
        <x:v>0.223330583777695</x:v>
      </x:c>
      <x:c r="L29" s="31" t="n">
        <x:f>1-(J29/I29)^2</x:f>
        <x:v>0.39678461790490394</x:v>
      </x:c>
      <x:c r="M29" s="31" t="n">
        <x:v>0.396784618</x:v>
      </x:c>
      <x:c r="N29" s="38" t="str">
        <x:v>AUD/USD</x:v>
      </x:c>
      <x:c r="O29" s="38"/>
      <x:c r="P29" s="38" t="n">
        <x:v>5.551115123e-17</x:v>
      </x:c>
    </x:row>
    <x:row r="30" ht="19" customHeight="1">
      <x:c r="A30" s="29" t="str">
        <x:v>stagger_1</x:v>
      </x:c>
      <x:c r="B30" s="38" t="str">
        <x:v>PGR</x:v>
      </x:c>
      <x:c r="C30" s="38" t="str">
        <x:v>The Progressive Corporation</x:v>
      </x:c>
      <x:c r="D30" s="38" t="str">
        <x:v>USD</x:v>
      </x:c>
      <x:c r="E30" s="38" t="str">
        <x:v>XLF</x:v>
      </x:c>
      <x:c r="F30" s="30" t="n">
        <x:v>80</x:v>
      </x:c>
      <x:c r="G30" s="39" t="d">
        <x:v>2020-07-20T00:00:00.000Z</x:v>
      </x:c>
      <x:c r="H30" s="39" t="d">
        <x:v>2026-08-10T00:00:00.000Z</x:v>
      </x:c>
      <x:c r="I30" s="38" t="n">
        <x:v>0.054196633</x:v>
      </x:c>
      <x:c r="J30" s="38" t="n">
        <x:v>0.0485642066</x:v>
      </x:c>
      <x:c r="K30" s="31" t="n">
        <x:f>1-J30/I30</x:f>
        <x:v>0.10392576232549355</x:v>
      </x:c>
      <x:c r="L30" s="31" t="n">
        <x:f>1-(J30/I30)^2</x:f>
        <x:v>0.1970509605760521</x:v>
      </x:c>
      <x:c r="M30" s="31" t="n">
        <x:v>0.1970509617</x:v>
      </x:c>
      <x:c r="N30" s="38" t="str">
        <x:v>SGD/USD</x:v>
      </x:c>
      <x:c r="O30" s="38" t="str">
        <x:v>XLP</x:v>
      </x:c>
      <x:c r="P30" s="38" t="n">
        <x:v>1.387778781e-17</x:v>
      </x:c>
    </x:row>
    <x:row r="31" ht="19" customHeight="1">
      <x:c r="A31" s="29" t="str">
        <x:v>stagger_1</x:v>
      </x:c>
      <x:c r="B31" s="38" t="str">
        <x:v>ORKA</x:v>
      </x:c>
      <x:c r="C31" s="38" t="str">
        <x:v>Oruka Therapeutics, Inc.</x:v>
      </x:c>
      <x:c r="D31" s="38" t="str">
        <x:v>USD</x:v>
      </x:c>
      <x:c r="E31" s="38" t="str">
        <x:v>XLV</x:v>
      </x:c>
      <x:c r="F31" s="30" t="n">
        <x:v>80</x:v>
      </x:c>
      <x:c r="G31" s="39" t="d">
        <x:v>2020-07-20T00:00:00.000Z</x:v>
      </x:c>
      <x:c r="H31" s="39" t="d">
        <x:v>2026-08-10T00:00:00.000Z</x:v>
      </x:c>
      <x:c r="I31" s="38" t="n">
        <x:v>0.2015694218</x:v>
      </x:c>
      <x:c r="J31" s="38" t="n">
        <x:v>0.1721594317</x:v>
      </x:c>
      <x:c r="K31" s="31" t="n">
        <x:f>1-J31/I31</x:f>
        <x:v>0.14590501792072907</x:v>
      </x:c>
      <x:c r="L31" s="31" t="n">
        <x:f>1-(J31/I31)^2</x:f>
        <x:v>0.2705217615870099</x:v>
      </x:c>
      <x:c r="M31" s="31" t="n">
        <x:v>0.270521762</x:v>
      </x:c>
      <x:c r="N31" s="38" t="str">
        <x:v>AUD/USD,SGD/USD</x:v>
      </x:c>
      <x:c r="O31" s="38" t="str">
        <x:v>XLC,XLF,XLK,XLP,XLY</x:v>
      </x:c>
      <x:c r="P31" s="38" t="n">
        <x:v>1.110223025e-16</x:v>
      </x:c>
    </x:row>
    <x:row r="32" ht="19" customHeight="1">
      <x:c r="A32" s="29" t="str">
        <x:v>stagger_1</x:v>
      </x:c>
      <x:c r="B32" s="38" t="str">
        <x:v>UPST</x:v>
      </x:c>
      <x:c r="C32" s="38" t="str">
        <x:v>Upstart Holdings Inc.</x:v>
      </x:c>
      <x:c r="D32" s="38" t="str">
        <x:v>USD</x:v>
      </x:c>
      <x:c r="E32" s="38" t="str">
        <x:v>XLF</x:v>
      </x:c>
      <x:c r="F32" s="30" t="n">
        <x:v>73</x:v>
      </x:c>
      <x:c r="G32" s="39" t="d">
        <x:v>2021-02-01T00:00:00.000Z</x:v>
      </x:c>
      <x:c r="H32" s="39" t="d">
        <x:v>2026-08-10T00:00:00.000Z</x:v>
      </x:c>
      <x:c r="I32" s="38" t="n">
        <x:v>0.2785196281</x:v>
      </x:c>
      <x:c r="J32" s="38" t="n">
        <x:v>0.2333223293</x:v>
      </x:c>
      <x:c r="K32" s="31" t="n">
        <x:f>1-J32/I32</x:f>
        <x:v>0.16227688909512816</x:v>
      </x:c>
      <x:c r="L32" s="31" t="n">
        <x:f>1-(J32/I32)^2</x:f>
        <x:v>0.2982199894558638</x:v>
      </x:c>
      <x:c r="M32" s="31" t="n">
        <x:v>0.2982199895</x:v>
      </x:c>
      <x:c r="N32" s="38" t="str">
        <x:v>DKK/USD,EUR/USD</x:v>
      </x:c>
      <x:c r="O32" s="38" t="str">
        <x:v>XLP</x:v>
      </x:c>
      <x:c r="P32" s="38" t="n">
        <x:v>1.110223025e-16</x:v>
      </x:c>
    </x:row>
    <x:row r="33" ht="19" customHeight="1">
      <x:c r="A33" s="29" t="str">
        <x:v>stagger_1</x:v>
      </x:c>
      <x:c r="B33" s="38" t="str">
        <x:v>PG</x:v>
      </x:c>
      <x:c r="C33" s="38" t="str">
        <x:v>The Procter &amp; Gamble Company</x:v>
      </x:c>
      <x:c r="D33" s="38" t="str">
        <x:v>USD</x:v>
      </x:c>
      <x:c r="E33" s="38" t="str">
        <x:v>XLP</x:v>
      </x:c>
      <x:c r="F33" s="30" t="n">
        <x:v>80</x:v>
      </x:c>
      <x:c r="G33" s="39" t="d">
        <x:v>2020-07-20T00:00:00.000Z</x:v>
      </x:c>
      <x:c r="H33" s="39" t="d">
        <x:v>2026-08-10T00:00:00.000Z</x:v>
      </x:c>
      <x:c r="I33" s="38" t="n">
        <x:v>0.0521258075</x:v>
      </x:c>
      <x:c r="J33" s="38" t="n">
        <x:v>0.0357087683</x:v>
      </x:c>
      <x:c r="K33" s="31" t="n">
        <x:f>1-J33/I33</x:f>
        <x:v>0.3149503094028808</x:v>
      </x:c>
      <x:c r="L33" s="31" t="n">
        <x:f>1-(J33/I33)^2</x:f>
        <x:v>0.5307069214127913</x:v>
      </x:c>
      <x:c r="M33" s="31" t="n">
        <x:v>0.5307069205</x:v>
      </x:c>
      <x:c r="N33" s="38" t="str">
        <x:v>CAD/USD,SGD/USD</x:v>
      </x:c>
      <x:c r="O33" s="38"/>
      <x:c r="P33" s="38" t="n">
        <x:v>1.387778781e-17</x:v>
      </x:c>
    </x:row>
    <x:row r="34" ht="19" customHeight="1">
      <x:c r="A34" s="29" t="str">
        <x:v>stagger_1</x:v>
      </x:c>
      <x:c r="B34" s="38" t="str">
        <x:v>F</x:v>
      </x:c>
      <x:c r="C34" s="38" t="str">
        <x:v>Ford Motor Company</x:v>
      </x:c>
      <x:c r="D34" s="38" t="str">
        <x:v>USD</x:v>
      </x:c>
      <x:c r="E34" s="38" t="str">
        <x:v>XLY</x:v>
      </x:c>
      <x:c r="F34" s="30" t="n">
        <x:v>80</x:v>
      </x:c>
      <x:c r="G34" s="39" t="d">
        <x:v>2020-07-20T00:00:00.000Z</x:v>
      </x:c>
      <x:c r="H34" s="39" t="d">
        <x:v>2026-08-10T00:00:00.000Z</x:v>
      </x:c>
      <x:c r="I34" s="38" t="n">
        <x:v>0.1042902949</x:v>
      </x:c>
      <x:c r="J34" s="38" t="n">
        <x:v>0.0847579964</x:v>
      </x:c>
      <x:c r="K34" s="31" t="n">
        <x:f>1-J34/I34</x:f>
        <x:v>0.1872877866414011</x:v>
      </x:c>
      <x:c r="L34" s="31" t="n">
        <x:f>1-(J34/I34)^2</x:f>
        <x:v>0.33949885825776727</x:v>
      </x:c>
      <x:c r="M34" s="31" t="n">
        <x:v>0.3394988582</x:v>
      </x:c>
      <x:c r="N34" s="38" t="str">
        <x:v>AUD/USD,MXN/USD</x:v>
      </x:c>
      <x:c r="O34" s="38"/>
      <x:c r="P34" s="38" t="n">
        <x:v>5.551115123e-17</x:v>
      </x:c>
    </x:row>
    <x:row r="35" ht="19" customHeight="1">
      <x:c r="A35" s="29" t="str">
        <x:v>stagger_1</x:v>
      </x:c>
      <x:c r="B35" s="38" t="str">
        <x:v>HPE</x:v>
      </x:c>
      <x:c r="C35" s="38" t="str">
        <x:v>Hewlett Packard Enterprise Company</x:v>
      </x:c>
      <x:c r="D35" s="38" t="str">
        <x:v>USD</x:v>
      </x:c>
      <x:c r="E35" s="38" t="str">
        <x:v>XLK</x:v>
      </x:c>
      <x:c r="F35" s="30" t="n">
        <x:v>80</x:v>
      </x:c>
      <x:c r="G35" s="39" t="d">
        <x:v>2020-07-20T00:00:00.000Z</x:v>
      </x:c>
      <x:c r="H35" s="39" t="d">
        <x:v>2026-08-10T00:00:00.000Z</x:v>
      </x:c>
      <x:c r="I35" s="38" t="n">
        <x:v>0.1168563953</x:v>
      </x:c>
      <x:c r="J35" s="38" t="n">
        <x:v>0.0810217281</x:v>
      </x:c>
      <x:c r="K35" s="31" t="n">
        <x:f>1-J35/I35</x:f>
        <x:v>0.30665559302940437</x:v>
      </x:c>
      <x:c r="L35" s="31" t="n">
        <x:f>1-(J35/I35)^2</x:f>
        <x:v>0.5192735333225931</x:v>
      </x:c>
      <x:c r="M35" s="31" t="n">
        <x:v>0.5192735328</x:v>
      </x:c>
      <x:c r="N35" s="38"/>
      <x:c r="O35" s="38" t="str">
        <x:v>XLC,XLE,XLF,XLRE</x:v>
      </x:c>
      <x:c r="P35" s="38" t="n">
        <x:v>2.775557562e-17</x:v>
      </x:c>
    </x:row>
    <x:row r="36" ht="19" customHeight="1">
      <x:c r="A36" s="29" t="str">
        <x:v>stagger_1</x:v>
      </x:c>
      <x:c r="B36" s="38" t="str">
        <x:v>BA</x:v>
      </x:c>
      <x:c r="C36" s="38" t="str">
        <x:v>The Boeing Company</x:v>
      </x:c>
      <x:c r="D36" s="38" t="str">
        <x:v>USD</x:v>
      </x:c>
      <x:c r="E36" s="38" t="str">
        <x:v>XLI</x:v>
      </x:c>
      <x:c r="F36" s="30" t="n">
        <x:v>80</x:v>
      </x:c>
      <x:c r="G36" s="39" t="d">
        <x:v>2020-07-20T00:00:00.000Z</x:v>
      </x:c>
      <x:c r="H36" s="39" t="d">
        <x:v>2026-08-10T00:00:00.000Z</x:v>
      </x:c>
      <x:c r="I36" s="38" t="n">
        <x:v>0.0962072134</x:v>
      </x:c>
      <x:c r="J36" s="38" t="n">
        <x:v>0.0761115994</x:v>
      </x:c>
      <x:c r="K36" s="31" t="n">
        <x:f>1-J36/I36</x:f>
        <x:v>0.2088784540141354</x:v>
      </x:c>
      <x:c r="L36" s="31" t="n">
        <x:f>1-(J36/I36)^2</x:f>
        <x:v>0.37412669947693555</x:v>
      </x:c>
      <x:c r="M36" s="31" t="n">
        <x:v>0.3741266987</x:v>
      </x:c>
      <x:c r="N36" s="38" t="str">
        <x:v>MXN/USD,SGD/USD</x:v>
      </x:c>
      <x:c r="O36" s="38"/>
      <x:c r="P36" s="38" t="n">
        <x:v>5.551115123e-17</x:v>
      </x:c>
    </x:row>
    <x:row r="37" ht="19" customHeight="1">
      <x:c r="A37" s="29" t="str">
        <x:v>stagger_1</x:v>
      </x:c>
      <x:c r="B37" s="38" t="str">
        <x:v>HII</x:v>
      </x:c>
      <x:c r="C37" s="38" t="str">
        <x:v>Huntington Ingalls Industries, Inc.</x:v>
      </x:c>
      <x:c r="D37" s="38" t="str">
        <x:v>USD</x:v>
      </x:c>
      <x:c r="E37" s="38" t="str">
        <x:v>XLI</x:v>
      </x:c>
      <x:c r="F37" s="30" t="n">
        <x:v>80</x:v>
      </x:c>
      <x:c r="G37" s="39" t="d">
        <x:v>2020-07-20T00:00:00.000Z</x:v>
      </x:c>
      <x:c r="H37" s="39" t="d">
        <x:v>2026-08-10T00:00:00.000Z</x:v>
      </x:c>
      <x:c r="I37" s="38" t="n">
        <x:v>0.0944203736</x:v>
      </x:c>
      <x:c r="J37" s="38" t="n">
        <x:v>0.0758731485</x:v>
      </x:c>
      <x:c r="K37" s="31" t="n">
        <x:f>1-J37/I37</x:f>
        <x:v>0.1964324477106284</x:v>
      </x:c>
      <x:c r="L37" s="31" t="n">
        <x:f>1-(J37/I37)^2</x:f>
        <x:v>0.3542791889076681</x:v>
      </x:c>
      <x:c r="M37" s="31" t="n">
        <x:v>0.3542791887</x:v>
      </x:c>
      <x:c r="N37" s="38" t="str">
        <x:v>AUD/USD</x:v>
      </x:c>
      <x:c r="O37" s="38" t="str">
        <x:v>XLF,XLK,XLRE</x:v>
      </x:c>
      <x:c r="P37" s="38" t="n">
        <x:v>2.775557562e-17</x:v>
      </x:c>
    </x:row>
    <x:row r="38" ht="19" customHeight="1">
      <x:c r="A38" s="29" t="str">
        <x:v>stagger_1</x:v>
      </x:c>
      <x:c r="B38" s="38" t="str">
        <x:v>AMD</x:v>
      </x:c>
      <x:c r="C38" s="38" t="str">
        <x:v>Advanced Micro Devices, Inc.</x:v>
      </x:c>
      <x:c r="D38" s="38" t="str">
        <x:v>USD</x:v>
      </x:c>
      <x:c r="E38" s="38" t="str">
        <x:v>XLK</x:v>
      </x:c>
      <x:c r="F38" s="30" t="n">
        <x:v>80</x:v>
      </x:c>
      <x:c r="G38" s="39" t="d">
        <x:v>2020-07-20T00:00:00.000Z</x:v>
      </x:c>
      <x:c r="H38" s="39" t="d">
        <x:v>2026-08-10T00:00:00.000Z</x:v>
      </x:c>
      <x:c r="I38" s="38" t="n">
        <x:v>0.1690601026</x:v>
      </x:c>
      <x:c r="J38" s="38" t="n">
        <x:v>0.1079718276</x:v>
      </x:c>
      <x:c r="K38" s="31" t="n">
        <x:f>1-J38/I38</x:f>
        <x:v>0.3613405768748186</x:v>
      </x:c>
      <x:c r="L38" s="31" t="n">
        <x:f>1-(J38/I38)^2</x:f>
        <x:v>0.5921141412534106</x:v>
      </x:c>
      <x:c r="M38" s="31" t="n">
        <x:v>0.5921141414</x:v>
      </x:c>
      <x:c r="N38" s="38" t="str">
        <x:v>DKK/USD,EUR/USD</x:v>
      </x:c>
      <x:c r="O38" s="38"/>
      <x:c r="P38" s="38" t="n">
        <x:v>5.551115123e-17</x:v>
      </x:c>
    </x:row>
    <x:row r="39" ht="19" customHeight="1">
      <x:c r="A39" s="29" t="str">
        <x:v>stagger_1</x:v>
      </x:c>
      <x:c r="B39" s="38" t="str">
        <x:v>LLY</x:v>
      </x:c>
      <x:c r="C39" s="38" t="str">
        <x:v>Eli Lilly and Company</x:v>
      </x:c>
      <x:c r="D39" s="38" t="str">
        <x:v>USD</x:v>
      </x:c>
      <x:c r="E39" s="38" t="str">
        <x:v>XLV</x:v>
      </x:c>
      <x:c r="F39" s="30" t="n">
        <x:v>80</x:v>
      </x:c>
      <x:c r="G39" s="39" t="d">
        <x:v>2020-07-20T00:00:00.000Z</x:v>
      </x:c>
      <x:c r="H39" s="39" t="d">
        <x:v>2026-08-10T00:00:00.000Z</x:v>
      </x:c>
      <x:c r="I39" s="38" t="n">
        <x:v>0.0896380793</x:v>
      </x:c>
      <x:c r="J39" s="38" t="n">
        <x:v>0.0676609248</x:v>
      </x:c>
      <x:c r="K39" s="31" t="n">
        <x:f>1-J39/I39</x:f>
        <x:v>0.2451765440717114</x:v>
      </x:c>
      <x:c r="L39" s="31" t="n">
        <x:f>1-(J39/I39)^2</x:f>
        <x:v>0.43024155038047496</x:v>
      </x:c>
      <x:c r="M39" s="31" t="n">
        <x:v>0.4302415503</x:v>
      </x:c>
      <x:c r="N39" s="38"/>
      <x:c r="O39" s="38" t="str">
        <x:v>XLU,XLY</x:v>
      </x:c>
      <x:c r="P39" s="38" t="n">
        <x:v>2.775557562e-17</x:v>
      </x:c>
    </x:row>
    <x:row r="40" ht="19" customHeight="1">
      <x:c r="A40" s="29" t="str">
        <x:v>stagger_1</x:v>
      </x:c>
      <x:c r="B40" s="38" t="str">
        <x:v>WELL</x:v>
      </x:c>
      <x:c r="C40" s="38" t="str">
        <x:v>Welltower Inc</x:v>
      </x:c>
      <x:c r="D40" s="38" t="str">
        <x:v>USD</x:v>
      </x:c>
      <x:c r="E40" s="38" t="str">
        <x:v>XLRE</x:v>
      </x:c>
      <x:c r="F40" s="30" t="n">
        <x:v>80</x:v>
      </x:c>
      <x:c r="G40" s="39" t="d">
        <x:v>2020-07-20T00:00:00.000Z</x:v>
      </x:c>
      <x:c r="H40" s="39" t="d">
        <x:v>2026-08-10T00:00:00.000Z</x:v>
      </x:c>
      <x:c r="I40" s="38" t="n">
        <x:v>0.0726453304</x:v>
      </x:c>
      <x:c r="J40" s="38" t="n">
        <x:v>0.0491900558</x:v>
      </x:c>
      <x:c r="K40" s="31" t="n">
        <x:f>1-J40/I40</x:f>
        <x:v>0.32287380993176673</x:v>
      </x:c>
      <x:c r="L40" s="31" t="n">
        <x:f>1-(J40/I40)^2</x:f>
        <x:v>0.5415001227236789</x:v>
      </x:c>
      <x:c r="M40" s="31" t="n">
        <x:v>0.5415001227</x:v>
      </x:c>
      <x:c r="N40" s="38" t="str">
        <x:v>AUD/USD</x:v>
      </x:c>
      <x:c r="O40" s="38" t="str">
        <x:v>XLB,XLK,XLY</x:v>
      </x:c>
      <x:c r="P40" s="38" t="n">
        <x:v>2.775557562e-17</x:v>
      </x:c>
    </x:row>
    <x:row r="41" ht="19" customHeight="1">
      <x:c r="A41" s="29" t="str">
        <x:v>stagger_1</x:v>
      </x:c>
      <x:c r="B41" s="38" t="str">
        <x:v>NOK</x:v>
      </x:c>
      <x:c r="C41" s="38" t="str">
        <x:v>Nokia Oyj</x:v>
      </x:c>
      <x:c r="D41" s="38" t="str">
        <x:v>EUR</x:v>
      </x:c>
      <x:c r="E41" s="38" t="str">
        <x:v>XLK</x:v>
      </x:c>
      <x:c r="F41" s="30" t="n">
        <x:v>80</x:v>
      </x:c>
      <x:c r="G41" s="39" t="d">
        <x:v>2020-07-20T00:00:00.000Z</x:v>
      </x:c>
      <x:c r="H41" s="39" t="d">
        <x:v>2026-08-10T00:00:00.000Z</x:v>
      </x:c>
      <x:c r="I41" s="38" t="n">
        <x:v>0.1329848132</x:v>
      </x:c>
      <x:c r="J41" s="38" t="n">
        <x:v>0.1132786332</x:v>
      </x:c>
      <x:c r="K41" s="31" t="n">
        <x:f>1-J41/I41</x:f>
        <x:v>0.14818368748891086</x:v>
      </x:c>
      <x:c r="L41" s="31" t="n">
        <x:f>1-(J41/I41)^2</x:f>
        <x:v>0.2744089697400105</x:v>
      </x:c>
      <x:c r="M41" s="31" t="n">
        <x:v>0.2744089698</x:v>
      </x:c>
      <x:c r="N41" s="38"/>
      <x:c r="O41" s="38" t="str">
        <x:v>XLE</x:v>
      </x:c>
      <x:c r="P41" s="38" t="n">
        <x:v>5.551115123e-17</x:v>
      </x:c>
    </x:row>
    <x:row r="42" ht="19" customHeight="1">
      <x:c r="A42" s="29" t="str">
        <x:v>stagger_1</x:v>
      </x:c>
      <x:c r="B42" s="38" t="str">
        <x:v>MSFT</x:v>
      </x:c>
      <x:c r="C42" s="38" t="str">
        <x:v>Microsoft Corporation</x:v>
      </x:c>
      <x:c r="D42" s="38" t="str">
        <x:v>USD</x:v>
      </x:c>
      <x:c r="E42" s="38" t="str">
        <x:v>XLK</x:v>
      </x:c>
      <x:c r="F42" s="30" t="n">
        <x:v>80</x:v>
      </x:c>
      <x:c r="G42" s="39" t="d">
        <x:v>2020-07-20T00:00:00.000Z</x:v>
      </x:c>
      <x:c r="H42" s="39" t="d">
        <x:v>2026-08-10T00:00:00.000Z</x:v>
      </x:c>
      <x:c r="I42" s="38" t="n">
        <x:v>0.0817084694</x:v>
      </x:c>
      <x:c r="J42" s="38" t="n">
        <x:v>0.0584803726</x:v>
      </x:c>
      <x:c r="K42" s="31" t="n">
        <x:f>1-J42/I42</x:f>
        <x:v>0.28428016055823957</x:v>
      </x:c>
      <x:c r="L42" s="31" t="n">
        <x:f>1-(J42/I42)^2</x:f>
        <x:v>0.48774511142946064</x:v>
      </x:c>
      <x:c r="M42" s="31" t="n">
        <x:v>0.4877451106</x:v>
      </x:c>
      <x:c r="N42" s="38" t="str">
        <x:v>DKK/USD,EUR/USD</x:v>
      </x:c>
      <x:c r="O42" s="38" t="str">
        <x:v>XLI</x:v>
      </x:c>
      <x:c r="P42" s="38" t="n">
        <x:v>3.469446952e-17</x:v>
      </x:c>
    </x:row>
    <x:row r="43" ht="19" customHeight="1">
      <x:c r="A43" s="29" t="str">
        <x:v>stagger_1</x:v>
      </x:c>
      <x:c r="B43" s="38" t="str">
        <x:v>GOOGL</x:v>
      </x:c>
      <x:c r="C43" s="38" t="str">
        <x:v>Alphabet Inc.</x:v>
      </x:c>
      <x:c r="D43" s="38" t="str">
        <x:v>USD</x:v>
      </x:c>
      <x:c r="E43" s="38" t="str">
        <x:v>XLC</x:v>
      </x:c>
      <x:c r="F43" s="30" t="n">
        <x:v>80</x:v>
      </x:c>
      <x:c r="G43" s="39" t="d">
        <x:v>2020-07-20T00:00:00.000Z</x:v>
      </x:c>
      <x:c r="H43" s="39" t="d">
        <x:v>2026-08-10T00:00:00.000Z</x:v>
      </x:c>
      <x:c r="I43" s="38" t="n">
        <x:v>0.0947913027</x:v>
      </x:c>
      <x:c r="J43" s="38" t="n">
        <x:v>0.0641561369</x:v>
      </x:c>
      <x:c r="K43" s="31" t="n">
        <x:f>1-J43/I43</x:f>
        <x:v>0.3231854075996363</x:v>
      </x:c>
      <x:c r="L43" s="31" t="n">
        <x:f>1-(J43/I43)^2</x:f>
        <x:v>0.5419220075139295</x:v>
      </x:c>
      <x:c r="M43" s="31" t="n">
        <x:v>0.5419220075</x:v>
      </x:c>
      <x:c r="N43" s="38" t="str">
        <x:v>AUD/USD,DKK/USD,EUR/USD,SGD/USD</x:v>
      </x:c>
      <x:c r="O43" s="38" t="str">
        <x:v>XLF,XLP</x:v>
      </x:c>
      <x:c r="P43" s="38" t="n">
        <x:v>4.163336342e-17</x:v>
      </x:c>
    </x:row>
    <x:row r="44" ht="19" customHeight="1">
      <x:c r="A44" s="29" t="str">
        <x:v>stagger_1</x:v>
      </x:c>
      <x:c r="B44" s="38" t="str">
        <x:v>COST</x:v>
      </x:c>
      <x:c r="C44" s="38" t="str">
        <x:v>Costco Wholesale Corporation</x:v>
      </x:c>
      <x:c r="D44" s="38" t="str">
        <x:v>USD</x:v>
      </x:c>
      <x:c r="E44" s="38" t="str">
        <x:v>XLP</x:v>
      </x:c>
      <x:c r="F44" s="30" t="n">
        <x:v>80</x:v>
      </x:c>
      <x:c r="G44" s="39" t="d">
        <x:v>2020-07-20T00:00:00.000Z</x:v>
      </x:c>
      <x:c r="H44" s="39" t="d">
        <x:v>2026-08-10T00:00:00.000Z</x:v>
      </x:c>
      <x:c r="I44" s="38" t="n">
        <x:v>0.0584798082</x:v>
      </x:c>
      <x:c r="J44" s="38" t="n">
        <x:v>0.043458692</x:v>
      </x:c>
      <x:c r="K44" s="31" t="n">
        <x:f>1-J44/I44</x:f>
        <x:v>0.2568598745848828</x:v>
      </x:c>
      <x:c r="L44" s="31" t="n">
        <x:f>1-(J44/I44)^2</x:f>
        <x:v>0.4477427539980039</x:v>
      </x:c>
      <x:c r="M44" s="31" t="n">
        <x:v>0.4477427538</x:v>
      </x:c>
      <x:c r="N44" s="38" t="str">
        <x:v>EUR/USD,SGD/USD</x:v>
      </x:c>
      <x:c r="O44" s="38" t="str">
        <x:v>XLI,XLY</x:v>
      </x:c>
      <x:c r="P44" s="38" t="n">
        <x:v>2.775557562e-17</x:v>
      </x:c>
    </x:row>
    <x:row r="45" ht="19" customHeight="1">
      <x:c r="A45" s="29" t="str">
        <x:v>stagger_1</x:v>
      </x:c>
      <x:c r="B45" s="38" t="str">
        <x:v>HD</x:v>
      </x:c>
      <x:c r="C45" s="38" t="str">
        <x:v>The Home Depot, Inc.</x:v>
      </x:c>
      <x:c r="D45" s="38" t="str">
        <x:v>USD</x:v>
      </x:c>
      <x:c r="E45" s="38" t="str">
        <x:v>XLY</x:v>
      </x:c>
      <x:c r="F45" s="30" t="n">
        <x:v>80</x:v>
      </x:c>
      <x:c r="G45" s="39" t="d">
        <x:v>2020-07-20T00:00:00.000Z</x:v>
      </x:c>
      <x:c r="H45" s="39" t="d">
        <x:v>2026-08-10T00:00:00.000Z</x:v>
      </x:c>
      <x:c r="I45" s="38" t="n">
        <x:v>0.07132581</x:v>
      </x:c>
      <x:c r="J45" s="38" t="n">
        <x:v>0.0541372048</x:v>
      </x:c>
      <x:c r="K45" s="31" t="n">
        <x:f>1-J45/I45</x:f>
        <x:v>0.24098717140401216</x:v>
      </x:c>
      <x:c r="L45" s="31" t="n">
        <x:f>1-(J45/I45)^2</x:f>
        <x:v>0.42389952602671754</x:v>
      </x:c>
      <x:c r="M45" s="31" t="n">
        <x:v>0.4238995252</x:v>
      </x:c>
      <x:c r="N45" s="38" t="str">
        <x:v>SGD/USD</x:v>
      </x:c>
      <x:c r="O45" s="38" t="str">
        <x:v>XLI</x:v>
      </x:c>
      <x:c r="P45" s="38" t="n">
        <x:v>3.469446952e-17</x:v>
      </x:c>
    </x:row>
    <x:row r="46" ht="19" customHeight="1">
      <x:c r="A46" s="29" t="str">
        <x:v>stagger_1</x:v>
      </x:c>
      <x:c r="B46" s="38" t="str">
        <x:v>KO</x:v>
      </x:c>
      <x:c r="C46" s="38" t="str">
        <x:v>The Coca-Cola Company</x:v>
      </x:c>
      <x:c r="D46" s="38" t="str">
        <x:v>USD</x:v>
      </x:c>
      <x:c r="E46" s="38" t="str">
        <x:v>XLP</x:v>
      </x:c>
      <x:c r="F46" s="30" t="n">
        <x:v>80</x:v>
      </x:c>
      <x:c r="G46" s="39" t="d">
        <x:v>2020-07-20T00:00:00.000Z</x:v>
      </x:c>
      <x:c r="H46" s="39" t="d">
        <x:v>2026-08-10T00:00:00.000Z</x:v>
      </x:c>
      <x:c r="I46" s="38" t="n">
        <x:v>0.0476126179</x:v>
      </x:c>
      <x:c r="J46" s="38" t="n">
        <x:v>0.0276327998</x:v>
      </x:c>
      <x:c r="K46" s="31" t="n">
        <x:f>1-J46/I46</x:f>
        <x:v>0.41963284064663875</x:v>
      </x:c>
      <x:c r="L46" s="31" t="n">
        <x:f>1-(J46/I46)^2</x:f>
        <x:v>0.6631739603441102</x:v>
      </x:c>
      <x:c r="M46" s="31" t="n">
        <x:v>0.6631739587</x:v>
      </x:c>
      <x:c r="N46" s="38" t="str">
        <x:v>SGD/USD</x:v>
      </x:c>
      <x:c r="O46" s="38" t="str">
        <x:v>XLB,XLC,XLE</x:v>
      </x:c>
      <x:c r="P46" s="38" t="n">
        <x:v>2.081668171e-17</x:v>
      </x:c>
    </x:row>
    <x:row r="47" ht="19" customHeight="1">
      <x:c r="A47" s="29" t="str">
        <x:v>stagger_1</x:v>
      </x:c>
      <x:c r="B47" s="38" t="str">
        <x:v>JNJ</x:v>
      </x:c>
      <x:c r="C47" s="38" t="str">
        <x:v>Johnson &amp; Johnson</x:v>
      </x:c>
      <x:c r="D47" s="38" t="str">
        <x:v>USD</x:v>
      </x:c>
      <x:c r="E47" s="38" t="str">
        <x:v>XLV</x:v>
      </x:c>
      <x:c r="F47" s="30" t="n">
        <x:v>80</x:v>
      </x:c>
      <x:c r="G47" s="39" t="d">
        <x:v>2020-07-20T00:00:00.000Z</x:v>
      </x:c>
      <x:c r="H47" s="39" t="d">
        <x:v>2026-08-10T00:00:00.000Z</x:v>
      </x:c>
      <x:c r="I47" s="38" t="n">
        <x:v>0.0530569244</x:v>
      </x:c>
      <x:c r="J47" s="38" t="n">
        <x:v>0.0369068972</x:v>
      </x:c>
      <x:c r="K47" s="31" t="n">
        <x:f>1-J47/I47</x:f>
        <x:v>0.3043905650889934</x:v>
      </x:c>
      <x:c r="L47" s="31" t="n">
        <x:f>1-(J47/I47)^2</x:f>
        <x:v>0.5161275140627901</x:v>
      </x:c>
      <x:c r="M47" s="31" t="n">
        <x:v>0.5161275132</x:v>
      </x:c>
      <x:c r="N47" s="38" t="str">
        <x:v>SGD/USD</x:v>
      </x:c>
      <x:c r="O47" s="38" t="str">
        <x:v>XLP</x:v>
      </x:c>
      <x:c r="P47" s="38" t="n">
        <x:v>2.775557562e-17</x:v>
      </x:c>
    </x:row>
    <x:row r="48" ht="19" customHeight="1">
      <x:c r="A48" s="29" t="str">
        <x:v>stagger_1</x:v>
      </x:c>
      <x:c r="B48" s="38" t="str">
        <x:v>BRK-B</x:v>
      </x:c>
      <x:c r="C48" s="38" t="str">
        <x:v>Berkshire Hathaway Inc.</x:v>
      </x:c>
      <x:c r="D48" s="38" t="str">
        <x:v>USD</x:v>
      </x:c>
      <x:c r="E48" s="38" t="str">
        <x:v>XLF</x:v>
      </x:c>
      <x:c r="F48" s="30" t="n">
        <x:v>80</x:v>
      </x:c>
      <x:c r="G48" s="39" t="d">
        <x:v>2020-07-20T00:00:00.000Z</x:v>
      </x:c>
      <x:c r="H48" s="39" t="d">
        <x:v>2026-08-10T00:00:00.000Z</x:v>
      </x:c>
      <x:c r="I48" s="38" t="n">
        <x:v>0.0416408649</x:v>
      </x:c>
      <x:c r="J48" s="38" t="n">
        <x:v>0.0329600601</x:v>
      </x:c>
      <x:c r="K48" s="31" t="n">
        <x:f>1-J48/I48</x:f>
        <x:v>0.20846840767709407</x:v>
      </x:c>
      <x:c r="L48" s="31" t="n">
        <x:f>1-(J48/I48)^2</x:f>
        <x:v>0.37347773835476505</x:v>
      </x:c>
      <x:c r="M48" s="31" t="n">
        <x:v>0.3734777386</x:v>
      </x:c>
      <x:c r="N48" s="38" t="str">
        <x:v>EUR/USD</x:v>
      </x:c>
      <x:c r="O48" s="38" t="str">
        <x:v>XLP</x:v>
      </x:c>
      <x:c r="P48" s="38" t="n">
        <x:v>1.387778781e-17</x:v>
      </x:c>
    </x:row>
  </x:sheetData>
  <x:pageMargins left="0.7" right="0.7" top="0.75" bottom="0.75" header="0.3" footer="0.3"/>
</x:worksheet>
</file>

<file path=xl/worksheets/sheet4.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19" customHeight="1">
      <x:c r="A1" s="23"/>
      <x:c r="B1" s="23"/>
      <x:c r="C1" s="23"/>
      <x:c r="D1" s="23"/>
      <x:c r="E1" s="23"/>
      <x:c r="F1" s="23"/>
      <x:c r="G1" s="23"/>
      <x:c r="H1" s="23"/>
      <x:c r="I1" s="23"/>
      <x:c r="J1" s="23"/>
      <x:c r="K1" s="23"/>
      <x:c r="L1" s="23"/>
      <x:c r="M1" s="23"/>
      <x:c r="N1" s="23"/>
      <x:c r="O1" s="23"/>
    </x:row>
    <x:row r="2" ht="19" customHeight="1">
      <x:c r="A2" s="34" t="str">
        <x:v>Residual standard deviation by stage</x:v>
      </x:c>
      <x:c r="B2" s="23"/>
      <x:c r="C2" s="23"/>
      <x:c r="D2" s="23"/>
      <x:c r="E2" s="23"/>
      <x:c r="F2" s="23"/>
      <x:c r="G2" s="23"/>
      <x:c r="H2" s="23"/>
      <x:c r="I2" s="23"/>
      <x:c r="J2" s="23"/>
      <x:c r="K2" s="23"/>
      <x:c r="L2" s="23"/>
      <x:c r="M2" s="23"/>
      <x:c r="N2" s="23"/>
      <x:c r="O2" s="23"/>
    </x:row>
    <x:row r="3" ht="19" customHeight="1">
      <x:c r="A3" s="27"/>
      <x:c r="B3" s="23"/>
      <x:c r="C3" s="23"/>
      <x:c r="D3" s="23"/>
      <x:c r="E3" s="23"/>
      <x:c r="F3" s="23"/>
      <x:c r="G3" s="23"/>
      <x:c r="H3" s="23"/>
      <x:c r="I3" s="23"/>
      <x:c r="J3" s="23"/>
      <x:c r="K3" s="23"/>
      <x:c r="L3" s="23"/>
      <x:c r="M3" s="23"/>
      <x:c r="N3" s="23"/>
      <x:c r="O3" s="23"/>
    </x:row>
    <x:row r="4" ht="19" customHeight="1">
      <x:c r="A4" s="23"/>
      <x:c r="B4" s="23"/>
      <x:c r="C4" s="23"/>
      <x:c r="D4" s="23"/>
      <x:c r="E4" s="23"/>
      <x:c r="F4" s="23"/>
      <x:c r="G4" s="23"/>
      <x:c r="H4" s="23"/>
      <x:c r="I4" s="23"/>
      <x:c r="J4" s="23"/>
      <x:c r="K4" s="23"/>
      <x:c r="L4" s="23"/>
      <x:c r="M4" s="23"/>
      <x:c r="N4" s="23"/>
      <x:c r="O4" s="23"/>
    </x:row>
    <x:row r="5" ht="42" customHeight="1">
      <x:c r="A5" s="35" t="str">
        <x:v>Ticker</x:v>
      </x:c>
      <x:c r="B5" s="35" t="str">
        <x:v>Original</x:v>
      </x:c>
      <x:c r="C5" s="35" t="str">
        <x:v>Home FX</x:v>
      </x:c>
      <x:c r="D5" s="35" t="str">
        <x:v>Other FX</x:v>
      </x:c>
      <x:c r="E5" s="35" t="str">
        <x:v>SPY</x:v>
      </x:c>
      <x:c r="F5" s="35" t="str">
        <x:v>Primary sector</x:v>
      </x:c>
      <x:c r="G5" s="35" t="str">
        <x:v>Other sectors</x:v>
      </x:c>
      <x:c r="H5" s="35" t="str">
        <x:v>Total std reduction</x:v>
      </x:c>
      <x:c r="I5" s="37"/>
      <x:c r="J5" s="40" t="str">
        <x:v>Original / original</x:v>
      </x:c>
      <x:c r="K5" s="40" t="str">
        <x:v>Home FX / original</x:v>
      </x:c>
      <x:c r="L5" s="40" t="str">
        <x:v>Other FX / original</x:v>
      </x:c>
      <x:c r="M5" s="40" t="str">
        <x:v>SPY / original</x:v>
      </x:c>
      <x:c r="N5" s="40" t="str">
        <x:v>Primary sector / original</x:v>
      </x:c>
      <x:c r="O5" s="40" t="str">
        <x:v>Other sectors / original</x:v>
      </x:c>
    </x:row>
    <x:row r="6" ht="19" customHeight="1">
      <x:c r="A6" s="29" t="str">
        <x:v>VST</x:v>
      </x:c>
      <x:c r="B6" s="38" t="n">
        <x:v>0.1163561701</x:v>
      </x:c>
      <x:c r="C6" s="38" t="n">
        <x:v>0.1163561701</x:v>
      </x:c>
      <x:c r="D6" s="38" t="n">
        <x:v>0.1163561701</x:v>
      </x:c>
      <x:c r="E6" s="38" t="n">
        <x:v>0.1076603939</x:v>
      </x:c>
      <x:c r="F6" s="38" t="n">
        <x:v>0.1027558424</x:v>
      </x:c>
      <x:c r="G6" s="38" t="n">
        <x:v>0.0918765702</x:v>
      </x:c>
      <x:c r="H6" s="31" t="n">
        <x:f>1-G6/B6</x:f>
        <x:v>0.21038506062000406</x:v>
      </x:c>
      <x:c r="I6" s="23"/>
      <x:c r="J6" s="31" t="n">
        <x:f>B6/$B6</x:f>
        <x:v>1</x:v>
      </x:c>
      <x:c r="K6" s="31" t="n">
        <x:f>C6/$B6</x:f>
        <x:v>1</x:v>
      </x:c>
      <x:c r="L6" s="31" t="n">
        <x:f>D6/$B6</x:f>
        <x:v>1</x:v>
      </x:c>
      <x:c r="M6" s="31" t="n">
        <x:f>E6/$B6</x:f>
        <x:v>0.9252658781006061</x:v>
      </x:c>
      <x:c r="N6" s="31" t="n">
        <x:f>F6/$B6</x:f>
        <x:v>0.8831146840918581</x:v>
      </x:c>
      <x:c r="O6" s="31" t="n">
        <x:f>G6/$B6</x:f>
        <x:v>0.7896149393799959</x:v>
      </x:c>
    </x:row>
    <x:row r="7" ht="19" customHeight="1">
      <x:c r="A7" s="29" t="str">
        <x:v>VIST</x:v>
      </x:c>
      <x:c r="B7" s="38" t="n">
        <x:v>0.122013495</x:v>
      </x:c>
      <x:c r="C7" s="38" t="n">
        <x:v>0.1219862976</x:v>
      </x:c>
      <x:c r="D7" s="38" t="n">
        <x:v>0.1219862976</x:v>
      </x:c>
      <x:c r="E7" s="38" t="n">
        <x:v>0.1219106828</x:v>
      </x:c>
      <x:c r="F7" s="38" t="n">
        <x:v>0.1033615064</x:v>
      </x:c>
      <x:c r="G7" s="38" t="n">
        <x:v>0.0989692325</x:v>
      </x:c>
      <x:c r="H7" s="31" t="n">
        <x:f>1-G7/B7</x:f>
        <x:v>0.1888665061188518</x:v>
      </x:c>
      <x:c r="I7" s="23"/>
      <x:c r="J7" s="31" t="n">
        <x:f>B7/$B7</x:f>
        <x:v>1</x:v>
      </x:c>
      <x:c r="K7" s="31" t="n">
        <x:f>C7/$B7</x:f>
        <x:v>0.9997770951483687</x:v>
      </x:c>
      <x:c r="L7" s="31" t="n">
        <x:f>D7/$B7</x:f>
        <x:v>0.9997770951483687</x:v>
      </x:c>
      <x:c r="M7" s="31" t="n">
        <x:f>E7/$B7</x:f>
        <x:v>0.9991573702564622</x:v>
      </x:c>
      <x:c r="N7" s="31" t="n">
        <x:f>F7/$B7</x:f>
        <x:v>0.8471317570240898</x:v>
      </x:c>
      <x:c r="O7" s="31" t="n">
        <x:f>G7/$B7</x:f>
        <x:v>0.8111334938811482</x:v>
      </x:c>
    </x:row>
    <x:row r="8" ht="19" customHeight="1">
      <x:c r="A8" s="29" t="str">
        <x:v>AEP</x:v>
      </x:c>
      <x:c r="B8" s="38" t="n">
        <x:v>0.0562364065</x:v>
      </x:c>
      <x:c r="C8" s="38" t="n">
        <x:v>0.0562364065</x:v>
      </x:c>
      <x:c r="D8" s="38" t="n">
        <x:v>0.0522121238</x:v>
      </x:c>
      <x:c r="E8" s="38" t="n">
        <x:v>0.0520746151</x:v>
      </x:c>
      <x:c r="F8" s="38" t="n">
        <x:v>0.0339696205</x:v>
      </x:c>
      <x:c r="G8" s="38" t="n">
        <x:v>0.0322949895</x:v>
      </x:c>
      <x:c r="H8" s="31" t="n">
        <x:f>1-G8/B8</x:f>
        <x:v>0.42572807350341635</x:v>
      </x:c>
      <x:c r="I8" s="23"/>
      <x:c r="J8" s="31" t="n">
        <x:f>B8/$B8</x:f>
        <x:v>1</x:v>
      </x:c>
      <x:c r="K8" s="31" t="n">
        <x:f>C8/$B8</x:f>
        <x:v>1</x:v>
      </x:c>
      <x:c r="L8" s="31" t="n">
        <x:f>D8/$B8</x:f>
        <x:v>0.9284399030723985</x:v>
      </x:c>
      <x:c r="M8" s="31" t="n">
        <x:f>E8/$B8</x:f>
        <x:v>0.925994713051233</x:v>
      </x:c>
      <x:c r="N8" s="31" t="n">
        <x:f>F8/$B8</x:f>
        <x:v>0.604050340592086</x:v>
      </x:c>
      <x:c r="O8" s="31" t="n">
        <x:f>G8/$B8</x:f>
        <x:v>0.5742719264965837</x:v>
      </x:c>
    </x:row>
    <x:row r="9" ht="19" customHeight="1">
      <x:c r="A9" s="29" t="str">
        <x:v>ETR</x:v>
      </x:c>
      <x:c r="B9" s="38" t="n">
        <x:v>0.0531769197</x:v>
      </x:c>
      <x:c r="C9" s="38" t="n">
        <x:v>0.0531769197</x:v>
      </x:c>
      <x:c r="D9" s="38" t="n">
        <x:v>0.0531769197</x:v>
      </x:c>
      <x:c r="E9" s="38" t="n">
        <x:v>0.0511560765</x:v>
      </x:c>
      <x:c r="F9" s="38" t="n">
        <x:v>0.0329627971</x:v>
      </x:c>
      <x:c r="G9" s="38" t="n">
        <x:v>0.0329627971</x:v>
      </x:c>
      <x:c r="H9" s="31" t="n">
        <x:f>1-G9/B9</x:f>
        <x:v>0.38012962604902434</x:v>
      </x:c>
      <x:c r="I9" s="23"/>
      <x:c r="J9" s="31" t="n">
        <x:f>B9/$B9</x:f>
        <x:v>1</x:v>
      </x:c>
      <x:c r="K9" s="31" t="n">
        <x:f>C9/$B9</x:f>
        <x:v>1</x:v>
      </x:c>
      <x:c r="L9" s="31" t="n">
        <x:f>D9/$B9</x:f>
        <x:v>1</x:v>
      </x:c>
      <x:c r="M9" s="31" t="n">
        <x:f>E9/$B9</x:f>
        <x:v>0.9619977386542756</x:v>
      </x:c>
      <x:c r="N9" s="31" t="n">
        <x:f>F9/$B9</x:f>
        <x:v>0.6198703739509757</x:v>
      </x:c>
      <x:c r="O9" s="31" t="n">
        <x:f>G9/$B9</x:f>
        <x:v>0.6198703739509757</x:v>
      </x:c>
    </x:row>
    <x:row r="10" ht="19" customHeight="1">
      <x:c r="A10" s="29" t="str">
        <x:v>DIS</x:v>
      </x:c>
      <x:c r="B10" s="38" t="n">
        <x:v>0.0829697536</x:v>
      </x:c>
      <x:c r="C10" s="38" t="n">
        <x:v>0.0829697536</x:v>
      </x:c>
      <x:c r="D10" s="38" t="n">
        <x:v>0.0799237979</x:v>
      </x:c>
      <x:c r="E10" s="38" t="n">
        <x:v>0.0665835748</x:v>
      </x:c>
      <x:c r="F10" s="38" t="n">
        <x:v>0.0655023827</x:v>
      </x:c>
      <x:c r="G10" s="38" t="n">
        <x:v>0.0599140743</x:v>
      </x:c>
      <x:c r="H10" s="31" t="n">
        <x:f>1-G10/B10</x:f>
        <x:v>0.27788053235823995</x:v>
      </x:c>
      <x:c r="I10" s="23"/>
      <x:c r="J10" s="31" t="n">
        <x:f>B10/$B10</x:f>
        <x:v>1</x:v>
      </x:c>
      <x:c r="K10" s="31" t="n">
        <x:f>C10/$B10</x:f>
        <x:v>1</x:v>
      </x:c>
      <x:c r="L10" s="31" t="n">
        <x:f>D10/$B10</x:f>
        <x:v>0.9632883603019401</x:v>
      </x:c>
      <x:c r="M10" s="31" t="n">
        <x:f>E10/$B10</x:f>
        <x:v>0.8025041887071483</x:v>
      </x:c>
      <x:c r="N10" s="31" t="n">
        <x:f>F10/$B10</x:f>
        <x:v>0.7894730291208193</x:v>
      </x:c>
      <x:c r="O10" s="31" t="n">
        <x:f>G10/$B10</x:f>
        <x:v>0.72211946764176</x:v>
      </x:c>
    </x:row>
    <x:row r="11" ht="19" customHeight="1">
      <x:c r="A11" s="29" t="str">
        <x:v>CMG</x:v>
      </x:c>
      <x:c r="B11" s="38" t="n">
        <x:v>0.1023850984</x:v>
      </x:c>
      <x:c r="C11" s="38" t="n">
        <x:v>0.1023850984</x:v>
      </x:c>
      <x:c r="D11" s="38" t="n">
        <x:v>0.0997807513</x:v>
      </x:c>
      <x:c r="E11" s="38" t="n">
        <x:v>0.0960941461</x:v>
      </x:c>
      <x:c r="F11" s="38" t="n">
        <x:v>0.0948087991</x:v>
      </x:c>
      <x:c r="G11" s="38" t="n">
        <x:v>0.0919031206</x:v>
      </x:c>
      <x:c r="H11" s="31" t="n">
        <x:f>1-G11/B11</x:f>
        <x:v>0.1023779628462026</x:v>
      </x:c>
      <x:c r="I11" s="23"/>
      <x:c r="J11" s="31" t="n">
        <x:f>B11/$B11</x:f>
        <x:v>1</x:v>
      </x:c>
      <x:c r="K11" s="31" t="n">
        <x:f>C11/$B11</x:f>
        <x:v>1</x:v>
      </x:c>
      <x:c r="L11" s="31" t="n">
        <x:f>D11/$B11</x:f>
        <x:v>0.9745632212040731</x:v>
      </x:c>
      <x:c r="M11" s="31" t="n">
        <x:f>E11/$B11</x:f>
        <x:v>0.9385559773999299</x:v>
      </x:c>
      <x:c r="N11" s="31" t="n">
        <x:f>F11/$B11</x:f>
        <x:v>0.9260019336954605</x:v>
      </x:c>
      <x:c r="O11" s="31" t="n">
        <x:f>G11/$B11</x:f>
        <x:v>0.8976220371537974</x:v>
      </x:c>
    </x:row>
    <x:row r="12" ht="19" customHeight="1">
      <x:c r="A12" s="29" t="str">
        <x:v>AMZN</x:v>
      </x:c>
      <x:c r="B12" s="38" t="n">
        <x:v>0.0917694272</x:v>
      </x:c>
      <x:c r="C12" s="38" t="n">
        <x:v>0.0917694272</x:v>
      </x:c>
      <x:c r="D12" s="38" t="n">
        <x:v>0.0867063377</x:v>
      </x:c>
      <x:c r="E12" s="38" t="n">
        <x:v>0.0691147599</x:v>
      </x:c>
      <x:c r="F12" s="38" t="n">
        <x:v>0.0624708158</x:v>
      </x:c>
      <x:c r="G12" s="38" t="n">
        <x:v>0.0545798383</x:v>
      </x:c>
      <x:c r="H12" s="31" t="n">
        <x:f>1-G12/B12</x:f>
        <x:v>0.40525031085733965</x:v>
      </x:c>
      <x:c r="I12" s="23"/>
      <x:c r="J12" s="31" t="n">
        <x:f>B12/$B12</x:f>
        <x:v>1</x:v>
      </x:c>
      <x:c r="K12" s="31" t="n">
        <x:f>C12/$B12</x:f>
        <x:v>1</x:v>
      </x:c>
      <x:c r="L12" s="31" t="n">
        <x:f>D12/$B12</x:f>
        <x:v>0.9448281453368382</x:v>
      </x:c>
      <x:c r="M12" s="31" t="n">
        <x:f>E12/$B12</x:f>
        <x:v>0.7531349165923529</x:v>
      </x:c>
      <x:c r="N12" s="31" t="n">
        <x:f>F12/$B12</x:f>
        <x:v>0.680736686563954</x:v>
      </x:c>
      <x:c r="O12" s="31" t="n">
        <x:f>G12/$B12</x:f>
        <x:v>0.5947496891426604</x:v>
      </x:c>
    </x:row>
    <x:row r="13" ht="19" customHeight="1">
      <x:c r="A13" s="29" t="str">
        <x:v>FIX</x:v>
      </x:c>
      <x:c r="B13" s="38" t="n">
        <x:v>0.1178604928</x:v>
      </x:c>
      <x:c r="C13" s="38" t="n">
        <x:v>0.1178604928</x:v>
      </x:c>
      <x:c r="D13" s="38" t="n">
        <x:v>0.1080537563</x:v>
      </x:c>
      <x:c r="E13" s="38" t="n">
        <x:v>0.097981668</x:v>
      </x:c>
      <x:c r="F13" s="38" t="n">
        <x:v>0.0961251634</x:v>
      </x:c>
      <x:c r="G13" s="38" t="n">
        <x:v>0.08685816</x:v>
      </x:c>
      <x:c r="H13" s="31" t="n">
        <x:f>1-G13/B13</x:f>
        <x:v>0.2630426198251904</x:v>
      </x:c>
      <x:c r="I13" s="23"/>
      <x:c r="J13" s="31" t="n">
        <x:f>B13/$B13</x:f>
        <x:v>1</x:v>
      </x:c>
      <x:c r="K13" s="31" t="n">
        <x:f>C13/$B13</x:f>
        <x:v>1</x:v>
      </x:c>
      <x:c r="L13" s="31" t="n">
        <x:f>D13/$B13</x:f>
        <x:v>0.9167936917026025</x:v>
      </x:c>
      <x:c r="M13" s="31" t="n">
        <x:f>E13/$B13</x:f>
        <x:v>0.8313359775804365</x:v>
      </x:c>
      <x:c r="N13" s="31" t="n">
        <x:f>F13/$B13</x:f>
        <x:v>0.8155842650608705</x:v>
      </x:c>
      <x:c r="O13" s="31" t="n">
        <x:f>G13/$B13</x:f>
        <x:v>0.7369573801748096</x:v>
      </x:c>
    </x:row>
    <x:row r="14" ht="19" customHeight="1">
      <x:c r="A14" s="29" t="str">
        <x:v>STX</x:v>
      </x:c>
      <x:c r="B14" s="38" t="n">
        <x:v>0.1716249469</x:v>
      </x:c>
      <x:c r="C14" s="38" t="n">
        <x:v>0.1656140207</x:v>
      </x:c>
      <x:c r="D14" s="38" t="n">
        <x:v>0.1529679232</x:v>
      </x:c>
      <x:c r="E14" s="38" t="n">
        <x:v>0.1385753798</x:v>
      </x:c>
      <x:c r="F14" s="38" t="n">
        <x:v>0.1116384474</x:v>
      </x:c>
      <x:c r="G14" s="38" t="n">
        <x:v>0.1116384474</x:v>
      </x:c>
      <x:c r="H14" s="31" t="n">
        <x:f>1-G14/B14</x:f>
        <x:v>0.34952086269225235</x:v>
      </x:c>
      <x:c r="I14" s="23"/>
      <x:c r="J14" s="31" t="n">
        <x:f>B14/$B14</x:f>
        <x:v>1</x:v>
      </x:c>
      <x:c r="K14" s="31" t="n">
        <x:f>C14/$B14</x:f>
        <x:v>0.964976384211193</x:v>
      </x:c>
      <x:c r="L14" s="31" t="n">
        <x:f>D14/$B14</x:f>
        <x:v>0.8912918894543297</x:v>
      </x:c>
      <x:c r="M14" s="31" t="n">
        <x:f>E14/$B14</x:f>
        <x:v>0.8074314503983104</x:v>
      </x:c>
      <x:c r="N14" s="31" t="n">
        <x:f>F14/$B14</x:f>
        <x:v>0.6504791373077476</x:v>
      </x:c>
      <x:c r="O14" s="31" t="n">
        <x:f>G14/$B14</x:f>
        <x:v>0.6504791373077476</x:v>
      </x:c>
    </x:row>
    <x:row r="15" ht="19" customHeight="1">
      <x:c r="A15" s="29" t="str">
        <x:v>VLO</x:v>
      </x:c>
      <x:c r="B15" s="38" t="n">
        <x:v>0.1099660181</x:v>
      </x:c>
      <x:c r="C15" s="38" t="n">
        <x:v>0.1099660181</x:v>
      </x:c>
      <x:c r="D15" s="38" t="n">
        <x:v>0.1099660181</x:v>
      </x:c>
      <x:c r="E15" s="38" t="n">
        <x:v>0.1099220586</x:v>
      </x:c>
      <x:c r="F15" s="38" t="n">
        <x:v>0.0689462514</x:v>
      </x:c>
      <x:c r="G15" s="38" t="n">
        <x:v>0.0689462514</x:v>
      </x:c>
      <x:c r="H15" s="31" t="n">
        <x:f>1-G15/B15</x:f>
        <x:v>0.3730222063937767</x:v>
      </x:c>
      <x:c r="I15" s="23"/>
      <x:c r="J15" s="31" t="n">
        <x:f>B15/$B15</x:f>
        <x:v>1</x:v>
      </x:c>
      <x:c r="K15" s="31" t="n">
        <x:f>C15/$B15</x:f>
        <x:v>1</x:v>
      </x:c>
      <x:c r="L15" s="31" t="n">
        <x:f>D15/$B15</x:f>
        <x:v>1</x:v>
      </x:c>
      <x:c r="M15" s="31" t="n">
        <x:f>E15/$B15</x:f>
        <x:v>0.999600244686863</x:v>
      </x:c>
      <x:c r="N15" s="31" t="n">
        <x:f>F15/$B15</x:f>
        <x:v>0.6269777936062233</x:v>
      </x:c>
      <x:c r="O15" s="31" t="n">
        <x:f>G15/$B15</x:f>
        <x:v>0.6269777936062233</x:v>
      </x:c>
    </x:row>
    <x:row r="16" ht="19" customHeight="1">
      <x:c r="A16" s="29" t="str">
        <x:v>CF</x:v>
      </x:c>
      <x:c r="B16" s="38" t="n">
        <x:v>0.1061590311</x:v>
      </x:c>
      <x:c r="C16" s="38" t="n">
        <x:v>0.1061590311</x:v>
      </x:c>
      <x:c r="D16" s="38" t="n">
        <x:v>0.1007448085</x:v>
      </x:c>
      <x:c r="E16" s="38" t="n">
        <x:v>0.0992327015</x:v>
      </x:c>
      <x:c r="F16" s="38" t="n">
        <x:v>0.0967585147</x:v>
      </x:c>
      <x:c r="G16" s="38" t="n">
        <x:v>0.0788120946</x:v>
      </x:c>
      <x:c r="H16" s="31" t="n">
        <x:f>1-G16/B16</x:f>
        <x:v>0.25760348617198336</x:v>
      </x:c>
      <x:c r="I16" s="23"/>
      <x:c r="J16" s="31" t="n">
        <x:f>B16/$B16</x:f>
        <x:v>1</x:v>
      </x:c>
      <x:c r="K16" s="31" t="n">
        <x:f>C16/$B16</x:f>
        <x:v>1</x:v>
      </x:c>
      <x:c r="L16" s="31" t="n">
        <x:f>D16/$B16</x:f>
        <x:v>0.9489989448481319</x:v>
      </x:c>
      <x:c r="M16" s="31" t="n">
        <x:f>E16/$B16</x:f>
        <x:v>0.9347551543356165</x:v>
      </x:c>
      <x:c r="N16" s="31" t="n">
        <x:f>F16/$B16</x:f>
        <x:v>0.9114487358956314</x:v>
      </x:c>
      <x:c r="O16" s="31" t="n">
        <x:f>G16/$B16</x:f>
        <x:v>0.7423965138280166</x:v>
      </x:c>
    </x:row>
    <x:row r="17" ht="19" customHeight="1">
      <x:c r="A17" s="29" t="str">
        <x:v>NTR</x:v>
      </x:c>
      <x:c r="B17" s="38" t="n">
        <x:v>0.0742500309</x:v>
      </x:c>
      <x:c r="C17" s="38" t="n">
        <x:v>0.0689544914</x:v>
      </x:c>
      <x:c r="D17" s="38" t="n">
        <x:v>0.0644298129</x:v>
      </x:c>
      <x:c r="E17" s="38" t="n">
        <x:v>0.0636055224</x:v>
      </x:c>
      <x:c r="F17" s="38" t="n">
        <x:v>0.0614655204</x:v>
      </x:c>
      <x:c r="G17" s="38" t="n">
        <x:v>0.0586745101</x:v>
      </x:c>
      <x:c r="H17" s="31" t="n">
        <x:f>1-G17/B17</x:f>
        <x:v>0.20977123660698704</x:v>
      </x:c>
      <x:c r="I17" s="23"/>
      <x:c r="J17" s="31" t="n">
        <x:f>B17/$B17</x:f>
        <x:v>1</x:v>
      </x:c>
      <x:c r="K17" s="31" t="n">
        <x:f>C17/$B17</x:f>
        <x:v>0.9286796323744021</x:v>
      </x:c>
      <x:c r="L17" s="31" t="n">
        <x:f>D17/$B17</x:f>
        <x:v>0.8677412267581964</x:v>
      </x:c>
      <x:c r="M17" s="31" t="n">
        <x:f>E17/$B17</x:f>
        <x:v>0.8566396758226804</x:v>
      </x:c>
      <x:c r="N17" s="31" t="n">
        <x:f>F17/$B17</x:f>
        <x:v>0.8278181120595332</x:v>
      </x:c>
      <x:c r="O17" s="31" t="n">
        <x:f>G17/$B17</x:f>
        <x:v>0.790228763393013</x:v>
      </x:c>
    </x:row>
    <x:row r="18" ht="19" customHeight="1">
      <x:c r="A18" s="29" t="str">
        <x:v>LNN</x:v>
      </x:c>
      <x:c r="B18" s="38" t="n">
        <x:v>0.0747298805</x:v>
      </x:c>
      <x:c r="C18" s="38" t="n">
        <x:v>0.0747298805</x:v>
      </x:c>
      <x:c r="D18" s="38" t="n">
        <x:v>0.0714326858</x:v>
      </x:c>
      <x:c r="E18" s="38" t="n">
        <x:v>0.0708992649</x:v>
      </x:c>
      <x:c r="F18" s="38" t="n">
        <x:v>0.0660478243</x:v>
      </x:c>
      <x:c r="G18" s="38" t="n">
        <x:v>0.0559064375</x:v>
      </x:c>
      <x:c r="H18" s="31" t="n">
        <x:f>1-G18/B18</x:f>
        <x:v>0.2518864324960348</x:v>
      </x:c>
      <x:c r="I18" s="23"/>
      <x:c r="J18" s="31" t="n">
        <x:f>B18/$B18</x:f>
        <x:v>1</x:v>
      </x:c>
      <x:c r="K18" s="31" t="n">
        <x:f>C18/$B18</x:f>
        <x:v>1</x:v>
      </x:c>
      <x:c r="L18" s="31" t="n">
        <x:f>D18/$B18</x:f>
        <x:v>0.9558784962863685</x:v>
      </x:c>
      <x:c r="M18" s="31" t="n">
        <x:f>E18/$B18</x:f>
        <x:v>0.948740509494057</x:v>
      </x:c>
      <x:c r="N18" s="31" t="n">
        <x:f>F18/$B18</x:f>
        <x:v>0.8838208205083374</x:v>
      </x:c>
      <x:c r="O18" s="31" t="n">
        <x:f>G18/$B18</x:f>
        <x:v>0.7481135675039652</x:v>
      </x:c>
    </x:row>
    <x:row r="19" ht="19" customHeight="1">
      <x:c r="A19" s="29" t="str">
        <x:v>WDC</x:v>
      </x:c>
      <x:c r="B19" s="38" t="n">
        <x:v>0.1819368091</x:v>
      </x:c>
      <x:c r="C19" s="38" t="n">
        <x:v>0.1819368091</x:v>
      </x:c>
      <x:c r="D19" s="38" t="n">
        <x:v>0.1678915722</x:v>
      </x:c>
      <x:c r="E19" s="38" t="n">
        <x:v>0.1586287513</x:v>
      </x:c>
      <x:c r="F19" s="38" t="n">
        <x:v>0.1378858208</x:v>
      </x:c>
      <x:c r="G19" s="38" t="n">
        <x:v>0.1319188886</x:v>
      </x:c>
      <x:c r="H19" s="31" t="n">
        <x:f>1-G19/B19</x:f>
        <x:v>0.2749191917096231</x:v>
      </x:c>
      <x:c r="I19" s="23"/>
      <x:c r="J19" s="31" t="n">
        <x:f>B19/$B19</x:f>
        <x:v>1</x:v>
      </x:c>
      <x:c r="K19" s="31" t="n">
        <x:f>C19/$B19</x:f>
        <x:v>1</x:v>
      </x:c>
      <x:c r="L19" s="31" t="n">
        <x:f>D19/$B19</x:f>
        <x:v>0.922801565172663</x:v>
      </x:c>
      <x:c r="M19" s="31" t="n">
        <x:f>E19/$B19</x:f>
        <x:v>0.8718892679535293</x:v>
      </x:c>
      <x:c r="N19" s="31" t="n">
        <x:f>F19/$B19</x:f>
        <x:v>0.7578775371629841</x:v>
      </x:c>
      <x:c r="O19" s="31" t="n">
        <x:f>G19/$B19</x:f>
        <x:v>0.7250808082903769</x:v>
      </x:c>
    </x:row>
    <x:row r="20" ht="19" customHeight="1">
      <x:c r="A20" s="29" t="str">
        <x:v>ASND</x:v>
      </x:c>
      <x:c r="B20" s="38" t="n">
        <x:v>0.1039460161</x:v>
      </x:c>
      <x:c r="C20" s="38" t="n">
        <x:v>0.1029160532</x:v>
      </x:c>
      <x:c r="D20" s="38" t="n">
        <x:v>0.1029160532</x:v>
      </x:c>
      <x:c r="E20" s="38" t="n">
        <x:v>0.1021617555</x:v>
      </x:c>
      <x:c r="F20" s="38" t="n">
        <x:v>0.1015509243</x:v>
      </x:c>
      <x:c r="G20" s="38" t="n">
        <x:v>0.1015509243</x:v>
      </x:c>
      <x:c r="H20" s="31" t="n">
        <x:f>1-G20/B20</x:f>
        <x:v>0.023041689233147977</x:v>
      </x:c>
      <x:c r="I20" s="23"/>
      <x:c r="J20" s="31" t="n">
        <x:f>B20/$B20</x:f>
        <x:v>1</x:v>
      </x:c>
      <x:c r="K20" s="31" t="n">
        <x:f>C20/$B20</x:f>
        <x:v>0.9900913672438476</x:v>
      </x:c>
      <x:c r="L20" s="31" t="n">
        <x:f>D20/$B20</x:f>
        <x:v>0.9900913672438476</x:v>
      </x:c>
      <x:c r="M20" s="31" t="n">
        <x:f>E20/$B20</x:f>
        <x:v>0.9828347380020466</x:v>
      </x:c>
      <x:c r="N20" s="31" t="n">
        <x:f>F20/$B20</x:f>
        <x:v>0.976958310766852</x:v>
      </x:c>
      <x:c r="O20" s="31" t="n">
        <x:f>G20/$B20</x:f>
        <x:v>0.976958310766852</x:v>
      </x:c>
    </x:row>
    <x:row r="21" ht="19" customHeight="1">
      <x:c r="A21" s="29" t="str">
        <x:v>DOCN</x:v>
      </x:c>
      <x:c r="B21" s="38" t="n">
        <x:v>0.2071760013</x:v>
      </x:c>
      <x:c r="C21" s="38" t="n">
        <x:v>0.2071760013</x:v>
      </x:c>
      <x:c r="D21" s="38" t="n">
        <x:v>0.2071760013</x:v>
      </x:c>
      <x:c r="E21" s="38" t="n">
        <x:v>0.1960788899</x:v>
      </x:c>
      <x:c r="F21" s="38" t="n">
        <x:v>0.1779765836</x:v>
      </x:c>
      <x:c r="G21" s="38" t="n">
        <x:v>0.1681758986</x:v>
      </x:c>
      <x:c r="H21" s="31" t="n">
        <x:f>1-G21/B21</x:f>
        <x:v>0.18824623728269618</x:v>
      </x:c>
      <x:c r="I21" s="23"/>
      <x:c r="J21" s="31" t="n">
        <x:f>B21/$B21</x:f>
        <x:v>1</x:v>
      </x:c>
      <x:c r="K21" s="31" t="n">
        <x:f>C21/$B21</x:f>
        <x:v>1</x:v>
      </x:c>
      <x:c r="L21" s="31" t="n">
        <x:f>D21/$B21</x:f>
        <x:v>1</x:v>
      </x:c>
      <x:c r="M21" s="31" t="n">
        <x:f>E21/$B21</x:f>
        <x:v>0.9464363085957486</x:v>
      </x:c>
      <x:c r="N21" s="31" t="n">
        <x:f>F21/$B21</x:f>
        <x:v>0.8590598451713625</x:v>
      </x:c>
      <x:c r="O21" s="31" t="n">
        <x:f>G21/$B21</x:f>
        <x:v>0.8117537627173038</x:v>
      </x:c>
    </x:row>
    <x:row r="22" ht="19" customHeight="1">
      <x:c r="A22" s="29" t="str">
        <x:v>CME</x:v>
      </x:c>
      <x:c r="B22" s="38" t="n">
        <x:v>0.0577690082</x:v>
      </x:c>
      <x:c r="C22" s="38" t="n">
        <x:v>0.0577690082</x:v>
      </x:c>
      <x:c r="D22" s="38" t="n">
        <x:v>0.0550737492</x:v>
      </x:c>
      <x:c r="E22" s="38" t="n">
        <x:v>0.0550273749</x:v>
      </x:c>
      <x:c r="F22" s="38" t="n">
        <x:v>0.0544687012</x:v>
      </x:c>
      <x:c r="G22" s="38" t="n">
        <x:v>0.051200386</x:v>
      </x:c>
      <x:c r="H22" s="31" t="n">
        <x:f>1-G22/B22</x:f>
        <x:v>0.11370495019161497</x:v>
      </x:c>
      <x:c r="I22" s="23"/>
      <x:c r="J22" s="31" t="n">
        <x:f>B22/$B22</x:f>
        <x:v>1</x:v>
      </x:c>
      <x:c r="K22" s="31" t="n">
        <x:f>C22/$B22</x:f>
        <x:v>1</x:v>
      </x:c>
      <x:c r="L22" s="31" t="n">
        <x:f>D22/$B22</x:f>
        <x:v>0.9533442050680732</x:v>
      </x:c>
      <x:c r="M22" s="31" t="n">
        <x:f>E22/$B22</x:f>
        <x:v>0.9525414511097665</x:v>
      </x:c>
      <x:c r="N22" s="31" t="n">
        <x:f>F22/$B22</x:f>
        <x:v>0.9428706307614954</x:v>
      </x:c>
      <x:c r="O22" s="31" t="n">
        <x:f>G22/$B22</x:f>
        <x:v>0.886295049808385</x:v>
      </x:c>
    </x:row>
    <x:row r="23" ht="19" customHeight="1">
      <x:c r="A23" s="29" t="str">
        <x:v>NET</x:v>
      </x:c>
      <x:c r="B23" s="38" t="n">
        <x:v>0.1505181581</x:v>
      </x:c>
      <x:c r="C23" s="38" t="n">
        <x:v>0.1505181581</x:v>
      </x:c>
      <x:c r="D23" s="38" t="n">
        <x:v>0.1433149973</x:v>
      </x:c>
      <x:c r="E23" s="38" t="n">
        <x:v>0.1359668847</x:v>
      </x:c>
      <x:c r="F23" s="38" t="n">
        <x:v>0.1359645467</x:v>
      </x:c>
      <x:c r="G23" s="38" t="n">
        <x:v>0.1231015713</x:v>
      </x:c>
      <x:c r="H23" s="31" t="n">
        <x:f>1-G23/B23</x:f>
        <x:v>0.18214803546682512</x:v>
      </x:c>
      <x:c r="I23" s="23"/>
      <x:c r="J23" s="31" t="n">
        <x:f>B23/$B23</x:f>
        <x:v>1</x:v>
      </x:c>
      <x:c r="K23" s="31" t="n">
        <x:f>C23/$B23</x:f>
        <x:v>1</x:v>
      </x:c>
      <x:c r="L23" s="31" t="n">
        <x:f>D23/$B23</x:f>
        <x:v>0.952144240330031</x:v>
      </x:c>
      <x:c r="M23" s="31" t="n">
        <x:f>E23/$B23</x:f>
        <x:v>0.9033254619663063</x:v>
      </x:c>
      <x:c r="N23" s="31" t="n">
        <x:f>F23/$B23</x:f>
        <x:v>0.9033099289566712</x:v>
      </x:c>
      <x:c r="O23" s="31" t="n">
        <x:f>G23/$B23</x:f>
        <x:v>0.8178519645331749</x:v>
      </x:c>
    </x:row>
    <x:row r="24" ht="19" customHeight="1">
      <x:c r="A24" s="29" t="str">
        <x:v>MRNA</x:v>
      </x:c>
      <x:c r="B24" s="38" t="n">
        <x:v>0.1897742975</x:v>
      </x:c>
      <x:c r="C24" s="38" t="n">
        <x:v>0.1897742975</x:v>
      </x:c>
      <x:c r="D24" s="38" t="n">
        <x:v>0.1769741817</x:v>
      </x:c>
      <x:c r="E24" s="38" t="n">
        <x:v>0.1769619529</x:v>
      </x:c>
      <x:c r="F24" s="38" t="n">
        <x:v>0.1754235148</x:v>
      </x:c>
      <x:c r="G24" s="38" t="n">
        <x:v>0.1754235148</x:v>
      </x:c>
      <x:c r="H24" s="31" t="n">
        <x:f>1-G24/B24</x:f>
        <x:v>0.07562026517315912</x:v>
      </x:c>
      <x:c r="I24" s="23"/>
      <x:c r="J24" s="31" t="n">
        <x:f>B24/$B24</x:f>
        <x:v>1</x:v>
      </x:c>
      <x:c r="K24" s="31" t="n">
        <x:f>C24/$B24</x:f>
        <x:v>1</x:v>
      </x:c>
      <x:c r="L24" s="31" t="n">
        <x:f>D24/$B24</x:f>
        <x:v>0.9325508460912628</x:v>
      </x:c>
      <x:c r="M24" s="31" t="n">
        <x:f>E24/$B24</x:f>
        <x:v>0.9324864074388156</x:v>
      </x:c>
      <x:c r="N24" s="31" t="n">
        <x:f>F24/$B24</x:f>
        <x:v>0.9243797348268409</x:v>
      </x:c>
      <x:c r="O24" s="31" t="n">
        <x:f>G24/$B24</x:f>
        <x:v>0.9243797348268409</x:v>
      </x:c>
    </x:row>
    <x:row r="25" ht="19" customHeight="1">
      <x:c r="A25" s="29" t="str">
        <x:v>AXON</x:v>
      </x:c>
      <x:c r="B25" s="38" t="n">
        <x:v>0.1331197547</x:v>
      </x:c>
      <x:c r="C25" s="38" t="n">
        <x:v>0.1331197547</x:v>
      </x:c>
      <x:c r="D25" s="38" t="n">
        <x:v>0.1255685906</x:v>
      </x:c>
      <x:c r="E25" s="38" t="n">
        <x:v>0.1213043329</x:v>
      </x:c>
      <x:c r="F25" s="38" t="n">
        <x:v>0.1163334329</x:v>
      </x:c>
      <x:c r="G25" s="38" t="n">
        <x:v>0.1122600665</x:v>
      </x:c>
      <x:c r="H25" s="31" t="n">
        <x:f>1-G25/B25</x:f>
        <x:v>0.15669866765462126</x:v>
      </x:c>
      <x:c r="I25" s="23"/>
      <x:c r="J25" s="31" t="n">
        <x:f>B25/$B25</x:f>
        <x:v>1</x:v>
      </x:c>
      <x:c r="K25" s="31" t="n">
        <x:f>C25/$B25</x:f>
        <x:v>1</x:v>
      </x:c>
      <x:c r="L25" s="31" t="n">
        <x:f>D25/$B25</x:f>
        <x:v>0.943275405539791</x:v>
      </x:c>
      <x:c r="M25" s="31" t="n">
        <x:f>E25/$B25</x:f>
        <x:v>0.9112421606648288</x:v>
      </x:c>
      <x:c r="N25" s="31" t="n">
        <x:f>F25/$B25</x:f>
        <x:v>0.8739005954613587</x:v>
      </x:c>
      <x:c r="O25" s="31" t="n">
        <x:f>G25/$B25</x:f>
        <x:v>0.8433013323453787</x:v>
      </x:c>
    </x:row>
    <x:row r="26" ht="19" customHeight="1">
      <x:c r="A26" s="29" t="str">
        <x:v>NFLX</x:v>
      </x:c>
      <x:c r="B26" s="38" t="n">
        <x:v>0.1147191527</x:v>
      </x:c>
      <x:c r="C26" s="38" t="n">
        <x:v>0.1147191527</x:v>
      </x:c>
      <x:c r="D26" s="38" t="n">
        <x:v>0.1096301927</x:v>
      </x:c>
      <x:c r="E26" s="38" t="n">
        <x:v>0.104772255</x:v>
      </x:c>
      <x:c r="F26" s="38" t="n">
        <x:v>0.1008997146</x:v>
      </x:c>
      <x:c r="G26" s="38" t="n">
        <x:v>0.0947414839</x:v>
      </x:c>
      <x:c r="H26" s="31" t="n">
        <x:f>1-G26/B26</x:f>
        <x:v>0.1741441453306688</x:v>
      </x:c>
      <x:c r="I26" s="23"/>
      <x:c r="J26" s="31" t="n">
        <x:f>B26/$B26</x:f>
        <x:v>1</x:v>
      </x:c>
      <x:c r="K26" s="31" t="n">
        <x:f>C26/$B26</x:f>
        <x:v>1</x:v>
      </x:c>
      <x:c r="L26" s="31" t="n">
        <x:f>D26/$B26</x:f>
        <x:v>0.9556398397283491</x:v>
      </x:c>
      <x:c r="M26" s="31" t="n">
        <x:f>E26/$B26</x:f>
        <x:v>0.9132934870429879</x:v>
      </x:c>
      <x:c r="N26" s="31" t="n">
        <x:f>F26/$B26</x:f>
        <x:v>0.879536783747532</x:v>
      </x:c>
      <x:c r="O26" s="31" t="n">
        <x:f>G26/$B26</x:f>
        <x:v>0.8258558546693312</x:v>
      </x:c>
    </x:row>
    <x:row r="27" ht="19" customHeight="1">
      <x:c r="A27" s="29" t="str">
        <x:v>CMCSA</x:v>
      </x:c>
      <x:c r="B27" s="38" t="n">
        <x:v>0.0710733817</x:v>
      </x:c>
      <x:c r="C27" s="38" t="n">
        <x:v>0.0710733817</x:v>
      </x:c>
      <x:c r="D27" s="38" t="n">
        <x:v>0.0629109458</x:v>
      </x:c>
      <x:c r="E27" s="38" t="n">
        <x:v>0.0626779133</x:v>
      </x:c>
      <x:c r="F27" s="38" t="n">
        <x:v>0.0563971549</x:v>
      </x:c>
      <x:c r="G27" s="38" t="n">
        <x:v>0.0506695889</x:v>
      </x:c>
      <x:c r="H27" s="31" t="n">
        <x:f>1-G27/B27</x:f>
        <x:v>0.2870806525869867</x:v>
      </x:c>
      <x:c r="I27" s="23"/>
      <x:c r="J27" s="31" t="n">
        <x:f>B27/$B27</x:f>
        <x:v>1</x:v>
      </x:c>
      <x:c r="K27" s="31" t="n">
        <x:f>C27/$B27</x:f>
        <x:v>1</x:v>
      </x:c>
      <x:c r="L27" s="31" t="n">
        <x:f>D27/$B27</x:f>
        <x:v>0.8851548117626716</x:v>
      </x:c>
      <x:c r="M27" s="31" t="n">
        <x:f>E27/$B27</x:f>
        <x:v>0.8818760526206959</x:v>
      </x:c>
      <x:c r="N27" s="31" t="n">
        <x:f>F27/$B27</x:f>
        <x:v>0.7935060011362877</x:v>
      </x:c>
      <x:c r="O27" s="31" t="n">
        <x:f>G27/$B27</x:f>
        <x:v>0.7129193474130133</x:v>
      </x:c>
    </x:row>
    <x:row r="28" ht="19" customHeight="1">
      <x:c r="A28" s="29" t="str">
        <x:v>MU</x:v>
      </x:c>
      <x:c r="B28" s="38" t="n">
        <x:v>0.1839648327</x:v>
      </x:c>
      <x:c r="C28" s="38" t="n">
        <x:v>0.1839648327</x:v>
      </x:c>
      <x:c r="D28" s="38" t="n">
        <x:v>0.1691826439</x:v>
      </x:c>
      <x:c r="E28" s="38" t="n">
        <x:v>0.1607590403</x:v>
      </x:c>
      <x:c r="F28" s="38" t="n">
        <x:v>0.1404930307</x:v>
      </x:c>
      <x:c r="G28" s="38" t="n">
        <x:v>0.1341629867</x:v>
      </x:c>
      <x:c r="H28" s="31" t="n">
        <x:f>1-G28/B28</x:f>
        <x:v>0.27071394716627273</x:v>
      </x:c>
      <x:c r="I28" s="23"/>
      <x:c r="J28" s="31" t="n">
        <x:f>B28/$B28</x:f>
        <x:v>1</x:v>
      </x:c>
      <x:c r="K28" s="31" t="n">
        <x:f>C28/$B28</x:f>
        <x:v>1</x:v>
      </x:c>
      <x:c r="L28" s="31" t="n">
        <x:f>D28/$B28</x:f>
        <x:v>0.9196466597281341</x:v>
      </x:c>
      <x:c r="M28" s="31" t="n">
        <x:f>E28/$B28</x:f>
        <x:v>0.8738574538436769</x:v>
      </x:c>
      <x:c r="N28" s="31" t="n">
        <x:f>F28/$B28</x:f>
        <x:v>0.7636950423514287</x:v>
      </x:c>
      <x:c r="O28" s="31" t="n">
        <x:f>G28/$B28</x:f>
        <x:v>0.7292860528337273</x:v>
      </x:c>
    </x:row>
    <x:row r="29" ht="19" customHeight="1">
      <x:c r="A29" s="29" t="str">
        <x:v>NEM</x:v>
      </x:c>
      <x:c r="B29" s="38" t="n">
        <x:v>0.1248098645</x:v>
      </x:c>
      <x:c r="C29" s="38" t="n">
        <x:v>0.1248098645</x:v>
      </x:c>
      <x:c r="D29" s="38" t="n">
        <x:v>0.0988719853</x:v>
      </x:c>
      <x:c r="E29" s="38" t="n">
        <x:v>0.0987798785</x:v>
      </x:c>
      <x:c r="F29" s="38" t="n">
        <x:v>0.0969360046</x:v>
      </x:c>
      <x:c r="G29" s="38" t="n">
        <x:v>0.0969360046</x:v>
      </x:c>
      <x:c r="H29" s="31" t="n">
        <x:f>1-G29/B29</x:f>
        <x:v>0.223330583777695</x:v>
      </x:c>
      <x:c r="I29" s="23"/>
      <x:c r="J29" s="31" t="n">
        <x:f>B29/$B29</x:f>
        <x:v>1</x:v>
      </x:c>
      <x:c r="K29" s="31" t="n">
        <x:f>C29/$B29</x:f>
        <x:v>1</x:v>
      </x:c>
      <x:c r="L29" s="31" t="n">
        <x:f>D29/$B29</x:f>
        <x:v>0.7921808560252063</x:v>
      </x:c>
      <x:c r="M29" s="31" t="n">
        <x:f>E29/$B29</x:f>
        <x:v>0.7914428791003134</x:v>
      </x:c>
      <x:c r="N29" s="31" t="n">
        <x:f>F29/$B29</x:f>
        <x:v>0.776669416222305</x:v>
      </x:c>
      <x:c r="O29" s="31" t="n">
        <x:f>G29/$B29</x:f>
        <x:v>0.776669416222305</x:v>
      </x:c>
    </x:row>
    <x:row r="30" ht="19" customHeight="1">
      <x:c r="A30" s="29" t="str">
        <x:v>PGR</x:v>
      </x:c>
      <x:c r="B30" s="38" t="n">
        <x:v>0.054196633</x:v>
      </x:c>
      <x:c r="C30" s="38" t="n">
        <x:v>0.054196633</x:v>
      </x:c>
      <x:c r="D30" s="38" t="n">
        <x:v>0.0526014745</x:v>
      </x:c>
      <x:c r="E30" s="38" t="n">
        <x:v>0.0524491881</x:v>
      </x:c>
      <x:c r="F30" s="38" t="n">
        <x:v>0.050214137</x:v>
      </x:c>
      <x:c r="G30" s="38" t="n">
        <x:v>0.0485642066</x:v>
      </x:c>
      <x:c r="H30" s="31" t="n">
        <x:f>1-G30/B30</x:f>
        <x:v>0.10392576232549355</x:v>
      </x:c>
      <x:c r="I30" s="23"/>
      <x:c r="J30" s="31" t="n">
        <x:f>B30/$B30</x:f>
        <x:v>1</x:v>
      </x:c>
      <x:c r="K30" s="31" t="n">
        <x:f>C30/$B30</x:f>
        <x:v>1</x:v>
      </x:c>
      <x:c r="L30" s="31" t="n">
        <x:f>D30/$B30</x:f>
        <x:v>0.9705672029478289</x:v>
      </x:c>
      <x:c r="M30" s="31" t="n">
        <x:f>E30/$B30</x:f>
        <x:v>0.9677573162155664</x:v>
      </x:c>
      <x:c r="N30" s="31" t="n">
        <x:f>F30/$B30</x:f>
        <x:v>0.9265176491683533</x:v>
      </x:c>
      <x:c r="O30" s="31" t="n">
        <x:f>G30/$B30</x:f>
        <x:v>0.8960742376745064</x:v>
      </x:c>
    </x:row>
    <x:row r="31" ht="19" customHeight="1">
      <x:c r="A31" s="29" t="str">
        <x:v>ORKA</x:v>
      </x:c>
      <x:c r="B31" s="38" t="n">
        <x:v>0.2015694218</x:v>
      </x:c>
      <x:c r="C31" s="38" t="n">
        <x:v>0.2015694218</x:v>
      </x:c>
      <x:c r="D31" s="38" t="n">
        <x:v>0.189307254</x:v>
      </x:c>
      <x:c r="E31" s="38" t="n">
        <x:v>0.1892669367</x:v>
      </x:c>
      <x:c r="F31" s="38" t="n">
        <x:v>0.1880197816</x:v>
      </x:c>
      <x:c r="G31" s="38" t="n">
        <x:v>0.1721594317</x:v>
      </x:c>
      <x:c r="H31" s="31" t="n">
        <x:f>1-G31/B31</x:f>
        <x:v>0.14590501792072907</x:v>
      </x:c>
      <x:c r="I31" s="23"/>
      <x:c r="J31" s="31" t="n">
        <x:f>B31/$B31</x:f>
        <x:v>1</x:v>
      </x:c>
      <x:c r="K31" s="31" t="n">
        <x:f>C31/$B31</x:f>
        <x:v>1</x:v>
      </x:c>
      <x:c r="L31" s="31" t="n">
        <x:f>D31/$B31</x:f>
        <x:v>0.9391665278865229</x:v>
      </x:c>
      <x:c r="M31" s="31" t="n">
        <x:f>E31/$B31</x:f>
        <x:v>0.9389665109412939</x:v>
      </x:c>
      <x:c r="N31" s="31" t="n">
        <x:f>F31/$B31</x:f>
        <x:v>0.932779287259929</x:v>
      </x:c>
      <x:c r="O31" s="31" t="n">
        <x:f>G31/$B31</x:f>
        <x:v>0.8540949820792709</x:v>
      </x:c>
    </x:row>
    <x:row r="32" ht="19" customHeight="1">
      <x:c r="A32" s="29" t="str">
        <x:v>UPST</x:v>
      </x:c>
      <x:c r="B32" s="38" t="n">
        <x:v>0.2785196281</x:v>
      </x:c>
      <x:c r="C32" s="38" t="n">
        <x:v>0.2785196281</x:v>
      </x:c>
      <x:c r="D32" s="38" t="n">
        <x:v>0.2582064256</x:v>
      </x:c>
      <x:c r="E32" s="38" t="n">
        <x:v>0.2499718919</x:v>
      </x:c>
      <x:c r="F32" s="38" t="n">
        <x:v>0.2415570078</x:v>
      </x:c>
      <x:c r="G32" s="38" t="n">
        <x:v>0.2333223293</x:v>
      </x:c>
      <x:c r="H32" s="31" t="n">
        <x:f>1-G32/B32</x:f>
        <x:v>0.16227688909512816</x:v>
      </x:c>
      <x:c r="I32" s="23"/>
      <x:c r="J32" s="31" t="n">
        <x:f>B32/$B32</x:f>
        <x:v>1</x:v>
      </x:c>
      <x:c r="K32" s="31" t="n">
        <x:f>C32/$B32</x:f>
        <x:v>1</x:v>
      </x:c>
      <x:c r="L32" s="31" t="n">
        <x:f>D32/$B32</x:f>
        <x:v>0.9270672496636153</x:v>
      </x:c>
      <x:c r="M32" s="31" t="n">
        <x:f>E32/$B32</x:f>
        <x:v>0.897501887408272</x:v>
      </x:c>
      <x:c r="N32" s="31" t="n">
        <x:f>F32/$B32</x:f>
        <x:v>0.8672889930517611</x:v>
      </x:c>
      <x:c r="O32" s="31" t="n">
        <x:f>G32/$B32</x:f>
        <x:v>0.8377231109048718</x:v>
      </x:c>
    </x:row>
    <x:row r="33" ht="19" customHeight="1">
      <x:c r="A33" s="29" t="str">
        <x:v>PG</x:v>
      </x:c>
      <x:c r="B33" s="38" t="n">
        <x:v>0.0521258075</x:v>
      </x:c>
      <x:c r="C33" s="38" t="n">
        <x:v>0.0521258075</x:v>
      </x:c>
      <x:c r="D33" s="38" t="n">
        <x:v>0.0464321152</x:v>
      </x:c>
      <x:c r="E33" s="38" t="n">
        <x:v>0.0447100701</x:v>
      </x:c>
      <x:c r="F33" s="38" t="n">
        <x:v>0.0357087683</x:v>
      </x:c>
      <x:c r="G33" s="38" t="n">
        <x:v>0.0357087683</x:v>
      </x:c>
      <x:c r="H33" s="31" t="n">
        <x:f>1-G33/B33</x:f>
        <x:v>0.3149503094028808</x:v>
      </x:c>
      <x:c r="I33" s="23"/>
      <x:c r="J33" s="31" t="n">
        <x:f>B33/$B33</x:f>
        <x:v>1</x:v>
      </x:c>
      <x:c r="K33" s="31" t="n">
        <x:f>C33/$B33</x:f>
        <x:v>1</x:v>
      </x:c>
      <x:c r="L33" s="31" t="n">
        <x:f>D33/$B33</x:f>
        <x:v>0.890770185190896</x:v>
      </x:c>
      <x:c r="M33" s="31" t="n">
        <x:f>E33/$B33</x:f>
        <x:v>0.8577338605258057</x:v>
      </x:c>
      <x:c r="N33" s="31" t="n">
        <x:f>F33/$B33</x:f>
        <x:v>0.6850496905971192</x:v>
      </x:c>
      <x:c r="O33" s="31" t="n">
        <x:f>G33/$B33</x:f>
        <x:v>0.6850496905971192</x:v>
      </x:c>
    </x:row>
    <x:row r="34" ht="19" customHeight="1">
      <x:c r="A34" s="29" t="str">
        <x:v>F</x:v>
      </x:c>
      <x:c r="B34" s="38" t="n">
        <x:v>0.1042902949</x:v>
      </x:c>
      <x:c r="C34" s="38" t="n">
        <x:v>0.1042902949</x:v>
      </x:c>
      <x:c r="D34" s="38" t="n">
        <x:v>0.0917931767</x:v>
      </x:c>
      <x:c r="E34" s="38" t="n">
        <x:v>0.0861494094</x:v>
      </x:c>
      <x:c r="F34" s="38" t="n">
        <x:v>0.0847579964</x:v>
      </x:c>
      <x:c r="G34" s="38" t="n">
        <x:v>0.0847579964</x:v>
      </x:c>
      <x:c r="H34" s="31" t="n">
        <x:f>1-G34/B34</x:f>
        <x:v>0.1872877866414011</x:v>
      </x:c>
      <x:c r="I34" s="23"/>
      <x:c r="J34" s="31" t="n">
        <x:f>B34/$B34</x:f>
        <x:v>1</x:v>
      </x:c>
      <x:c r="K34" s="31" t="n">
        <x:f>C34/$B34</x:f>
        <x:v>1</x:v>
      </x:c>
      <x:c r="L34" s="31" t="n">
        <x:f>D34/$B34</x:f>
        <x:v>0.8801698833819293</x:v>
      </x:c>
      <x:c r="M34" s="31" t="n">
        <x:f>E34/$B34</x:f>
        <x:v>0.8260539437788089</x:v>
      </x:c>
      <x:c r="N34" s="31" t="n">
        <x:f>F34/$B34</x:f>
        <x:v>0.8127122133585989</x:v>
      </x:c>
      <x:c r="O34" s="31" t="n">
        <x:f>G34/$B34</x:f>
        <x:v>0.8127122133585989</x:v>
      </x:c>
    </x:row>
    <x:row r="35" ht="19" customHeight="1">
      <x:c r="A35" s="29" t="str">
        <x:v>HPE</x:v>
      </x:c>
      <x:c r="B35" s="38" t="n">
        <x:v>0.1168563953</x:v>
      </x:c>
      <x:c r="C35" s="38" t="n">
        <x:v>0.1168563953</x:v>
      </x:c>
      <x:c r="D35" s="38" t="n">
        <x:v>0.1168563953</x:v>
      </x:c>
      <x:c r="E35" s="38" t="n">
        <x:v>0.1044050089</x:v>
      </x:c>
      <x:c r="F35" s="38" t="n">
        <x:v>0.0962358065</x:v>
      </x:c>
      <x:c r="G35" s="38" t="n">
        <x:v>0.0810217281</x:v>
      </x:c>
      <x:c r="H35" s="31" t="n">
        <x:f>1-G35/B35</x:f>
        <x:v>0.30665559302940437</x:v>
      </x:c>
      <x:c r="I35" s="23"/>
      <x:c r="J35" s="31" t="n">
        <x:f>B35/$B35</x:f>
        <x:v>1</x:v>
      </x:c>
      <x:c r="K35" s="31" t="n">
        <x:f>C35/$B35</x:f>
        <x:v>1</x:v>
      </x:c>
      <x:c r="L35" s="31" t="n">
        <x:f>D35/$B35</x:f>
        <x:v>1</x:v>
      </x:c>
      <x:c r="M35" s="31" t="n">
        <x:f>E35/$B35</x:f>
        <x:v>0.8934471120041472</x:v>
      </x:c>
      <x:c r="N35" s="31" t="n">
        <x:f>F35/$B35</x:f>
        <x:v>0.823539064789208</x:v>
      </x:c>
      <x:c r="O35" s="31" t="n">
        <x:f>G35/$B35</x:f>
        <x:v>0.6933444069705956</x:v>
      </x:c>
    </x:row>
    <x:row r="36" ht="19" customHeight="1">
      <x:c r="A36" s="29" t="str">
        <x:v>BA</x:v>
      </x:c>
      <x:c r="B36" s="38" t="n">
        <x:v>0.0962072134</x:v>
      </x:c>
      <x:c r="C36" s="38" t="n">
        <x:v>0.0962072134</x:v>
      </x:c>
      <x:c r="D36" s="38" t="n">
        <x:v>0.0793997511</x:v>
      </x:c>
      <x:c r="E36" s="38" t="n">
        <x:v>0.07634743</x:v>
      </x:c>
      <x:c r="F36" s="38" t="n">
        <x:v>0.0761115994</x:v>
      </x:c>
      <x:c r="G36" s="38" t="n">
        <x:v>0.0761115994</x:v>
      </x:c>
      <x:c r="H36" s="31" t="n">
        <x:f>1-G36/B36</x:f>
        <x:v>0.2088784540141354</x:v>
      </x:c>
      <x:c r="I36" s="23"/>
      <x:c r="J36" s="31" t="n">
        <x:f>B36/$B36</x:f>
        <x:v>1</x:v>
      </x:c>
      <x:c r="K36" s="31" t="n">
        <x:f>C36/$B36</x:f>
        <x:v>1</x:v>
      </x:c>
      <x:c r="L36" s="31" t="n">
        <x:f>D36/$B36</x:f>
        <x:v>0.8252993543205566</x:v>
      </x:c>
      <x:c r="M36" s="31" t="n">
        <x:f>E36/$B36</x:f>
        <x:v>0.7935728237192659</x:v>
      </x:c>
      <x:c r="N36" s="31" t="n">
        <x:f>F36/$B36</x:f>
        <x:v>0.7911215459858646</x:v>
      </x:c>
      <x:c r="O36" s="31" t="n">
        <x:f>G36/$B36</x:f>
        <x:v>0.7911215459858646</x:v>
      </x:c>
    </x:row>
    <x:row r="37" ht="19" customHeight="1">
      <x:c r="A37" s="29" t="str">
        <x:v>HII</x:v>
      </x:c>
      <x:c r="B37" s="38" t="n">
        <x:v>0.0944203736</x:v>
      </x:c>
      <x:c r="C37" s="38" t="n">
        <x:v>0.0944203736</x:v>
      </x:c>
      <x:c r="D37" s="38" t="n">
        <x:v>0.0862561622</x:v>
      </x:c>
      <x:c r="E37" s="38" t="n">
        <x:v>0.0849614112</x:v>
      </x:c>
      <x:c r="F37" s="38" t="n">
        <x:v>0.0816472695</x:v>
      </x:c>
      <x:c r="G37" s="38" t="n">
        <x:v>0.0758731485</x:v>
      </x:c>
      <x:c r="H37" s="31" t="n">
        <x:f>1-G37/B37</x:f>
        <x:v>0.1964324477106284</x:v>
      </x:c>
      <x:c r="I37" s="23"/>
      <x:c r="J37" s="31" t="n">
        <x:f>B37/$B37</x:f>
        <x:v>1</x:v>
      </x:c>
      <x:c r="K37" s="31" t="n">
        <x:f>C37/$B37</x:f>
        <x:v>1</x:v>
      </x:c>
      <x:c r="L37" s="31" t="n">
        <x:f>D37/$B37</x:f>
        <x:v>0.9135333711494656</x:v>
      </x:c>
      <x:c r="M37" s="31" t="n">
        <x:f>E37/$B37</x:f>
        <x:v>0.8998207480085634</x:v>
      </x:c>
      <x:c r="N37" s="31" t="n">
        <x:f>F37/$B37</x:f>
        <x:v>0.8647208900685815</x:v>
      </x:c>
      <x:c r="O37" s="31" t="n">
        <x:f>G37/$B37</x:f>
        <x:v>0.8035675522893716</x:v>
      </x:c>
    </x:row>
    <x:row r="38" ht="19" customHeight="1">
      <x:c r="A38" s="29" t="str">
        <x:v>AMD</x:v>
      </x:c>
      <x:c r="B38" s="38" t="n">
        <x:v>0.1690601026</x:v>
      </x:c>
      <x:c r="C38" s="38" t="n">
        <x:v>0.1690601026</x:v>
      </x:c>
      <x:c r="D38" s="38" t="n">
        <x:v>0.1598048616</x:v>
      </x:c>
      <x:c r="E38" s="38" t="n">
        <x:v>0.1379904983</x:v>
      </x:c>
      <x:c r="F38" s="38" t="n">
        <x:v>0.1079718276</x:v>
      </x:c>
      <x:c r="G38" s="38" t="n">
        <x:v>0.1079718276</x:v>
      </x:c>
      <x:c r="H38" s="31" t="n">
        <x:f>1-G38/B38</x:f>
        <x:v>0.3613405768748186</x:v>
      </x:c>
      <x:c r="I38" s="23"/>
      <x:c r="J38" s="31" t="n">
        <x:f>B38/$B38</x:f>
        <x:v>1</x:v>
      </x:c>
      <x:c r="K38" s="31" t="n">
        <x:f>C38/$B38</x:f>
        <x:v>1</x:v>
      </x:c>
      <x:c r="L38" s="31" t="n">
        <x:f>D38/$B38</x:f>
        <x:v>0.9452547297815255</x:v>
      </x:c>
      <x:c r="M38" s="31" t="n">
        <x:f>E38/$B38</x:f>
        <x:v>0.8162215459343982</x:v>
      </x:c>
      <x:c r="N38" s="31" t="n">
        <x:f>F38/$B38</x:f>
        <x:v>0.6386594231251814</x:v>
      </x:c>
      <x:c r="O38" s="31" t="n">
        <x:f>G38/$B38</x:f>
        <x:v>0.6386594231251814</x:v>
      </x:c>
    </x:row>
    <x:row r="39" ht="19" customHeight="1">
      <x:c r="A39" s="29" t="str">
        <x:v>LLY</x:v>
      </x:c>
      <x:c r="B39" s="38" t="n">
        <x:v>0.0896380793</x:v>
      </x:c>
      <x:c r="C39" s="38" t="n">
        <x:v>0.0896380793</x:v>
      </x:c>
      <x:c r="D39" s="38" t="n">
        <x:v>0.0896380793</x:v>
      </x:c>
      <x:c r="E39" s="38" t="n">
        <x:v>0.0880056059</x:v>
      </x:c>
      <x:c r="F39" s="38" t="n">
        <x:v>0.073598308</x:v>
      </x:c>
      <x:c r="G39" s="38" t="n">
        <x:v>0.0676609248</x:v>
      </x:c>
      <x:c r="H39" s="31" t="n">
        <x:f>1-G39/B39</x:f>
        <x:v>0.2451765440717114</x:v>
      </x:c>
      <x:c r="I39" s="23"/>
      <x:c r="J39" s="31" t="n">
        <x:f>B39/$B39</x:f>
        <x:v>1</x:v>
      </x:c>
      <x:c r="K39" s="31" t="n">
        <x:f>C39/$B39</x:f>
        <x:v>1</x:v>
      </x:c>
      <x:c r="L39" s="31" t="n">
        <x:f>D39/$B39</x:f>
        <x:v>1</x:v>
      </x:c>
      <x:c r="M39" s="31" t="n">
        <x:f>E39/$B39</x:f>
        <x:v>0.9817881706887488</x:v>
      </x:c>
      <x:c r="N39" s="31" t="n">
        <x:f>F39/$B39</x:f>
        <x:v>0.82106074309872</x:v>
      </x:c>
      <x:c r="O39" s="31" t="n">
        <x:f>G39/$B39</x:f>
        <x:v>0.7548234559282886</x:v>
      </x:c>
    </x:row>
    <x:row r="40" ht="19" customHeight="1">
      <x:c r="A40" s="29" t="str">
        <x:v>WELL</x:v>
      </x:c>
      <x:c r="B40" s="38" t="n">
        <x:v>0.0726453304</x:v>
      </x:c>
      <x:c r="C40" s="38" t="n">
        <x:v>0.0726453304</x:v>
      </x:c>
      <x:c r="D40" s="38" t="n">
        <x:v>0.0672638444</x:v>
      </x:c>
      <x:c r="E40" s="38" t="n">
        <x:v>0.0655545181</x:v>
      </x:c>
      <x:c r="F40" s="38" t="n">
        <x:v>0.0572699382</x:v>
      </x:c>
      <x:c r="G40" s="38" t="n">
        <x:v>0.0491900558</x:v>
      </x:c>
      <x:c r="H40" s="31" t="n">
        <x:f>1-G40/B40</x:f>
        <x:v>0.32287380993176673</x:v>
      </x:c>
      <x:c r="I40" s="23"/>
      <x:c r="J40" s="31" t="n">
        <x:f>B40/$B40</x:f>
        <x:v>1</x:v>
      </x:c>
      <x:c r="K40" s="31" t="n">
        <x:f>C40/$B40</x:f>
        <x:v>1</x:v>
      </x:c>
      <x:c r="L40" s="31" t="n">
        <x:f>D40/$B40</x:f>
        <x:v>0.9259211022873949</x:v>
      </x:c>
      <x:c r="M40" s="31" t="n">
        <x:f>E40/$B40</x:f>
        <x:v>0.9023913545308895</x:v>
      </x:c>
      <x:c r="N40" s="31" t="n">
        <x:f>F40/$B40</x:f>
        <x:v>0.7883498895890493</x:v>
      </x:c>
      <x:c r="O40" s="31" t="n">
        <x:f>G40/$B40</x:f>
        <x:v>0.6771261900682333</x:v>
      </x:c>
    </x:row>
    <x:row r="41" ht="19" customHeight="1">
      <x:c r="A41" s="29" t="str">
        <x:v>NOK</x:v>
      </x:c>
      <x:c r="B41" s="38" t="n">
        <x:v>0.1329848132</x:v>
      </x:c>
      <x:c r="C41" s="38" t="n">
        <x:v>0.132794841</x:v>
      </x:c>
      <x:c r="D41" s="38" t="n">
        <x:v>0.132794841</x:v>
      </x:c>
      <x:c r="E41" s="38" t="n">
        <x:v>0.1267286732</x:v>
      </x:c>
      <x:c r="F41" s="38" t="n">
        <x:v>0.116727857</x:v>
      </x:c>
      <x:c r="G41" s="38" t="n">
        <x:v>0.1132786332</x:v>
      </x:c>
      <x:c r="H41" s="31" t="n">
        <x:f>1-G41/B41</x:f>
        <x:v>0.14818368748891086</x:v>
      </x:c>
      <x:c r="I41" s="23"/>
      <x:c r="J41" s="31" t="n">
        <x:f>B41/$B41</x:f>
        <x:v>1</x:v>
      </x:c>
      <x:c r="K41" s="31" t="n">
        <x:f>C41/$B41</x:f>
        <x:v>0.9985714744757035</x:v>
      </x:c>
      <x:c r="L41" s="31" t="n">
        <x:f>D41/$B41</x:f>
        <x:v>0.9985714744757035</x:v>
      </x:c>
      <x:c r="M41" s="31" t="n">
        <x:f>E41/$B41</x:f>
        <x:v>0.9529559815932426</x:v>
      </x:c>
      <x:c r="N41" s="31" t="n">
        <x:f>F41/$B41</x:f>
        <x:v>0.8777532876964631</x:v>
      </x:c>
      <x:c r="O41" s="31" t="n">
        <x:f>G41/$B41</x:f>
        <x:v>0.8518163125110891</x:v>
      </x:c>
    </x:row>
    <x:row r="42" ht="19" customHeight="1">
      <x:c r="A42" s="29" t="str">
        <x:v>MSFT</x:v>
      </x:c>
      <x:c r="B42" s="38" t="n">
        <x:v>0.0817084694</x:v>
      </x:c>
      <x:c r="C42" s="38" t="n">
        <x:v>0.0817084694</x:v>
      </x:c>
      <x:c r="D42" s="38" t="n">
        <x:v>0.0746231568</x:v>
      </x:c>
      <x:c r="E42" s="38" t="n">
        <x:v>0.0636569294</x:v>
      </x:c>
      <x:c r="F42" s="38" t="n">
        <x:v>0.061817313</x:v>
      </x:c>
      <x:c r="G42" s="38" t="n">
        <x:v>0.0584803726</x:v>
      </x:c>
      <x:c r="H42" s="31" t="n">
        <x:f>1-G42/B42</x:f>
        <x:v>0.28428016055823957</x:v>
      </x:c>
      <x:c r="I42" s="23"/>
      <x:c r="J42" s="31" t="n">
        <x:f>B42/$B42</x:f>
        <x:v>1</x:v>
      </x:c>
      <x:c r="K42" s="31" t="n">
        <x:f>C42/$B42</x:f>
        <x:v>1</x:v>
      </x:c>
      <x:c r="L42" s="31" t="n">
        <x:f>D42/$B42</x:f>
        <x:v>0.9132854567950089</x:v>
      </x:c>
      <x:c r="M42" s="31" t="n">
        <x:f>E42/$B42</x:f>
        <x:v>0.7790738202226073</x:v>
      </x:c>
      <x:c r="N42" s="31" t="n">
        <x:f>F42/$B42</x:f>
        <x:v>0.7565594295663064</x:v>
      </x:c>
      <x:c r="O42" s="31" t="n">
        <x:f>G42/$B42</x:f>
        <x:v>0.7157198394417604</x:v>
      </x:c>
    </x:row>
    <x:row r="43" ht="19" customHeight="1">
      <x:c r="A43" s="29" t="str">
        <x:v>GOOGL</x:v>
      </x:c>
      <x:c r="B43" s="38" t="n">
        <x:v>0.0947913027</x:v>
      </x:c>
      <x:c r="C43" s="38" t="n">
        <x:v>0.0947913027</x:v>
      </x:c>
      <x:c r="D43" s="38" t="n">
        <x:v>0.0850617935</x:v>
      </x:c>
      <x:c r="E43" s="38" t="n">
        <x:v>0.074782682</x:v>
      </x:c>
      <x:c r="F43" s="38" t="n">
        <x:v>0.0719339724</x:v>
      </x:c>
      <x:c r="G43" s="38" t="n">
        <x:v>0.0641561369</x:v>
      </x:c>
      <x:c r="H43" s="31" t="n">
        <x:f>1-G43/B43</x:f>
        <x:v>0.3231854075996363</x:v>
      </x:c>
      <x:c r="I43" s="23"/>
      <x:c r="J43" s="31" t="n">
        <x:f>B43/$B43</x:f>
        <x:v>1</x:v>
      </x:c>
      <x:c r="K43" s="31" t="n">
        <x:f>C43/$B43</x:f>
        <x:v>1</x:v>
      </x:c>
      <x:c r="L43" s="31" t="n">
        <x:f>D43/$B43</x:f>
        <x:v>0.8973586297174077</x:v>
      </x:c>
      <x:c r="M43" s="31" t="n">
        <x:f>E43/$B43</x:f>
        <x:v>0.7889192348867256</x:v>
      </x:c>
      <x:c r="N43" s="31" t="n">
        <x:f>F43/$B43</x:f>
        <x:v>0.7588667984409925</x:v>
      </x:c>
      <x:c r="O43" s="31" t="n">
        <x:f>G43/$B43</x:f>
        <x:v>0.6768145924003637</x:v>
      </x:c>
    </x:row>
    <x:row r="44" ht="19" customHeight="1">
      <x:c r="A44" s="29" t="str">
        <x:v>COST</x:v>
      </x:c>
      <x:c r="B44" s="38" t="n">
        <x:v>0.0584798082</x:v>
      </x:c>
      <x:c r="C44" s="38" t="n">
        <x:v>0.0584798082</x:v>
      </x:c>
      <x:c r="D44" s="38" t="n">
        <x:v>0.0526162794</x:v>
      </x:c>
      <x:c r="E44" s="38" t="n">
        <x:v>0.0498061289</x:v>
      </x:c>
      <x:c r="F44" s="38" t="n">
        <x:v>0.0475086487</x:v>
      </x:c>
      <x:c r="G44" s="38" t="n">
        <x:v>0.043458692</x:v>
      </x:c>
      <x:c r="H44" s="31" t="n">
        <x:f>1-G44/B44</x:f>
        <x:v>0.2568598745848828</x:v>
      </x:c>
      <x:c r="I44" s="23"/>
      <x:c r="J44" s="31" t="n">
        <x:f>B44/$B44</x:f>
        <x:v>1</x:v>
      </x:c>
      <x:c r="K44" s="31" t="n">
        <x:f>C44/$B44</x:f>
        <x:v>1</x:v>
      </x:c>
      <x:c r="L44" s="31" t="n">
        <x:f>D44/$B44</x:f>
        <x:v>0.8997341307969612</x:v>
      </x:c>
      <x:c r="M44" s="31" t="n">
        <x:f>E44/$B44</x:f>
        <x:v>0.8516807840693296</x:v>
      </x:c>
      <x:c r="N44" s="31" t="n">
        <x:f>F44/$B44</x:f>
        <x:v>0.8123940580913193</x:v>
      </x:c>
      <x:c r="O44" s="31" t="n">
        <x:f>G44/$B44</x:f>
        <x:v>0.7431401254151172</x:v>
      </x:c>
    </x:row>
    <x:row r="45" ht="19" customHeight="1">
      <x:c r="A45" s="29" t="str">
        <x:v>HD</x:v>
      </x:c>
      <x:c r="B45" s="38" t="n">
        <x:v>0.07132581</x:v>
      </x:c>
      <x:c r="C45" s="38" t="n">
        <x:v>0.07132581</x:v>
      </x:c>
      <x:c r="D45" s="38" t="n">
        <x:v>0.0658550407</x:v>
      </x:c>
      <x:c r="E45" s="38" t="n">
        <x:v>0.0600748264</x:v>
      </x:c>
      <x:c r="F45" s="38" t="n">
        <x:v>0.056216077</x:v>
      </x:c>
      <x:c r="G45" s="38" t="n">
        <x:v>0.0541372048</x:v>
      </x:c>
      <x:c r="H45" s="31" t="n">
        <x:f>1-G45/B45</x:f>
        <x:v>0.24098717140401216</x:v>
      </x:c>
      <x:c r="I45" s="23"/>
      <x:c r="J45" s="31" t="n">
        <x:f>B45/$B45</x:f>
        <x:v>1</x:v>
      </x:c>
      <x:c r="K45" s="31" t="n">
        <x:f>C45/$B45</x:f>
        <x:v>1</x:v>
      </x:c>
      <x:c r="L45" s="31" t="n">
        <x:f>D45/$B45</x:f>
        <x:v>0.9232988829709751</x:v>
      </x:c>
      <x:c r="M45" s="31" t="n">
        <x:f>E45/$B45</x:f>
        <x:v>0.8422592943564188</x:v>
      </x:c>
      <x:c r="N45" s="31" t="n">
        <x:f>F45/$B45</x:f>
        <x:v>0.7881589707849094</x:v>
      </x:c>
      <x:c r="O45" s="31" t="n">
        <x:f>G45/$B45</x:f>
        <x:v>0.7590128285959878</x:v>
      </x:c>
    </x:row>
    <x:row r="46" ht="19" customHeight="1">
      <x:c r="A46" s="29" t="str">
        <x:v>KO</x:v>
      </x:c>
      <x:c r="B46" s="38" t="n">
        <x:v>0.0476126179</x:v>
      </x:c>
      <x:c r="C46" s="38" t="n">
        <x:v>0.0476126179</x:v>
      </x:c>
      <x:c r="D46" s="38" t="n">
        <x:v>0.0413713934</x:v>
      </x:c>
      <x:c r="E46" s="38" t="n">
        <x:v>0.0412772635</x:v>
      </x:c>
      <x:c r="F46" s="38" t="n">
        <x:v>0.0324414931</x:v>
      </x:c>
      <x:c r="G46" s="38" t="n">
        <x:v>0.0276327998</x:v>
      </x:c>
      <x:c r="H46" s="31" t="n">
        <x:f>1-G46/B46</x:f>
        <x:v>0.41963284064663875</x:v>
      </x:c>
      <x:c r="I46" s="23"/>
      <x:c r="J46" s="31" t="n">
        <x:f>B46/$B46</x:f>
        <x:v>1</x:v>
      </x:c>
      <x:c r="K46" s="31" t="n">
        <x:f>C46/$B46</x:f>
        <x:v>1</x:v>
      </x:c>
      <x:c r="L46" s="31" t="n">
        <x:f>D46/$B46</x:f>
        <x:v>0.8689165860800104</x:v>
      </x:c>
      <x:c r="M46" s="31" t="n">
        <x:f>E46/$B46</x:f>
        <x:v>0.8669395912380613</x:v>
      </x:c>
      <x:c r="N46" s="31" t="n">
        <x:f>F46/$B46</x:f>
        <x:v>0.6813633555738594</x:v>
      </x:c>
      <x:c r="O46" s="31" t="n">
        <x:f>G46/$B46</x:f>
        <x:v>0.5803671593533613</x:v>
      </x:c>
    </x:row>
    <x:row r="47" ht="19" customHeight="1">
      <x:c r="A47" s="29" t="str">
        <x:v>JNJ</x:v>
      </x:c>
      <x:c r="B47" s="38" t="n">
        <x:v>0.0530569244</x:v>
      </x:c>
      <x:c r="C47" s="38" t="n">
        <x:v>0.0530569244</x:v>
      </x:c>
      <x:c r="D47" s="38" t="n">
        <x:v>0.0513487217</x:v>
      </x:c>
      <x:c r="E47" s="38" t="n">
        <x:v>0.0512596267</x:v>
      </x:c>
      <x:c r="F47" s="38" t="n">
        <x:v>0.0379653139</x:v>
      </x:c>
      <x:c r="G47" s="38" t="n">
        <x:v>0.0369068972</x:v>
      </x:c>
      <x:c r="H47" s="31" t="n">
        <x:f>1-G47/B47</x:f>
        <x:v>0.3043905650889934</x:v>
      </x:c>
      <x:c r="I47" s="23"/>
      <x:c r="J47" s="31" t="n">
        <x:f>B47/$B47</x:f>
        <x:v>1</x:v>
      </x:c>
      <x:c r="K47" s="31" t="n">
        <x:f>C47/$B47</x:f>
        <x:v>1</x:v>
      </x:c>
      <x:c r="L47" s="31" t="n">
        <x:f>D47/$B47</x:f>
        <x:v>0.9678043399741431</x:v>
      </x:c>
      <x:c r="M47" s="31" t="n">
        <x:f>E47/$B47</x:f>
        <x:v>0.966125105811825</x:v>
      </x:c>
      <x:c r="N47" s="31" t="n">
        <x:f>F47/$B47</x:f>
        <x:v>0.7155581355183114</x:v>
      </x:c>
      <x:c r="O47" s="31" t="n">
        <x:f>G47/$B47</x:f>
        <x:v>0.6956094349110066</x:v>
      </x:c>
    </x:row>
    <x:row r="48" ht="19" customHeight="1">
      <x:c r="A48" s="29" t="str">
        <x:v>BRK-B</x:v>
      </x:c>
      <x:c r="B48" s="38" t="n">
        <x:v>0.0416408649</x:v>
      </x:c>
      <x:c r="C48" s="38" t="n">
        <x:v>0.0416408649</x:v>
      </x:c>
      <x:c r="D48" s="38" t="n">
        <x:v>0.0394623886</x:v>
      </x:c>
      <x:c r="E48" s="38" t="n">
        <x:v>0.0379245389</x:v>
      </x:c>
      <x:c r="F48" s="38" t="n">
        <x:v>0.0354143418</x:v>
      </x:c>
      <x:c r="G48" s="38" t="n">
        <x:v>0.0329600601</x:v>
      </x:c>
      <x:c r="H48" s="31" t="n">
        <x:f>1-G48/B48</x:f>
        <x:v>0.20846840767709407</x:v>
      </x:c>
      <x:c r="I48" s="23"/>
      <x:c r="J48" s="31" t="n">
        <x:f>B48/$B48</x:f>
        <x:v>1</x:v>
      </x:c>
      <x:c r="K48" s="31" t="n">
        <x:f>C48/$B48</x:f>
        <x:v>1</x:v>
      </x:c>
      <x:c r="L48" s="31" t="n">
        <x:f>D48/$B48</x:f>
        <x:v>0.9476841726214963</x:v>
      </x:c>
      <x:c r="M48" s="31" t="n">
        <x:f>E48/$B48</x:f>
        <x:v>0.9107529104180543</x:v>
      </x:c>
      <x:c r="N48" s="31" t="n">
        <x:f>F48/$B48</x:f>
        <x:v>0.8504708508107861</x:v>
      </x:c>
      <x:c r="O48" s="31" t="n">
        <x:f>G48/$B48</x:f>
        <x:v>0.7915315923229059</x:v>
      </x:c>
    </x:row>
  </x:sheetData>
  <x:pageMargins left="0.7" right="0.7" top="0.75" bottom="0.75" header="0.3" footer="0.3"/>
</x:worksheet>
</file>

<file path=xl/worksheets/sheet5.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row>
    <x:row r="2" ht="19" customHeight="1">
      <x:c r="A2" s="34" t="str">
        <x:v>Factor covariance</x:v>
      </x:c>
      <x:c r="B2" s="23"/>
      <x:c r="C2" s="23"/>
      <x:c r="D2" s="23"/>
      <x:c r="E2" s="23"/>
      <x:c r="F2" s="23"/>
      <x:c r="G2" s="23"/>
      <x:c r="H2" s="23"/>
      <x:c r="I2" s="23"/>
      <x:c r="J2" s="23"/>
      <x:c r="K2" s="23"/>
      <x:c r="L2" s="23"/>
      <x:c r="M2" s="23"/>
      <x:c r="N2" s="23"/>
      <x:c r="O2" s="23"/>
      <x:c r="P2" s="23"/>
      <x:c r="Q2" s="23"/>
      <x:c r="R2" s="23"/>
      <x:c r="S2" s="23"/>
    </x:row>
    <x:row r="3" ht="19" customHeight="1">
      <x:c r="A3" s="27"/>
      <x:c r="B3" s="23"/>
      <x:c r="C3" s="23"/>
      <x:c r="D3" s="23"/>
      <x:c r="E3" s="23"/>
      <x:c r="F3" s="23"/>
      <x:c r="G3" s="23"/>
      <x:c r="H3" s="23"/>
      <x:c r="I3" s="23"/>
      <x:c r="J3" s="23"/>
      <x:c r="K3" s="23"/>
      <x:c r="L3" s="23"/>
      <x:c r="M3" s="23"/>
      <x:c r="N3" s="23"/>
      <x:c r="O3" s="23"/>
      <x:c r="P3" s="23"/>
      <x:c r="Q3" s="23"/>
      <x:c r="R3" s="23"/>
      <x:c r="S3" s="23"/>
    </x:row>
    <x:row r="4" ht="19" customHeight="1">
      <x:c r="A4" s="23"/>
      <x:c r="B4" s="23"/>
      <x:c r="C4" s="23"/>
      <x:c r="D4" s="23"/>
      <x:c r="E4" s="23"/>
      <x:c r="F4" s="23"/>
      <x:c r="G4" s="23"/>
      <x:c r="H4" s="23"/>
      <x:c r="I4" s="23"/>
      <x:c r="J4" s="23"/>
      <x:c r="K4" s="23"/>
      <x:c r="L4" s="23"/>
      <x:c r="M4" s="23"/>
      <x:c r="N4" s="23"/>
      <x:c r="O4" s="23"/>
      <x:c r="P4" s="23"/>
      <x:c r="Q4" s="23"/>
      <x:c r="R4" s="23"/>
      <x:c r="S4" s="23"/>
    </x:row>
    <x:row r="5" ht="42" customHeight="1">
      <x:c r="A5" s="35" t="str">
        <x:v>Factor / stock</x:v>
      </x:c>
      <x:c r="B5" s="35" t="str">
        <x:v>MXN/USD</x:v>
      </x:c>
      <x:c r="C5" s="35" t="str">
        <x:v>SGD/USD</x:v>
      </x:c>
      <x:c r="D5" s="35" t="str">
        <x:v>DKK/USD</x:v>
      </x:c>
      <x:c r="E5" s="35" t="str">
        <x:v>EUR/USD</x:v>
      </x:c>
      <x:c r="F5" s="35" t="str">
        <x:v>AUD/USD</x:v>
      </x:c>
      <x:c r="G5" s="35" t="str">
        <x:v>CAD/USD</x:v>
      </x:c>
      <x:c r="H5" s="35" t="str">
        <x:v>SPY</x:v>
      </x:c>
      <x:c r="I5" s="35" t="str">
        <x:v>XLC</x:v>
      </x:c>
      <x:c r="J5" s="35" t="str">
        <x:v>XLY</x:v>
      </x:c>
      <x:c r="K5" s="35" t="str">
        <x:v>XLP</x:v>
      </x:c>
      <x:c r="L5" s="35" t="str">
        <x:v>XLE</x:v>
      </x:c>
      <x:c r="M5" s="35" t="str">
        <x:v>XLF</x:v>
      </x:c>
      <x:c r="N5" s="35" t="str">
        <x:v>XLV</x:v>
      </x:c>
      <x:c r="O5" s="35" t="str">
        <x:v>XLI</x:v>
      </x:c>
      <x:c r="P5" s="35" t="str">
        <x:v>XLB</x:v>
      </x:c>
      <x:c r="Q5" s="35" t="str">
        <x:v>XLRE</x:v>
      </x:c>
      <x:c r="R5" s="35" t="str">
        <x:v>XLK</x:v>
      </x:c>
      <x:c r="S5" s="35" t="str">
        <x:v>XLU</x:v>
      </x:c>
    </x:row>
    <x:row r="6" ht="19" customHeight="1">
      <x:c r="A6" s="29" t="str">
        <x:v>MXN/USD</x:v>
      </x:c>
      <x:c r="B6" s="41" t="n">
        <x:f>_xlfn.COVARIANCE.S('Common sample'!AS6:AS75,'Common sample'!AS6:AS75)</x:f>
        <x:v>0.0007814938087788823</x:v>
      </x:c>
      <x:c r="C6" s="41" t="n">
        <x:f>_xlfn.COVARIANCE.S('Common sample'!AS6:AS75,'Common sample'!AT6:AT75)</x:f>
        <x:v>0.00016583223825116089</x:v>
      </x:c>
      <x:c r="D6" s="41" t="n">
        <x:f>_xlfn.COVARIANCE.S('Common sample'!AS6:AS75,'Common sample'!AU6:AU75)</x:f>
        <x:v>0.0003032299972543803</x:v>
      </x:c>
      <x:c r="E6" s="41" t="n">
        <x:f>_xlfn.COVARIANCE.S('Common sample'!AS6:AS75,'Common sample'!AV6:AV75)</x:f>
        <x:v>0.00029264584555109313</x:v>
      </x:c>
      <x:c r="F6" s="41" t="n">
        <x:f>_xlfn.COVARIANCE.S('Common sample'!AS6:AS75,'Common sample'!AW6:AW75)</x:f>
        <x:v>0.00032713077350765915</x:v>
      </x:c>
      <x:c r="G6" s="41" t="n">
        <x:f>_xlfn.COVARIANCE.S('Common sample'!AS6:AS75,'Common sample'!AX6:AX75)</x:f>
        <x:v>0.0001596778021938882</x:v>
      </x:c>
      <x:c r="H6" s="41" t="n">
        <x:f>_xlfn.COVARIANCE.S('Common sample'!AS6:AS75,'Common sample'!AY6:AY75)</x:f>
        <x:v>0.0004950810942245815</x:v>
      </x:c>
      <x:c r="I6" s="41" t="n">
        <x:f>_xlfn.COVARIANCE.S('Common sample'!AS6:AS75,'Common sample'!AZ6:AZ75)</x:f>
        <x:v>-0.000043813931497369414</x:v>
      </x:c>
      <x:c r="J6" s="41" t="n">
        <x:f>_xlfn.COVARIANCE.S('Common sample'!AS6:AS75,'Common sample'!BA6:BA75)</x:f>
        <x:v>-0.00010417642275734313</x:v>
      </x:c>
      <x:c r="K6" s="41" t="n">
        <x:f>_xlfn.COVARIANCE.S('Common sample'!AS6:AS75,'Common sample'!BB6:BB75)</x:f>
        <x:v>0.00016646296759109574</x:v>
      </x:c>
      <x:c r="L6" s="41" t="n">
        <x:f>_xlfn.COVARIANCE.S('Common sample'!AS6:AS75,'Common sample'!BC6:BC75)</x:f>
        <x:v>0.00010778320859223254</x:v>
      </x:c>
      <x:c r="M6" s="41" t="n">
        <x:f>_xlfn.COVARIANCE.S('Common sample'!AS6:AS75,'Common sample'!BD6:BD75)</x:f>
        <x:v>0.00003812046084507086</x:v>
      </x:c>
      <x:c r="N6" s="41" t="n">
        <x:f>_xlfn.COVARIANCE.S('Common sample'!AS6:AS75,'Common sample'!BE6:BE75)</x:f>
        <x:v>0.00004725310291604345</x:v>
      </x:c>
      <x:c r="O6" s="41" t="n">
        <x:f>_xlfn.COVARIANCE.S('Common sample'!AS6:AS75,'Common sample'!BF6:BF75)</x:f>
        <x:v>0.00022262554372154015</x:v>
      </x:c>
      <x:c r="P6" s="41" t="n">
        <x:f>_xlfn.COVARIANCE.S('Common sample'!AS6:AS75,'Common sample'!BG6:BG75)</x:f>
        <x:v>0.00038703341126427085</x:v>
      </x:c>
      <x:c r="Q6" s="41" t="n">
        <x:f>_xlfn.COVARIANCE.S('Common sample'!AS6:AS75,'Common sample'!BH6:BH75)</x:f>
        <x:v>0.000017482569791251724</x:v>
      </x:c>
      <x:c r="R6" s="41" t="n">
        <x:f>_xlfn.COVARIANCE.S('Common sample'!AS6:AS75,'Common sample'!BI6:BI75)</x:f>
        <x:v>-0.00008067325781975244</x:v>
      </x:c>
      <x:c r="S6" s="41" t="n">
        <x:f>_xlfn.COVARIANCE.S('Common sample'!AS6:AS75,'Common sample'!BJ6:BJ75)</x:f>
        <x:v>0.00012039204473824402</x:v>
      </x:c>
    </x:row>
    <x:row r="7" ht="19" customHeight="1">
      <x:c r="A7" s="29" t="str">
        <x:v>SGD/USD</x:v>
      </x:c>
      <x:c r="B7" s="41" t="n">
        <x:f>_xlfn.COVARIANCE.S('Common sample'!AT6:AT75,'Common sample'!AS6:AS75)</x:f>
        <x:v>0.00016583223825116089</x:v>
      </x:c>
      <x:c r="C7" s="41" t="n">
        <x:f>_xlfn.COVARIANCE.S('Common sample'!AT6:AT75,'Common sample'!AT6:AT75)</x:f>
        <x:v>0.00015290303206579498</x:v>
      </x:c>
      <x:c r="D7" s="41" t="n">
        <x:f>_xlfn.COVARIANCE.S('Common sample'!AT6:AT75,'Common sample'!AU6:AU75)</x:f>
        <x:v>0.00019691284454051948</x:v>
      </x:c>
      <x:c r="E7" s="41" t="n">
        <x:f>_xlfn.COVARIANCE.S('Common sample'!AT6:AT75,'Common sample'!AV6:AV75)</x:f>
        <x:v>0.0001936803466848863</x:v>
      </x:c>
      <x:c r="F7" s="41" t="n">
        <x:f>_xlfn.COVARIANCE.S('Common sample'!AT6:AT75,'Common sample'!AW6:AW75)</x:f>
        <x:v>0.000216371266850155</x:v>
      </x:c>
      <x:c r="G7" s="41" t="n">
        <x:f>_xlfn.COVARIANCE.S('Common sample'!AT6:AT75,'Common sample'!AX6:AX75)</x:f>
        <x:v>0.00010533861030578163</x:v>
      </x:c>
      <x:c r="H7" s="41" t="n">
        <x:f>_xlfn.COVARIANCE.S('Common sample'!AT6:AT75,'Common sample'!AY6:AY75)</x:f>
        <x:v>0.0002422462396676574</x:v>
      </x:c>
      <x:c r="I7" s="41" t="n">
        <x:f>_xlfn.COVARIANCE.S('Common sample'!AT6:AT75,'Common sample'!AZ6:AZ75)</x:f>
        <x:v>0.000035920940265461996</x:v>
      </x:c>
      <x:c r="J7" s="41" t="n">
        <x:f>_xlfn.COVARIANCE.S('Common sample'!AT6:AT75,'Common sample'!BA6:BA75)</x:f>
        <x:v>-0.00003999582460497728</x:v>
      </x:c>
      <x:c r="K7" s="41" t="n">
        <x:f>_xlfn.COVARIANCE.S('Common sample'!AT6:AT75,'Common sample'!BB6:BB75)</x:f>
        <x:v>0.0001697974131235644</x:v>
      </x:c>
      <x:c r="L7" s="41" t="n">
        <x:f>_xlfn.COVARIANCE.S('Common sample'!AT6:AT75,'Common sample'!BC6:BC75)</x:f>
        <x:v>0.000039912110698983895</x:v>
      </x:c>
      <x:c r="M7" s="41" t="n">
        <x:f>_xlfn.COVARIANCE.S('Common sample'!AT6:AT75,'Common sample'!BD6:BD75)</x:f>
        <x:v>0.000048027884629846345</x:v>
      </x:c>
      <x:c r="N7" s="41" t="n">
        <x:f>_xlfn.COVARIANCE.S('Common sample'!AT6:AT75,'Common sample'!BE6:BE75)</x:f>
        <x:v>0.00008057952225768227</x:v>
      </x:c>
      <x:c r="O7" s="41" t="n">
        <x:f>_xlfn.COVARIANCE.S('Common sample'!AT6:AT75,'Common sample'!BF6:BF75)</x:f>
        <x:v>0.00012729925318677888</x:v>
      </x:c>
      <x:c r="P7" s="41" t="n">
        <x:f>_xlfn.COVARIANCE.S('Common sample'!AT6:AT75,'Common sample'!BG6:BG75)</x:f>
        <x:v>0.0002035935470526574</x:v>
      </x:c>
      <x:c r="Q7" s="41" t="n">
        <x:f>_xlfn.COVARIANCE.S('Common sample'!AT6:AT75,'Common sample'!BH6:BH75)</x:f>
        <x:v>0.00017449535000791896</x:v>
      </x:c>
      <x:c r="R7" s="41" t="n">
        <x:f>_xlfn.COVARIANCE.S('Common sample'!AT6:AT75,'Common sample'!BI6:BI75)</x:f>
        <x:v>-0.00011434113815896209</x:v>
      </x:c>
      <x:c r="S7" s="41" t="n">
        <x:f>_xlfn.COVARIANCE.S('Common sample'!AT6:AT75,'Common sample'!BJ6:BJ75)</x:f>
        <x:v>0.00015165403051735926</x:v>
      </x:c>
    </x:row>
    <x:row r="8" ht="19" customHeight="1">
      <x:c r="A8" s="29" t="str">
        <x:v>DKK/USD</x:v>
      </x:c>
      <x:c r="B8" s="41" t="n">
        <x:f>_xlfn.COVARIANCE.S('Common sample'!AU6:AU75,'Common sample'!AS6:AS75)</x:f>
        <x:v>0.0003032299972543803</x:v>
      </x:c>
      <x:c r="C8" s="41" t="n">
        <x:f>_xlfn.COVARIANCE.S('Common sample'!AU6:AU75,'Common sample'!AT6:AT75)</x:f>
        <x:v>0.00019691284454051948</x:v>
      </x:c>
      <x:c r="D8" s="41" t="n">
        <x:f>_xlfn.COVARIANCE.S('Common sample'!AU6:AU75,'Common sample'!AU6:AU75)</x:f>
        <x:v>0.00038603038405580207</x:v>
      </x:c>
      <x:c r="E8" s="41" t="n">
        <x:f>_xlfn.COVARIANCE.S('Common sample'!AU6:AU75,'Common sample'!AV6:AV75)</x:f>
        <x:v>0.0003907882685157515</x:v>
      </x:c>
      <x:c r="F8" s="41" t="n">
        <x:f>_xlfn.COVARIANCE.S('Common sample'!AU6:AU75,'Common sample'!AW6:AW75)</x:f>
        <x:v>0.00029201855404576663</x:v>
      </x:c>
      <x:c r="G8" s="41" t="n">
        <x:f>_xlfn.COVARIANCE.S('Common sample'!AU6:AU75,'Common sample'!AX6:AX75)</x:f>
        <x:v>0.00017814553178669614</x:v>
      </x:c>
      <x:c r="H8" s="41" t="n">
        <x:f>_xlfn.COVARIANCE.S('Common sample'!AU6:AU75,'Common sample'!AY6:AY75)</x:f>
        <x:v>0.00028333883146559636</x:v>
      </x:c>
      <x:c r="I8" s="41" t="n">
        <x:f>_xlfn.COVARIANCE.S('Common sample'!AU6:AU75,'Common sample'!AZ6:AZ75)</x:f>
        <x:v>0.000055425181346311617</x:v>
      </x:c>
      <x:c r="J8" s="41" t="n">
        <x:f>_xlfn.COVARIANCE.S('Common sample'!AU6:AU75,'Common sample'!BA6:BA75)</x:f>
        <x:v>-0.00006156428088590545</x:v>
      </x:c>
      <x:c r="K8" s="41" t="n">
        <x:f>_xlfn.COVARIANCE.S('Common sample'!AU6:AU75,'Common sample'!BB6:BB75)</x:f>
        <x:v>0.00017159017003639398</x:v>
      </x:c>
      <x:c r="L8" s="41" t="n">
        <x:f>_xlfn.COVARIANCE.S('Common sample'!AU6:AU75,'Common sample'!BC6:BC75)</x:f>
        <x:v>-0.000022620544194822316</x:v>
      </x:c>
      <x:c r="M8" s="41" t="n">
        <x:f>_xlfn.COVARIANCE.S('Common sample'!AU6:AU75,'Common sample'!BD6:BD75)</x:f>
        <x:v>0.0000632806256828739</x:v>
      </x:c>
      <x:c r="N8" s="41" t="n">
        <x:f>_xlfn.COVARIANCE.S('Common sample'!AU6:AU75,'Common sample'!BE6:BE75)</x:f>
        <x:v>0.0001071426806978246</x:v>
      </x:c>
      <x:c r="O8" s="41" t="n">
        <x:f>_xlfn.COVARIANCE.S('Common sample'!AU6:AU75,'Common sample'!BF6:BF75)</x:f>
        <x:v>0.00009431676385064518</x:v>
      </x:c>
      <x:c r="P8" s="41" t="n">
        <x:f>_xlfn.COVARIANCE.S('Common sample'!AU6:AU75,'Common sample'!BG6:BG75)</x:f>
        <x:v>0.0002346502024040907</x:v>
      </x:c>
      <x:c r="Q8" s="41" t="n">
        <x:f>_xlfn.COVARIANCE.S('Common sample'!AU6:AU75,'Common sample'!BH6:BH75)</x:f>
        <x:v>0.00019717368762272835</x:v>
      </x:c>
      <x:c r="R8" s="41" t="n">
        <x:f>_xlfn.COVARIANCE.S('Common sample'!AU6:AU75,'Common sample'!BI6:BI75)</x:f>
        <x:v>-0.00013183231512518318</x:v>
      </x:c>
      <x:c r="S8" s="41" t="n">
        <x:f>_xlfn.COVARIANCE.S('Common sample'!AU6:AU75,'Common sample'!BJ6:BJ75)</x:f>
        <x:v>0.00018617825595025302</x:v>
      </x:c>
    </x:row>
    <x:row r="9" ht="19" customHeight="1">
      <x:c r="A9" s="29" t="str">
        <x:v>EUR/USD</x:v>
      </x:c>
      <x:c r="B9" s="41" t="n">
        <x:f>_xlfn.COVARIANCE.S('Common sample'!AV6:AV75,'Common sample'!AS6:AS75)</x:f>
        <x:v>0.00029264584555109313</x:v>
      </x:c>
      <x:c r="C9" s="41" t="n">
        <x:f>_xlfn.COVARIANCE.S('Common sample'!AV6:AV75,'Common sample'!AT6:AT75)</x:f>
        <x:v>0.0001936803466848863</x:v>
      </x:c>
      <x:c r="D9" s="41" t="n">
        <x:f>_xlfn.COVARIANCE.S('Common sample'!AV6:AV75,'Common sample'!AU6:AU75)</x:f>
        <x:v>0.0003907882685157515</x:v>
      </x:c>
      <x:c r="E9" s="41" t="n">
        <x:f>_xlfn.COVARIANCE.S('Common sample'!AV6:AV75,'Common sample'!AV6:AV75)</x:f>
        <x:v>0.000400003752721559</x:v>
      </x:c>
      <x:c r="F9" s="41" t="n">
        <x:f>_xlfn.COVARIANCE.S('Common sample'!AV6:AV75,'Common sample'!AW6:AW75)</x:f>
        <x:v>0.00028703107284639383</x:v>
      </x:c>
      <x:c r="G9" s="41" t="n">
        <x:f>_xlfn.COVARIANCE.S('Common sample'!AV6:AV75,'Common sample'!AX6:AX75)</x:f>
        <x:v>0.00017675556817002046</x:v>
      </x:c>
      <x:c r="H9" s="41" t="n">
        <x:f>_xlfn.COVARIANCE.S('Common sample'!AV6:AV75,'Common sample'!AY6:AY75)</x:f>
        <x:v>0.00025314740525448807</x:v>
      </x:c>
      <x:c r="I9" s="41" t="n">
        <x:f>_xlfn.COVARIANCE.S('Common sample'!AV6:AV75,'Common sample'!AZ6:AZ75)</x:f>
        <x:v>0.000054638743132985874</x:v>
      </x:c>
      <x:c r="J9" s="41" t="n">
        <x:f>_xlfn.COVARIANCE.S('Common sample'!AV6:AV75,'Common sample'!BA6:BA75)</x:f>
        <x:v>-0.0000671389029890354</x:v>
      </x:c>
      <x:c r="K9" s="41" t="n">
        <x:f>_xlfn.COVARIANCE.S('Common sample'!AV6:AV75,'Common sample'!BB6:BB75)</x:f>
        <x:v>0.00017858581023254402</x:v>
      </x:c>
      <x:c r="L9" s="41" t="n">
        <x:f>_xlfn.COVARIANCE.S('Common sample'!AV6:AV75,'Common sample'!BC6:BC75)</x:f>
        <x:v>0.000005727587036688261</x:v>
      </x:c>
      <x:c r="M9" s="41" t="n">
        <x:f>_xlfn.COVARIANCE.S('Common sample'!AV6:AV75,'Common sample'!BD6:BD75)</x:f>
        <x:v>0.00006999922896338039</x:v>
      </x:c>
      <x:c r="N9" s="41" t="n">
        <x:f>_xlfn.COVARIANCE.S('Common sample'!AV6:AV75,'Common sample'!BE6:BE75)</x:f>
        <x:v>0.00011937045494669348</x:v>
      </x:c>
      <x:c r="O9" s="41" t="n">
        <x:f>_xlfn.COVARIANCE.S('Common sample'!AV6:AV75,'Common sample'!BF6:BF75)</x:f>
        <x:v>0.00009390431945571496</x:v>
      </x:c>
      <x:c r="P9" s="41" t="n">
        <x:f>_xlfn.COVARIANCE.S('Common sample'!AV6:AV75,'Common sample'!BG6:BG75)</x:f>
        <x:v>0.0002457859828893077</x:v>
      </x:c>
      <x:c r="Q9" s="41" t="n">
        <x:f>_xlfn.COVARIANCE.S('Common sample'!AV6:AV75,'Common sample'!BH6:BH75)</x:f>
        <x:v>0.00020634297453680055</x:v>
      </x:c>
      <x:c r="R9" s="41" t="n">
        <x:f>_xlfn.COVARIANCE.S('Common sample'!AV6:AV75,'Common sample'!BI6:BI75)</x:f>
        <x:v>-0.00013988978706264504</x:v>
      </x:c>
      <x:c r="S9" s="41" t="n">
        <x:f>_xlfn.COVARIANCE.S('Common sample'!AV6:AV75,'Common sample'!BJ6:BJ75)</x:f>
        <x:v>0.0002024487486816515</x:v>
      </x:c>
    </x:row>
    <x:row r="10" ht="19" customHeight="1">
      <x:c r="A10" s="29" t="str">
        <x:v>AUD/USD</x:v>
      </x:c>
      <x:c r="B10" s="41" t="n">
        <x:f>_xlfn.COVARIANCE.S('Common sample'!AW6:AW75,'Common sample'!AS6:AS75)</x:f>
        <x:v>0.00032713077350765915</x:v>
      </x:c>
      <x:c r="C10" s="41" t="n">
        <x:f>_xlfn.COVARIANCE.S('Common sample'!AW6:AW75,'Common sample'!AT6:AT75)</x:f>
        <x:v>0.000216371266850155</x:v>
      </x:c>
      <x:c r="D10" s="41" t="n">
        <x:f>_xlfn.COVARIANCE.S('Common sample'!AW6:AW75,'Common sample'!AU6:AU75)</x:f>
        <x:v>0.00029201855404576663</x:v>
      </x:c>
      <x:c r="E10" s="41" t="n">
        <x:f>_xlfn.COVARIANCE.S('Common sample'!AW6:AW75,'Common sample'!AV6:AV75)</x:f>
        <x:v>0.00028703107284639383</x:v>
      </x:c>
      <x:c r="F10" s="41" t="n">
        <x:f>_xlfn.COVARIANCE.S('Common sample'!AW6:AW75,'Common sample'!AW6:AW75)</x:f>
        <x:v>0.0005258788152046317</x:v>
      </x:c>
      <x:c r="G10" s="41" t="n">
        <x:f>_xlfn.COVARIANCE.S('Common sample'!AW6:AW75,'Common sample'!AX6:AX75)</x:f>
        <x:v>0.00019834856318344058</x:v>
      </x:c>
      <x:c r="H10" s="41" t="n">
        <x:f>_xlfn.COVARIANCE.S('Common sample'!AW6:AW75,'Common sample'!AY6:AY75)</x:f>
        <x:v>0.0005107117080332307</x:v>
      </x:c>
      <x:c r="I10" s="41" t="n">
        <x:f>_xlfn.COVARIANCE.S('Common sample'!AW6:AW75,'Common sample'!AZ6:AZ75)</x:f>
        <x:v>0.000011619756386304275</x:v>
      </x:c>
      <x:c r="J10" s="41" t="n">
        <x:f>_xlfn.COVARIANCE.S('Common sample'!AW6:AW75,'Common sample'!BA6:BA75)</x:f>
        <x:v>-0.000019338576803866443</x:v>
      </x:c>
      <x:c r="K10" s="41" t="n">
        <x:f>_xlfn.COVARIANCE.S('Common sample'!AW6:AW75,'Common sample'!BB6:BB75)</x:f>
        <x:v>0.0002496565285659259</x:v>
      </x:c>
      <x:c r="L10" s="41" t="n">
        <x:f>_xlfn.COVARIANCE.S('Common sample'!AW6:AW75,'Common sample'!BC6:BC75)</x:f>
        <x:v>0.0003146550488836586</x:v>
      </x:c>
      <x:c r="M10" s="41" t="n">
        <x:f>_xlfn.COVARIANCE.S('Common sample'!AW6:AW75,'Common sample'!BD6:BD75)</x:f>
        <x:v>-0.000002304270586157039</x:v>
      </x:c>
      <x:c r="N10" s="41" t="n">
        <x:f>_xlfn.COVARIANCE.S('Common sample'!AW6:AW75,'Common sample'!BE6:BE75)</x:f>
        <x:v>0.00010693843703384367</x:v>
      </x:c>
      <x:c r="O10" s="41" t="n">
        <x:f>_xlfn.COVARIANCE.S('Common sample'!AW6:AW75,'Common sample'!BF6:BF75)</x:f>
        <x:v>0.00021429044164705984</x:v>
      </x:c>
      <x:c r="P10" s="41" t="n">
        <x:f>_xlfn.COVARIANCE.S('Common sample'!AW6:AW75,'Common sample'!BG6:BG75)</x:f>
        <x:v>0.00039923962197359927</x:v>
      </x:c>
      <x:c r="Q10" s="41" t="n">
        <x:f>_xlfn.COVARIANCE.S('Common sample'!AW6:AW75,'Common sample'!BH6:BH75)</x:f>
        <x:v>0.00029858879217374394</x:v>
      </x:c>
      <x:c r="R10" s="41" t="n">
        <x:f>_xlfn.COVARIANCE.S('Common sample'!AW6:AW75,'Common sample'!BI6:BI75)</x:f>
        <x:v>-0.00018150579726615914</x:v>
      </x:c>
      <x:c r="S10" s="41" t="n">
        <x:f>_xlfn.COVARIANCE.S('Common sample'!AW6:AW75,'Common sample'!BJ6:BJ75)</x:f>
        <x:v>0.0002812154364242849</x:v>
      </x:c>
    </x:row>
    <x:row r="11" ht="19" customHeight="1">
      <x:c r="A11" s="29" t="str">
        <x:v>CAD/USD</x:v>
      </x:c>
      <x:c r="B11" s="41" t="n">
        <x:f>_xlfn.COVARIANCE.S('Common sample'!AX6:AX75,'Common sample'!AS6:AS75)</x:f>
        <x:v>0.0001596778021938882</x:v>
      </x:c>
      <x:c r="C11" s="41" t="n">
        <x:f>_xlfn.COVARIANCE.S('Common sample'!AX6:AX75,'Common sample'!AT6:AT75)</x:f>
        <x:v>0.00010533861030578163</x:v>
      </x:c>
      <x:c r="D11" s="41" t="n">
        <x:f>_xlfn.COVARIANCE.S('Common sample'!AX6:AX75,'Common sample'!AU6:AU75)</x:f>
        <x:v>0.00017814553178669614</x:v>
      </x:c>
      <x:c r="E11" s="41" t="n">
        <x:f>_xlfn.COVARIANCE.S('Common sample'!AX6:AX75,'Common sample'!AV6:AV75)</x:f>
        <x:v>0.00017675556817002046</x:v>
      </x:c>
      <x:c r="F11" s="41" t="n">
        <x:f>_xlfn.COVARIANCE.S('Common sample'!AX6:AX75,'Common sample'!AW6:AW75)</x:f>
        <x:v>0.00019834856318344058</x:v>
      </x:c>
      <x:c r="G11" s="41" t="n">
        <x:f>_xlfn.COVARIANCE.S('Common sample'!AX6:AX75,'Common sample'!AX6:AX75)</x:f>
        <x:v>0.00023447978015794666</x:v>
      </x:c>
      <x:c r="H11" s="41" t="n">
        <x:f>_xlfn.COVARIANCE.S('Common sample'!AX6:AX75,'Common sample'!AY6:AY75)</x:f>
        <x:v>0.0001638119529895837</x:v>
      </x:c>
      <x:c r="I11" s="41" t="n">
        <x:f>_xlfn.COVARIANCE.S('Common sample'!AX6:AX75,'Common sample'!AZ6:AZ75)</x:f>
        <x:v>0.00001911335349734191</x:v>
      </x:c>
      <x:c r="J11" s="41" t="n">
        <x:f>_xlfn.COVARIANCE.S('Common sample'!AX6:AX75,'Common sample'!BA6:BA75)</x:f>
        <x:v>-0.000004102988993762368</x:v>
      </x:c>
      <x:c r="K11" s="41" t="n">
        <x:f>_xlfn.COVARIANCE.S('Common sample'!AX6:AX75,'Common sample'!BB6:BB75)</x:f>
        <x:v>0.00007065078341951745</x:v>
      </x:c>
      <x:c r="L11" s="41" t="n">
        <x:f>_xlfn.COVARIANCE.S('Common sample'!AX6:AX75,'Common sample'!BC6:BC75)</x:f>
        <x:v>0.00014430094806576664</x:v>
      </x:c>
      <x:c r="M11" s="41" t="n">
        <x:f>_xlfn.COVARIANCE.S('Common sample'!AX6:AX75,'Common sample'!BD6:BD75)</x:f>
        <x:v>0.00004128130993159237</x:v>
      </x:c>
      <x:c r="N11" s="41" t="n">
        <x:f>_xlfn.COVARIANCE.S('Common sample'!AX6:AX75,'Common sample'!BE6:BE75)</x:f>
        <x:v>0.000041719302088025166</x:v>
      </x:c>
      <x:c r="O11" s="41" t="n">
        <x:f>_xlfn.COVARIANCE.S('Common sample'!AX6:AX75,'Common sample'!BF6:BF75)</x:f>
        <x:v>0.00003149448517671279</x:v>
      </x:c>
      <x:c r="P11" s="41" t="n">
        <x:f>_xlfn.COVARIANCE.S('Common sample'!AX6:AX75,'Common sample'!BG6:BG75)</x:f>
        <x:v>0.0001956955607537482</x:v>
      </x:c>
      <x:c r="Q11" s="41" t="n">
        <x:f>_xlfn.COVARIANCE.S('Common sample'!AX6:AX75,'Common sample'!BH6:BH75)</x:f>
        <x:v>0.00017786497539450246</x:v>
      </x:c>
      <x:c r="R11" s="41" t="n">
        <x:f>_xlfn.COVARIANCE.S('Common sample'!AX6:AX75,'Common sample'!BI6:BI75)</x:f>
        <x:v>-0.00006082193179393006</x:v>
      </x:c>
      <x:c r="S11" s="41" t="n">
        <x:f>_xlfn.COVARIANCE.S('Common sample'!AX6:AX75,'Common sample'!BJ6:BJ75)</x:f>
        <x:v>0.0001259995481817467</x:v>
      </x:c>
    </x:row>
    <x:row r="12" ht="19" customHeight="1">
      <x:c r="A12" s="29" t="str">
        <x:v>SPY</x:v>
      </x:c>
      <x:c r="B12" s="41" t="n">
        <x:f>_xlfn.COVARIANCE.S('Common sample'!AY6:AY75,'Common sample'!AS6:AS75)</x:f>
        <x:v>0.0004950810942245815</x:v>
      </x:c>
      <x:c r="C12" s="41" t="n">
        <x:f>_xlfn.COVARIANCE.S('Common sample'!AY6:AY75,'Common sample'!AT6:AT75)</x:f>
        <x:v>0.0002422462396676574</x:v>
      </x:c>
      <x:c r="D12" s="41" t="n">
        <x:f>_xlfn.COVARIANCE.S('Common sample'!AY6:AY75,'Common sample'!AU6:AU75)</x:f>
        <x:v>0.00028333883146559636</x:v>
      </x:c>
      <x:c r="E12" s="41" t="n">
        <x:f>_xlfn.COVARIANCE.S('Common sample'!AY6:AY75,'Common sample'!AV6:AV75)</x:f>
        <x:v>0.00025314740525448807</x:v>
      </x:c>
      <x:c r="F12" s="41" t="n">
        <x:f>_xlfn.COVARIANCE.S('Common sample'!AY6:AY75,'Common sample'!AW6:AW75)</x:f>
        <x:v>0.0005107117080332307</x:v>
      </x:c>
      <x:c r="G12" s="41" t="n">
        <x:f>_xlfn.COVARIANCE.S('Common sample'!AY6:AY75,'Common sample'!AX6:AX75)</x:f>
        <x:v>0.0001638119529895837</x:v>
      </x:c>
      <x:c r="H12" s="41" t="n">
        <x:f>_xlfn.COVARIANCE.S('Common sample'!AY6:AY75,'Common sample'!AY6:AY75)</x:f>
        <x:v>0.001871820016182622</x:v>
      </x:c>
      <x:c r="I12" s="41" t="n">
        <x:f>_xlfn.COVARIANCE.S('Common sample'!AY6:AY75,'Common sample'!AZ6:AZ75)</x:f>
        <x:v>0.0000049011014793391574</x:v>
      </x:c>
      <x:c r="J12" s="41" t="n">
        <x:f>_xlfn.COVARIANCE.S('Common sample'!AY6:AY75,'Common sample'!BA6:BA75)</x:f>
        <x:v>-0.00002588887233651144</x:v>
      </x:c>
      <x:c r="K12" s="41" t="n">
        <x:f>_xlfn.COVARIANCE.S('Common sample'!AY6:AY75,'Common sample'!BB6:BB75)</x:f>
        <x:v>-0.000020950648233360115</x:v>
      </x:c>
      <x:c r="L12" s="41" t="n">
        <x:f>_xlfn.COVARIANCE.S('Common sample'!AY6:AY75,'Common sample'!BC6:BC75)</x:f>
        <x:v>0.00003718421343061977</x:v>
      </x:c>
      <x:c r="M12" s="41" t="n">
        <x:f>_xlfn.COVARIANCE.S('Common sample'!AY6:AY75,'Common sample'!BD6:BD75)</x:f>
        <x:v>0.000022173640150670082</x:v>
      </x:c>
      <x:c r="N12" s="41" t="n">
        <x:f>_xlfn.COVARIANCE.S('Common sample'!AY6:AY75,'Common sample'!BE6:BE75)</x:f>
        <x:v>-0.000016930274043865046</x:v>
      </x:c>
      <x:c r="O12" s="41" t="n">
        <x:f>_xlfn.COVARIANCE.S('Common sample'!AY6:AY75,'Common sample'!BF6:BF75)</x:f>
        <x:v>0.00001427933162761816</x:v>
      </x:c>
      <x:c r="P12" s="41" t="n">
        <x:f>_xlfn.COVARIANCE.S('Common sample'!AY6:AY75,'Common sample'!BG6:BG75)</x:f>
        <x:v>0.000004644668273081903</x:v>
      </x:c>
      <x:c r="Q12" s="41" t="n">
        <x:f>_xlfn.COVARIANCE.S('Common sample'!AY6:AY75,'Common sample'!BH6:BH75)</x:f>
        <x:v>0.0000021275934927187484</x:v>
      </x:c>
      <x:c r="R12" s="41" t="n">
        <x:f>_xlfn.COVARIANCE.S('Common sample'!AY6:AY75,'Common sample'!BI6:BI75)</x:f>
        <x:v>0.0000012745581884469287</x:v>
      </x:c>
      <x:c r="S12" s="41" t="n">
        <x:f>_xlfn.COVARIANCE.S('Common sample'!AY6:AY75,'Common sample'!BJ6:BJ75)</x:f>
        <x:v>-0.00003291322870843114</x:v>
      </x:c>
    </x:row>
    <x:row r="13" ht="19" customHeight="1">
      <x:c r="A13" s="29" t="str">
        <x:v>XLC</x:v>
      </x:c>
      <x:c r="B13" s="41" t="n">
        <x:f>_xlfn.COVARIANCE.S('Common sample'!AZ6:AZ75,'Common sample'!AS6:AS75)</x:f>
        <x:v>-0.000043813931497369414</x:v>
      </x:c>
      <x:c r="C13" s="41" t="n">
        <x:f>_xlfn.COVARIANCE.S('Common sample'!AZ6:AZ75,'Common sample'!AT6:AT75)</x:f>
        <x:v>0.000035920940265461996</x:v>
      </x:c>
      <x:c r="D13" s="41" t="n">
        <x:f>_xlfn.COVARIANCE.S('Common sample'!AZ6:AZ75,'Common sample'!AU6:AU75)</x:f>
        <x:v>0.000055425181346311617</x:v>
      </x:c>
      <x:c r="E13" s="41" t="n">
        <x:f>_xlfn.COVARIANCE.S('Common sample'!AZ6:AZ75,'Common sample'!AV6:AV75)</x:f>
        <x:v>0.000054638743132985874</x:v>
      </x:c>
      <x:c r="F13" s="41" t="n">
        <x:f>_xlfn.COVARIANCE.S('Common sample'!AZ6:AZ75,'Common sample'!AW6:AW75)</x:f>
        <x:v>0.000011619756386304275</x:v>
      </x:c>
      <x:c r="G13" s="41" t="n">
        <x:f>_xlfn.COVARIANCE.S('Common sample'!AZ6:AZ75,'Common sample'!AX6:AX75)</x:f>
        <x:v>0.00001911335349734191</x:v>
      </x:c>
      <x:c r="H13" s="41" t="n">
        <x:f>_xlfn.COVARIANCE.S('Common sample'!AZ6:AZ75,'Common sample'!AY6:AY75)</x:f>
        <x:v>0.0000049011014793391574</x:v>
      </x:c>
      <x:c r="I13" s="41" t="n">
        <x:f>_xlfn.COVARIANCE.S('Common sample'!AZ6:AZ75,'Common sample'!AZ6:AZ75)</x:f>
        <x:v>0.0008830316773679504</x:v>
      </x:c>
      <x:c r="J13" s="41" t="n">
        <x:f>_xlfn.COVARIANCE.S('Common sample'!AZ6:AZ75,'Common sample'!BA6:BA75)</x:f>
        <x:v>0.00032101316372950807</x:v>
      </x:c>
      <x:c r="K13" s="41" t="n">
        <x:f>_xlfn.COVARIANCE.S('Common sample'!AZ6:AZ75,'Common sample'!BB6:BB75)</x:f>
        <x:v>0.00006911772253304687</x:v>
      </x:c>
      <x:c r="L13" s="41" t="n">
        <x:f>_xlfn.COVARIANCE.S('Common sample'!AZ6:AZ75,'Common sample'!BC6:BC75)</x:f>
        <x:v>0.00007225479231966104</x:v>
      </x:c>
      <x:c r="M13" s="41" t="n">
        <x:f>_xlfn.COVARIANCE.S('Common sample'!AZ6:AZ75,'Common sample'!BD6:BD75)</x:f>
        <x:v>0.00003058887953306083</x:v>
      </x:c>
      <x:c r="N13" s="41" t="n">
        <x:f>_xlfn.COVARIANCE.S('Common sample'!AZ6:AZ75,'Common sample'!BE6:BE75)</x:f>
        <x:v>0.00001019737985134473</x:v>
      </x:c>
      <x:c r="O13" s="41" t="n">
        <x:f>_xlfn.COVARIANCE.S('Common sample'!AZ6:AZ75,'Common sample'!BF6:BF75)</x:f>
        <x:v>-0.00014513778626284944</x:v>
      </x:c>
      <x:c r="P13" s="41" t="n">
        <x:f>_xlfn.COVARIANCE.S('Common sample'!AZ6:AZ75,'Common sample'!BG6:BG75)</x:f>
        <x:v>-0.00006911507311714739</x:v>
      </x:c>
      <x:c r="Q13" s="41" t="n">
        <x:f>_xlfn.COVARIANCE.S('Common sample'!AZ6:AZ75,'Common sample'!BH6:BH75)</x:f>
        <x:v>-0.00002275992546599741</x:v>
      </x:c>
      <x:c r="R13" s="41" t="n">
        <x:f>_xlfn.COVARIANCE.S('Common sample'!AZ6:AZ75,'Common sample'!BI6:BI75)</x:f>
        <x:v>-0.0003800253766829068</x:v>
      </x:c>
      <x:c r="S13" s="41" t="n">
        <x:f>_xlfn.COVARIANCE.S('Common sample'!AZ6:AZ75,'Common sample'!BJ6:BJ75)</x:f>
        <x:v>-0.00013727405001711176</x:v>
      </x:c>
    </x:row>
    <x:row r="14" ht="19" customHeight="1">
      <x:c r="A14" s="29" t="str">
        <x:v>XLY</x:v>
      </x:c>
      <x:c r="B14" s="41" t="n">
        <x:f>_xlfn.COVARIANCE.S('Common sample'!BA6:BA75,'Common sample'!AS6:AS75)</x:f>
        <x:v>-0.00010417642275734313</x:v>
      </x:c>
      <x:c r="C14" s="41" t="n">
        <x:f>_xlfn.COVARIANCE.S('Common sample'!BA6:BA75,'Common sample'!AT6:AT75)</x:f>
        <x:v>-0.00003999582460497728</x:v>
      </x:c>
      <x:c r="D14" s="41" t="n">
        <x:f>_xlfn.COVARIANCE.S('Common sample'!BA6:BA75,'Common sample'!AU6:AU75)</x:f>
        <x:v>-0.00006156428088590545</x:v>
      </x:c>
      <x:c r="E14" s="41" t="n">
        <x:f>_xlfn.COVARIANCE.S('Common sample'!BA6:BA75,'Common sample'!AV6:AV75)</x:f>
        <x:v>-0.0000671389029890354</x:v>
      </x:c>
      <x:c r="F14" s="41" t="n">
        <x:f>_xlfn.COVARIANCE.S('Common sample'!BA6:BA75,'Common sample'!AW6:AW75)</x:f>
        <x:v>-0.000019338576803866443</x:v>
      </x:c>
      <x:c r="G14" s="41" t="n">
        <x:f>_xlfn.COVARIANCE.S('Common sample'!BA6:BA75,'Common sample'!AX6:AX75)</x:f>
        <x:v>-0.000004102988993762368</x:v>
      </x:c>
      <x:c r="H14" s="41" t="n">
        <x:f>_xlfn.COVARIANCE.S('Common sample'!BA6:BA75,'Common sample'!AY6:AY75)</x:f>
        <x:v>-0.00002588887233651144</x:v>
      </x:c>
      <x:c r="I14" s="41" t="n">
        <x:f>_xlfn.COVARIANCE.S('Common sample'!BA6:BA75,'Common sample'!AZ6:AZ75)</x:f>
        <x:v>0.00032101316372950807</x:v>
      </x:c>
      <x:c r="J14" s="41" t="n">
        <x:f>_xlfn.COVARIANCE.S('Common sample'!BA6:BA75,'Common sample'!BA6:BA75)</x:f>
        <x:v>0.0009406801964149387</x:v>
      </x:c>
      <x:c r="K14" s="41" t="n">
        <x:f>_xlfn.COVARIANCE.S('Common sample'!BA6:BA75,'Common sample'!BB6:BB75)</x:f>
        <x:v>-0.00013744949214809164</x:v>
      </x:c>
      <x:c r="L14" s="41" t="n">
        <x:f>_xlfn.COVARIANCE.S('Common sample'!BA6:BA75,'Common sample'!BC6:BC75)</x:f>
        <x:v>-0.0004715783262662325</x:v>
      </x:c>
      <x:c r="M14" s="41" t="n">
        <x:f>_xlfn.COVARIANCE.S('Common sample'!BA6:BA75,'Common sample'!BD6:BD75)</x:f>
        <x:v>0.0000020715419129582767</x:v>
      </x:c>
      <x:c r="N14" s="41" t="n">
        <x:f>_xlfn.COVARIANCE.S('Common sample'!BA6:BA75,'Common sample'!BE6:BE75)</x:f>
        <x:v>-0.0003449259223631866</x:v>
      </x:c>
      <x:c r="O14" s="41" t="n">
        <x:f>_xlfn.COVARIANCE.S('Common sample'!BA6:BA75,'Common sample'!BF6:BF75)</x:f>
        <x:v>-0.00009885220212013214</x:v>
      </x:c>
      <x:c r="P14" s="41" t="n">
        <x:f>_xlfn.COVARIANCE.S('Common sample'!BA6:BA75,'Common sample'!BG6:BG75)</x:f>
        <x:v>-0.00010343595692756503</x:v>
      </x:c>
      <x:c r="Q14" s="41" t="n">
        <x:f>_xlfn.COVARIANCE.S('Common sample'!BA6:BA75,'Common sample'!BH6:BH75)</x:f>
        <x:v>0.00012554900485693715</x:v>
      </x:c>
      <x:c r="R14" s="41" t="n">
        <x:f>_xlfn.COVARIANCE.S('Common sample'!BA6:BA75,'Common sample'!BI6:BI75)</x:f>
        <x:v>-0.00020584891994336583</x:v>
      </x:c>
      <x:c r="S14" s="41" t="n">
        <x:f>_xlfn.COVARIANCE.S('Common sample'!BA6:BA75,'Common sample'!BJ6:BJ75)</x:f>
        <x:v>-0.00010648079237382143</x:v>
      </x:c>
    </x:row>
    <x:row r="15" ht="19" customHeight="1">
      <x:c r="A15" s="29" t="str">
        <x:v>XLP</x:v>
      </x:c>
      <x:c r="B15" s="41" t="n">
        <x:f>_xlfn.COVARIANCE.S('Common sample'!BB6:BB75,'Common sample'!AS6:AS75)</x:f>
        <x:v>0.00016646296759109574</x:v>
      </x:c>
      <x:c r="C15" s="41" t="n">
        <x:f>_xlfn.COVARIANCE.S('Common sample'!BB6:BB75,'Common sample'!AT6:AT75)</x:f>
        <x:v>0.0001697974131235644</x:v>
      </x:c>
      <x:c r="D15" s="41" t="n">
        <x:f>_xlfn.COVARIANCE.S('Common sample'!BB6:BB75,'Common sample'!AU6:AU75)</x:f>
        <x:v>0.00017159017003639398</x:v>
      </x:c>
      <x:c r="E15" s="41" t="n">
        <x:f>_xlfn.COVARIANCE.S('Common sample'!BB6:BB75,'Common sample'!AV6:AV75)</x:f>
        <x:v>0.00017858581023254402</x:v>
      </x:c>
      <x:c r="F15" s="41" t="n">
        <x:f>_xlfn.COVARIANCE.S('Common sample'!BB6:BB75,'Common sample'!AW6:AW75)</x:f>
        <x:v>0.0002496565285659259</x:v>
      </x:c>
      <x:c r="G15" s="41" t="n">
        <x:f>_xlfn.COVARIANCE.S('Common sample'!BB6:BB75,'Common sample'!AX6:AX75)</x:f>
        <x:v>0.00007065078341951745</x:v>
      </x:c>
      <x:c r="H15" s="41" t="n">
        <x:f>_xlfn.COVARIANCE.S('Common sample'!BB6:BB75,'Common sample'!AY6:AY75)</x:f>
        <x:v>-0.000020950648233360115</x:v>
      </x:c>
      <x:c r="I15" s="41" t="n">
        <x:f>_xlfn.COVARIANCE.S('Common sample'!BB6:BB75,'Common sample'!AZ6:AZ75)</x:f>
        <x:v>0.00006911772253304687</x:v>
      </x:c>
      <x:c r="J15" s="41" t="n">
        <x:f>_xlfn.COVARIANCE.S('Common sample'!BB6:BB75,'Common sample'!BA6:BA75)</x:f>
        <x:v>-0.00013744949214809164</x:v>
      </x:c>
      <x:c r="K15" s="41" t="n">
        <x:f>_xlfn.COVARIANCE.S('Common sample'!BB6:BB75,'Common sample'!BB6:BB75)</x:f>
        <x:v>0.0011347631169059988</x:v>
      </x:c>
      <x:c r="L15" s="41" t="n">
        <x:f>_xlfn.COVARIANCE.S('Common sample'!BB6:BB75,'Common sample'!BC6:BC75)</x:f>
        <x:v>0.0003873749053637587</x:v>
      </x:c>
      <x:c r="M15" s="41" t="n">
        <x:f>_xlfn.COVARIANCE.S('Common sample'!BB6:BB75,'Common sample'!BD6:BD75)</x:f>
        <x:v>0.0000363559810951931</x:v>
      </x:c>
      <x:c r="N15" s="41" t="n">
        <x:f>_xlfn.COVARIANCE.S('Common sample'!BB6:BB75,'Common sample'!BE6:BE75)</x:f>
        <x:v>0.0005813067402334337</x:v>
      </x:c>
      <x:c r="O15" s="41" t="n">
        <x:f>_xlfn.COVARIANCE.S('Common sample'!BB6:BB75,'Common sample'!BF6:BF75)</x:f>
        <x:v>0.00044032131296113046</x:v>
      </x:c>
      <x:c r="P15" s="41" t="n">
        <x:f>_xlfn.COVARIANCE.S('Common sample'!BB6:BB75,'Common sample'!BG6:BG75)</x:f>
        <x:v>0.0006604007447652278</x:v>
      </x:c>
      <x:c r="Q15" s="41" t="n">
        <x:f>_xlfn.COVARIANCE.S('Common sample'!BB6:BB75,'Common sample'!BH6:BH75)</x:f>
        <x:v>0.0007120264907507254</x:v>
      </x:c>
      <x:c r="R15" s="41" t="n">
        <x:f>_xlfn.COVARIANCE.S('Common sample'!BB6:BB75,'Common sample'!BI6:BI75)</x:f>
        <x:v>-0.0005739897797691556</x:v>
      </x:c>
      <x:c r="S15" s="41" t="n">
        <x:f>_xlfn.COVARIANCE.S('Common sample'!BB6:BB75,'Common sample'!BJ6:BJ75)</x:f>
        <x:v>0.0007314923577247951</x:v>
      </x:c>
    </x:row>
    <x:row r="16" ht="19" customHeight="1">
      <x:c r="A16" s="29" t="str">
        <x:v>XLE</x:v>
      </x:c>
      <x:c r="B16" s="41" t="n">
        <x:f>_xlfn.COVARIANCE.S('Common sample'!BC6:BC75,'Common sample'!AS6:AS75)</x:f>
        <x:v>0.00010778320859223254</x:v>
      </x:c>
      <x:c r="C16" s="41" t="n">
        <x:f>_xlfn.COVARIANCE.S('Common sample'!BC6:BC75,'Common sample'!AT6:AT75)</x:f>
        <x:v>0.000039912110698983895</x:v>
      </x:c>
      <x:c r="D16" s="41" t="n">
        <x:f>_xlfn.COVARIANCE.S('Common sample'!BC6:BC75,'Common sample'!AU6:AU75)</x:f>
        <x:v>-0.000022620544194822316</x:v>
      </x:c>
      <x:c r="E16" s="41" t="n">
        <x:f>_xlfn.COVARIANCE.S('Common sample'!BC6:BC75,'Common sample'!AV6:AV75)</x:f>
        <x:v>0.000005727587036688261</x:v>
      </x:c>
      <x:c r="F16" s="41" t="n">
        <x:f>_xlfn.COVARIANCE.S('Common sample'!BC6:BC75,'Common sample'!AW6:AW75)</x:f>
        <x:v>0.0003146550488836586</x:v>
      </x:c>
      <x:c r="G16" s="41" t="n">
        <x:f>_xlfn.COVARIANCE.S('Common sample'!BC6:BC75,'Common sample'!AX6:AX75)</x:f>
        <x:v>0.00014430094806576664</x:v>
      </x:c>
      <x:c r="H16" s="41" t="n">
        <x:f>_xlfn.COVARIANCE.S('Common sample'!BC6:BC75,'Common sample'!AY6:AY75)</x:f>
        <x:v>0.00003718421343061977</x:v>
      </x:c>
      <x:c r="I16" s="41" t="n">
        <x:f>_xlfn.COVARIANCE.S('Common sample'!BC6:BC75,'Common sample'!AZ6:AZ75)</x:f>
        <x:v>0.00007225479231966104</x:v>
      </x:c>
      <x:c r="J16" s="41" t="n">
        <x:f>_xlfn.COVARIANCE.S('Common sample'!BC6:BC75,'Common sample'!BA6:BA75)</x:f>
        <x:v>-0.0004715783262662325</x:v>
      </x:c>
      <x:c r="K16" s="41" t="n">
        <x:f>_xlfn.COVARIANCE.S('Common sample'!BC6:BC75,'Common sample'!BB6:BB75)</x:f>
        <x:v>0.0003873749053637587</x:v>
      </x:c>
      <x:c r="L16" s="41" t="n">
        <x:f>_xlfn.COVARIANCE.S('Common sample'!BC6:BC75,'Common sample'!BC6:BC75)</x:f>
        <x:v>0.005379089766901881</x:v>
      </x:c>
      <x:c r="M16" s="41" t="n">
        <x:f>_xlfn.COVARIANCE.S('Common sample'!BC6:BC75,'Common sample'!BD6:BD75)</x:f>
        <x:v>0.0005176517491725897</x:v>
      </x:c>
      <x:c r="N16" s="41" t="n">
        <x:f>_xlfn.COVARIANCE.S('Common sample'!BC6:BC75,'Common sample'!BE6:BE75)</x:f>
        <x:v>0.0005075896779518326</x:v>
      </x:c>
      <x:c r="O16" s="41" t="n">
        <x:f>_xlfn.COVARIANCE.S('Common sample'!BC6:BC75,'Common sample'!BF6:BF75)</x:f>
        <x:v>0.00037073957369653703</x:v>
      </x:c>
      <x:c r="P16" s="41" t="n">
        <x:f>_xlfn.COVARIANCE.S('Common sample'!BC6:BC75,'Common sample'!BG6:BG75)</x:f>
        <x:v>0.0009842380265754085</x:v>
      </x:c>
      <x:c r="Q16" s="41" t="n">
        <x:f>_xlfn.COVARIANCE.S('Common sample'!BC6:BC75,'Common sample'!BH6:BH75)</x:f>
        <x:v>0.00047002568361174615</x:v>
      </x:c>
      <x:c r="R16" s="41" t="n">
        <x:f>_xlfn.COVARIANCE.S('Common sample'!BC6:BC75,'Common sample'!BI6:BI75)</x:f>
        <x:v>-0.0009857192983999256</x:v>
      </x:c>
      <x:c r="S16" s="41" t="n">
        <x:f>_xlfn.COVARIANCE.S('Common sample'!BC6:BC75,'Common sample'!BJ6:BJ75)</x:f>
        <x:v>0.0004275088037832267</x:v>
      </x:c>
    </x:row>
    <x:row r="17" ht="19" customHeight="1">
      <x:c r="A17" s="29" t="str">
        <x:v>XLF</x:v>
      </x:c>
      <x:c r="B17" s="41" t="n">
        <x:f>_xlfn.COVARIANCE.S('Common sample'!BD6:BD75,'Common sample'!AS6:AS75)</x:f>
        <x:v>0.00003812046084507086</x:v>
      </x:c>
      <x:c r="C17" s="41" t="n">
        <x:f>_xlfn.COVARIANCE.S('Common sample'!BD6:BD75,'Common sample'!AT6:AT75)</x:f>
        <x:v>0.000048027884629846345</x:v>
      </x:c>
      <x:c r="D17" s="41" t="n">
        <x:f>_xlfn.COVARIANCE.S('Common sample'!BD6:BD75,'Common sample'!AU6:AU75)</x:f>
        <x:v>0.0000632806256828739</x:v>
      </x:c>
      <x:c r="E17" s="41" t="n">
        <x:f>_xlfn.COVARIANCE.S('Common sample'!BD6:BD75,'Common sample'!AV6:AV75)</x:f>
        <x:v>0.00006999922896338039</x:v>
      </x:c>
      <x:c r="F17" s="41" t="n">
        <x:f>_xlfn.COVARIANCE.S('Common sample'!BD6:BD75,'Common sample'!AW6:AW75)</x:f>
        <x:v>-0.000002304270586157039</x:v>
      </x:c>
      <x:c r="G17" s="41" t="n">
        <x:f>_xlfn.COVARIANCE.S('Common sample'!BD6:BD75,'Common sample'!AX6:AX75)</x:f>
        <x:v>0.00004128130993159237</x:v>
      </x:c>
      <x:c r="H17" s="41" t="n">
        <x:f>_xlfn.COVARIANCE.S('Common sample'!BD6:BD75,'Common sample'!AY6:AY75)</x:f>
        <x:v>0.000022173640150670082</x:v>
      </x:c>
      <x:c r="I17" s="41" t="n">
        <x:f>_xlfn.COVARIANCE.S('Common sample'!BD6:BD75,'Common sample'!AZ6:AZ75)</x:f>
        <x:v>0.00003058887953306083</x:v>
      </x:c>
      <x:c r="J17" s="41" t="n">
        <x:f>_xlfn.COVARIANCE.S('Common sample'!BD6:BD75,'Common sample'!BA6:BA75)</x:f>
        <x:v>0.0000020715419129582767</x:v>
      </x:c>
      <x:c r="K17" s="41" t="n">
        <x:f>_xlfn.COVARIANCE.S('Common sample'!BD6:BD75,'Common sample'!BB6:BB75)</x:f>
        <x:v>0.0000363559810951931</x:v>
      </x:c>
      <x:c r="L17" s="41" t="n">
        <x:f>_xlfn.COVARIANCE.S('Common sample'!BD6:BD75,'Common sample'!BC6:BC75)</x:f>
        <x:v>0.0005176517491725897</x:v>
      </x:c>
      <x:c r="M17" s="41" t="n">
        <x:f>_xlfn.COVARIANCE.S('Common sample'!BD6:BD75,'Common sample'!BD6:BD75)</x:f>
        <x:v>0.0009526470130990195</x:v>
      </x:c>
      <x:c r="N17" s="41" t="n">
        <x:f>_xlfn.COVARIANCE.S('Common sample'!BD6:BD75,'Common sample'!BE6:BE75)</x:f>
        <x:v>0.00026603608419956636</x:v>
      </x:c>
      <x:c r="O17" s="41" t="n">
        <x:f>_xlfn.COVARIANCE.S('Common sample'!BD6:BD75,'Common sample'!BF6:BF75)</x:f>
        <x:v>0.0002883088295573793</x:v>
      </x:c>
      <x:c r="P17" s="41" t="n">
        <x:f>_xlfn.COVARIANCE.S('Common sample'!BD6:BD75,'Common sample'!BG6:BG75)</x:f>
        <x:v>0.0004199854299963818</x:v>
      </x:c>
      <x:c r="Q17" s="41" t="n">
        <x:f>_xlfn.COVARIANCE.S('Common sample'!BD6:BD75,'Common sample'!BH6:BH75)</x:f>
        <x:v>0.00029820239244288403</x:v>
      </x:c>
      <x:c r="R17" s="41" t="n">
        <x:f>_xlfn.COVARIANCE.S('Common sample'!BD6:BD75,'Common sample'!BI6:BI75)</x:f>
        <x:v>-0.0005999573447612956</x:v>
      </x:c>
      <x:c r="S17" s="41" t="n">
        <x:f>_xlfn.COVARIANCE.S('Common sample'!BD6:BD75,'Common sample'!BJ6:BJ75)</x:f>
        <x:v>0.00017851674364795228</x:v>
      </x:c>
    </x:row>
    <x:row r="18" ht="19" customHeight="1">
      <x:c r="A18" s="29" t="str">
        <x:v>XLV</x:v>
      </x:c>
      <x:c r="B18" s="41" t="n">
        <x:f>_xlfn.COVARIANCE.S('Common sample'!BE6:BE75,'Common sample'!AS6:AS75)</x:f>
        <x:v>0.00004725310291604345</x:v>
      </x:c>
      <x:c r="C18" s="41" t="n">
        <x:f>_xlfn.COVARIANCE.S('Common sample'!BE6:BE75,'Common sample'!AT6:AT75)</x:f>
        <x:v>0.00008057952225768227</x:v>
      </x:c>
      <x:c r="D18" s="41" t="n">
        <x:f>_xlfn.COVARIANCE.S('Common sample'!BE6:BE75,'Common sample'!AU6:AU75)</x:f>
        <x:v>0.0001071426806978246</x:v>
      </x:c>
      <x:c r="E18" s="41" t="n">
        <x:f>_xlfn.COVARIANCE.S('Common sample'!BE6:BE75,'Common sample'!AV6:AV75)</x:f>
        <x:v>0.00011937045494669348</x:v>
      </x:c>
      <x:c r="F18" s="41" t="n">
        <x:f>_xlfn.COVARIANCE.S('Common sample'!BE6:BE75,'Common sample'!AW6:AW75)</x:f>
        <x:v>0.00010693843703384367</x:v>
      </x:c>
      <x:c r="G18" s="41" t="n">
        <x:f>_xlfn.COVARIANCE.S('Common sample'!BE6:BE75,'Common sample'!AX6:AX75)</x:f>
        <x:v>0.000041719302088025166</x:v>
      </x:c>
      <x:c r="H18" s="41" t="n">
        <x:f>_xlfn.COVARIANCE.S('Common sample'!BE6:BE75,'Common sample'!AY6:AY75)</x:f>
        <x:v>-0.000016930274043865046</x:v>
      </x:c>
      <x:c r="I18" s="41" t="n">
        <x:f>_xlfn.COVARIANCE.S('Common sample'!BE6:BE75,'Common sample'!AZ6:AZ75)</x:f>
        <x:v>0.00001019737985134473</x:v>
      </x:c>
      <x:c r="J18" s="41" t="n">
        <x:f>_xlfn.COVARIANCE.S('Common sample'!BE6:BE75,'Common sample'!BA6:BA75)</x:f>
        <x:v>-0.0003449259223631866</x:v>
      </x:c>
      <x:c r="K18" s="41" t="n">
        <x:f>_xlfn.COVARIANCE.S('Common sample'!BE6:BE75,'Common sample'!BB6:BB75)</x:f>
        <x:v>0.0005813067402334337</x:v>
      </x:c>
      <x:c r="L18" s="41" t="n">
        <x:f>_xlfn.COVARIANCE.S('Common sample'!BE6:BE75,'Common sample'!BC6:BC75)</x:f>
        <x:v>0.0005075896779518326</x:v>
      </x:c>
      <x:c r="M18" s="41" t="n">
        <x:f>_xlfn.COVARIANCE.S('Common sample'!BE6:BE75,'Common sample'!BD6:BD75)</x:f>
        <x:v>0.00026603608419956636</x:v>
      </x:c>
      <x:c r="N18" s="41" t="n">
        <x:f>_xlfn.COVARIANCE.S('Common sample'!BE6:BE75,'Common sample'!BE6:BE75)</x:f>
        <x:v>0.001382541357522713</x:v>
      </x:c>
      <x:c r="O18" s="41" t="n">
        <x:f>_xlfn.COVARIANCE.S('Common sample'!BE6:BE75,'Common sample'!BF6:BF75)</x:f>
        <x:v>0.0001856039242826492</x:v>
      </x:c>
      <x:c r="P18" s="41" t="n">
        <x:f>_xlfn.COVARIANCE.S('Common sample'!BE6:BE75,'Common sample'!BG6:BG75)</x:f>
        <x:v>0.0004055421876960893</x:v>
      </x:c>
      <x:c r="Q18" s="41" t="n">
        <x:f>_xlfn.COVARIANCE.S('Common sample'!BE6:BE75,'Common sample'!BH6:BH75)</x:f>
        <x:v>0.000588723886395529</x:v>
      </x:c>
      <x:c r="R18" s="41" t="n">
        <x:f>_xlfn.COVARIANCE.S('Common sample'!BE6:BE75,'Common sample'!BI6:BI75)</x:f>
        <x:v>-0.0006681744056984946</x:v>
      </x:c>
      <x:c r="S18" s="41" t="n">
        <x:f>_xlfn.COVARIANCE.S('Common sample'!BE6:BE75,'Common sample'!BJ6:BJ75)</x:f>
        <x:v>0.00043441348790060867</x:v>
      </x:c>
    </x:row>
    <x:row r="19" ht="19" customHeight="1">
      <x:c r="A19" s="29" t="str">
        <x:v>XLI</x:v>
      </x:c>
      <x:c r="B19" s="41" t="n">
        <x:f>_xlfn.COVARIANCE.S('Common sample'!BF6:BF75,'Common sample'!AS6:AS75)</x:f>
        <x:v>0.00022262554372154015</x:v>
      </x:c>
      <x:c r="C19" s="41" t="n">
        <x:f>_xlfn.COVARIANCE.S('Common sample'!BF6:BF75,'Common sample'!AT6:AT75)</x:f>
        <x:v>0.00012729925318677888</x:v>
      </x:c>
      <x:c r="D19" s="41" t="n">
        <x:f>_xlfn.COVARIANCE.S('Common sample'!BF6:BF75,'Common sample'!AU6:AU75)</x:f>
        <x:v>0.00009431676385064518</x:v>
      </x:c>
      <x:c r="E19" s="41" t="n">
        <x:f>_xlfn.COVARIANCE.S('Common sample'!BF6:BF75,'Common sample'!AV6:AV75)</x:f>
        <x:v>0.00009390431945571496</x:v>
      </x:c>
      <x:c r="F19" s="41" t="n">
        <x:f>_xlfn.COVARIANCE.S('Common sample'!BF6:BF75,'Common sample'!AW6:AW75)</x:f>
        <x:v>0.00021429044164705984</x:v>
      </x:c>
      <x:c r="G19" s="41" t="n">
        <x:f>_xlfn.COVARIANCE.S('Common sample'!BF6:BF75,'Common sample'!AX6:AX75)</x:f>
        <x:v>0.00003149448517671279</x:v>
      </x:c>
      <x:c r="H19" s="41" t="n">
        <x:f>_xlfn.COVARIANCE.S('Common sample'!BF6:BF75,'Common sample'!AY6:AY75)</x:f>
        <x:v>0.00001427933162761816</x:v>
      </x:c>
      <x:c r="I19" s="41" t="n">
        <x:f>_xlfn.COVARIANCE.S('Common sample'!BF6:BF75,'Common sample'!AZ6:AZ75)</x:f>
        <x:v>-0.00014513778626284944</x:v>
      </x:c>
      <x:c r="J19" s="41" t="n">
        <x:f>_xlfn.COVARIANCE.S('Common sample'!BF6:BF75,'Common sample'!BA6:BA75)</x:f>
        <x:v>-0.00009885220212013214</x:v>
      </x:c>
      <x:c r="K19" s="41" t="n">
        <x:f>_xlfn.COVARIANCE.S('Common sample'!BF6:BF75,'Common sample'!BB6:BB75)</x:f>
        <x:v>0.00044032131296113046</x:v>
      </x:c>
      <x:c r="L19" s="41" t="n">
        <x:f>_xlfn.COVARIANCE.S('Common sample'!BF6:BF75,'Common sample'!BC6:BC75)</x:f>
        <x:v>0.00037073957369653703</x:v>
      </x:c>
      <x:c r="M19" s="41" t="n">
        <x:f>_xlfn.COVARIANCE.S('Common sample'!BF6:BF75,'Common sample'!BD6:BD75)</x:f>
        <x:v>0.0002883088295573793</x:v>
      </x:c>
      <x:c r="N19" s="41" t="n">
        <x:f>_xlfn.COVARIANCE.S('Common sample'!BF6:BF75,'Common sample'!BE6:BE75)</x:f>
        <x:v>0.0001856039242826492</x:v>
      </x:c>
      <x:c r="O19" s="41" t="n">
        <x:f>_xlfn.COVARIANCE.S('Common sample'!BF6:BF75,'Common sample'!BF6:BF75)</x:f>
        <x:v>0.000908454145202326</x:v>
      </x:c>
      <x:c r="P19" s="41" t="n">
        <x:f>_xlfn.COVARIANCE.S('Common sample'!BF6:BF75,'Common sample'!BG6:BG75)</x:f>
        <x:v>0.0009710597210140308</x:v>
      </x:c>
      <x:c r="Q19" s="41" t="n">
        <x:f>_xlfn.COVARIANCE.S('Common sample'!BF6:BF75,'Common sample'!BH6:BH75)</x:f>
        <x:v>0.00031108144438665437</x:v>
      </x:c>
      <x:c r="R19" s="41" t="n">
        <x:f>_xlfn.COVARIANCE.S('Common sample'!BF6:BF75,'Common sample'!BI6:BI75)</x:f>
        <x:v>-0.00035942276083247523</x:v>
      </x:c>
      <x:c r="S19" s="41" t="n">
        <x:f>_xlfn.COVARIANCE.S('Common sample'!BF6:BF75,'Common sample'!BJ6:BJ75)</x:f>
        <x:v>0.0005357167176257589</x:v>
      </x:c>
    </x:row>
    <x:row r="20" ht="19" customHeight="1">
      <x:c r="A20" s="29" t="str">
        <x:v>XLB</x:v>
      </x:c>
      <x:c r="B20" s="41" t="n">
        <x:f>_xlfn.COVARIANCE.S('Common sample'!BG6:BG75,'Common sample'!AS6:AS75)</x:f>
        <x:v>0.00038703341126427085</x:v>
      </x:c>
      <x:c r="C20" s="41" t="n">
        <x:f>_xlfn.COVARIANCE.S('Common sample'!BG6:BG75,'Common sample'!AT6:AT75)</x:f>
        <x:v>0.0002035935470526574</x:v>
      </x:c>
      <x:c r="D20" s="41" t="n">
        <x:f>_xlfn.COVARIANCE.S('Common sample'!BG6:BG75,'Common sample'!AU6:AU75)</x:f>
        <x:v>0.0002346502024040907</x:v>
      </x:c>
      <x:c r="E20" s="41" t="n">
        <x:f>_xlfn.COVARIANCE.S('Common sample'!BG6:BG75,'Common sample'!AV6:AV75)</x:f>
        <x:v>0.0002457859828893077</x:v>
      </x:c>
      <x:c r="F20" s="41" t="n">
        <x:f>_xlfn.COVARIANCE.S('Common sample'!BG6:BG75,'Common sample'!AW6:AW75)</x:f>
        <x:v>0.00039923962197359927</x:v>
      </x:c>
      <x:c r="G20" s="41" t="n">
        <x:f>_xlfn.COVARIANCE.S('Common sample'!BG6:BG75,'Common sample'!AX6:AX75)</x:f>
        <x:v>0.0001956955607537482</x:v>
      </x:c>
      <x:c r="H20" s="41" t="n">
        <x:f>_xlfn.COVARIANCE.S('Common sample'!BG6:BG75,'Common sample'!AY6:AY75)</x:f>
        <x:v>0.000004644668273081903</x:v>
      </x:c>
      <x:c r="I20" s="41" t="n">
        <x:f>_xlfn.COVARIANCE.S('Common sample'!BG6:BG75,'Common sample'!AZ6:AZ75)</x:f>
        <x:v>-0.00006911507311714739</x:v>
      </x:c>
      <x:c r="J20" s="41" t="n">
        <x:f>_xlfn.COVARIANCE.S('Common sample'!BG6:BG75,'Common sample'!BA6:BA75)</x:f>
        <x:v>-0.00010343595692756503</x:v>
      </x:c>
      <x:c r="K20" s="41" t="n">
        <x:f>_xlfn.COVARIANCE.S('Common sample'!BG6:BG75,'Common sample'!BB6:BB75)</x:f>
        <x:v>0.0006604007447652278</x:v>
      </x:c>
      <x:c r="L20" s="41" t="n">
        <x:f>_xlfn.COVARIANCE.S('Common sample'!BG6:BG75,'Common sample'!BC6:BC75)</x:f>
        <x:v>0.0009842380265754085</x:v>
      </x:c>
      <x:c r="M20" s="41" t="n">
        <x:f>_xlfn.COVARIANCE.S('Common sample'!BG6:BG75,'Common sample'!BD6:BD75)</x:f>
        <x:v>0.0004199854299963818</x:v>
      </x:c>
      <x:c r="N20" s="41" t="n">
        <x:f>_xlfn.COVARIANCE.S('Common sample'!BG6:BG75,'Common sample'!BE6:BE75)</x:f>
        <x:v>0.0004055421876960893</x:v>
      </x:c>
      <x:c r="O20" s="41" t="n">
        <x:f>_xlfn.COVARIANCE.S('Common sample'!BG6:BG75,'Common sample'!BF6:BF75)</x:f>
        <x:v>0.0009710597210140308</x:v>
      </x:c>
      <x:c r="P20" s="41" t="n">
        <x:f>_xlfn.COVARIANCE.S('Common sample'!BG6:BG75,'Common sample'!BG6:BG75)</x:f>
        <x:v>0.0016199817026594184</x:v>
      </x:c>
      <x:c r="Q20" s="41" t="n">
        <x:f>_xlfn.COVARIANCE.S('Common sample'!BG6:BG75,'Common sample'!BH6:BH75)</x:f>
        <x:v>0.0006356602212466118</x:v>
      </x:c>
      <x:c r="R20" s="41" t="n">
        <x:f>_xlfn.COVARIANCE.S('Common sample'!BG6:BG75,'Common sample'!BI6:BI75)</x:f>
        <x:v>-0.0006394769666136522</x:v>
      </x:c>
      <x:c r="S20" s="41" t="n">
        <x:f>_xlfn.COVARIANCE.S('Common sample'!BG6:BG75,'Common sample'!BJ6:BJ75)</x:f>
        <x:v>0.000732289101724073</x:v>
      </x:c>
    </x:row>
    <x:row r="21" ht="19" customHeight="1">
      <x:c r="A21" s="29" t="str">
        <x:v>XLRE</x:v>
      </x:c>
      <x:c r="B21" s="41" t="n">
        <x:f>_xlfn.COVARIANCE.S('Common sample'!BH6:BH75,'Common sample'!AS6:AS75)</x:f>
        <x:v>0.000017482569791251724</x:v>
      </x:c>
      <x:c r="C21" s="41" t="n">
        <x:f>_xlfn.COVARIANCE.S('Common sample'!BH6:BH75,'Common sample'!AT6:AT75)</x:f>
        <x:v>0.00017449535000791896</x:v>
      </x:c>
      <x:c r="D21" s="41" t="n">
        <x:f>_xlfn.COVARIANCE.S('Common sample'!BH6:BH75,'Common sample'!AU6:AU75)</x:f>
        <x:v>0.00019717368762272835</x:v>
      </x:c>
      <x:c r="E21" s="41" t="n">
        <x:f>_xlfn.COVARIANCE.S('Common sample'!BH6:BH75,'Common sample'!AV6:AV75)</x:f>
        <x:v>0.00020634297453680055</x:v>
      </x:c>
      <x:c r="F21" s="41" t="n">
        <x:f>_xlfn.COVARIANCE.S('Common sample'!BH6:BH75,'Common sample'!AW6:AW75)</x:f>
        <x:v>0.00029858879217374394</x:v>
      </x:c>
      <x:c r="G21" s="41" t="n">
        <x:f>_xlfn.COVARIANCE.S('Common sample'!BH6:BH75,'Common sample'!AX6:AX75)</x:f>
        <x:v>0.00017786497539450246</x:v>
      </x:c>
      <x:c r="H21" s="41" t="n">
        <x:f>_xlfn.COVARIANCE.S('Common sample'!BH6:BH75,'Common sample'!AY6:AY75)</x:f>
        <x:v>0.0000021275934927187484</x:v>
      </x:c>
      <x:c r="I21" s="41" t="n">
        <x:f>_xlfn.COVARIANCE.S('Common sample'!BH6:BH75,'Common sample'!AZ6:AZ75)</x:f>
        <x:v>-0.00002275992546599741</x:v>
      </x:c>
      <x:c r="J21" s="41" t="n">
        <x:f>_xlfn.COVARIANCE.S('Common sample'!BH6:BH75,'Common sample'!BA6:BA75)</x:f>
        <x:v>0.00012554900485693715</x:v>
      </x:c>
      <x:c r="K21" s="41" t="n">
        <x:f>_xlfn.COVARIANCE.S('Common sample'!BH6:BH75,'Common sample'!BB6:BB75)</x:f>
        <x:v>0.0007120264907507254</x:v>
      </x:c>
      <x:c r="L21" s="41" t="n">
        <x:f>_xlfn.COVARIANCE.S('Common sample'!BH6:BH75,'Common sample'!BC6:BC75)</x:f>
        <x:v>0.00047002568361174615</x:v>
      </x:c>
      <x:c r="M21" s="41" t="n">
        <x:f>_xlfn.COVARIANCE.S('Common sample'!BH6:BH75,'Common sample'!BD6:BD75)</x:f>
        <x:v>0.00029820239244288403</x:v>
      </x:c>
      <x:c r="N21" s="41" t="n">
        <x:f>_xlfn.COVARIANCE.S('Common sample'!BH6:BH75,'Common sample'!BE6:BE75)</x:f>
        <x:v>0.000588723886395529</x:v>
      </x:c>
      <x:c r="O21" s="41" t="n">
        <x:f>_xlfn.COVARIANCE.S('Common sample'!BH6:BH75,'Common sample'!BF6:BF75)</x:f>
        <x:v>0.00031108144438665437</x:v>
      </x:c>
      <x:c r="P21" s="41" t="n">
        <x:f>_xlfn.COVARIANCE.S('Common sample'!BH6:BH75,'Common sample'!BG6:BG75)</x:f>
        <x:v>0.0006356602212466118</x:v>
      </x:c>
      <x:c r="Q21" s="41" t="n">
        <x:f>_xlfn.COVARIANCE.S('Common sample'!BH6:BH75,'Common sample'!BH6:BH75)</x:f>
        <x:v>0.0013679890752084892</x:v>
      </x:c>
      <x:c r="R21" s="41" t="n">
        <x:f>_xlfn.COVARIANCE.S('Common sample'!BH6:BH75,'Common sample'!BI6:BI75)</x:f>
        <x:v>-0.0006413986886987105</x:v>
      </x:c>
      <x:c r="S21" s="41" t="n">
        <x:f>_xlfn.COVARIANCE.S('Common sample'!BH6:BH75,'Common sample'!BJ6:BJ75)</x:f>
        <x:v>0.0008299466668205438</x:v>
      </x:c>
    </x:row>
    <x:row r="22" ht="19" customHeight="1">
      <x:c r="A22" s="29" t="str">
        <x:v>XLK</x:v>
      </x:c>
      <x:c r="B22" s="41" t="n">
        <x:f>_xlfn.COVARIANCE.S('Common sample'!BI6:BI75,'Common sample'!AS6:AS75)</x:f>
        <x:v>-0.00008067325781975244</x:v>
      </x:c>
      <x:c r="C22" s="41" t="n">
        <x:f>_xlfn.COVARIANCE.S('Common sample'!BI6:BI75,'Common sample'!AT6:AT75)</x:f>
        <x:v>-0.00011434113815896209</x:v>
      </x:c>
      <x:c r="D22" s="41" t="n">
        <x:f>_xlfn.COVARIANCE.S('Common sample'!BI6:BI75,'Common sample'!AU6:AU75)</x:f>
        <x:v>-0.00013183231512518318</x:v>
      </x:c>
      <x:c r="E22" s="41" t="n">
        <x:f>_xlfn.COVARIANCE.S('Common sample'!BI6:BI75,'Common sample'!AV6:AV75)</x:f>
        <x:v>-0.00013988978706264504</x:v>
      </x:c>
      <x:c r="F22" s="41" t="n">
        <x:f>_xlfn.COVARIANCE.S('Common sample'!BI6:BI75,'Common sample'!AW6:AW75)</x:f>
        <x:v>-0.00018150579726615914</x:v>
      </x:c>
      <x:c r="G22" s="41" t="n">
        <x:f>_xlfn.COVARIANCE.S('Common sample'!BI6:BI75,'Common sample'!AX6:AX75)</x:f>
        <x:v>-0.00006082193179393006</x:v>
      </x:c>
      <x:c r="H22" s="41" t="n">
        <x:f>_xlfn.COVARIANCE.S('Common sample'!BI6:BI75,'Common sample'!AY6:AY75)</x:f>
        <x:v>0.0000012745581884469287</x:v>
      </x:c>
      <x:c r="I22" s="41" t="n">
        <x:f>_xlfn.COVARIANCE.S('Common sample'!BI6:BI75,'Common sample'!AZ6:AZ75)</x:f>
        <x:v>-0.0003800253766829068</x:v>
      </x:c>
      <x:c r="J22" s="41" t="n">
        <x:f>_xlfn.COVARIANCE.S('Common sample'!BI6:BI75,'Common sample'!BA6:BA75)</x:f>
        <x:v>-0.00020584891994336583</x:v>
      </x:c>
      <x:c r="K22" s="41" t="n">
        <x:f>_xlfn.COVARIANCE.S('Common sample'!BI6:BI75,'Common sample'!BB6:BB75)</x:f>
        <x:v>-0.0005739897797691556</x:v>
      </x:c>
      <x:c r="L22" s="41" t="n">
        <x:f>_xlfn.COVARIANCE.S('Common sample'!BI6:BI75,'Common sample'!BC6:BC75)</x:f>
        <x:v>-0.0009857192983999256</x:v>
      </x:c>
      <x:c r="M22" s="41" t="n">
        <x:f>_xlfn.COVARIANCE.S('Common sample'!BI6:BI75,'Common sample'!BD6:BD75)</x:f>
        <x:v>-0.0005999573447612956</x:v>
      </x:c>
      <x:c r="N22" s="41" t="n">
        <x:f>_xlfn.COVARIANCE.S('Common sample'!BI6:BI75,'Common sample'!BE6:BE75)</x:f>
        <x:v>-0.0006681744056984946</x:v>
      </x:c>
      <x:c r="O22" s="41" t="n">
        <x:f>_xlfn.COVARIANCE.S('Common sample'!BI6:BI75,'Common sample'!BF6:BF75)</x:f>
        <x:v>-0.00035942276083247523</x:v>
      </x:c>
      <x:c r="P22" s="41" t="n">
        <x:f>_xlfn.COVARIANCE.S('Common sample'!BI6:BI75,'Common sample'!BG6:BG75)</x:f>
        <x:v>-0.0006394769666136522</x:v>
      </x:c>
      <x:c r="Q22" s="41" t="n">
        <x:f>_xlfn.COVARIANCE.S('Common sample'!BI6:BI75,'Common sample'!BH6:BH75)</x:f>
        <x:v>-0.0006413986886987105</x:v>
      </x:c>
      <x:c r="R22" s="41" t="n">
        <x:f>_xlfn.COVARIANCE.S('Common sample'!BI6:BI75,'Common sample'!BI6:BI75)</x:f>
        <x:v>0.001153047057011305</x:v>
      </x:c>
      <x:c r="S22" s="41" t="n">
        <x:f>_xlfn.COVARIANCE.S('Common sample'!BI6:BI75,'Common sample'!BJ6:BJ75)</x:f>
        <x:v>-0.0005692765350402071</x:v>
      </x:c>
    </x:row>
    <x:row r="23" ht="19" customHeight="1">
      <x:c r="A23" s="29" t="str">
        <x:v>XLU</x:v>
      </x:c>
      <x:c r="B23" s="41" t="n">
        <x:f>_xlfn.COVARIANCE.S('Common sample'!BJ6:BJ75,'Common sample'!AS6:AS75)</x:f>
        <x:v>0.00012039204473824402</x:v>
      </x:c>
      <x:c r="C23" s="41" t="n">
        <x:f>_xlfn.COVARIANCE.S('Common sample'!BJ6:BJ75,'Common sample'!AT6:AT75)</x:f>
        <x:v>0.00015165403051735926</x:v>
      </x:c>
      <x:c r="D23" s="41" t="n">
        <x:f>_xlfn.COVARIANCE.S('Common sample'!BJ6:BJ75,'Common sample'!AU6:AU75)</x:f>
        <x:v>0.00018617825595025302</x:v>
      </x:c>
      <x:c r="E23" s="41" t="n">
        <x:f>_xlfn.COVARIANCE.S('Common sample'!BJ6:BJ75,'Common sample'!AV6:AV75)</x:f>
        <x:v>0.0002024487486816515</x:v>
      </x:c>
      <x:c r="F23" s="41" t="n">
        <x:f>_xlfn.COVARIANCE.S('Common sample'!BJ6:BJ75,'Common sample'!AW6:AW75)</x:f>
        <x:v>0.0002812154364242849</x:v>
      </x:c>
      <x:c r="G23" s="41" t="n">
        <x:f>_xlfn.COVARIANCE.S('Common sample'!BJ6:BJ75,'Common sample'!AX6:AX75)</x:f>
        <x:v>0.0001259995481817467</x:v>
      </x:c>
      <x:c r="H23" s="41" t="n">
        <x:f>_xlfn.COVARIANCE.S('Common sample'!BJ6:BJ75,'Common sample'!AY6:AY75)</x:f>
        <x:v>-0.00003291322870843114</x:v>
      </x:c>
      <x:c r="I23" s="41" t="n">
        <x:f>_xlfn.COVARIANCE.S('Common sample'!BJ6:BJ75,'Common sample'!AZ6:AZ75)</x:f>
        <x:v>-0.00013727405001711176</x:v>
      </x:c>
      <x:c r="J23" s="41" t="n">
        <x:f>_xlfn.COVARIANCE.S('Common sample'!BJ6:BJ75,'Common sample'!BA6:BA75)</x:f>
        <x:v>-0.00010648079237382143</x:v>
      </x:c>
      <x:c r="K23" s="41" t="n">
        <x:f>_xlfn.COVARIANCE.S('Common sample'!BJ6:BJ75,'Common sample'!BB6:BB75)</x:f>
        <x:v>0.0007314923577247951</x:v>
      </x:c>
      <x:c r="L23" s="41" t="n">
        <x:f>_xlfn.COVARIANCE.S('Common sample'!BJ6:BJ75,'Common sample'!BC6:BC75)</x:f>
        <x:v>0.0004275088037832267</x:v>
      </x:c>
      <x:c r="M23" s="41" t="n">
        <x:f>_xlfn.COVARIANCE.S('Common sample'!BJ6:BJ75,'Common sample'!BD6:BD75)</x:f>
        <x:v>0.00017851674364795228</x:v>
      </x:c>
      <x:c r="N23" s="41" t="n">
        <x:f>_xlfn.COVARIANCE.S('Common sample'!BJ6:BJ75,'Common sample'!BE6:BE75)</x:f>
        <x:v>0.00043441348790060867</x:v>
      </x:c>
      <x:c r="O23" s="41" t="n">
        <x:f>_xlfn.COVARIANCE.S('Common sample'!BJ6:BJ75,'Common sample'!BF6:BF75)</x:f>
        <x:v>0.0005357167176257589</x:v>
      </x:c>
      <x:c r="P23" s="41" t="n">
        <x:f>_xlfn.COVARIANCE.S('Common sample'!BJ6:BJ75,'Common sample'!BG6:BG75)</x:f>
        <x:v>0.000732289101724073</x:v>
      </x:c>
      <x:c r="Q23" s="41" t="n">
        <x:f>_xlfn.COVARIANCE.S('Common sample'!BJ6:BJ75,'Common sample'!BH6:BH75)</x:f>
        <x:v>0.0008299466668205438</x:v>
      </x:c>
      <x:c r="R23" s="41" t="n">
        <x:f>_xlfn.COVARIANCE.S('Common sample'!BJ6:BJ75,'Common sample'!BI6:BI75)</x:f>
        <x:v>-0.0005692765350402071</x:v>
      </x:c>
      <x:c r="S23" s="41" t="n">
        <x:f>_xlfn.COVARIANCE.S('Common sample'!BJ6:BJ75,'Common sample'!BJ6:BJ75)</x:f>
        <x:v>0.0018586827511218548</x:v>
      </x:c>
    </x:row>
  </x:sheetData>
  <x:pageMargins left="0.7" right="0.7" top="0.75" bottom="0.75" header="0.3" footer="0.3"/>
</x:worksheet>
</file>

<file path=xl/worksheets/sheet6.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Residual covariance</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Factor / stock</x:v>
      </x:c>
      <x:c r="B5" s="35" t="str">
        <x:v>VST</x:v>
      </x:c>
      <x:c r="C5" s="35" t="str">
        <x:v>VIST</x:v>
      </x:c>
      <x:c r="D5" s="35" t="str">
        <x:v>AEP</x:v>
      </x:c>
      <x:c r="E5" s="35" t="str">
        <x:v>ETR</x:v>
      </x:c>
      <x:c r="F5" s="35" t="str">
        <x:v>DIS</x:v>
      </x:c>
      <x:c r="G5" s="35" t="str">
        <x:v>CMG</x:v>
      </x:c>
      <x:c r="H5" s="35" t="str">
        <x:v>AMZN</x:v>
      </x:c>
      <x:c r="I5" s="35" t="str">
        <x:v>FIX</x:v>
      </x:c>
      <x:c r="J5" s="35" t="str">
        <x:v>STX</x:v>
      </x:c>
      <x:c r="K5" s="35" t="str">
        <x:v>VLO</x:v>
      </x:c>
      <x:c r="L5" s="35" t="str">
        <x:v>CF</x:v>
      </x:c>
      <x:c r="M5" s="35" t="str">
        <x:v>NTR</x:v>
      </x:c>
      <x:c r="N5" s="35" t="str">
        <x:v>LNN</x:v>
      </x:c>
      <x:c r="O5" s="35" t="str">
        <x:v>WDC</x:v>
      </x:c>
      <x:c r="P5" s="35" t="str">
        <x:v>ASND</x:v>
      </x:c>
      <x:c r="Q5" s="35" t="str">
        <x:v>DOCN</x:v>
      </x:c>
      <x:c r="R5" s="35" t="str">
        <x:v>CME</x:v>
      </x:c>
      <x:c r="S5" s="35" t="str">
        <x:v>NET</x:v>
      </x:c>
      <x:c r="T5" s="35" t="str">
        <x:v>MRNA</x:v>
      </x:c>
      <x:c r="U5" s="35" t="str">
        <x:v>AXON</x:v>
      </x:c>
      <x:c r="V5" s="35" t="str">
        <x:v>NFLX</x:v>
      </x:c>
      <x:c r="W5" s="35" t="str">
        <x:v>CMCSA</x:v>
      </x:c>
      <x:c r="X5" s="35" t="str">
        <x:v>MU</x:v>
      </x:c>
      <x:c r="Y5" s="35" t="str">
        <x:v>NEM</x:v>
      </x:c>
      <x:c r="Z5" s="35" t="str">
        <x:v>PGR</x:v>
      </x:c>
      <x:c r="AA5" s="35" t="str">
        <x:v>ORKA</x:v>
      </x:c>
      <x:c r="AB5" s="35" t="str">
        <x:v>UPST</x:v>
      </x:c>
      <x:c r="AC5" s="35" t="str">
        <x:v>PG</x:v>
      </x:c>
      <x:c r="AD5" s="35" t="str">
        <x:v>F</x:v>
      </x:c>
      <x:c r="AE5" s="35" t="str">
        <x:v>HPE</x:v>
      </x:c>
      <x:c r="AF5" s="35" t="str">
        <x:v>BA</x:v>
      </x:c>
      <x:c r="AG5" s="35" t="str">
        <x:v>HII</x:v>
      </x:c>
      <x:c r="AH5" s="35" t="str">
        <x:v>AMD</x:v>
      </x:c>
      <x:c r="AI5" s="35" t="str">
        <x:v>LLY</x:v>
      </x:c>
      <x:c r="AJ5" s="35" t="str">
        <x:v>WELL</x:v>
      </x:c>
      <x:c r="AK5" s="35" t="str">
        <x:v>NOK</x:v>
      </x:c>
      <x:c r="AL5" s="35" t="str">
        <x:v>MSFT</x:v>
      </x:c>
      <x:c r="AM5" s="35" t="str">
        <x:v>GOOGL</x:v>
      </x:c>
      <x:c r="AN5" s="35" t="str">
        <x:v>COST</x:v>
      </x:c>
      <x:c r="AO5" s="35" t="str">
        <x:v>HD</x:v>
      </x:c>
      <x:c r="AP5" s="35" t="str">
        <x:v>KO</x:v>
      </x:c>
      <x:c r="AQ5" s="35" t="str">
        <x:v>JNJ</x:v>
      </x:c>
      <x:c r="AR5" s="35" t="str">
        <x:v>BRK-B</x:v>
      </x:c>
    </x:row>
    <x:row r="6" ht="19" customHeight="1">
      <x:c r="A6" s="29" t="str">
        <x:v>VST</x:v>
      </x:c>
      <x:c r="B6" s="41" t="n">
        <x:f>_xlfn.COVARIANCE.S('Common sample'!B6:B75,'Common sample'!B6:B75)</x:f>
        <x:v>0.009159482890494177</x:v>
      </x:c>
      <x:c r="C6" s="41" t="n">
        <x:f>_xlfn.COVARIANCE.S('Common sample'!B6:B75,'Common sample'!C6:C75)</x:f>
        <x:v>-0.001359740671789701</x:v>
      </x:c>
      <x:c r="D6" s="41" t="n">
        <x:f>_xlfn.COVARIANCE.S('Common sample'!B6:B75,'Common sample'!D6:D75)</x:f>
        <x:v>-0.0007663969119139234</x:v>
      </x:c>
      <x:c r="E6" s="41" t="n">
        <x:f>_xlfn.COVARIANCE.S('Common sample'!B6:B75,'Common sample'!E6:E75)</x:f>
        <x:v>-0.00045954075284853436</x:v>
      </x:c>
      <x:c r="F6" s="41" t="n">
        <x:f>_xlfn.COVARIANCE.S('Common sample'!B6:B75,'Common sample'!F6:F75)</x:f>
        <x:v>0.0008186747002920835</x:v>
      </x:c>
      <x:c r="G6" s="41" t="n">
        <x:f>_xlfn.COVARIANCE.S('Common sample'!B6:B75,'Common sample'!G6:G75)</x:f>
        <x:v>0.0019167393610459655</x:v>
      </x:c>
      <x:c r="H6" s="41" t="n">
        <x:f>_xlfn.COVARIANCE.S('Common sample'!B6:B75,'Common sample'!H6:H75)</x:f>
        <x:v>0.00005300075656901709</x:v>
      </x:c>
      <x:c r="I6" s="41" t="n">
        <x:f>_xlfn.COVARIANCE.S('Common sample'!B6:B75,'Common sample'!I6:I75)</x:f>
        <x:v>0.0019089990703667578</x:v>
      </x:c>
      <x:c r="J6" s="41" t="n">
        <x:f>_xlfn.COVARIANCE.S('Common sample'!B6:B75,'Common sample'!J6:J75)</x:f>
        <x:v>-0.0016591178510000763</x:v>
      </x:c>
      <x:c r="K6" s="41" t="n">
        <x:f>_xlfn.COVARIANCE.S('Common sample'!B6:B75,'Common sample'!K6:K75)</x:f>
        <x:v>0.0005603412555107921</x:v>
      </x:c>
      <x:c r="L6" s="41" t="n">
        <x:f>_xlfn.COVARIANCE.S('Common sample'!B6:B75,'Common sample'!L6:L75)</x:f>
        <x:v>0.0013873804261386226</x:v>
      </x:c>
      <x:c r="M6" s="41" t="n">
        <x:f>_xlfn.COVARIANCE.S('Common sample'!B6:B75,'Common sample'!M6:M75)</x:f>
        <x:v>0.0010874477667830928</x:v>
      </x:c>
      <x:c r="N6" s="41" t="n">
        <x:f>_xlfn.COVARIANCE.S('Common sample'!B6:B75,'Common sample'!N6:N75)</x:f>
        <x:v>0.00002974401442857306</x:v>
      </x:c>
      <x:c r="O6" s="41" t="n">
        <x:f>_xlfn.COVARIANCE.S('Common sample'!B6:B75,'Common sample'!O6:O75)</x:f>
        <x:v>-0.0008251968952611233</x:v>
      </x:c>
      <x:c r="P6" s="41" t="n">
        <x:f>_xlfn.COVARIANCE.S('Common sample'!B6:B75,'Common sample'!P6:P75)</x:f>
        <x:v>-0.00017106922634709307</x:v>
      </x:c>
      <x:c r="Q6" s="41" t="n">
        <x:f>_xlfn.COVARIANCE.S('Common sample'!B6:B75,'Common sample'!Q6:Q75)</x:f>
        <x:v>-0.002306038676605167</x:v>
      </x:c>
      <x:c r="R6" s="41" t="n">
        <x:f>_xlfn.COVARIANCE.S('Common sample'!B6:B75,'Common sample'!R6:R75)</x:f>
        <x:v>0.00019797277872218885</x:v>
      </x:c>
      <x:c r="S6" s="41" t="n">
        <x:f>_xlfn.COVARIANCE.S('Common sample'!B6:B75,'Common sample'!S6:S75)</x:f>
        <x:v>0.00010804820387054532</x:v>
      </x:c>
      <x:c r="T6" s="41" t="n">
        <x:f>_xlfn.COVARIANCE.S('Common sample'!B6:B75,'Common sample'!T6:T75)</x:f>
        <x:v>0.00009070341843562482</x:v>
      </x:c>
      <x:c r="U6" s="41" t="n">
        <x:f>_xlfn.COVARIANCE.S('Common sample'!B6:B75,'Common sample'!U6:U75)</x:f>
        <x:v>0.0032803276581145745</x:v>
      </x:c>
      <x:c r="V6" s="41" t="n">
        <x:f>_xlfn.COVARIANCE.S('Common sample'!B6:B75,'Common sample'!V6:V75)</x:f>
        <x:v>0.0012868960847926866</x:v>
      </x:c>
      <x:c r="W6" s="41" t="n">
        <x:f>_xlfn.COVARIANCE.S('Common sample'!B6:B75,'Common sample'!W6:W75)</x:f>
        <x:v>-0.0003368107722629927</x:v>
      </x:c>
      <x:c r="X6" s="41" t="n">
        <x:f>_xlfn.COVARIANCE.S('Common sample'!B6:B75,'Common sample'!X6:X75)</x:f>
        <x:v>0.0016715052066409827</x:v>
      </x:c>
      <x:c r="Y6" s="41" t="n">
        <x:f>_xlfn.COVARIANCE.S('Common sample'!B6:B75,'Common sample'!Y6:Y75)</x:f>
        <x:v>-0.0007342065009067246</x:v>
      </x:c>
      <x:c r="Z6" s="41" t="n">
        <x:f>_xlfn.COVARIANCE.S('Common sample'!B6:B75,'Common sample'!Z6:Z75)</x:f>
        <x:v>-0.00011409859958502126</x:v>
      </x:c>
      <x:c r="AA6" s="41" t="n">
        <x:f>_xlfn.COVARIANCE.S('Common sample'!B6:B75,'Common sample'!AA6:AA75)</x:f>
        <x:v>-0.0032604280470960346</x:v>
      </x:c>
      <x:c r="AB6" s="41" t="n">
        <x:f>_xlfn.COVARIANCE.S('Common sample'!B6:B75,'Common sample'!AB6:AB75)</x:f>
        <x:v>0.00016992686291955093</x:v>
      </x:c>
      <x:c r="AC6" s="41" t="n">
        <x:f>_xlfn.COVARIANCE.S('Common sample'!B6:B75,'Common sample'!AC6:AC75)</x:f>
        <x:v>0.0009257707594221856</x:v>
      </x:c>
      <x:c r="AD6" s="41" t="n">
        <x:f>_xlfn.COVARIANCE.S('Common sample'!B6:B75,'Common sample'!AD6:AD75)</x:f>
        <x:v>-0.00047630585848500964</x:v>
      </x:c>
      <x:c r="AE6" s="41" t="n">
        <x:f>_xlfn.COVARIANCE.S('Common sample'!B6:B75,'Common sample'!AE6:AE75)</x:f>
        <x:v>0.0007145458607340835</x:v>
      </x:c>
      <x:c r="AF6" s="41" t="n">
        <x:f>_xlfn.COVARIANCE.S('Common sample'!B6:B75,'Common sample'!AF6:AF75)</x:f>
        <x:v>-0.0016893707962080018</x:v>
      </x:c>
      <x:c r="AG6" s="41" t="n">
        <x:f>_xlfn.COVARIANCE.S('Common sample'!B6:B75,'Common sample'!AG6:AG75)</x:f>
        <x:v>-0.0008582354899958559</x:v>
      </x:c>
      <x:c r="AH6" s="41" t="n">
        <x:f>_xlfn.COVARIANCE.S('Common sample'!B6:B75,'Common sample'!AH6:AH75)</x:f>
        <x:v>-0.0006147596435194291</x:v>
      </x:c>
      <x:c r="AI6" s="41" t="n">
        <x:f>_xlfn.COVARIANCE.S('Common sample'!B6:B75,'Common sample'!AI6:AI75)</x:f>
        <x:v>0.0010561764786929002</x:v>
      </x:c>
      <x:c r="AJ6" s="41" t="n">
        <x:f>_xlfn.COVARIANCE.S('Common sample'!B6:B75,'Common sample'!AJ6:AJ75)</x:f>
        <x:v>0.00015385159096717113</x:v>
      </x:c>
      <x:c r="AK6" s="41" t="n">
        <x:f>_xlfn.COVARIANCE.S('Common sample'!B6:B75,'Common sample'!AK6:AK75)</x:f>
        <x:v>-0.0013006088518701677</x:v>
      </x:c>
      <x:c r="AL6" s="41" t="n">
        <x:f>_xlfn.COVARIANCE.S('Common sample'!B6:B75,'Common sample'!AL6:AL75)</x:f>
        <x:v>0.00040882222075184853</x:v>
      </x:c>
      <x:c r="AM6" s="41" t="n">
        <x:f>_xlfn.COVARIANCE.S('Common sample'!B6:B75,'Common sample'!AM6:AM75)</x:f>
        <x:v>-0.00028651273884219364</x:v>
      </x:c>
      <x:c r="AN6" s="41" t="n">
        <x:f>_xlfn.COVARIANCE.S('Common sample'!B6:B75,'Common sample'!AN6:AN75)</x:f>
        <x:v>0.0005812716253548748</x:v>
      </x:c>
      <x:c r="AO6" s="41" t="n">
        <x:f>_xlfn.COVARIANCE.S('Common sample'!B6:B75,'Common sample'!AO6:AO75)</x:f>
        <x:v>0.0012383157173145797</x:v>
      </x:c>
      <x:c r="AP6" s="41" t="n">
        <x:f>_xlfn.COVARIANCE.S('Common sample'!B6:B75,'Common sample'!AP6:AP75)</x:f>
        <x:v>-0.0007403799063415955</x:v>
      </x:c>
      <x:c r="AQ6" s="41" t="n">
        <x:f>_xlfn.COVARIANCE.S('Common sample'!B6:B75,'Common sample'!AQ6:AQ75)</x:f>
        <x:v>-0.0009755568347668183</x:v>
      </x:c>
      <x:c r="AR6" s="41" t="n">
        <x:f>_xlfn.COVARIANCE.S('Common sample'!B6:B75,'Common sample'!AR6:AR75)</x:f>
        <x:v>-0.00009163938590778378</x:v>
      </x:c>
    </x:row>
    <x:row r="7" ht="19" customHeight="1">
      <x:c r="A7" s="29" t="str">
        <x:v>VIST</x:v>
      </x:c>
      <x:c r="B7" s="41" t="n">
        <x:f>_xlfn.COVARIANCE.S('Common sample'!C6:C75,'Common sample'!B6:B75)</x:f>
        <x:v>-0.001359740671789701</x:v>
      </x:c>
      <x:c r="C7" s="41" t="n">
        <x:f>_xlfn.COVARIANCE.S('Common sample'!C6:C75,'Common sample'!C6:C75)</x:f>
        <x:v>0.010350920668862628</x:v>
      </x:c>
      <x:c r="D7" s="41" t="n">
        <x:f>_xlfn.COVARIANCE.S('Common sample'!C6:C75,'Common sample'!D6:D75)</x:f>
        <x:v>0.0004564846283387535</x:v>
      </x:c>
      <x:c r="E7" s="41" t="n">
        <x:f>_xlfn.COVARIANCE.S('Common sample'!C6:C75,'Common sample'!E6:E75)</x:f>
        <x:v>-0.0002798613679046016</x:v>
      </x:c>
      <x:c r="F7" s="41" t="n">
        <x:f>_xlfn.COVARIANCE.S('Common sample'!C6:C75,'Common sample'!F6:F75)</x:f>
        <x:v>0.00013838496881289451</x:v>
      </x:c>
      <x:c r="G7" s="41" t="n">
        <x:f>_xlfn.COVARIANCE.S('Common sample'!C6:C75,'Common sample'!G6:G75)</x:f>
        <x:v>0.00003291689648099036</x:v>
      </x:c>
      <x:c r="H7" s="41" t="n">
        <x:f>_xlfn.COVARIANCE.S('Common sample'!C6:C75,'Common sample'!H6:H75)</x:f>
        <x:v>0.0004534599409730105</x:v>
      </x:c>
      <x:c r="I7" s="41" t="n">
        <x:f>_xlfn.COVARIANCE.S('Common sample'!C6:C75,'Common sample'!I6:I75)</x:f>
        <x:v>0.0004570969098258629</x:v>
      </x:c>
      <x:c r="J7" s="41" t="n">
        <x:f>_xlfn.COVARIANCE.S('Common sample'!C6:C75,'Common sample'!J6:J75)</x:f>
        <x:v>-0.00009917719007035185</x:v>
      </x:c>
      <x:c r="K7" s="41" t="n">
        <x:f>_xlfn.COVARIANCE.S('Common sample'!C6:C75,'Common sample'!K6:K75)</x:f>
        <x:v>-0.0011028316608240607</x:v>
      </x:c>
      <x:c r="L7" s="41" t="n">
        <x:f>_xlfn.COVARIANCE.S('Common sample'!C6:C75,'Common sample'!L6:L75)</x:f>
        <x:v>0.0013628106534711677</x:v>
      </x:c>
      <x:c r="M7" s="41" t="n">
        <x:f>_xlfn.COVARIANCE.S('Common sample'!C6:C75,'Common sample'!M6:M75)</x:f>
        <x:v>0.001195570105488627</x:v>
      </x:c>
      <x:c r="N7" s="41" t="n">
        <x:f>_xlfn.COVARIANCE.S('Common sample'!C6:C75,'Common sample'!N6:N75)</x:f>
        <x:v>-0.0009117641526892026</x:v>
      </x:c>
      <x:c r="O7" s="41" t="n">
        <x:f>_xlfn.COVARIANCE.S('Common sample'!C6:C75,'Common sample'!O6:O75)</x:f>
        <x:v>0.0006026862454534299</x:v>
      </x:c>
      <x:c r="P7" s="41" t="n">
        <x:f>_xlfn.COVARIANCE.S('Common sample'!C6:C75,'Common sample'!P6:P75)</x:f>
        <x:v>-0.0002716127026862527</x:v>
      </x:c>
      <x:c r="Q7" s="41" t="n">
        <x:f>_xlfn.COVARIANCE.S('Common sample'!C6:C75,'Common sample'!Q6:Q75)</x:f>
        <x:v>0.004854208712287481</x:v>
      </x:c>
      <x:c r="R7" s="41" t="n">
        <x:f>_xlfn.COVARIANCE.S('Common sample'!C6:C75,'Common sample'!R6:R75)</x:f>
        <x:v>0.00031672660101361873</x:v>
      </x:c>
      <x:c r="S7" s="41" t="n">
        <x:f>_xlfn.COVARIANCE.S('Common sample'!C6:C75,'Common sample'!S6:S75)</x:f>
        <x:v>0.0004325584952407707</x:v>
      </x:c>
      <x:c r="T7" s="41" t="n">
        <x:f>_xlfn.COVARIANCE.S('Common sample'!C6:C75,'Common sample'!T6:T75)</x:f>
        <x:v>0.0016537525882863611</x:v>
      </x:c>
      <x:c r="U7" s="41" t="n">
        <x:f>_xlfn.COVARIANCE.S('Common sample'!C6:C75,'Common sample'!U6:U75)</x:f>
        <x:v>-0.0017942557761947712</x:v>
      </x:c>
      <x:c r="V7" s="41" t="n">
        <x:f>_xlfn.COVARIANCE.S('Common sample'!C6:C75,'Common sample'!V6:V75)</x:f>
        <x:v>0.000659435828817803</x:v>
      </x:c>
      <x:c r="W7" s="41" t="n">
        <x:f>_xlfn.COVARIANCE.S('Common sample'!C6:C75,'Common sample'!W6:W75)</x:f>
        <x:v>-0.0013346026520001145</x:v>
      </x:c>
      <x:c r="X7" s="41" t="n">
        <x:f>_xlfn.COVARIANCE.S('Common sample'!C6:C75,'Common sample'!X6:X75)</x:f>
        <x:v>-0.0013488931766895136</x:v>
      </x:c>
      <x:c r="Y7" s="41" t="n">
        <x:f>_xlfn.COVARIANCE.S('Common sample'!C6:C75,'Common sample'!Y6:Y75)</x:f>
        <x:v>-0.000011589287601301693</x:v>
      </x:c>
      <x:c r="Z7" s="41" t="n">
        <x:f>_xlfn.COVARIANCE.S('Common sample'!C6:C75,'Common sample'!Z6:Z75)</x:f>
        <x:v>-0.00035868589851496797</x:v>
      </x:c>
      <x:c r="AA7" s="41" t="n">
        <x:f>_xlfn.COVARIANCE.S('Common sample'!C6:C75,'Common sample'!AA6:AA75)</x:f>
        <x:v>-0.0020511422527925236</x:v>
      </x:c>
      <x:c r="AB7" s="41" t="n">
        <x:f>_xlfn.COVARIANCE.S('Common sample'!C6:C75,'Common sample'!AB6:AB75)</x:f>
        <x:v>0.0024159763757597113</x:v>
      </x:c>
      <x:c r="AC7" s="41" t="n">
        <x:f>_xlfn.COVARIANCE.S('Common sample'!C6:C75,'Common sample'!AC6:AC75)</x:f>
        <x:v>-0.00044924495616384955</x:v>
      </x:c>
      <x:c r="AD7" s="41" t="n">
        <x:f>_xlfn.COVARIANCE.S('Common sample'!C6:C75,'Common sample'!AD6:AD75)</x:f>
        <x:v>0.0012989439544662707</x:v>
      </x:c>
      <x:c r="AE7" s="41" t="n">
        <x:f>_xlfn.COVARIANCE.S('Common sample'!C6:C75,'Common sample'!AE6:AE75)</x:f>
        <x:v>-0.0024985289463792595</x:v>
      </x:c>
      <x:c r="AF7" s="41" t="n">
        <x:f>_xlfn.COVARIANCE.S('Common sample'!C6:C75,'Common sample'!AF6:AF75)</x:f>
        <x:v>-0.0012326702776400717</x:v>
      </x:c>
      <x:c r="AG7" s="41" t="n">
        <x:f>_xlfn.COVARIANCE.S('Common sample'!C6:C75,'Common sample'!AG6:AG75)</x:f>
        <x:v>0.0014205127691467364</x:v>
      </x:c>
      <x:c r="AH7" s="41" t="n">
        <x:f>_xlfn.COVARIANCE.S('Common sample'!C6:C75,'Common sample'!AH6:AH75)</x:f>
        <x:v>0.0006314356564174044</x:v>
      </x:c>
      <x:c r="AI7" s="41" t="n">
        <x:f>_xlfn.COVARIANCE.S('Common sample'!C6:C75,'Common sample'!AI6:AI75)</x:f>
        <x:v>0.0008919469257234133</x:v>
      </x:c>
      <x:c r="AJ7" s="41" t="n">
        <x:f>_xlfn.COVARIANCE.S('Common sample'!C6:C75,'Common sample'!AJ6:AJ75)</x:f>
        <x:v>0.00004118520463835053</x:v>
      </x:c>
      <x:c r="AK7" s="41" t="n">
        <x:f>_xlfn.COVARIANCE.S('Common sample'!C6:C75,'Common sample'!AK6:AK75)</x:f>
        <x:v>0.000735162817970891</x:v>
      </x:c>
      <x:c r="AL7" s="41" t="n">
        <x:f>_xlfn.COVARIANCE.S('Common sample'!C6:C75,'Common sample'!AL6:AL75)</x:f>
        <x:v>-0.0006060788582575378</x:v>
      </x:c>
      <x:c r="AM7" s="41" t="n">
        <x:f>_xlfn.COVARIANCE.S('Common sample'!C6:C75,'Common sample'!AM6:AM75)</x:f>
        <x:v>0.00017583555533009346</x:v>
      </x:c>
      <x:c r="AN7" s="41" t="n">
        <x:f>_xlfn.COVARIANCE.S('Common sample'!C6:C75,'Common sample'!AN6:AN75)</x:f>
        <x:v>0.0007140733466927441</x:v>
      </x:c>
      <x:c r="AO7" s="41" t="n">
        <x:f>_xlfn.COVARIANCE.S('Common sample'!C6:C75,'Common sample'!AO6:AO75)</x:f>
        <x:v>-0.0009458536122666318</x:v>
      </x:c>
      <x:c r="AP7" s="41" t="n">
        <x:f>_xlfn.COVARIANCE.S('Common sample'!C6:C75,'Common sample'!AP6:AP75)</x:f>
        <x:v>0.00016980903975972726</x:v>
      </x:c>
      <x:c r="AQ7" s="41" t="n">
        <x:f>_xlfn.COVARIANCE.S('Common sample'!C6:C75,'Common sample'!AQ6:AQ75)</x:f>
        <x:v>-0.0004883055708460823</x:v>
      </x:c>
      <x:c r="AR7" s="41" t="n">
        <x:f>_xlfn.COVARIANCE.S('Common sample'!C6:C75,'Common sample'!AR6:AR75)</x:f>
        <x:v>0.00033118895615153544</x:v>
      </x:c>
    </x:row>
    <x:row r="8" ht="19" customHeight="1">
      <x:c r="A8" s="29" t="str">
        <x:v>AEP</x:v>
      </x:c>
      <x:c r="B8" s="41" t="n">
        <x:f>_xlfn.COVARIANCE.S('Common sample'!D6:D75,'Common sample'!B6:B75)</x:f>
        <x:v>-0.0007663969119139234</x:v>
      </x:c>
      <x:c r="C8" s="41" t="n">
        <x:f>_xlfn.COVARIANCE.S('Common sample'!D6:D75,'Common sample'!C6:C75)</x:f>
        <x:v>0.0004564846283387535</x:v>
      </x:c>
      <x:c r="D8" s="41" t="n">
        <x:f>_xlfn.COVARIANCE.S('Common sample'!D6:D75,'Common sample'!D6:D75)</x:f>
        <x:v>0.0010818440240609449</x:v>
      </x:c>
      <x:c r="E8" s="41" t="n">
        <x:f>_xlfn.COVARIANCE.S('Common sample'!D6:D75,'Common sample'!E6:E75)</x:f>
        <x:v>0.000506085359141612</x:v>
      </x:c>
      <x:c r="F8" s="41" t="n">
        <x:f>_xlfn.COVARIANCE.S('Common sample'!D6:D75,'Common sample'!F6:F75)</x:f>
        <x:v>0.00041264565646944137</x:v>
      </x:c>
      <x:c r="G8" s="41" t="n">
        <x:f>_xlfn.COVARIANCE.S('Common sample'!D6:D75,'Common sample'!G6:G75)</x:f>
        <x:v>-0.000426203475276659</x:v>
      </x:c>
      <x:c r="H8" s="41" t="n">
        <x:f>_xlfn.COVARIANCE.S('Common sample'!D6:D75,'Common sample'!H6:H75)</x:f>
        <x:v>0.0004263279422474357</x:v>
      </x:c>
      <x:c r="I8" s="41" t="n">
        <x:f>_xlfn.COVARIANCE.S('Common sample'!D6:D75,'Common sample'!I6:I75)</x:f>
        <x:v>0.0008636507679901188</x:v>
      </x:c>
      <x:c r="J8" s="41" t="n">
        <x:f>_xlfn.COVARIANCE.S('Common sample'!D6:D75,'Common sample'!J6:J75)</x:f>
        <x:v>0.0011602826675048698</x:v>
      </x:c>
      <x:c r="K8" s="41" t="n">
        <x:f>_xlfn.COVARIANCE.S('Common sample'!D6:D75,'Common sample'!K6:K75)</x:f>
        <x:v>-0.00008417821971219957</x:v>
      </x:c>
      <x:c r="L8" s="41" t="n">
        <x:f>_xlfn.COVARIANCE.S('Common sample'!D6:D75,'Common sample'!L6:L75)</x:f>
        <x:v>-0.00013544756309615268</x:v>
      </x:c>
      <x:c r="M8" s="41" t="n">
        <x:f>_xlfn.COVARIANCE.S('Common sample'!D6:D75,'Common sample'!M6:M75)</x:f>
        <x:v>0.00006262711562252547</x:v>
      </x:c>
      <x:c r="N8" s="41" t="n">
        <x:f>_xlfn.COVARIANCE.S('Common sample'!D6:D75,'Common sample'!N6:N75)</x:f>
        <x:v>0.0002251071150297433</x:v>
      </x:c>
      <x:c r="O8" s="41" t="n">
        <x:f>_xlfn.COVARIANCE.S('Common sample'!D6:D75,'Common sample'!O6:O75)</x:f>
        <x:v>0.001387813821392077</x:v>
      </x:c>
      <x:c r="P8" s="41" t="n">
        <x:f>_xlfn.COVARIANCE.S('Common sample'!D6:D75,'Common sample'!P6:P75)</x:f>
        <x:v>-0.00018093843949891183</x:v>
      </x:c>
      <x:c r="Q8" s="41" t="n">
        <x:f>_xlfn.COVARIANCE.S('Common sample'!D6:D75,'Common sample'!Q6:Q75)</x:f>
        <x:v>0.0008158352493546072</x:v>
      </x:c>
      <x:c r="R8" s="41" t="n">
        <x:f>_xlfn.COVARIANCE.S('Common sample'!D6:D75,'Common sample'!R6:R75)</x:f>
        <x:v>0.00011408090924370068</x:v>
      </x:c>
      <x:c r="S8" s="41" t="n">
        <x:f>_xlfn.COVARIANCE.S('Common sample'!D6:D75,'Common sample'!S6:S75)</x:f>
        <x:v>0.0000042840261767935505</x:v>
      </x:c>
      <x:c r="T8" s="41" t="n">
        <x:f>_xlfn.COVARIANCE.S('Common sample'!D6:D75,'Common sample'!T6:T75)</x:f>
        <x:v>-0.00016146645785710968</x:v>
      </x:c>
      <x:c r="U8" s="41" t="n">
        <x:f>_xlfn.COVARIANCE.S('Common sample'!D6:D75,'Common sample'!U6:U75)</x:f>
        <x:v>-0.00041362434721384375</x:v>
      </x:c>
      <x:c r="V8" s="41" t="n">
        <x:f>_xlfn.COVARIANCE.S('Common sample'!D6:D75,'Common sample'!V6:V75)</x:f>
        <x:v>-0.000025320178071847566</x:v>
      </x:c>
      <x:c r="W8" s="41" t="n">
        <x:f>_xlfn.COVARIANCE.S('Common sample'!D6:D75,'Common sample'!W6:W75)</x:f>
        <x:v>-0.00010081643495498707</x:v>
      </x:c>
      <x:c r="X8" s="41" t="n">
        <x:f>_xlfn.COVARIANCE.S('Common sample'!D6:D75,'Common sample'!X6:X75)</x:f>
        <x:v>0.00033038811813135445</x:v>
      </x:c>
      <x:c r="Y8" s="41" t="n">
        <x:f>_xlfn.COVARIANCE.S('Common sample'!D6:D75,'Common sample'!Y6:Y75)</x:f>
        <x:v>-0.0003416479277649918</x:v>
      </x:c>
      <x:c r="Z8" s="41" t="n">
        <x:f>_xlfn.COVARIANCE.S('Common sample'!D6:D75,'Common sample'!Z6:Z75)</x:f>
        <x:v>0.0001669124456458093</x:v>
      </x:c>
      <x:c r="AA8" s="41" t="n">
        <x:f>_xlfn.COVARIANCE.S('Common sample'!D6:D75,'Common sample'!AA6:AA75)</x:f>
        <x:v>-0.00044732733929513124</x:v>
      </x:c>
      <x:c r="AB8" s="41" t="n">
        <x:f>_xlfn.COVARIANCE.S('Common sample'!D6:D75,'Common sample'!AB6:AB75)</x:f>
        <x:v>-0.0006954105653890081</x:v>
      </x:c>
      <x:c r="AC8" s="41" t="n">
        <x:f>_xlfn.COVARIANCE.S('Common sample'!D6:D75,'Common sample'!AC6:AC75)</x:f>
        <x:v>0.00032281970604474097</x:v>
      </x:c>
      <x:c r="AD8" s="41" t="n">
        <x:f>_xlfn.COVARIANCE.S('Common sample'!D6:D75,'Common sample'!AD6:AD75)</x:f>
        <x:v>0.0008167466831315344</x:v>
      </x:c>
      <x:c r="AE8" s="41" t="n">
        <x:f>_xlfn.COVARIANCE.S('Common sample'!D6:D75,'Common sample'!AE6:AE75)</x:f>
        <x:v>-0.00039919412464152883</x:v>
      </x:c>
      <x:c r="AF8" s="41" t="n">
        <x:f>_xlfn.COVARIANCE.S('Common sample'!D6:D75,'Common sample'!AF6:AF75)</x:f>
        <x:v>-0.000057562470340239516</x:v>
      </x:c>
      <x:c r="AG8" s="41" t="n">
        <x:f>_xlfn.COVARIANCE.S('Common sample'!D6:D75,'Common sample'!AG6:AG75)</x:f>
        <x:v>0.00008601763540523289</x:v>
      </x:c>
      <x:c r="AH8" s="41" t="n">
        <x:f>_xlfn.COVARIANCE.S('Common sample'!D6:D75,'Common sample'!AH6:AH75)</x:f>
        <x:v>0.001095242610498944</x:v>
      </x:c>
      <x:c r="AI8" s="41" t="n">
        <x:f>_xlfn.COVARIANCE.S('Common sample'!D6:D75,'Common sample'!AI6:AI75)</x:f>
        <x:v>0.0003212040184628508</x:v>
      </x:c>
      <x:c r="AJ8" s="41" t="n">
        <x:f>_xlfn.COVARIANCE.S('Common sample'!D6:D75,'Common sample'!AJ6:AJ75)</x:f>
        <x:v>0.0007103408763481613</x:v>
      </x:c>
      <x:c r="AK8" s="41" t="n">
        <x:f>_xlfn.COVARIANCE.S('Common sample'!D6:D75,'Common sample'!AK6:AK75)</x:f>
        <x:v>0.00042025086588145757</x:v>
      </x:c>
      <x:c r="AL8" s="41" t="n">
        <x:f>_xlfn.COVARIANCE.S('Common sample'!D6:D75,'Common sample'!AL6:AL75)</x:f>
        <x:v>-0.0002631947653625097</x:v>
      </x:c>
      <x:c r="AM8" s="41" t="n">
        <x:f>_xlfn.COVARIANCE.S('Common sample'!D6:D75,'Common sample'!AM6:AM75)</x:f>
        <x:v>0.00021539734403803183</x:v>
      </x:c>
      <x:c r="AN8" s="41" t="n">
        <x:f>_xlfn.COVARIANCE.S('Common sample'!D6:D75,'Common sample'!AN6:AN75)</x:f>
        <x:v>0.00031711715697816284</x:v>
      </x:c>
      <x:c r="AO8" s="41" t="n">
        <x:f>_xlfn.COVARIANCE.S('Common sample'!D6:D75,'Common sample'!AO6:AO75)</x:f>
        <x:v>0.0003560723639123001</x:v>
      </x:c>
      <x:c r="AP8" s="41" t="n">
        <x:f>_xlfn.COVARIANCE.S('Common sample'!D6:D75,'Common sample'!AP6:AP75)</x:f>
        <x:v>0.0003358688889009089</x:v>
      </x:c>
      <x:c r="AQ8" s="41" t="n">
        <x:f>_xlfn.COVARIANCE.S('Common sample'!D6:D75,'Common sample'!AQ6:AQ75)</x:f>
        <x:v>0.00039939815951578044</x:v>
      </x:c>
      <x:c r="AR8" s="41" t="n">
        <x:f>_xlfn.COVARIANCE.S('Common sample'!D6:D75,'Common sample'!AR6:AR75)</x:f>
        <x:v>0.0003602693814034721</x:v>
      </x:c>
    </x:row>
    <x:row r="9" ht="19" customHeight="1">
      <x:c r="A9" s="29" t="str">
        <x:v>ETR</x:v>
      </x:c>
      <x:c r="B9" s="41" t="n">
        <x:f>_xlfn.COVARIANCE.S('Common sample'!E6:E75,'Common sample'!B6:B75)</x:f>
        <x:v>-0.00045954075284853436</x:v>
      </x:c>
      <x:c r="C9" s="41" t="n">
        <x:f>_xlfn.COVARIANCE.S('Common sample'!E6:E75,'Common sample'!C6:C75)</x:f>
        <x:v>-0.0002798613679046016</x:v>
      </x:c>
      <x:c r="D9" s="41" t="n">
        <x:f>_xlfn.COVARIANCE.S('Common sample'!E6:E75,'Common sample'!D6:D75)</x:f>
        <x:v>0.000506085359141612</x:v>
      </x:c>
      <x:c r="E9" s="41" t="n">
        <x:f>_xlfn.COVARIANCE.S('Common sample'!E6:E75,'Common sample'!E6:E75)</x:f>
        <x:v>0.0011739711553831371</x:v>
      </x:c>
      <x:c r="F9" s="41" t="n">
        <x:f>_xlfn.COVARIANCE.S('Common sample'!E6:E75,'Common sample'!F6:F75)</x:f>
        <x:v>-0.00010533337890336717</x:v>
      </x:c>
      <x:c r="G9" s="41" t="n">
        <x:f>_xlfn.COVARIANCE.S('Common sample'!E6:E75,'Common sample'!G6:G75)</x:f>
        <x:v>-0.0005062664081902387</x:v>
      </x:c>
      <x:c r="H9" s="41" t="n">
        <x:f>_xlfn.COVARIANCE.S('Common sample'!E6:E75,'Common sample'!H6:H75)</x:f>
        <x:v>0.000041632076951486555</x:v>
      </x:c>
      <x:c r="I9" s="41" t="n">
        <x:f>_xlfn.COVARIANCE.S('Common sample'!E6:E75,'Common sample'!I6:I75)</x:f>
        <x:v>0.0006740349461916184</x:v>
      </x:c>
      <x:c r="J9" s="41" t="n">
        <x:f>_xlfn.COVARIANCE.S('Common sample'!E6:E75,'Common sample'!J6:J75)</x:f>
        <x:v>0.000971865656256436</x:v>
      </x:c>
      <x:c r="K9" s="41" t="n">
        <x:f>_xlfn.COVARIANCE.S('Common sample'!E6:E75,'Common sample'!K6:K75)</x:f>
        <x:v>-0.00008762982557659722</x:v>
      </x:c>
      <x:c r="L9" s="41" t="n">
        <x:f>_xlfn.COVARIANCE.S('Common sample'!E6:E75,'Common sample'!L6:L75)</x:f>
        <x:v>-0.00003562730638727703</x:v>
      </x:c>
      <x:c r="M9" s="41" t="n">
        <x:f>_xlfn.COVARIANCE.S('Common sample'!E6:E75,'Common sample'!M6:M75)</x:f>
        <x:v>0.00012074580500932118</x:v>
      </x:c>
      <x:c r="N9" s="41" t="n">
        <x:f>_xlfn.COVARIANCE.S('Common sample'!E6:E75,'Common sample'!N6:N75)</x:f>
        <x:v>0.0002235793895263421</x:v>
      </x:c>
      <x:c r="O9" s="41" t="n">
        <x:f>_xlfn.COVARIANCE.S('Common sample'!E6:E75,'Common sample'!O6:O75)</x:f>
        <x:v>0.0014362847821203194</x:v>
      </x:c>
      <x:c r="P9" s="41" t="n">
        <x:f>_xlfn.COVARIANCE.S('Common sample'!E6:E75,'Common sample'!P6:P75)</x:f>
        <x:v>0.0001405390845095729</x:v>
      </x:c>
      <x:c r="Q9" s="41" t="n">
        <x:f>_xlfn.COVARIANCE.S('Common sample'!E6:E75,'Common sample'!Q6:Q75)</x:f>
        <x:v>0.001409315106426363</x:v>
      </x:c>
      <x:c r="R9" s="41" t="n">
        <x:f>_xlfn.COVARIANCE.S('Common sample'!E6:E75,'Common sample'!R6:R75)</x:f>
        <x:v>0.0000727341283089049</x:v>
      </x:c>
      <x:c r="S9" s="41" t="n">
        <x:f>_xlfn.COVARIANCE.S('Common sample'!E6:E75,'Common sample'!S6:S75)</x:f>
        <x:v>0.00026407168259533074</x:v>
      </x:c>
      <x:c r="T9" s="41" t="n">
        <x:f>_xlfn.COVARIANCE.S('Common sample'!E6:E75,'Common sample'!T6:T75)</x:f>
        <x:v>-0.0005087455908037282</x:v>
      </x:c>
      <x:c r="U9" s="41" t="n">
        <x:f>_xlfn.COVARIANCE.S('Common sample'!E6:E75,'Common sample'!U6:U75)</x:f>
        <x:v>-0.00016344955515950487</x:v>
      </x:c>
      <x:c r="V9" s="41" t="n">
        <x:f>_xlfn.COVARIANCE.S('Common sample'!E6:E75,'Common sample'!V6:V75)</x:f>
        <x:v>0.000004762432322985278</x:v>
      </x:c>
      <x:c r="W9" s="41" t="n">
        <x:f>_xlfn.COVARIANCE.S('Common sample'!E6:E75,'Common sample'!W6:W75)</x:f>
        <x:v>-0.00008234061395106201</x:v>
      </x:c>
      <x:c r="X9" s="41" t="n">
        <x:f>_xlfn.COVARIANCE.S('Common sample'!E6:E75,'Common sample'!X6:X75)</x:f>
        <x:v>0.0004713600318850095</x:v>
      </x:c>
      <x:c r="Y9" s="41" t="n">
        <x:f>_xlfn.COVARIANCE.S('Common sample'!E6:E75,'Common sample'!Y6:Y75)</x:f>
        <x:v>-0.0006334015296254414</x:v>
      </x:c>
      <x:c r="Z9" s="41" t="n">
        <x:f>_xlfn.COVARIANCE.S('Common sample'!E6:E75,'Common sample'!Z6:Z75)</x:f>
        <x:v>0.00015238126515902447</x:v>
      </x:c>
      <x:c r="AA9" s="41" t="n">
        <x:f>_xlfn.COVARIANCE.S('Common sample'!E6:E75,'Common sample'!AA6:AA75)</x:f>
        <x:v>-0.0002891623882869831</x:v>
      </x:c>
      <x:c r="AB9" s="41" t="n">
        <x:f>_xlfn.COVARIANCE.S('Common sample'!E6:E75,'Common sample'!AB6:AB75)</x:f>
        <x:v>0.0021284281754174552</x:v>
      </x:c>
      <x:c r="AC9" s="41" t="n">
        <x:f>_xlfn.COVARIANCE.S('Common sample'!E6:E75,'Common sample'!AC6:AC75)</x:f>
        <x:v>0.00005887888460124938</x:v>
      </x:c>
      <x:c r="AD9" s="41" t="n">
        <x:f>_xlfn.COVARIANCE.S('Common sample'!E6:E75,'Common sample'!AD6:AD75)</x:f>
        <x:v>0.0001494696514883863</x:v>
      </x:c>
      <x:c r="AE9" s="41" t="n">
        <x:f>_xlfn.COVARIANCE.S('Common sample'!E6:E75,'Common sample'!AE6:AE75)</x:f>
        <x:v>0.00005905151333292333</x:v>
      </x:c>
      <x:c r="AF9" s="41" t="n">
        <x:f>_xlfn.COVARIANCE.S('Common sample'!E6:E75,'Common sample'!AF6:AF75)</x:f>
        <x:v>-0.000003746502111718898</x:v>
      </x:c>
      <x:c r="AG9" s="41" t="n">
        <x:f>_xlfn.COVARIANCE.S('Common sample'!E6:E75,'Common sample'!AG6:AG75)</x:f>
        <x:v>-0.0007180664834278546</x:v>
      </x:c>
      <x:c r="AH9" s="41" t="n">
        <x:f>_xlfn.COVARIANCE.S('Common sample'!E6:E75,'Common sample'!AH6:AH75)</x:f>
        <x:v>-0.00013615874410973102</x:v>
      </x:c>
      <x:c r="AI9" s="41" t="n">
        <x:f>_xlfn.COVARIANCE.S('Common sample'!E6:E75,'Common sample'!AI6:AI75)</x:f>
        <x:v>-0.00020853237161960674</x:v>
      </x:c>
      <x:c r="AJ9" s="41" t="n">
        <x:f>_xlfn.COVARIANCE.S('Common sample'!E6:E75,'Common sample'!AJ6:AJ75)</x:f>
        <x:v>0.0006230592140647995</x:v>
      </x:c>
      <x:c r="AK9" s="41" t="n">
        <x:f>_xlfn.COVARIANCE.S('Common sample'!E6:E75,'Common sample'!AK6:AK75)</x:f>
        <x:v>0.0006351128269301565</x:v>
      </x:c>
      <x:c r="AL9" s="41" t="n">
        <x:f>_xlfn.COVARIANCE.S('Common sample'!E6:E75,'Common sample'!AL6:AL75)</x:f>
        <x:v>-0.00045918724114183735</x:v>
      </x:c>
      <x:c r="AM9" s="41" t="n">
        <x:f>_xlfn.COVARIANCE.S('Common sample'!E6:E75,'Common sample'!AM6:AM75)</x:f>
        <x:v>0.0003184160351107606</x:v>
      </x:c>
      <x:c r="AN9" s="41" t="n">
        <x:f>_xlfn.COVARIANCE.S('Common sample'!E6:E75,'Common sample'!AN6:AN75)</x:f>
        <x:v>0.00042368650776378365</x:v>
      </x:c>
      <x:c r="AO9" s="41" t="n">
        <x:f>_xlfn.COVARIANCE.S('Common sample'!E6:E75,'Common sample'!AO6:AO75)</x:f>
        <x:v>0.00011978968074267072</x:v>
      </x:c>
      <x:c r="AP9" s="41" t="n">
        <x:f>_xlfn.COVARIANCE.S('Common sample'!E6:E75,'Common sample'!AP6:AP75)</x:f>
        <x:v>0.00013231028710120683</x:v>
      </x:c>
      <x:c r="AQ9" s="41" t="n">
        <x:f>_xlfn.COVARIANCE.S('Common sample'!E6:E75,'Common sample'!AQ6:AQ75)</x:f>
        <x:v>0.0002975079418799376</x:v>
      </x:c>
      <x:c r="AR9" s="41" t="n">
        <x:f>_xlfn.COVARIANCE.S('Common sample'!E6:E75,'Common sample'!AR6:AR75)</x:f>
        <x:v>0.00012256062865001802</x:v>
      </x:c>
    </x:row>
    <x:row r="10" ht="19" customHeight="1">
      <x:c r="A10" s="29" t="str">
        <x:v>DIS</x:v>
      </x:c>
      <x:c r="B10" s="41" t="n">
        <x:f>_xlfn.COVARIANCE.S('Common sample'!F6:F75,'Common sample'!B6:B75)</x:f>
        <x:v>0.0008186747002920835</x:v>
      </x:c>
      <x:c r="C10" s="41" t="n">
        <x:f>_xlfn.COVARIANCE.S('Common sample'!F6:F75,'Common sample'!C6:C75)</x:f>
        <x:v>0.00013838496881289451</x:v>
      </x:c>
      <x:c r="D10" s="41" t="n">
        <x:f>_xlfn.COVARIANCE.S('Common sample'!F6:F75,'Common sample'!D6:D75)</x:f>
        <x:v>0.00041264565646944137</x:v>
      </x:c>
      <x:c r="E10" s="41" t="n">
        <x:f>_xlfn.COVARIANCE.S('Common sample'!F6:F75,'Common sample'!E6:E75)</x:f>
        <x:v>-0.00010533337890336717</x:v>
      </x:c>
      <x:c r="F10" s="41" t="n">
        <x:f>_xlfn.COVARIANCE.S('Common sample'!F6:F75,'Common sample'!F6:F75)</x:f>
        <x:v>0.003911981198657539</x:v>
      </x:c>
      <x:c r="G10" s="41" t="n">
        <x:f>_xlfn.COVARIANCE.S('Common sample'!F6:F75,'Common sample'!G6:G75)</x:f>
        <x:v>0.001787156694761077</x:v>
      </x:c>
      <x:c r="H10" s="41" t="n">
        <x:f>_xlfn.COVARIANCE.S('Common sample'!F6:F75,'Common sample'!H6:H75)</x:f>
        <x:v>0.0009332431289035047</x:v>
      </x:c>
      <x:c r="I10" s="41" t="n">
        <x:f>_xlfn.COVARIANCE.S('Common sample'!F6:F75,'Common sample'!I6:I75)</x:f>
        <x:v>-0.00009356031738655965</x:v>
      </x:c>
      <x:c r="J10" s="41" t="n">
        <x:f>_xlfn.COVARIANCE.S('Common sample'!F6:F75,'Common sample'!J6:J75)</x:f>
        <x:v>0.001477729853660205</x:v>
      </x:c>
      <x:c r="K10" s="41" t="n">
        <x:f>_xlfn.COVARIANCE.S('Common sample'!F6:F75,'Common sample'!K6:K75)</x:f>
        <x:v>-0.0003161342465266033</x:v>
      </x:c>
      <x:c r="L10" s="41" t="n">
        <x:f>_xlfn.COVARIANCE.S('Common sample'!F6:F75,'Common sample'!L6:L75)</x:f>
        <x:v>0.00031155312602238367</x:v>
      </x:c>
      <x:c r="M10" s="41" t="n">
        <x:f>_xlfn.COVARIANCE.S('Common sample'!F6:F75,'Common sample'!M6:M75)</x:f>
        <x:v>0.0006298274879578125</x:v>
      </x:c>
      <x:c r="N10" s="41" t="n">
        <x:f>_xlfn.COVARIANCE.S('Common sample'!F6:F75,'Common sample'!N6:N75)</x:f>
        <x:v>-0.00005760892842471781</x:v>
      </x:c>
      <x:c r="O10" s="41" t="n">
        <x:f>_xlfn.COVARIANCE.S('Common sample'!F6:F75,'Common sample'!O6:O75)</x:f>
        <x:v>0.0011075778090306287</x:v>
      </x:c>
      <x:c r="P10" s="41" t="n">
        <x:f>_xlfn.COVARIANCE.S('Common sample'!F6:F75,'Common sample'!P6:P75)</x:f>
        <x:v>-0.0009578446843767754</x:v>
      </x:c>
      <x:c r="Q10" s="41" t="n">
        <x:f>_xlfn.COVARIANCE.S('Common sample'!F6:F75,'Common sample'!Q6:Q75)</x:f>
        <x:v>-0.0015948050540717787</x:v>
      </x:c>
      <x:c r="R10" s="41" t="n">
        <x:f>_xlfn.COVARIANCE.S('Common sample'!F6:F75,'Common sample'!R6:R75)</x:f>
        <x:v>0.000618568775770908</x:v>
      </x:c>
      <x:c r="S10" s="41" t="n">
        <x:f>_xlfn.COVARIANCE.S('Common sample'!F6:F75,'Common sample'!S6:S75)</x:f>
        <x:v>0.0008062313530811723</x:v>
      </x:c>
      <x:c r="T10" s="41" t="n">
        <x:f>_xlfn.COVARIANCE.S('Common sample'!F6:F75,'Common sample'!T6:T75)</x:f>
        <x:v>0.000046883377098908826</x:v>
      </x:c>
      <x:c r="U10" s="41" t="n">
        <x:f>_xlfn.COVARIANCE.S('Common sample'!F6:F75,'Common sample'!U6:U75)</x:f>
        <x:v>0.0009579422821975134</x:v>
      </x:c>
      <x:c r="V10" s="41" t="n">
        <x:f>_xlfn.COVARIANCE.S('Common sample'!F6:F75,'Common sample'!V6:V75)</x:f>
        <x:v>0.0007266052252901798</x:v>
      </x:c>
      <x:c r="W10" s="41" t="n">
        <x:f>_xlfn.COVARIANCE.S('Common sample'!F6:F75,'Common sample'!W6:W75)</x:f>
        <x:v>0.0005852570574937503</x:v>
      </x:c>
      <x:c r="X10" s="41" t="n">
        <x:f>_xlfn.COVARIANCE.S('Common sample'!F6:F75,'Common sample'!X6:X75)</x:f>
        <x:v>0.0020005204274103072</x:v>
      </x:c>
      <x:c r="Y10" s="41" t="n">
        <x:f>_xlfn.COVARIANCE.S('Common sample'!F6:F75,'Common sample'!Y6:Y75)</x:f>
        <x:v>0.0006287360623064812</x:v>
      </x:c>
      <x:c r="Z10" s="41" t="n">
        <x:f>_xlfn.COVARIANCE.S('Common sample'!F6:F75,'Common sample'!Z6:Z75)</x:f>
        <x:v>0.0008002118851607915</x:v>
      </x:c>
      <x:c r="AA10" s="41" t="n">
        <x:f>_xlfn.COVARIANCE.S('Common sample'!F6:F75,'Common sample'!AA6:AA75)</x:f>
        <x:v>-0.0003947835735293361</x:v>
      </x:c>
      <x:c r="AB10" s="41" t="n">
        <x:f>_xlfn.COVARIANCE.S('Common sample'!F6:F75,'Common sample'!AB6:AB75)</x:f>
        <x:v>-0.0015398470134061722</x:v>
      </x:c>
      <x:c r="AC10" s="41" t="n">
        <x:f>_xlfn.COVARIANCE.S('Common sample'!F6:F75,'Common sample'!AC6:AC75)</x:f>
        <x:v>0.0007663863256122156</x:v>
      </x:c>
      <x:c r="AD10" s="41" t="n">
        <x:f>_xlfn.COVARIANCE.S('Common sample'!F6:F75,'Common sample'!AD6:AD75)</x:f>
        <x:v>0.0003193957232164292</x:v>
      </x:c>
      <x:c r="AE10" s="41" t="n">
        <x:f>_xlfn.COVARIANCE.S('Common sample'!F6:F75,'Common sample'!AE6:AE75)</x:f>
        <x:v>0.00029714907574516814</x:v>
      </x:c>
      <x:c r="AF10" s="41" t="n">
        <x:f>_xlfn.COVARIANCE.S('Common sample'!F6:F75,'Common sample'!AF6:AF75)</x:f>
        <x:v>0.0006934549641455735</x:v>
      </x:c>
      <x:c r="AG10" s="41" t="n">
        <x:f>_xlfn.COVARIANCE.S('Common sample'!F6:F75,'Common sample'!AG6:AG75)</x:f>
        <x:v>0.0007261303705602293</x:v>
      </x:c>
      <x:c r="AH10" s="41" t="n">
        <x:f>_xlfn.COVARIANCE.S('Common sample'!F6:F75,'Common sample'!AH6:AH75)</x:f>
        <x:v>0.00012100665919500044</x:v>
      </x:c>
      <x:c r="AI10" s="41" t="n">
        <x:f>_xlfn.COVARIANCE.S('Common sample'!F6:F75,'Common sample'!AI6:AI75)</x:f>
        <x:v>0.00036551478409800224</x:v>
      </x:c>
      <x:c r="AJ10" s="41" t="n">
        <x:f>_xlfn.COVARIANCE.S('Common sample'!F6:F75,'Common sample'!AJ6:AJ75)</x:f>
        <x:v>-0.00021683461722351118</x:v>
      </x:c>
      <x:c r="AK10" s="41" t="n">
        <x:f>_xlfn.COVARIANCE.S('Common sample'!F6:F75,'Common sample'!AK6:AK75)</x:f>
        <x:v>-0.000017968634034035958</x:v>
      </x:c>
      <x:c r="AL10" s="41" t="n">
        <x:f>_xlfn.COVARIANCE.S('Common sample'!F6:F75,'Common sample'!AL6:AL75)</x:f>
        <x:v>0.0012761361422425669</x:v>
      </x:c>
      <x:c r="AM10" s="41" t="n">
        <x:f>_xlfn.COVARIANCE.S('Common sample'!F6:F75,'Common sample'!AM6:AM75)</x:f>
        <x:v>0.0000013138284232165492</x:v>
      </x:c>
      <x:c r="AN10" s="41" t="n">
        <x:f>_xlfn.COVARIANCE.S('Common sample'!F6:F75,'Common sample'!AN6:AN75)</x:f>
        <x:v>-0.00008356577509505122</x:v>
      </x:c>
      <x:c r="AO10" s="41" t="n">
        <x:f>_xlfn.COVARIANCE.S('Common sample'!F6:F75,'Common sample'!AO6:AO75)</x:f>
        <x:v>0.0005362976585261293</x:v>
      </x:c>
      <x:c r="AP10" s="41" t="n">
        <x:f>_xlfn.COVARIANCE.S('Common sample'!F6:F75,'Common sample'!AP6:AP75)</x:f>
        <x:v>0.00029767575685810496</x:v>
      </x:c>
      <x:c r="AQ10" s="41" t="n">
        <x:f>_xlfn.COVARIANCE.S('Common sample'!F6:F75,'Common sample'!AQ6:AQ75)</x:f>
        <x:v>0.0001226911420548997</x:v>
      </x:c>
      <x:c r="AR10" s="41" t="n">
        <x:f>_xlfn.COVARIANCE.S('Common sample'!F6:F75,'Common sample'!AR6:AR75)</x:f>
        <x:v>0.00002854446794175151</x:v>
      </x:c>
    </x:row>
    <x:row r="11" ht="19" customHeight="1">
      <x:c r="A11" s="29" t="str">
        <x:v>CMG</x:v>
      </x:c>
      <x:c r="B11" s="41" t="n">
        <x:f>_xlfn.COVARIANCE.S('Common sample'!G6:G75,'Common sample'!B6:B75)</x:f>
        <x:v>0.0019167393610459655</x:v>
      </x:c>
      <x:c r="C11" s="41" t="n">
        <x:f>_xlfn.COVARIANCE.S('Common sample'!G6:G75,'Common sample'!C6:C75)</x:f>
        <x:v>0.00003291689648099036</x:v>
      </x:c>
      <x:c r="D11" s="41" t="n">
        <x:f>_xlfn.COVARIANCE.S('Common sample'!G6:G75,'Common sample'!D6:D75)</x:f>
        <x:v>-0.000426203475276659</x:v>
      </x:c>
      <x:c r="E11" s="41" t="n">
        <x:f>_xlfn.COVARIANCE.S('Common sample'!G6:G75,'Common sample'!E6:E75)</x:f>
        <x:v>-0.0005062664081902387</x:v>
      </x:c>
      <x:c r="F11" s="41" t="n">
        <x:f>_xlfn.COVARIANCE.S('Common sample'!G6:G75,'Common sample'!F6:F75)</x:f>
        <x:v>0.001787156694761077</x:v>
      </x:c>
      <x:c r="G11" s="41" t="n">
        <x:f>_xlfn.COVARIANCE.S('Common sample'!G6:G75,'Common sample'!G6:G75)</x:f>
        <x:v>0.009546390931252226</x:v>
      </x:c>
      <x:c r="H11" s="41" t="n">
        <x:f>_xlfn.COVARIANCE.S('Common sample'!G6:G75,'Common sample'!H6:H75)</x:f>
        <x:v>0.0009374849900027413</x:v>
      </x:c>
      <x:c r="I11" s="41" t="n">
        <x:f>_xlfn.COVARIANCE.S('Common sample'!G6:G75,'Common sample'!I6:I75)</x:f>
        <x:v>-0.001527836542514517</x:v>
      </x:c>
      <x:c r="J11" s="41" t="n">
        <x:f>_xlfn.COVARIANCE.S('Common sample'!G6:G75,'Common sample'!J6:J75)</x:f>
        <x:v>-0.00416645404658872</x:v>
      </x:c>
      <x:c r="K11" s="41" t="n">
        <x:f>_xlfn.COVARIANCE.S('Common sample'!G6:G75,'Common sample'!K6:K75)</x:f>
        <x:v>-0.0007673055659491215</x:v>
      </x:c>
      <x:c r="L11" s="41" t="n">
        <x:f>_xlfn.COVARIANCE.S('Common sample'!G6:G75,'Common sample'!L6:L75)</x:f>
        <x:v>0.001140471708722715</x:v>
      </x:c>
      <x:c r="M11" s="41" t="n">
        <x:f>_xlfn.COVARIANCE.S('Common sample'!G6:G75,'Common sample'!M6:M75)</x:f>
        <x:v>0.0008643570878100797</x:v>
      </x:c>
      <x:c r="N11" s="41" t="n">
        <x:f>_xlfn.COVARIANCE.S('Common sample'!G6:G75,'Common sample'!N6:N75)</x:f>
        <x:v>0.00027495502512372337</x:v>
      </x:c>
      <x:c r="O11" s="41" t="n">
        <x:f>_xlfn.COVARIANCE.S('Common sample'!G6:G75,'Common sample'!O6:O75)</x:f>
        <x:v>-0.0044315397585632296</x:v>
      </x:c>
      <x:c r="P11" s="41" t="n">
        <x:f>_xlfn.COVARIANCE.S('Common sample'!G6:G75,'Common sample'!P6:P75)</x:f>
        <x:v>-0.0008332091071071364</x:v>
      </x:c>
      <x:c r="Q11" s="41" t="n">
        <x:f>_xlfn.COVARIANCE.S('Common sample'!G6:G75,'Common sample'!Q6:Q75)</x:f>
        <x:v>-0.004345757874861598</x:v>
      </x:c>
      <x:c r="R11" s="41" t="n">
        <x:f>_xlfn.COVARIANCE.S('Common sample'!G6:G75,'Common sample'!R6:R75)</x:f>
        <x:v>-0.00025413225861915697</x:v>
      </x:c>
      <x:c r="S11" s="41" t="n">
        <x:f>_xlfn.COVARIANCE.S('Common sample'!G6:G75,'Common sample'!S6:S75)</x:f>
        <x:v>0.0009042010928717587</x:v>
      </x:c>
      <x:c r="T11" s="41" t="n">
        <x:f>_xlfn.COVARIANCE.S('Common sample'!G6:G75,'Common sample'!T6:T75)</x:f>
        <x:v>0.002613236335416836</x:v>
      </x:c>
      <x:c r="U11" s="41" t="n">
        <x:f>_xlfn.COVARIANCE.S('Common sample'!G6:G75,'Common sample'!U6:U75)</x:f>
        <x:v>0.0028771201620467132</x:v>
      </x:c>
      <x:c r="V11" s="41" t="n">
        <x:f>_xlfn.COVARIANCE.S('Common sample'!G6:G75,'Common sample'!V6:V75)</x:f>
        <x:v>0.0006801150279534966</x:v>
      </x:c>
      <x:c r="W11" s="41" t="n">
        <x:f>_xlfn.COVARIANCE.S('Common sample'!G6:G75,'Common sample'!W6:W75)</x:f>
        <x:v>0.001004555538347829</x:v>
      </x:c>
      <x:c r="X11" s="41" t="n">
        <x:f>_xlfn.COVARIANCE.S('Common sample'!G6:G75,'Common sample'!X6:X75)</x:f>
        <x:v>-0.0015483426832071522</x:v>
      </x:c>
      <x:c r="Y11" s="41" t="n">
        <x:f>_xlfn.COVARIANCE.S('Common sample'!G6:G75,'Common sample'!Y6:Y75)</x:f>
        <x:v>-0.0017490281816838215</x:v>
      </x:c>
      <x:c r="Z11" s="41" t="n">
        <x:f>_xlfn.COVARIANCE.S('Common sample'!G6:G75,'Common sample'!Z6:Z75)</x:f>
        <x:v>0.0006964939597681272</x:v>
      </x:c>
      <x:c r="AA11" s="41" t="n">
        <x:f>_xlfn.COVARIANCE.S('Common sample'!G6:G75,'Common sample'!AA6:AA75)</x:f>
        <x:v>0.0028929224102223618</x:v>
      </x:c>
      <x:c r="AB11" s="41" t="n">
        <x:f>_xlfn.COVARIANCE.S('Common sample'!G6:G75,'Common sample'!AB6:AB75)</x:f>
        <x:v>0.004230374189765299</x:v>
      </x:c>
      <x:c r="AC11" s="41" t="n">
        <x:f>_xlfn.COVARIANCE.S('Common sample'!G6:G75,'Common sample'!AC6:AC75)</x:f>
        <x:v>0.000190299942901176</x:v>
      </x:c>
      <x:c r="AD11" s="41" t="n">
        <x:f>_xlfn.COVARIANCE.S('Common sample'!G6:G75,'Common sample'!AD6:AD75)</x:f>
        <x:v>-0.001820519084156845</x:v>
      </x:c>
      <x:c r="AE11" s="41" t="n">
        <x:f>_xlfn.COVARIANCE.S('Common sample'!G6:G75,'Common sample'!AE6:AE75)</x:f>
        <x:v>-0.0010877779480407167</x:v>
      </x:c>
      <x:c r="AF11" s="41" t="n">
        <x:f>_xlfn.COVARIANCE.S('Common sample'!G6:G75,'Common sample'!AF6:AF75)</x:f>
        <x:v>-0.0003857619029870615</x:v>
      </x:c>
      <x:c r="AG11" s="41" t="n">
        <x:f>_xlfn.COVARIANCE.S('Common sample'!G6:G75,'Common sample'!AG6:AG75)</x:f>
        <x:v>-0.0005074859280218305</x:v>
      </x:c>
      <x:c r="AH11" s="41" t="n">
        <x:f>_xlfn.COVARIANCE.S('Common sample'!G6:G75,'Common sample'!AH6:AH75)</x:f>
        <x:v>0.0008800641526556437</x:v>
      </x:c>
      <x:c r="AI11" s="41" t="n">
        <x:f>_xlfn.COVARIANCE.S('Common sample'!G6:G75,'Common sample'!AI6:AI75)</x:f>
        <x:v>0.0012975979402894686</x:v>
      </x:c>
      <x:c r="AJ11" s="41" t="n">
        <x:f>_xlfn.COVARIANCE.S('Common sample'!G6:G75,'Common sample'!AJ6:AJ75)</x:f>
        <x:v>-0.0008239049971054838</x:v>
      </x:c>
      <x:c r="AK11" s="41" t="n">
        <x:f>_xlfn.COVARIANCE.S('Common sample'!G6:G75,'Common sample'!AK6:AK75)</x:f>
        <x:v>-0.0035336959120227554</x:v>
      </x:c>
      <x:c r="AL11" s="41" t="n">
        <x:f>_xlfn.COVARIANCE.S('Common sample'!G6:G75,'Common sample'!AL6:AL75)</x:f>
        <x:v>0.0017572423936571399</x:v>
      </x:c>
      <x:c r="AM11" s="41" t="n">
        <x:f>_xlfn.COVARIANCE.S('Common sample'!G6:G75,'Common sample'!AM6:AM75)</x:f>
        <x:v>-0.0007074209716232452</x:v>
      </x:c>
      <x:c r="AN11" s="41" t="n">
        <x:f>_xlfn.COVARIANCE.S('Common sample'!G6:G75,'Common sample'!AN6:AN75)</x:f>
        <x:v>-0.000015036136507544744</x:v>
      </x:c>
      <x:c r="AO11" s="41" t="n">
        <x:f>_xlfn.COVARIANCE.S('Common sample'!G6:G75,'Common sample'!AO6:AO75)</x:f>
        <x:v>-0.00011296634410403544</x:v>
      </x:c>
      <x:c r="AP11" s="41" t="n">
        <x:f>_xlfn.COVARIANCE.S('Common sample'!G6:G75,'Common sample'!AP6:AP75)</x:f>
        <x:v>-0.00023188087188097343</x:v>
      </x:c>
      <x:c r="AQ11" s="41" t="n">
        <x:f>_xlfn.COVARIANCE.S('Common sample'!G6:G75,'Common sample'!AQ6:AQ75)</x:f>
        <x:v>-0.0005468513823394423</x:v>
      </x:c>
      <x:c r="AR11" s="41" t="n">
        <x:f>_xlfn.COVARIANCE.S('Common sample'!G6:G75,'Common sample'!AR6:AR75)</x:f>
        <x:v>-0.0006009816169666428</x:v>
      </x:c>
    </x:row>
    <x:row r="12" ht="19" customHeight="1">
      <x:c r="A12" s="29" t="str">
        <x:v>AMZN</x:v>
      </x:c>
      <x:c r="B12" s="41" t="n">
        <x:f>_xlfn.COVARIANCE.S('Common sample'!H6:H75,'Common sample'!B6:B75)</x:f>
        <x:v>0.00005300075656901709</x:v>
      </x:c>
      <x:c r="C12" s="41" t="n">
        <x:f>_xlfn.COVARIANCE.S('Common sample'!H6:H75,'Common sample'!C6:C75)</x:f>
        <x:v>0.0004534599409730105</x:v>
      </x:c>
      <x:c r="D12" s="41" t="n">
        <x:f>_xlfn.COVARIANCE.S('Common sample'!H6:H75,'Common sample'!D6:D75)</x:f>
        <x:v>0.0004263279422474357</x:v>
      </x:c>
      <x:c r="E12" s="41" t="n">
        <x:f>_xlfn.COVARIANCE.S('Common sample'!H6:H75,'Common sample'!E6:E75)</x:f>
        <x:v>0.000041632076951486555</x:v>
      </x:c>
      <x:c r="F12" s="41" t="n">
        <x:f>_xlfn.COVARIANCE.S('Common sample'!H6:H75,'Common sample'!F6:F75)</x:f>
        <x:v>0.0009332431289035047</x:v>
      </x:c>
      <x:c r="G12" s="41" t="n">
        <x:f>_xlfn.COVARIANCE.S('Common sample'!H6:H75,'Common sample'!G6:G75)</x:f>
        <x:v>0.0009374849900027413</x:v>
      </x:c>
      <x:c r="H12" s="41" t="n">
        <x:f>_xlfn.COVARIANCE.S('Common sample'!H6:H75,'Common sample'!H6:H75)</x:f>
        <x:v>0.003364246199994075</x:v>
      </x:c>
      <x:c r="I12" s="41" t="n">
        <x:f>_xlfn.COVARIANCE.S('Common sample'!H6:H75,'Common sample'!I6:I75)</x:f>
        <x:v>-0.00016091661075967926</x:v>
      </x:c>
      <x:c r="J12" s="41" t="n">
        <x:f>_xlfn.COVARIANCE.S('Common sample'!H6:H75,'Common sample'!J6:J75)</x:f>
        <x:v>0.0013166660265532563</x:v>
      </x:c>
      <x:c r="K12" s="41" t="n">
        <x:f>_xlfn.COVARIANCE.S('Common sample'!H6:H75,'Common sample'!K6:K75)</x:f>
        <x:v>0.00027899498622764433</x:v>
      </x:c>
      <x:c r="L12" s="41" t="n">
        <x:f>_xlfn.COVARIANCE.S('Common sample'!H6:H75,'Common sample'!L6:L75)</x:f>
        <x:v>0.0005574703014206647</x:v>
      </x:c>
      <x:c r="M12" s="41" t="n">
        <x:f>_xlfn.COVARIANCE.S('Common sample'!H6:H75,'Common sample'!M6:M75)</x:f>
        <x:v>-0.0000920027131568215</x:v>
      </x:c>
      <x:c r="N12" s="41" t="n">
        <x:f>_xlfn.COVARIANCE.S('Common sample'!H6:H75,'Common sample'!N6:N75)</x:f>
        <x:v>-0.0006641768159477531</x:v>
      </x:c>
      <x:c r="O12" s="41" t="n">
        <x:f>_xlfn.COVARIANCE.S('Common sample'!H6:H75,'Common sample'!O6:O75)</x:f>
        <x:v>0.000982738505608595</x:v>
      </x:c>
      <x:c r="P12" s="41" t="n">
        <x:f>_xlfn.COVARIANCE.S('Common sample'!H6:H75,'Common sample'!P6:P75)</x:f>
        <x:v>-0.0017628494693208193</x:v>
      </x:c>
      <x:c r="Q12" s="41" t="n">
        <x:f>_xlfn.COVARIANCE.S('Common sample'!H6:H75,'Common sample'!Q6:Q75)</x:f>
        <x:v>0.0004556587372488653</x:v>
      </x:c>
      <x:c r="R12" s="41" t="n">
        <x:f>_xlfn.COVARIANCE.S('Common sample'!H6:H75,'Common sample'!R6:R75)</x:f>
        <x:v>0.000035448677843983475</x:v>
      </x:c>
      <x:c r="S12" s="41" t="n">
        <x:f>_xlfn.COVARIANCE.S('Common sample'!H6:H75,'Common sample'!S6:S75)</x:f>
        <x:v>0.0006170026382898268</x:v>
      </x:c>
      <x:c r="T12" s="41" t="n">
        <x:f>_xlfn.COVARIANCE.S('Common sample'!H6:H75,'Common sample'!T6:T75)</x:f>
        <x:v>0.00046102544883857254</x:v>
      </x:c>
      <x:c r="U12" s="41" t="n">
        <x:f>_xlfn.COVARIANCE.S('Common sample'!H6:H75,'Common sample'!U6:U75)</x:f>
        <x:v>-0.0009096321275907357</x:v>
      </x:c>
      <x:c r="V12" s="41" t="n">
        <x:f>_xlfn.COVARIANCE.S('Common sample'!H6:H75,'Common sample'!V6:V75)</x:f>
        <x:v>0.00026560729354102233</x:v>
      </x:c>
      <x:c r="W12" s="41" t="n">
        <x:f>_xlfn.COVARIANCE.S('Common sample'!H6:H75,'Common sample'!W6:W75)</x:f>
        <x:v>0.00026878077996707637</x:v>
      </x:c>
      <x:c r="X12" s="41" t="n">
        <x:f>_xlfn.COVARIANCE.S('Common sample'!H6:H75,'Common sample'!X6:X75)</x:f>
        <x:v>0.001060848226253272</x:v>
      </x:c>
      <x:c r="Y12" s="41" t="n">
        <x:f>_xlfn.COVARIANCE.S('Common sample'!H6:H75,'Common sample'!Y6:Y75)</x:f>
        <x:v>-0.0003520301824746776</x:v>
      </x:c>
      <x:c r="Z12" s="41" t="n">
        <x:f>_xlfn.COVARIANCE.S('Common sample'!H6:H75,'Common sample'!Z6:Z75)</x:f>
        <x:v>-0.000044263564633461046</x:v>
      </x:c>
      <x:c r="AA12" s="41" t="n">
        <x:f>_xlfn.COVARIANCE.S('Common sample'!H6:H75,'Common sample'!AA6:AA75)</x:f>
        <x:v>0.001307033787756971</x:v>
      </x:c>
      <x:c r="AB12" s="41" t="n">
        <x:f>_xlfn.COVARIANCE.S('Common sample'!H6:H75,'Common sample'!AB6:AB75)</x:f>
        <x:v>-0.00011542212023849416</x:v>
      </x:c>
      <x:c r="AC12" s="41" t="n">
        <x:f>_xlfn.COVARIANCE.S('Common sample'!H6:H75,'Common sample'!AC6:AC75)</x:f>
        <x:v>0.00022726663768714007</x:v>
      </x:c>
      <x:c r="AD12" s="41" t="n">
        <x:f>_xlfn.COVARIANCE.S('Common sample'!H6:H75,'Common sample'!AD6:AD75)</x:f>
        <x:v>-0.0006575198538596843</x:v>
      </x:c>
      <x:c r="AE12" s="41" t="n">
        <x:f>_xlfn.COVARIANCE.S('Common sample'!H6:H75,'Common sample'!AE6:AE75)</x:f>
        <x:v>-0.0011162998030050057</x:v>
      </x:c>
      <x:c r="AF12" s="41" t="n">
        <x:f>_xlfn.COVARIANCE.S('Common sample'!H6:H75,'Common sample'!AF6:AF75)</x:f>
        <x:v>-0.0002478440663214835</x:v>
      </x:c>
      <x:c r="AG12" s="41" t="n">
        <x:f>_xlfn.COVARIANCE.S('Common sample'!H6:H75,'Common sample'!AG6:AG75)</x:f>
        <x:v>0.0003821701405263412</x:v>
      </x:c>
      <x:c r="AH12" s="41" t="n">
        <x:f>_xlfn.COVARIANCE.S('Common sample'!H6:H75,'Common sample'!AH6:AH75)</x:f>
        <x:v>0.0029255766492462944</x:v>
      </x:c>
      <x:c r="AI12" s="41" t="n">
        <x:f>_xlfn.COVARIANCE.S('Common sample'!H6:H75,'Common sample'!AI6:AI75)</x:f>
        <x:v>-0.0004244242626635881</x:v>
      </x:c>
      <x:c r="AJ12" s="41" t="n">
        <x:f>_xlfn.COVARIANCE.S('Common sample'!H6:H75,'Common sample'!AJ6:AJ75)</x:f>
        <x:v>0.0003575414495568462</x:v>
      </x:c>
      <x:c r="AK12" s="41" t="n">
        <x:f>_xlfn.COVARIANCE.S('Common sample'!H6:H75,'Common sample'!AK6:AK75)</x:f>
        <x:v>0.0006396629820272995</x:v>
      </x:c>
      <x:c r="AL12" s="41" t="n">
        <x:f>_xlfn.COVARIANCE.S('Common sample'!H6:H75,'Common sample'!AL6:AL75)</x:f>
        <x:v>0.0012101367643799319</x:v>
      </x:c>
      <x:c r="AM12" s="41" t="n">
        <x:f>_xlfn.COVARIANCE.S('Common sample'!H6:H75,'Common sample'!AM6:AM75)</x:f>
        <x:v>0.0007997843195570429</x:v>
      </x:c>
      <x:c r="AN12" s="41" t="n">
        <x:f>_xlfn.COVARIANCE.S('Common sample'!H6:H75,'Common sample'!AN6:AN75)</x:f>
        <x:v>0.0003730885296031505</x:v>
      </x:c>
      <x:c r="AO12" s="41" t="n">
        <x:f>_xlfn.COVARIANCE.S('Common sample'!H6:H75,'Common sample'!AO6:AO75)</x:f>
        <x:v>-0.00008242571777761051</x:v>
      </x:c>
      <x:c r="AP12" s="41" t="n">
        <x:f>_xlfn.COVARIANCE.S('Common sample'!H6:H75,'Common sample'!AP6:AP75)</x:f>
        <x:v>0.00037204489666136796</x:v>
      </x:c>
      <x:c r="AQ12" s="41" t="n">
        <x:f>_xlfn.COVARIANCE.S('Common sample'!H6:H75,'Common sample'!AQ6:AQ75)</x:f>
        <x:v>-0.00004070934822179198</x:v>
      </x:c>
      <x:c r="AR12" s="41" t="n">
        <x:f>_xlfn.COVARIANCE.S('Common sample'!H6:H75,'Common sample'!AR6:AR75)</x:f>
        <x:v>-0.00001948591565633469</x:v>
      </x:c>
    </x:row>
    <x:row r="13" ht="19" customHeight="1">
      <x:c r="A13" s="29" t="str">
        <x:v>FIX</x:v>
      </x:c>
      <x:c r="B13" s="41" t="n">
        <x:f>_xlfn.COVARIANCE.S('Common sample'!I6:I75,'Common sample'!B6:B75)</x:f>
        <x:v>0.0019089990703667578</x:v>
      </x:c>
      <x:c r="C13" s="41" t="n">
        <x:f>_xlfn.COVARIANCE.S('Common sample'!I6:I75,'Common sample'!C6:C75)</x:f>
        <x:v>0.0004570969098258629</x:v>
      </x:c>
      <x:c r="D13" s="41" t="n">
        <x:f>_xlfn.COVARIANCE.S('Common sample'!I6:I75,'Common sample'!D6:D75)</x:f>
        <x:v>0.0008636507679901188</x:v>
      </x:c>
      <x:c r="E13" s="41" t="n">
        <x:f>_xlfn.COVARIANCE.S('Common sample'!I6:I75,'Common sample'!E6:E75)</x:f>
        <x:v>0.0006740349461916184</x:v>
      </x:c>
      <x:c r="F13" s="41" t="n">
        <x:f>_xlfn.COVARIANCE.S('Common sample'!I6:I75,'Common sample'!F6:F75)</x:f>
        <x:v>-0.00009356031738655965</x:v>
      </x:c>
      <x:c r="G13" s="41" t="n">
        <x:f>_xlfn.COVARIANCE.S('Common sample'!I6:I75,'Common sample'!G6:G75)</x:f>
        <x:v>-0.001527836542514517</x:v>
      </x:c>
      <x:c r="H13" s="41" t="n">
        <x:f>_xlfn.COVARIANCE.S('Common sample'!I6:I75,'Common sample'!H6:H75)</x:f>
        <x:v>-0.00016091661075967926</x:v>
      </x:c>
      <x:c r="I13" s="41" t="n">
        <x:f>_xlfn.COVARIANCE.S('Common sample'!I6:I75,'Common sample'!I6:I75)</x:f>
        <x:v>0.007756008132415063</x:v>
      </x:c>
      <x:c r="J13" s="41" t="n">
        <x:f>_xlfn.COVARIANCE.S('Common sample'!I6:I75,'Common sample'!J6:J75)</x:f>
        <x:v>0.0026826076611513937</x:v>
      </x:c>
      <x:c r="K13" s="41" t="n">
        <x:f>_xlfn.COVARIANCE.S('Common sample'!I6:I75,'Common sample'!K6:K75)</x:f>
        <x:v>0.00007205052573229916</x:v>
      </x:c>
      <x:c r="L13" s="41" t="n">
        <x:f>_xlfn.COVARIANCE.S('Common sample'!I6:I75,'Common sample'!L6:L75)</x:f>
        <x:v>0.0013035941029278107</x:v>
      </x:c>
      <x:c r="M13" s="41" t="n">
        <x:f>_xlfn.COVARIANCE.S('Common sample'!I6:I75,'Common sample'!M6:M75)</x:f>
        <x:v>0.00017915922071563912</x:v>
      </x:c>
      <x:c r="N13" s="41" t="n">
        <x:f>_xlfn.COVARIANCE.S('Common sample'!I6:I75,'Common sample'!N6:N75)</x:f>
        <x:v>0.00024761230743896684</x:v>
      </x:c>
      <x:c r="O13" s="41" t="n">
        <x:f>_xlfn.COVARIANCE.S('Common sample'!I6:I75,'Common sample'!O6:O75)</x:f>
        <x:v>0.004369028474674251</x:v>
      </x:c>
      <x:c r="P13" s="41" t="n">
        <x:f>_xlfn.COVARIANCE.S('Common sample'!I6:I75,'Common sample'!P6:P75)</x:f>
        <x:v>-0.00041395565693132144</x:v>
      </x:c>
      <x:c r="Q13" s="41" t="n">
        <x:f>_xlfn.COVARIANCE.S('Common sample'!I6:I75,'Common sample'!Q6:Q75)</x:f>
        <x:v>0.0022301308605749233</x:v>
      </x:c>
      <x:c r="R13" s="41" t="n">
        <x:f>_xlfn.COVARIANCE.S('Common sample'!I6:I75,'Common sample'!R6:R75)</x:f>
        <x:v>0.00031214923518057934</x:v>
      </x:c>
      <x:c r="S13" s="41" t="n">
        <x:f>_xlfn.COVARIANCE.S('Common sample'!I6:I75,'Common sample'!S6:S75)</x:f>
        <x:v>0.0001825532469687373</x:v>
      </x:c>
      <x:c r="T13" s="41" t="n">
        <x:f>_xlfn.COVARIANCE.S('Common sample'!I6:I75,'Common sample'!T6:T75)</x:f>
        <x:v>-0.0018292705842559206</x:v>
      </x:c>
      <x:c r="U13" s="41" t="n">
        <x:f>_xlfn.COVARIANCE.S('Common sample'!I6:I75,'Common sample'!U6:U75)</x:f>
        <x:v>0.0020487763789052466</x:v>
      </x:c>
      <x:c r="V13" s="41" t="n">
        <x:f>_xlfn.COVARIANCE.S('Common sample'!I6:I75,'Common sample'!V6:V75)</x:f>
        <x:v>0.0025020167704430567</x:v>
      </x:c>
      <x:c r="W13" s="41" t="n">
        <x:f>_xlfn.COVARIANCE.S('Common sample'!I6:I75,'Common sample'!W6:W75)</x:f>
        <x:v>-0.0006645180307867003</x:v>
      </x:c>
      <x:c r="X13" s="41" t="n">
        <x:f>_xlfn.COVARIANCE.S('Common sample'!I6:I75,'Common sample'!X6:X75)</x:f>
        <x:v>0.0029826030692972736</x:v>
      </x:c>
      <x:c r="Y13" s="41" t="n">
        <x:f>_xlfn.COVARIANCE.S('Common sample'!I6:I75,'Common sample'!Y6:Y75)</x:f>
        <x:v>-0.00025614977650701635</x:v>
      </x:c>
      <x:c r="Z13" s="41" t="n">
        <x:f>_xlfn.COVARIANCE.S('Common sample'!I6:I75,'Common sample'!Z6:Z75)</x:f>
        <x:v>-0.00014345329657699314</x:v>
      </x:c>
      <x:c r="AA13" s="41" t="n">
        <x:f>_xlfn.COVARIANCE.S('Common sample'!I6:I75,'Common sample'!AA6:AA75)</x:f>
        <x:v>-0.000020143342996925306</x:v>
      </x:c>
      <x:c r="AB13" s="41" t="n">
        <x:f>_xlfn.COVARIANCE.S('Common sample'!I6:I75,'Common sample'!AB6:AB75)</x:f>
        <x:v>-0.0034429528824949027</x:v>
      </x:c>
      <x:c r="AC13" s="41" t="n">
        <x:f>_xlfn.COVARIANCE.S('Common sample'!I6:I75,'Common sample'!AC6:AC75)</x:f>
        <x:v>0.0002908565450796771</x:v>
      </x:c>
      <x:c r="AD13" s="41" t="n">
        <x:f>_xlfn.COVARIANCE.S('Common sample'!I6:I75,'Common sample'!AD6:AD75)</x:f>
        <x:v>0.0002158507199183151</x:v>
      </x:c>
      <x:c r="AE13" s="41" t="n">
        <x:f>_xlfn.COVARIANCE.S('Common sample'!I6:I75,'Common sample'!AE6:AE75)</x:f>
        <x:v>-0.00023266849419353416</x:v>
      </x:c>
      <x:c r="AF13" s="41" t="n">
        <x:f>_xlfn.COVARIANCE.S('Common sample'!I6:I75,'Common sample'!AF6:AF75)</x:f>
        <x:v>-0.0012499432226422886</x:v>
      </x:c>
      <x:c r="AG13" s="41" t="n">
        <x:f>_xlfn.COVARIANCE.S('Common sample'!I6:I75,'Common sample'!AG6:AG75)</x:f>
        <x:v>-0.0004506584066509468</x:v>
      </x:c>
      <x:c r="AH13" s="41" t="n">
        <x:f>_xlfn.COVARIANCE.S('Common sample'!I6:I75,'Common sample'!AH6:AH75)</x:f>
        <x:v>0.0014481886656081146</x:v>
      </x:c>
      <x:c r="AI13" s="41" t="n">
        <x:f>_xlfn.COVARIANCE.S('Common sample'!I6:I75,'Common sample'!AI6:AI75)</x:f>
        <x:v>0.0006030098874429895</x:v>
      </x:c>
      <x:c r="AJ13" s="41" t="n">
        <x:f>_xlfn.COVARIANCE.S('Common sample'!I6:I75,'Common sample'!AJ6:AJ75)</x:f>
        <x:v>0.0012551301856806195</x:v>
      </x:c>
      <x:c r="AK13" s="41" t="n">
        <x:f>_xlfn.COVARIANCE.S('Common sample'!I6:I75,'Common sample'!AK6:AK75)</x:f>
        <x:v>0.0017148083158309462</x:v>
      </x:c>
      <x:c r="AL13" s="41" t="n">
        <x:f>_xlfn.COVARIANCE.S('Common sample'!I6:I75,'Common sample'!AL6:AL75)</x:f>
        <x:v>-0.0006943110160155379</x:v>
      </x:c>
      <x:c r="AM13" s="41" t="n">
        <x:f>_xlfn.COVARIANCE.S('Common sample'!I6:I75,'Common sample'!AM6:AM75)</x:f>
        <x:v>0.00047731317192048977</x:v>
      </x:c>
      <x:c r="AN13" s="41" t="n">
        <x:f>_xlfn.COVARIANCE.S('Common sample'!I6:I75,'Common sample'!AN6:AN75)</x:f>
        <x:v>0.0008413589790976639</x:v>
      </x:c>
      <x:c r="AO13" s="41" t="n">
        <x:f>_xlfn.COVARIANCE.S('Common sample'!I6:I75,'Common sample'!AO6:AO75)</x:f>
        <x:v>0.0011179235721645356</x:v>
      </x:c>
      <x:c r="AP13" s="41" t="n">
        <x:f>_xlfn.COVARIANCE.S('Common sample'!I6:I75,'Common sample'!AP6:AP75)</x:f>
        <x:v>-0.00023921523359853012</x:v>
      </x:c>
      <x:c r="AQ13" s="41" t="n">
        <x:f>_xlfn.COVARIANCE.S('Common sample'!I6:I75,'Common sample'!AQ6:AQ75)</x:f>
        <x:v>0.0002975709226355196</x:v>
      </x:c>
      <x:c r="AR13" s="41" t="n">
        <x:f>_xlfn.COVARIANCE.S('Common sample'!I6:I75,'Common sample'!AR6:AR75)</x:f>
        <x:v>0.0005567368444796814</x:v>
      </x:c>
    </x:row>
    <x:row r="14" ht="19" customHeight="1">
      <x:c r="A14" s="29" t="str">
        <x:v>STX</x:v>
      </x:c>
      <x:c r="B14" s="41" t="n">
        <x:f>_xlfn.COVARIANCE.S('Common sample'!J6:J75,'Common sample'!B6:B75)</x:f>
        <x:v>-0.0016591178510000763</x:v>
      </x:c>
      <x:c r="C14" s="41" t="n">
        <x:f>_xlfn.COVARIANCE.S('Common sample'!J6:J75,'Common sample'!C6:C75)</x:f>
        <x:v>-0.00009917719007035185</x:v>
      </x:c>
      <x:c r="D14" s="41" t="n">
        <x:f>_xlfn.COVARIANCE.S('Common sample'!J6:J75,'Common sample'!D6:D75)</x:f>
        <x:v>0.0011602826675048698</x:v>
      </x:c>
      <x:c r="E14" s="41" t="n">
        <x:f>_xlfn.COVARIANCE.S('Common sample'!J6:J75,'Common sample'!E6:E75)</x:f>
        <x:v>0.000971865656256436</x:v>
      </x:c>
      <x:c r="F14" s="41" t="n">
        <x:f>_xlfn.COVARIANCE.S('Common sample'!J6:J75,'Common sample'!F6:F75)</x:f>
        <x:v>0.001477729853660205</x:v>
      </x:c>
      <x:c r="G14" s="41" t="n">
        <x:f>_xlfn.COVARIANCE.S('Common sample'!J6:J75,'Common sample'!G6:G75)</x:f>
        <x:v>-0.00416645404658872</x:v>
      </x:c>
      <x:c r="H14" s="41" t="n">
        <x:f>_xlfn.COVARIANCE.S('Common sample'!J6:J75,'Common sample'!H6:H75)</x:f>
        <x:v>0.0013166660265532563</x:v>
      </x:c>
      <x:c r="I14" s="41" t="n">
        <x:f>_xlfn.COVARIANCE.S('Common sample'!J6:J75,'Common sample'!I6:I75)</x:f>
        <x:v>0.0026826076611513937</x:v>
      </x:c>
      <x:c r="J14" s="41" t="n">
        <x:f>_xlfn.COVARIANCE.S('Common sample'!J6:J75,'Common sample'!J6:J75)</x:f>
        <x:v>0.013237802901073757</x:v>
      </x:c>
      <x:c r="K14" s="41" t="n">
        <x:f>_xlfn.COVARIANCE.S('Common sample'!J6:J75,'Common sample'!K6:K75)</x:f>
        <x:v>-0.00026303763256068394</x:v>
      </x:c>
      <x:c r="L14" s="41" t="n">
        <x:f>_xlfn.COVARIANCE.S('Common sample'!J6:J75,'Common sample'!L6:L75)</x:f>
        <x:v>-0.0012075694829939761</x:v>
      </x:c>
      <x:c r="M14" s="41" t="n">
        <x:f>_xlfn.COVARIANCE.S('Common sample'!J6:J75,'Common sample'!M6:M75)</x:f>
        <x:v>-0.0007699999253424221</x:v>
      </x:c>
      <x:c r="N14" s="41" t="n">
        <x:f>_xlfn.COVARIANCE.S('Common sample'!J6:J75,'Common sample'!N6:N75)</x:f>
        <x:v>-0.0010082051987280669</x:v>
      </x:c>
      <x:c r="O14" s="41" t="n">
        <x:f>_xlfn.COVARIANCE.S('Common sample'!J6:J75,'Common sample'!O6:O75)</x:f>
        <x:v>0.012443655723919053</x:v>
      </x:c>
      <x:c r="P14" s="41" t="n">
        <x:f>_xlfn.COVARIANCE.S('Common sample'!J6:J75,'Common sample'!P6:P75)</x:f>
        <x:v>-0.0025072264066697677</x:v>
      </x:c>
      <x:c r="Q14" s="41" t="n">
        <x:f>_xlfn.COVARIANCE.S('Common sample'!J6:J75,'Common sample'!Q6:Q75)</x:f>
        <x:v>0.004070790549480758</x:v>
      </x:c>
      <x:c r="R14" s="41" t="n">
        <x:f>_xlfn.COVARIANCE.S('Common sample'!J6:J75,'Common sample'!R6:R75)</x:f>
        <x:v>-0.0003210013013607797</x:v>
      </x:c>
      <x:c r="S14" s="41" t="n">
        <x:f>_xlfn.COVARIANCE.S('Common sample'!J6:J75,'Common sample'!S6:S75)</x:f>
        <x:v>-0.0002269594236183761</x:v>
      </x:c>
      <x:c r="T14" s="41" t="n">
        <x:f>_xlfn.COVARIANCE.S('Common sample'!J6:J75,'Common sample'!T6:T75)</x:f>
        <x:v>-0.00005258352546490027</x:v>
      </x:c>
      <x:c r="U14" s="41" t="n">
        <x:f>_xlfn.COVARIANCE.S('Common sample'!J6:J75,'Common sample'!U6:U75)</x:f>
        <x:v>-0.0025553598398201796</x:v>
      </x:c>
      <x:c r="V14" s="41" t="n">
        <x:f>_xlfn.COVARIANCE.S('Common sample'!J6:J75,'Common sample'!V6:V75)</x:f>
        <x:v>-0.0028218215540717485</x:v>
      </x:c>
      <x:c r="W14" s="41" t="n">
        <x:f>_xlfn.COVARIANCE.S('Common sample'!J6:J75,'Common sample'!W6:W75)</x:f>
        <x:v>-0.000553691619052709</x:v>
      </x:c>
      <x:c r="X14" s="41" t="n">
        <x:f>_xlfn.COVARIANCE.S('Common sample'!J6:J75,'Common sample'!X6:X75)</x:f>
        <x:v>0.010925338841595827</x:v>
      </x:c>
      <x:c r="Y14" s="41" t="n">
        <x:f>_xlfn.COVARIANCE.S('Common sample'!J6:J75,'Common sample'!Y6:Y75)</x:f>
        <x:v>0.0020595847583580085</x:v>
      </x:c>
      <x:c r="Z14" s="41" t="n">
        <x:f>_xlfn.COVARIANCE.S('Common sample'!J6:J75,'Common sample'!Z6:Z75)</x:f>
        <x:v>0.00026017783271480705</x:v>
      </x:c>
      <x:c r="AA14" s="41" t="n">
        <x:f>_xlfn.COVARIANCE.S('Common sample'!J6:J75,'Common sample'!AA6:AA75)</x:f>
        <x:v>0.0012214078247862585</x:v>
      </x:c>
      <x:c r="AB14" s="41" t="n">
        <x:f>_xlfn.COVARIANCE.S('Common sample'!J6:J75,'Common sample'!AB6:AB75)</x:f>
        <x:v>-0.004451419250602808</x:v>
      </x:c>
      <x:c r="AC14" s="41" t="n">
        <x:f>_xlfn.COVARIANCE.S('Common sample'!J6:J75,'Common sample'!AC6:AC75)</x:f>
        <x:v>0.0006426350253380275</x:v>
      </x:c>
      <x:c r="AD14" s="41" t="n">
        <x:f>_xlfn.COVARIANCE.S('Common sample'!J6:J75,'Common sample'!AD6:AD75)</x:f>
        <x:v>0.0015899117265043184</x:v>
      </x:c>
      <x:c r="AE14" s="41" t="n">
        <x:f>_xlfn.COVARIANCE.S('Common sample'!J6:J75,'Common sample'!AE6:AE75)</x:f>
        <x:v>0.0007439196325608619</x:v>
      </x:c>
      <x:c r="AF14" s="41" t="n">
        <x:f>_xlfn.COVARIANCE.S('Common sample'!J6:J75,'Common sample'!AF6:AF75)</x:f>
        <x:v>-0.0009654971495595624</x:v>
      </x:c>
      <x:c r="AG14" s="41" t="n">
        <x:f>_xlfn.COVARIANCE.S('Common sample'!J6:J75,'Common sample'!AG6:AG75)</x:f>
        <x:v>0.0011734791713091807</x:v>
      </x:c>
      <x:c r="AH14" s="41" t="n">
        <x:f>_xlfn.COVARIANCE.S('Common sample'!J6:J75,'Common sample'!AH6:AH75)</x:f>
        <x:v>0.0029783704430283706</x:v>
      </x:c>
      <x:c r="AI14" s="41" t="n">
        <x:f>_xlfn.COVARIANCE.S('Common sample'!J6:J75,'Common sample'!AI6:AI75)</x:f>
        <x:v>-0.00003188459010157601</x:v>
      </x:c>
      <x:c r="AJ14" s="41" t="n">
        <x:f>_xlfn.COVARIANCE.S('Common sample'!J6:J75,'Common sample'!AJ6:AJ75)</x:f>
        <x:v>0.0008565266048511884</x:v>
      </x:c>
      <x:c r="AK14" s="41" t="n">
        <x:f>_xlfn.COVARIANCE.S('Common sample'!J6:J75,'Common sample'!AK6:AK75)</x:f>
        <x:v>0.002572277345608734</x:v>
      </x:c>
      <x:c r="AL14" s="41" t="n">
        <x:f>_xlfn.COVARIANCE.S('Common sample'!J6:J75,'Common sample'!AL6:AL75)</x:f>
        <x:v>-0.001883977940372791</x:v>
      </x:c>
      <x:c r="AM14" s="41" t="n">
        <x:f>_xlfn.COVARIANCE.S('Common sample'!J6:J75,'Common sample'!AM6:AM75)</x:f>
        <x:v>0.0024597910992244835</x:v>
      </x:c>
      <x:c r="AN14" s="41" t="n">
        <x:f>_xlfn.COVARIANCE.S('Common sample'!J6:J75,'Common sample'!AN6:AN75)</x:f>
        <x:v>0.0005377250374920754</x:v>
      </x:c>
      <x:c r="AO14" s="41" t="n">
        <x:f>_xlfn.COVARIANCE.S('Common sample'!J6:J75,'Common sample'!AO6:AO75)</x:f>
        <x:v>0.0014341970561070553</x:v>
      </x:c>
      <x:c r="AP14" s="41" t="n">
        <x:f>_xlfn.COVARIANCE.S('Common sample'!J6:J75,'Common sample'!AP6:AP75)</x:f>
        <x:v>0.0006703624923667447</x:v>
      </x:c>
      <x:c r="AQ14" s="41" t="n">
        <x:f>_xlfn.COVARIANCE.S('Common sample'!J6:J75,'Common sample'!AQ6:AQ75)</x:f>
        <x:v>0.0012377439378485067</x:v>
      </x:c>
      <x:c r="AR14" s="41" t="n">
        <x:f>_xlfn.COVARIANCE.S('Common sample'!J6:J75,'Common sample'!AR6:AR75)</x:f>
        <x:v>-0.000015786470904924427</x:v>
      </x:c>
    </x:row>
    <x:row r="15" ht="19" customHeight="1">
      <x:c r="A15" s="29" t="str">
        <x:v>VLO</x:v>
      </x:c>
      <x:c r="B15" s="41" t="n">
        <x:f>_xlfn.COVARIANCE.S('Common sample'!K6:K75,'Common sample'!B6:B75)</x:f>
        <x:v>0.0005603412555107921</x:v>
      </x:c>
      <x:c r="C15" s="41" t="n">
        <x:f>_xlfn.COVARIANCE.S('Common sample'!K6:K75,'Common sample'!C6:C75)</x:f>
        <x:v>-0.0011028316608240607</x:v>
      </x:c>
      <x:c r="D15" s="41" t="n">
        <x:f>_xlfn.COVARIANCE.S('Common sample'!K6:K75,'Common sample'!D6:D75)</x:f>
        <x:v>-0.00008417821971219957</x:v>
      </x:c>
      <x:c r="E15" s="41" t="n">
        <x:f>_xlfn.COVARIANCE.S('Common sample'!K6:K75,'Common sample'!E6:E75)</x:f>
        <x:v>-0.00008762982557659722</x:v>
      </x:c>
      <x:c r="F15" s="41" t="n">
        <x:f>_xlfn.COVARIANCE.S('Common sample'!K6:K75,'Common sample'!F6:F75)</x:f>
        <x:v>-0.0003161342465266033</x:v>
      </x:c>
      <x:c r="G15" s="41" t="n">
        <x:f>_xlfn.COVARIANCE.S('Common sample'!K6:K75,'Common sample'!G6:G75)</x:f>
        <x:v>-0.0007673055659491215</x:v>
      </x:c>
      <x:c r="H15" s="41" t="n">
        <x:f>_xlfn.COVARIANCE.S('Common sample'!K6:K75,'Common sample'!H6:H75)</x:f>
        <x:v>0.00027899498622764433</x:v>
      </x:c>
      <x:c r="I15" s="41" t="n">
        <x:f>_xlfn.COVARIANCE.S('Common sample'!K6:K75,'Common sample'!I6:I75)</x:f>
        <x:v>0.00007205052573229916</x:v>
      </x:c>
      <x:c r="J15" s="41" t="n">
        <x:f>_xlfn.COVARIANCE.S('Common sample'!K6:K75,'Common sample'!J6:J75)</x:f>
        <x:v>-0.00026303763256068394</x:v>
      </x:c>
      <x:c r="K15" s="41" t="n">
        <x:f>_xlfn.COVARIANCE.S('Common sample'!K6:K75,'Common sample'!K6:K75)</x:f>
        <x:v>0.005286965588227249</x:v>
      </x:c>
      <x:c r="L15" s="41" t="n">
        <x:f>_xlfn.COVARIANCE.S('Common sample'!K6:K75,'Common sample'!L6:L75)</x:f>
        <x:v>0.002395370086416924</x:v>
      </x:c>
      <x:c r="M15" s="41" t="n">
        <x:f>_xlfn.COVARIANCE.S('Common sample'!K6:K75,'Common sample'!M6:M75)</x:f>
        <x:v>0.0007497591892802014</x:v>
      </x:c>
      <x:c r="N15" s="41" t="n">
        <x:f>_xlfn.COVARIANCE.S('Common sample'!K6:K75,'Common sample'!N6:N75)</x:f>
        <x:v>0.00014734773646587107</x:v>
      </x:c>
      <x:c r="O15" s="41" t="n">
        <x:f>_xlfn.COVARIANCE.S('Common sample'!K6:K75,'Common sample'!O6:O75)</x:f>
        <x:v>-0.0006628657672834531</x:v>
      </x:c>
      <x:c r="P15" s="41" t="n">
        <x:f>_xlfn.COVARIANCE.S('Common sample'!K6:K75,'Common sample'!P6:P75)</x:f>
        <x:v>0.001196480345969322</x:v>
      </x:c>
      <x:c r="Q15" s="41" t="n">
        <x:f>_xlfn.COVARIANCE.S('Common sample'!K6:K75,'Common sample'!Q6:Q75)</x:f>
        <x:v>-0.0000901944139798595</x:v>
      </x:c>
      <x:c r="R15" s="41" t="n">
        <x:f>_xlfn.COVARIANCE.S('Common sample'!K6:K75,'Common sample'!R6:R75)</x:f>
        <x:v>-0.0005430347773583603</x:v>
      </x:c>
      <x:c r="S15" s="41" t="n">
        <x:f>_xlfn.COVARIANCE.S('Common sample'!K6:K75,'Common sample'!S6:S75)</x:f>
        <x:v>0.0036333322765796728</x:v>
      </x:c>
      <x:c r="T15" s="41" t="n">
        <x:f>_xlfn.COVARIANCE.S('Common sample'!K6:K75,'Common sample'!T6:T75)</x:f>
        <x:v>0.00047369596719926376</x:v>
      </x:c>
      <x:c r="U15" s="41" t="n">
        <x:f>_xlfn.COVARIANCE.S('Common sample'!K6:K75,'Common sample'!U6:U75)</x:f>
        <x:v>0.000945608984027649</x:v>
      </x:c>
      <x:c r="V15" s="41" t="n">
        <x:f>_xlfn.COVARIANCE.S('Common sample'!K6:K75,'Common sample'!V6:V75)</x:f>
        <x:v>-0.00010227579410618845</x:v>
      </x:c>
      <x:c r="W15" s="41" t="n">
        <x:f>_xlfn.COVARIANCE.S('Common sample'!K6:K75,'Common sample'!W6:W75)</x:f>
        <x:v>-0.0007526133117092939</x:v>
      </x:c>
      <x:c r="X15" s="41" t="n">
        <x:f>_xlfn.COVARIANCE.S('Common sample'!K6:K75,'Common sample'!X6:X75)</x:f>
        <x:v>-0.0013935274005874728</x:v>
      </x:c>
      <x:c r="Y15" s="41" t="n">
        <x:f>_xlfn.COVARIANCE.S('Common sample'!K6:K75,'Common sample'!Y6:Y75)</x:f>
        <x:v>-0.0015105354335649232</x:v>
      </x:c>
      <x:c r="Z15" s="41" t="n">
        <x:f>_xlfn.COVARIANCE.S('Common sample'!K6:K75,'Common sample'!Z6:Z75)</x:f>
        <x:v>-0.00023475292438725434</x:v>
      </x:c>
      <x:c r="AA15" s="41" t="n">
        <x:f>_xlfn.COVARIANCE.S('Common sample'!K6:K75,'Common sample'!AA6:AA75)</x:f>
        <x:v>0.0034204059115176717</x:v>
      </x:c>
      <x:c r="AB15" s="41" t="n">
        <x:f>_xlfn.COVARIANCE.S('Common sample'!K6:K75,'Common sample'!AB6:AB75)</x:f>
        <x:v>-0.0029043173918489435</x:v>
      </x:c>
      <x:c r="AC15" s="41" t="n">
        <x:f>_xlfn.COVARIANCE.S('Common sample'!K6:K75,'Common sample'!AC6:AC75)</x:f>
        <x:v>-0.00022419614097966717</x:v>
      </x:c>
      <x:c r="AD15" s="41" t="n">
        <x:f>_xlfn.COVARIANCE.S('Common sample'!K6:K75,'Common sample'!AD6:AD75)</x:f>
        <x:v>-0.0006692741638133845</x:v>
      </x:c>
      <x:c r="AE15" s="41" t="n">
        <x:f>_xlfn.COVARIANCE.S('Common sample'!K6:K75,'Common sample'!AE6:AE75)</x:f>
        <x:v>0.0011544454308541022</x:v>
      </x:c>
      <x:c r="AF15" s="41" t="n">
        <x:f>_xlfn.COVARIANCE.S('Common sample'!K6:K75,'Common sample'!AF6:AF75)</x:f>
        <x:v>-0.00035072597813302827</x:v>
      </x:c>
      <x:c r="AG15" s="41" t="n">
        <x:f>_xlfn.COVARIANCE.S('Common sample'!K6:K75,'Common sample'!AG6:AG75)</x:f>
        <x:v>-0.0004809851182490475</x:v>
      </x:c>
      <x:c r="AH15" s="41" t="n">
        <x:f>_xlfn.COVARIANCE.S('Common sample'!K6:K75,'Common sample'!AH6:AH75)</x:f>
        <x:v>0.0011526500156475905</x:v>
      </x:c>
      <x:c r="AI15" s="41" t="n">
        <x:f>_xlfn.COVARIANCE.S('Common sample'!K6:K75,'Common sample'!AI6:AI75)</x:f>
        <x:v>-0.0005254689967516928</x:v>
      </x:c>
      <x:c r="AJ15" s="41" t="n">
        <x:f>_xlfn.COVARIANCE.S('Common sample'!K6:K75,'Common sample'!AJ6:AJ75)</x:f>
        <x:v>0.0006705987944826841</x:v>
      </x:c>
      <x:c r="AK15" s="41" t="n">
        <x:f>_xlfn.COVARIANCE.S('Common sample'!K6:K75,'Common sample'!AK6:AK75)</x:f>
        <x:v>-0.0004793435458536592</x:v>
      </x:c>
      <x:c r="AL15" s="41" t="n">
        <x:f>_xlfn.COVARIANCE.S('Common sample'!K6:K75,'Common sample'!AL6:AL75)</x:f>
        <x:v>0.0006947580972033714</x:v>
      </x:c>
      <x:c r="AM15" s="41" t="n">
        <x:f>_xlfn.COVARIANCE.S('Common sample'!K6:K75,'Common sample'!AM6:AM75)</x:f>
        <x:v>-0.00019241557286511887</x:v>
      </x:c>
      <x:c r="AN15" s="41" t="n">
        <x:f>_xlfn.COVARIANCE.S('Common sample'!K6:K75,'Common sample'!AN6:AN75)</x:f>
        <x:v>-0.00039834502184957665</x:v>
      </x:c>
      <x:c r="AO15" s="41" t="n">
        <x:f>_xlfn.COVARIANCE.S('Common sample'!K6:K75,'Common sample'!AO6:AO75)</x:f>
        <x:v>-0.00006680056980708443</x:v>
      </x:c>
      <x:c r="AP15" s="41" t="n">
        <x:f>_xlfn.COVARIANCE.S('Common sample'!K6:K75,'Common sample'!AP6:AP75)</x:f>
        <x:v>0.00009200554476337273</x:v>
      </x:c>
      <x:c r="AQ15" s="41" t="n">
        <x:f>_xlfn.COVARIANCE.S('Common sample'!K6:K75,'Common sample'!AQ6:AQ75)</x:f>
        <x:v>0.0002412035477701583</x:v>
      </x:c>
      <x:c r="AR15" s="41" t="n">
        <x:f>_xlfn.COVARIANCE.S('Common sample'!K6:K75,'Common sample'!AR6:AR75)</x:f>
        <x:v>-0.0002507072231603653</x:v>
      </x:c>
    </x:row>
    <x:row r="16" ht="19" customHeight="1">
      <x:c r="A16" s="29" t="str">
        <x:v>CF</x:v>
      </x:c>
      <x:c r="B16" s="41" t="n">
        <x:f>_xlfn.COVARIANCE.S('Common sample'!L6:L75,'Common sample'!B6:B75)</x:f>
        <x:v>0.0013873804261386226</x:v>
      </x:c>
      <x:c r="C16" s="41" t="n">
        <x:f>_xlfn.COVARIANCE.S('Common sample'!L6:L75,'Common sample'!C6:C75)</x:f>
        <x:v>0.0013628106534711677</x:v>
      </x:c>
      <x:c r="D16" s="41" t="n">
        <x:f>_xlfn.COVARIANCE.S('Common sample'!L6:L75,'Common sample'!D6:D75)</x:f>
        <x:v>-0.00013544756309615268</x:v>
      </x:c>
      <x:c r="E16" s="41" t="n">
        <x:f>_xlfn.COVARIANCE.S('Common sample'!L6:L75,'Common sample'!E6:E75)</x:f>
        <x:v>-0.00003562730638727703</x:v>
      </x:c>
      <x:c r="F16" s="41" t="n">
        <x:f>_xlfn.COVARIANCE.S('Common sample'!L6:L75,'Common sample'!F6:F75)</x:f>
        <x:v>0.00031155312602238367</x:v>
      </x:c>
      <x:c r="G16" s="41" t="n">
        <x:f>_xlfn.COVARIANCE.S('Common sample'!L6:L75,'Common sample'!G6:G75)</x:f>
        <x:v>0.001140471708722715</x:v>
      </x:c>
      <x:c r="H16" s="41" t="n">
        <x:f>_xlfn.COVARIANCE.S('Common sample'!L6:L75,'Common sample'!H6:H75)</x:f>
        <x:v>0.0005574703014206647</x:v>
      </x:c>
      <x:c r="I16" s="41" t="n">
        <x:f>_xlfn.COVARIANCE.S('Common sample'!L6:L75,'Common sample'!I6:I75)</x:f>
        <x:v>0.0013035941029278107</x:v>
      </x:c>
      <x:c r="J16" s="41" t="n">
        <x:f>_xlfn.COVARIANCE.S('Common sample'!L6:L75,'Common sample'!J6:J75)</x:f>
        <x:v>-0.0012075694829939761</x:v>
      </x:c>
      <x:c r="K16" s="41" t="n">
        <x:f>_xlfn.COVARIANCE.S('Common sample'!L6:L75,'Common sample'!K6:K75)</x:f>
        <x:v>0.002395370086416924</x:v>
      </x:c>
      <x:c r="L16" s="41" t="n">
        <x:f>_xlfn.COVARIANCE.S('Common sample'!L6:L75,'Common sample'!L6:L75)</x:f>
        <x:v>0.006849409788758353</x:v>
      </x:c>
      <x:c r="M16" s="41" t="n">
        <x:f>_xlfn.COVARIANCE.S('Common sample'!L6:L75,'Common sample'!M6:M75)</x:f>
        <x:v>0.002795981820817678</x:v>
      </x:c>
      <x:c r="N16" s="41" t="n">
        <x:f>_xlfn.COVARIANCE.S('Common sample'!L6:L75,'Common sample'!N6:N75)</x:f>
        <x:v>0.0007044547902881421</x:v>
      </x:c>
      <x:c r="O16" s="41" t="n">
        <x:f>_xlfn.COVARIANCE.S('Common sample'!L6:L75,'Common sample'!O6:O75)</x:f>
        <x:v>-0.002671689483156447</x:v>
      </x:c>
      <x:c r="P16" s="41" t="n">
        <x:f>_xlfn.COVARIANCE.S('Common sample'!L6:L75,'Common sample'!P6:P75)</x:f>
        <x:v>0.0009635745341117929</x:v>
      </x:c>
      <x:c r="Q16" s="41" t="n">
        <x:f>_xlfn.COVARIANCE.S('Common sample'!L6:L75,'Common sample'!Q6:Q75)</x:f>
        <x:v>0.0012972020069145916</x:v>
      </x:c>
      <x:c r="R16" s="41" t="n">
        <x:f>_xlfn.COVARIANCE.S('Common sample'!L6:L75,'Common sample'!R6:R75)</x:f>
        <x:v>0.0003257211033388308</x:v>
      </x:c>
      <x:c r="S16" s="41" t="n">
        <x:f>_xlfn.COVARIANCE.S('Common sample'!L6:L75,'Common sample'!S6:S75)</x:f>
        <x:v>0.003514724430481433</x:v>
      </x:c>
      <x:c r="T16" s="41" t="n">
        <x:f>_xlfn.COVARIANCE.S('Common sample'!L6:L75,'Common sample'!T6:T75)</x:f>
        <x:v>0.00029051041070884634</x:v>
      </x:c>
      <x:c r="U16" s="41" t="n">
        <x:f>_xlfn.COVARIANCE.S('Common sample'!L6:L75,'Common sample'!U6:U75)</x:f>
        <x:v>0.0007757642783241163</x:v>
      </x:c>
      <x:c r="V16" s="41" t="n">
        <x:f>_xlfn.COVARIANCE.S('Common sample'!L6:L75,'Common sample'!V6:V75)</x:f>
        <x:v>0.0010322546812638084</x:v>
      </x:c>
      <x:c r="W16" s="41" t="n">
        <x:f>_xlfn.COVARIANCE.S('Common sample'!L6:L75,'Common sample'!W6:W75)</x:f>
        <x:v>-0.0010258849766890893</x:v>
      </x:c>
      <x:c r="X16" s="41" t="n">
        <x:f>_xlfn.COVARIANCE.S('Common sample'!L6:L75,'Common sample'!X6:X75)</x:f>
        <x:v>-0.0027331082536371956</x:v>
      </x:c>
      <x:c r="Y16" s="41" t="n">
        <x:f>_xlfn.COVARIANCE.S('Common sample'!L6:L75,'Common sample'!Y6:Y75)</x:f>
        <x:v>-0.002688740887963398</x:v>
      </x:c>
      <x:c r="Z16" s="41" t="n">
        <x:f>_xlfn.COVARIANCE.S('Common sample'!L6:L75,'Common sample'!Z6:Z75)</x:f>
        <x:v>-0.0006451109841382037</x:v>
      </x:c>
      <x:c r="AA16" s="41" t="n">
        <x:f>_xlfn.COVARIANCE.S('Common sample'!L6:L75,'Common sample'!AA6:AA75)</x:f>
        <x:v>0.0002397547803116979</x:v>
      </x:c>
      <x:c r="AB16" s="41" t="n">
        <x:f>_xlfn.COVARIANCE.S('Common sample'!L6:L75,'Common sample'!AB6:AB75)</x:f>
        <x:v>-0.0017811977924706685</x:v>
      </x:c>
      <x:c r="AC16" s="41" t="n">
        <x:f>_xlfn.COVARIANCE.S('Common sample'!L6:L75,'Common sample'!AC6:AC75)</x:f>
        <x:v>-0.0007068036821562367</x:v>
      </x:c>
      <x:c r="AD16" s="41" t="n">
        <x:f>_xlfn.COVARIANCE.S('Common sample'!L6:L75,'Common sample'!AD6:AD75)</x:f>
        <x:v>-0.001165495782017179</x:v>
      </x:c>
      <x:c r="AE16" s="41" t="n">
        <x:f>_xlfn.COVARIANCE.S('Common sample'!L6:L75,'Common sample'!AE6:AE75)</x:f>
        <x:v>-0.00027906643039791047</x:v>
      </x:c>
      <x:c r="AF16" s="41" t="n">
        <x:f>_xlfn.COVARIANCE.S('Common sample'!L6:L75,'Common sample'!AF6:AF75)</x:f>
        <x:v>-0.00017270803115564354</x:v>
      </x:c>
      <x:c r="AG16" s="41" t="n">
        <x:f>_xlfn.COVARIANCE.S('Common sample'!L6:L75,'Common sample'!AG6:AG75)</x:f>
        <x:v>-0.0002588625562256476</x:v>
      </x:c>
      <x:c r="AH16" s="41" t="n">
        <x:f>_xlfn.COVARIANCE.S('Common sample'!L6:L75,'Common sample'!AH6:AH75)</x:f>
        <x:v>0.001833023652570373</x:v>
      </x:c>
      <x:c r="AI16" s="41" t="n">
        <x:f>_xlfn.COVARIANCE.S('Common sample'!L6:L75,'Common sample'!AI6:AI75)</x:f>
        <x:v>-0.00026026109493410796</x:v>
      </x:c>
      <x:c r="AJ16" s="41" t="n">
        <x:f>_xlfn.COVARIANCE.S('Common sample'!L6:L75,'Common sample'!AJ6:AJ75)</x:f>
        <x:v>-0.0003184032893219309</x:v>
      </x:c>
      <x:c r="AK16" s="41" t="n">
        <x:f>_xlfn.COVARIANCE.S('Common sample'!L6:L75,'Common sample'!AK6:AK75)</x:f>
        <x:v>0.0001471618373159606</x:v>
      </x:c>
      <x:c r="AL16" s="41" t="n">
        <x:f>_xlfn.COVARIANCE.S('Common sample'!L6:L75,'Common sample'!AL6:AL75)</x:f>
        <x:v>0.0004275952980658476</x:v>
      </x:c>
      <x:c r="AM16" s="41" t="n">
        <x:f>_xlfn.COVARIANCE.S('Common sample'!L6:L75,'Common sample'!AM6:AM75)</x:f>
        <x:v>-0.0006256735182492278</x:v>
      </x:c>
      <x:c r="AN16" s="41" t="n">
        <x:f>_xlfn.COVARIANCE.S('Common sample'!L6:L75,'Common sample'!AN6:AN75)</x:f>
        <x:v>0.0002654362204132437</x:v>
      </x:c>
      <x:c r="AO16" s="41" t="n">
        <x:f>_xlfn.COVARIANCE.S('Common sample'!L6:L75,'Common sample'!AO6:AO75)</x:f>
        <x:v>-0.0008030202951158713</x:v>
      </x:c>
      <x:c r="AP16" s="41" t="n">
        <x:f>_xlfn.COVARIANCE.S('Common sample'!L6:L75,'Common sample'!AP6:AP75)</x:f>
        <x:v>-0.00036087443706176846</x:v>
      </x:c>
      <x:c r="AQ16" s="41" t="n">
        <x:f>_xlfn.COVARIANCE.S('Common sample'!L6:L75,'Common sample'!AQ6:AQ75)</x:f>
        <x:v>0.00044872854177419025</x:v>
      </x:c>
      <x:c r="AR16" s="41" t="n">
        <x:f>_xlfn.COVARIANCE.S('Common sample'!L6:L75,'Common sample'!AR6:AR75)</x:f>
        <x:v>-0.0006873503806779389</x:v>
      </x:c>
    </x:row>
    <x:row r="17" ht="19" customHeight="1">
      <x:c r="A17" s="29" t="str">
        <x:v>NTR</x:v>
      </x:c>
      <x:c r="B17" s="41" t="n">
        <x:f>_xlfn.COVARIANCE.S('Common sample'!M6:M75,'Common sample'!B6:B75)</x:f>
        <x:v>0.0010874477667830928</x:v>
      </x:c>
      <x:c r="C17" s="41" t="n">
        <x:f>_xlfn.COVARIANCE.S('Common sample'!M6:M75,'Common sample'!C6:C75)</x:f>
        <x:v>0.001195570105488627</x:v>
      </x:c>
      <x:c r="D17" s="41" t="n">
        <x:f>_xlfn.COVARIANCE.S('Common sample'!M6:M75,'Common sample'!D6:D75)</x:f>
        <x:v>0.00006262711562252547</x:v>
      </x:c>
      <x:c r="E17" s="41" t="n">
        <x:f>_xlfn.COVARIANCE.S('Common sample'!M6:M75,'Common sample'!E6:E75)</x:f>
        <x:v>0.00012074580500932118</x:v>
      </x:c>
      <x:c r="F17" s="41" t="n">
        <x:f>_xlfn.COVARIANCE.S('Common sample'!M6:M75,'Common sample'!F6:F75)</x:f>
        <x:v>0.0006298274879578125</x:v>
      </x:c>
      <x:c r="G17" s="41" t="n">
        <x:f>_xlfn.COVARIANCE.S('Common sample'!M6:M75,'Common sample'!G6:G75)</x:f>
        <x:v>0.0008643570878100797</x:v>
      </x:c>
      <x:c r="H17" s="41" t="n">
        <x:f>_xlfn.COVARIANCE.S('Common sample'!M6:M75,'Common sample'!H6:H75)</x:f>
        <x:v>-0.0000920027131568215</x:v>
      </x:c>
      <x:c r="I17" s="41" t="n">
        <x:f>_xlfn.COVARIANCE.S('Common sample'!M6:M75,'Common sample'!I6:I75)</x:f>
        <x:v>0.00017915922071563912</x:v>
      </x:c>
      <x:c r="J17" s="41" t="n">
        <x:f>_xlfn.COVARIANCE.S('Common sample'!M6:M75,'Common sample'!J6:J75)</x:f>
        <x:v>-0.0007699999253424221</x:v>
      </x:c>
      <x:c r="K17" s="41" t="n">
        <x:f>_xlfn.COVARIANCE.S('Common sample'!M6:M75,'Common sample'!K6:K75)</x:f>
        <x:v>0.0007497591892802014</x:v>
      </x:c>
      <x:c r="L17" s="41" t="n">
        <x:f>_xlfn.COVARIANCE.S('Common sample'!M6:M75,'Common sample'!L6:L75)</x:f>
        <x:v>0.002795981820817678</x:v>
      </x:c>
      <x:c r="M17" s="41" t="n">
        <x:f>_xlfn.COVARIANCE.S('Common sample'!M6:M75,'Common sample'!M6:M75)</x:f>
        <x:v>0.0037416784153643376</x:v>
      </x:c>
      <x:c r="N17" s="41" t="n">
        <x:f>_xlfn.COVARIANCE.S('Common sample'!M6:M75,'Common sample'!N6:N75)</x:f>
        <x:v>0.0005652483207565866</x:v>
      </x:c>
      <x:c r="O17" s="41" t="n">
        <x:f>_xlfn.COVARIANCE.S('Common sample'!M6:M75,'Common sample'!O6:O75)</x:f>
        <x:v>-0.0016717749314654768</x:v>
      </x:c>
      <x:c r="P17" s="41" t="n">
        <x:f>_xlfn.COVARIANCE.S('Common sample'!M6:M75,'Common sample'!P6:P75)</x:f>
        <x:v>0.00009311181436946315</x:v>
      </x:c>
      <x:c r="Q17" s="41" t="n">
        <x:f>_xlfn.COVARIANCE.S('Common sample'!M6:M75,'Common sample'!Q6:Q75)</x:f>
        <x:v>-0.0009166751420395292</x:v>
      </x:c>
      <x:c r="R17" s="41" t="n">
        <x:f>_xlfn.COVARIANCE.S('Common sample'!M6:M75,'Common sample'!R6:R75)</x:f>
        <x:v>0.0008546288608782174</x:v>
      </x:c>
      <x:c r="S17" s="41" t="n">
        <x:f>_xlfn.COVARIANCE.S('Common sample'!M6:M75,'Common sample'!S6:S75)</x:f>
        <x:v>0.0012924193978476341</x:v>
      </x:c>
      <x:c r="T17" s="41" t="n">
        <x:f>_xlfn.COVARIANCE.S('Common sample'!M6:M75,'Common sample'!T6:T75)</x:f>
        <x:v>0.001000845578908837</x:v>
      </x:c>
      <x:c r="U17" s="41" t="n">
        <x:f>_xlfn.COVARIANCE.S('Common sample'!M6:M75,'Common sample'!U6:U75)</x:f>
        <x:v>0.0007669140542158966</x:v>
      </x:c>
      <x:c r="V17" s="41" t="n">
        <x:f>_xlfn.COVARIANCE.S('Common sample'!M6:M75,'Common sample'!V6:V75)</x:f>
        <x:v>0.0002279438030949306</x:v>
      </x:c>
      <x:c r="W17" s="41" t="n">
        <x:f>_xlfn.COVARIANCE.S('Common sample'!M6:M75,'Common sample'!W6:W75)</x:f>
        <x:v>-0.0007496090510686705</x:v>
      </x:c>
      <x:c r="X17" s="41" t="n">
        <x:f>_xlfn.COVARIANCE.S('Common sample'!M6:M75,'Common sample'!X6:X75)</x:f>
        <x:v>-0.0015967144337218427</x:v>
      </x:c>
      <x:c r="Y17" s="41" t="n">
        <x:f>_xlfn.COVARIANCE.S('Common sample'!M6:M75,'Common sample'!Y6:Y75)</x:f>
        <x:v>-0.0005999414130729172</x:v>
      </x:c>
      <x:c r="Z17" s="41" t="n">
        <x:f>_xlfn.COVARIANCE.S('Common sample'!M6:M75,'Common sample'!Z6:Z75)</x:f>
        <x:v>-0.0004884969343924088</x:v>
      </x:c>
      <x:c r="AA17" s="41" t="n">
        <x:f>_xlfn.COVARIANCE.S('Common sample'!M6:M75,'Common sample'!AA6:AA75)</x:f>
        <x:v>-0.0009162000659617918</x:v>
      </x:c>
      <x:c r="AB17" s="41" t="n">
        <x:f>_xlfn.COVARIANCE.S('Common sample'!M6:M75,'Common sample'!AB6:AB75)</x:f>
        <x:v>-0.0002448163350551431</x:v>
      </x:c>
      <x:c r="AC17" s="41" t="n">
        <x:f>_xlfn.COVARIANCE.S('Common sample'!M6:M75,'Common sample'!AC6:AC75)</x:f>
        <x:v>-0.00048204948940079443</x:v>
      </x:c>
      <x:c r="AD17" s="41" t="n">
        <x:f>_xlfn.COVARIANCE.S('Common sample'!M6:M75,'Common sample'!AD6:AD75)</x:f>
        <x:v>0.000302559568017652</x:v>
      </x:c>
      <x:c r="AE17" s="41" t="n">
        <x:f>_xlfn.COVARIANCE.S('Common sample'!M6:M75,'Common sample'!AE6:AE75)</x:f>
        <x:v>-0.00024560664424762155</x:v>
      </x:c>
      <x:c r="AF17" s="41" t="n">
        <x:f>_xlfn.COVARIANCE.S('Common sample'!M6:M75,'Common sample'!AF6:AF75)</x:f>
        <x:v>-0.0004589811467371033</x:v>
      </x:c>
      <x:c r="AG17" s="41" t="n">
        <x:f>_xlfn.COVARIANCE.S('Common sample'!M6:M75,'Common sample'!AG6:AG75)</x:f>
        <x:v>-0.0003928299555736717</x:v>
      </x:c>
      <x:c r="AH17" s="41" t="n">
        <x:f>_xlfn.COVARIANCE.S('Common sample'!M6:M75,'Common sample'!AH6:AH75)</x:f>
        <x:v>0.00010432753029173215</x:v>
      </x:c>
      <x:c r="AI17" s="41" t="n">
        <x:f>_xlfn.COVARIANCE.S('Common sample'!M6:M75,'Common sample'!AI6:AI75)</x:f>
        <x:v>-0.00022498158518553687</x:v>
      </x:c>
      <x:c r="AJ17" s="41" t="n">
        <x:f>_xlfn.COVARIANCE.S('Common sample'!M6:M75,'Common sample'!AJ6:AJ75)</x:f>
        <x:v>0.0002513703025432982</x:v>
      </x:c>
      <x:c r="AK17" s="41" t="n">
        <x:f>_xlfn.COVARIANCE.S('Common sample'!M6:M75,'Common sample'!AK6:AK75)</x:f>
        <x:v>0.00018521913002338732</x:v>
      </x:c>
      <x:c r="AL17" s="41" t="n">
        <x:f>_xlfn.COVARIANCE.S('Common sample'!M6:M75,'Common sample'!AL6:AL75)</x:f>
        <x:v>0.0006010189572257507</x:v>
      </x:c>
      <x:c r="AM17" s="41" t="n">
        <x:f>_xlfn.COVARIANCE.S('Common sample'!M6:M75,'Common sample'!AM6:AM75)</x:f>
        <x:v>0.00022651435704745774</x:v>
      </x:c>
      <x:c r="AN17" s="41" t="n">
        <x:f>_xlfn.COVARIANCE.S('Common sample'!M6:M75,'Common sample'!AN6:AN75)</x:f>
        <x:v>0.0002453935319452594</x:v>
      </x:c>
      <x:c r="AO17" s="41" t="n">
        <x:f>_xlfn.COVARIANCE.S('Common sample'!M6:M75,'Common sample'!AO6:AO75)</x:f>
        <x:v>-0.0007360456190160547</x:v>
      </x:c>
      <x:c r="AP17" s="41" t="n">
        <x:f>_xlfn.COVARIANCE.S('Common sample'!M6:M75,'Common sample'!AP6:AP75)</x:f>
        <x:v>-0.00021249072181159565</x:v>
      </x:c>
      <x:c r="AQ17" s="41" t="n">
        <x:f>_xlfn.COVARIANCE.S('Common sample'!M6:M75,'Common sample'!AQ6:AQ75)</x:f>
        <x:v>0.00035434101701175885</x:v>
      </x:c>
      <x:c r="AR17" s="41" t="n">
        <x:f>_xlfn.COVARIANCE.S('Common sample'!M6:M75,'Common sample'!AR6:AR75)</x:f>
        <x:v>-0.00011949707013275758</x:v>
      </x:c>
    </x:row>
    <x:row r="18" ht="19" customHeight="1">
      <x:c r="A18" s="29" t="str">
        <x:v>LNN</x:v>
      </x:c>
      <x:c r="B18" s="41" t="n">
        <x:f>_xlfn.COVARIANCE.S('Common sample'!N6:N75,'Common sample'!B6:B75)</x:f>
        <x:v>0.00002974401442857306</x:v>
      </x:c>
      <x:c r="C18" s="41" t="n">
        <x:f>_xlfn.COVARIANCE.S('Common sample'!N6:N75,'Common sample'!C6:C75)</x:f>
        <x:v>-0.0009117641526892026</x:v>
      </x:c>
      <x:c r="D18" s="41" t="n">
        <x:f>_xlfn.COVARIANCE.S('Common sample'!N6:N75,'Common sample'!D6:D75)</x:f>
        <x:v>0.0002251071150297433</x:v>
      </x:c>
      <x:c r="E18" s="41" t="n">
        <x:f>_xlfn.COVARIANCE.S('Common sample'!N6:N75,'Common sample'!E6:E75)</x:f>
        <x:v>0.0002235793895263421</x:v>
      </x:c>
      <x:c r="F18" s="41" t="n">
        <x:f>_xlfn.COVARIANCE.S('Common sample'!N6:N75,'Common sample'!F6:F75)</x:f>
        <x:v>-0.00005760892842471781</x:v>
      </x:c>
      <x:c r="G18" s="41" t="n">
        <x:f>_xlfn.COVARIANCE.S('Common sample'!N6:N75,'Common sample'!G6:G75)</x:f>
        <x:v>0.00027495502512372337</x:v>
      </x:c>
      <x:c r="H18" s="41" t="n">
        <x:f>_xlfn.COVARIANCE.S('Common sample'!N6:N75,'Common sample'!H6:H75)</x:f>
        <x:v>-0.0006641768159477531</x:v>
      </x:c>
      <x:c r="I18" s="41" t="n">
        <x:f>_xlfn.COVARIANCE.S('Common sample'!N6:N75,'Common sample'!I6:I75)</x:f>
        <x:v>0.00024761230743896684</x:v>
      </x:c>
      <x:c r="J18" s="41" t="n">
        <x:f>_xlfn.COVARIANCE.S('Common sample'!N6:N75,'Common sample'!J6:J75)</x:f>
        <x:v>-0.0010082051987280669</x:v>
      </x:c>
      <x:c r="K18" s="41" t="n">
        <x:f>_xlfn.COVARIANCE.S('Common sample'!N6:N75,'Common sample'!K6:K75)</x:f>
        <x:v>0.00014734773646587107</x:v>
      </x:c>
      <x:c r="L18" s="41" t="n">
        <x:f>_xlfn.COVARIANCE.S('Common sample'!N6:N75,'Common sample'!L6:L75)</x:f>
        <x:v>0.0007044547902881421</x:v>
      </x:c>
      <x:c r="M18" s="41" t="n">
        <x:f>_xlfn.COVARIANCE.S('Common sample'!N6:N75,'Common sample'!M6:M75)</x:f>
        <x:v>0.0005652483207565866</x:v>
      </x:c>
      <x:c r="N18" s="41" t="n">
        <x:f>_xlfn.COVARIANCE.S('Common sample'!N6:N75,'Common sample'!N6:N75)</x:f>
        <x:v>0.0033046879170596437</x:v>
      </x:c>
      <x:c r="O18" s="41" t="n">
        <x:f>_xlfn.COVARIANCE.S('Common sample'!N6:N75,'Common sample'!O6:O75)</x:f>
        <x:v>-0.001325472184625829</x:v>
      </x:c>
      <x:c r="P18" s="41" t="n">
        <x:f>_xlfn.COVARIANCE.S('Common sample'!N6:N75,'Common sample'!P6:P75)</x:f>
        <x:v>0.0013770486086790725</x:v>
      </x:c>
      <x:c r="Q18" s="41" t="n">
        <x:f>_xlfn.COVARIANCE.S('Common sample'!N6:N75,'Common sample'!Q6:Q75)</x:f>
        <x:v>0.0003703952962160798</x:v>
      </x:c>
      <x:c r="R18" s="41" t="n">
        <x:f>_xlfn.COVARIANCE.S('Common sample'!N6:N75,'Common sample'!R6:R75)</x:f>
        <x:v>-0.0004486996351493017</x:v>
      </x:c>
      <x:c r="S18" s="41" t="n">
        <x:f>_xlfn.COVARIANCE.S('Common sample'!N6:N75,'Common sample'!S6:S75)</x:f>
        <x:v>0.0007979419939383671</x:v>
      </x:c>
      <x:c r="T18" s="41" t="n">
        <x:f>_xlfn.COVARIANCE.S('Common sample'!N6:N75,'Common sample'!T6:T75)</x:f>
        <x:v>0.0014220758319544251</x:v>
      </x:c>
      <x:c r="U18" s="41" t="n">
        <x:f>_xlfn.COVARIANCE.S('Common sample'!N6:N75,'Common sample'!U6:U75)</x:f>
        <x:v>0.0019686169049937985</x:v>
      </x:c>
      <x:c r="V18" s="41" t="n">
        <x:f>_xlfn.COVARIANCE.S('Common sample'!N6:N75,'Common sample'!V6:V75)</x:f>
        <x:v>0.0012116358726272946</x:v>
      </x:c>
      <x:c r="W18" s="41" t="n">
        <x:f>_xlfn.COVARIANCE.S('Common sample'!N6:N75,'Common sample'!W6:W75)</x:f>
        <x:v>-0.0003154602927545263</x:v>
      </x:c>
      <x:c r="X18" s="41" t="n">
        <x:f>_xlfn.COVARIANCE.S('Common sample'!N6:N75,'Common sample'!X6:X75)</x:f>
        <x:v>-0.0011781302612093967</x:v>
      </x:c>
      <x:c r="Y18" s="41" t="n">
        <x:f>_xlfn.COVARIANCE.S('Common sample'!N6:N75,'Common sample'!Y6:Y75)</x:f>
        <x:v>-0.0008614721196523389</x:v>
      </x:c>
      <x:c r="Z18" s="41" t="n">
        <x:f>_xlfn.COVARIANCE.S('Common sample'!N6:N75,'Common sample'!Z6:Z75)</x:f>
        <x:v>0.0007838877953276059</x:v>
      </x:c>
      <x:c r="AA18" s="41" t="n">
        <x:f>_xlfn.COVARIANCE.S('Common sample'!N6:N75,'Common sample'!AA6:AA75)</x:f>
        <x:v>-0.003046082662452888</x:v>
      </x:c>
      <x:c r="AB18" s="41" t="n">
        <x:f>_xlfn.COVARIANCE.S('Common sample'!N6:N75,'Common sample'!AB6:AB75)</x:f>
        <x:v>0.0011474265730388575</x:v>
      </x:c>
      <x:c r="AC18" s="41" t="n">
        <x:f>_xlfn.COVARIANCE.S('Common sample'!N6:N75,'Common sample'!AC6:AC75)</x:f>
        <x:v>0.00017531919072078932</x:v>
      </x:c>
      <x:c r="AD18" s="41" t="n">
        <x:f>_xlfn.COVARIANCE.S('Common sample'!N6:N75,'Common sample'!AD6:AD75)</x:f>
        <x:v>-0.00006492341879786268</x:v>
      </x:c>
      <x:c r="AE18" s="41" t="n">
        <x:f>_xlfn.COVARIANCE.S('Common sample'!N6:N75,'Common sample'!AE6:AE75)</x:f>
        <x:v>0.00097593269652166</x:v>
      </x:c>
      <x:c r="AF18" s="41" t="n">
        <x:f>_xlfn.COVARIANCE.S('Common sample'!N6:N75,'Common sample'!AF6:AF75)</x:f>
        <x:v>0.0005675828753432626</x:v>
      </x:c>
      <x:c r="AG18" s="41" t="n">
        <x:f>_xlfn.COVARIANCE.S('Common sample'!N6:N75,'Common sample'!AG6:AG75)</x:f>
        <x:v>-0.0008692006781217016</x:v>
      </x:c>
      <x:c r="AH18" s="41" t="n">
        <x:f>_xlfn.COVARIANCE.S('Common sample'!N6:N75,'Common sample'!AH6:AH75)</x:f>
        <x:v>-0.0008135746160073997</x:v>
      </x:c>
      <x:c r="AI18" s="41" t="n">
        <x:f>_xlfn.COVARIANCE.S('Common sample'!N6:N75,'Common sample'!AI6:AI75)</x:f>
        <x:v>-0.00027672089433223364</x:v>
      </x:c>
      <x:c r="AJ18" s="41" t="n">
        <x:f>_xlfn.COVARIANCE.S('Common sample'!N6:N75,'Common sample'!AJ6:AJ75)</x:f>
        <x:v>-0.00011092371708538178</x:v>
      </x:c>
      <x:c r="AK18" s="41" t="n">
        <x:f>_xlfn.COVARIANCE.S('Common sample'!N6:N75,'Common sample'!AK6:AK75)</x:f>
        <x:v>-0.0004709886139509916</x:v>
      </x:c>
      <x:c r="AL18" s="41" t="n">
        <x:f>_xlfn.COVARIANCE.S('Common sample'!N6:N75,'Common sample'!AL6:AL75)</x:f>
        <x:v>-0.00031137009214286305</x:v>
      </x:c>
      <x:c r="AM18" s="41" t="n">
        <x:f>_xlfn.COVARIANCE.S('Common sample'!N6:N75,'Common sample'!AM6:AM75)</x:f>
        <x:v>-0.0006265057751990896</x:v>
      </x:c>
      <x:c r="AN18" s="41" t="n">
        <x:f>_xlfn.COVARIANCE.S('Common sample'!N6:N75,'Common sample'!AN6:AN75)</x:f>
        <x:v>0.000538521384978686</x:v>
      </x:c>
      <x:c r="AO18" s="41" t="n">
        <x:f>_xlfn.COVARIANCE.S('Common sample'!N6:N75,'Common sample'!AO6:AO75)</x:f>
        <x:v>0.0002122648323895905</x:v>
      </x:c>
      <x:c r="AP18" s="41" t="n">
        <x:f>_xlfn.COVARIANCE.S('Common sample'!N6:N75,'Common sample'!AP6:AP75)</x:f>
        <x:v>-0.00007538102845730902</x:v>
      </x:c>
      <x:c r="AQ18" s="41" t="n">
        <x:f>_xlfn.COVARIANCE.S('Common sample'!N6:N75,'Common sample'!AQ6:AQ75)</x:f>
        <x:v>0.0001695938427539978</x:v>
      </x:c>
      <x:c r="AR18" s="41" t="n">
        <x:f>_xlfn.COVARIANCE.S('Common sample'!N6:N75,'Common sample'!AR6:AR75)</x:f>
        <x:v>0.00020079723213913778</x:v>
      </x:c>
    </x:row>
    <x:row r="19" ht="19" customHeight="1">
      <x:c r="A19" s="29" t="str">
        <x:v>WDC</x:v>
      </x:c>
      <x:c r="B19" s="41" t="n">
        <x:f>_xlfn.COVARIANCE.S('Common sample'!O6:O75,'Common sample'!B6:B75)</x:f>
        <x:v>-0.0008251968952611233</x:v>
      </x:c>
      <x:c r="C19" s="41" t="n">
        <x:f>_xlfn.COVARIANCE.S('Common sample'!O6:O75,'Common sample'!C6:C75)</x:f>
        <x:v>0.0006026862454534299</x:v>
      </x:c>
      <x:c r="D19" s="41" t="n">
        <x:f>_xlfn.COVARIANCE.S('Common sample'!O6:O75,'Common sample'!D6:D75)</x:f>
        <x:v>0.001387813821392077</x:v>
      </x:c>
      <x:c r="E19" s="41" t="n">
        <x:f>_xlfn.COVARIANCE.S('Common sample'!O6:O75,'Common sample'!E6:E75)</x:f>
        <x:v>0.0014362847821203194</x:v>
      </x:c>
      <x:c r="F19" s="41" t="n">
        <x:f>_xlfn.COVARIANCE.S('Common sample'!O6:O75,'Common sample'!F6:F75)</x:f>
        <x:v>0.0011075778090306287</x:v>
      </x:c>
      <x:c r="G19" s="41" t="n">
        <x:f>_xlfn.COVARIANCE.S('Common sample'!O6:O75,'Common sample'!G6:G75)</x:f>
        <x:v>-0.0044315397585632296</x:v>
      </x:c>
      <x:c r="H19" s="41" t="n">
        <x:f>_xlfn.COVARIANCE.S('Common sample'!O6:O75,'Common sample'!H6:H75)</x:f>
        <x:v>0.000982738505608595</x:v>
      </x:c>
      <x:c r="I19" s="41" t="n">
        <x:f>_xlfn.COVARIANCE.S('Common sample'!O6:O75,'Common sample'!I6:I75)</x:f>
        <x:v>0.004369028474674251</x:v>
      </x:c>
      <x:c r="J19" s="41" t="n">
        <x:f>_xlfn.COVARIANCE.S('Common sample'!O6:O75,'Common sample'!J6:J75)</x:f>
        <x:v>0.012443655723919053</x:v>
      </x:c>
      <x:c r="K19" s="41" t="n">
        <x:f>_xlfn.COVARIANCE.S('Common sample'!O6:O75,'Common sample'!K6:K75)</x:f>
        <x:v>-0.0006628657672834531</x:v>
      </x:c>
      <x:c r="L19" s="41" t="n">
        <x:f>_xlfn.COVARIANCE.S('Common sample'!O6:O75,'Common sample'!L6:L75)</x:f>
        <x:v>-0.002671689483156447</x:v>
      </x:c>
      <x:c r="M19" s="41" t="n">
        <x:f>_xlfn.COVARIANCE.S('Common sample'!O6:O75,'Common sample'!M6:M75)</x:f>
        <x:v>-0.0016717749314654768</x:v>
      </x:c>
      <x:c r="N19" s="41" t="n">
        <x:f>_xlfn.COVARIANCE.S('Common sample'!O6:O75,'Common sample'!N6:N75)</x:f>
        <x:v>-0.001325472184625829</x:v>
      </x:c>
      <x:c r="O19" s="41" t="n">
        <x:f>_xlfn.COVARIANCE.S('Common sample'!O6:O75,'Common sample'!O6:O75)</x:f>
        <x:v>0.01852446912181074</x:v>
      </x:c>
      <x:c r="P19" s="41" t="n">
        <x:f>_xlfn.COVARIANCE.S('Common sample'!O6:O75,'Common sample'!P6:P75)</x:f>
        <x:v>-0.002546870892228285</x:v>
      </x:c>
      <x:c r="Q19" s="41" t="n">
        <x:f>_xlfn.COVARIANCE.S('Common sample'!O6:O75,'Common sample'!Q6:Q75)</x:f>
        <x:v>0.0049969501701176535</x:v>
      </x:c>
      <x:c r="R19" s="41" t="n">
        <x:f>_xlfn.COVARIANCE.S('Common sample'!O6:O75,'Common sample'!R6:R75)</x:f>
        <x:v>-0.0019029327800909183</x:v>
      </x:c>
      <x:c r="S19" s="41" t="n">
        <x:f>_xlfn.COVARIANCE.S('Common sample'!O6:O75,'Common sample'!S6:S75)</x:f>
        <x:v>-0.003116933982170764</x:v>
      </x:c>
      <x:c r="T19" s="41" t="n">
        <x:f>_xlfn.COVARIANCE.S('Common sample'!O6:O75,'Common sample'!T6:T75)</x:f>
        <x:v>0.0026906810361922297</x:v>
      </x:c>
      <x:c r="U19" s="41" t="n">
        <x:f>_xlfn.COVARIANCE.S('Common sample'!O6:O75,'Common sample'!U6:U75)</x:f>
        <x:v>-0.004095060473579609</x:v>
      </x:c>
      <x:c r="V19" s="41" t="n">
        <x:f>_xlfn.COVARIANCE.S('Common sample'!O6:O75,'Common sample'!V6:V75)</x:f>
        <x:v>-0.0032142373421131915</x:v>
      </x:c>
      <x:c r="W19" s="41" t="n">
        <x:f>_xlfn.COVARIANCE.S('Common sample'!O6:O75,'Common sample'!W6:W75)</x:f>
        <x:v>-0.0014704170106228545</x:v>
      </x:c>
      <x:c r="X19" s="41" t="n">
        <x:f>_xlfn.COVARIANCE.S('Common sample'!O6:O75,'Common sample'!X6:X75)</x:f>
        <x:v>0.013606564335155353</x:v>
      </x:c>
      <x:c r="Y19" s="41" t="n">
        <x:f>_xlfn.COVARIANCE.S('Common sample'!O6:O75,'Common sample'!Y6:Y75)</x:f>
        <x:v>0.003248338321982451</x:v>
      </x:c>
      <x:c r="Z19" s="41" t="n">
        <x:f>_xlfn.COVARIANCE.S('Common sample'!O6:O75,'Common sample'!Z6:Z75)</x:f>
        <x:v>0.00001022111935785273</x:v>
      </x:c>
      <x:c r="AA19" s="41" t="n">
        <x:f>_xlfn.COVARIANCE.S('Common sample'!O6:O75,'Common sample'!AA6:AA75)</x:f>
        <x:v>0.0032063644247593056</x:v>
      </x:c>
      <x:c r="AB19" s="41" t="n">
        <x:f>_xlfn.COVARIANCE.S('Common sample'!O6:O75,'Common sample'!AB6:AB75)</x:f>
        <x:v>-0.002276197748638751</x:v>
      </x:c>
      <x:c r="AC19" s="41" t="n">
        <x:f>_xlfn.COVARIANCE.S('Common sample'!O6:O75,'Common sample'!AC6:AC75)</x:f>
        <x:v>0.0012777706314338008</x:v>
      </x:c>
      <x:c r="AD19" s="41" t="n">
        <x:f>_xlfn.COVARIANCE.S('Common sample'!O6:O75,'Common sample'!AD6:AD75)</x:f>
        <x:v>0.0013620881321023575</x:v>
      </x:c>
      <x:c r="AE19" s="41" t="n">
        <x:f>_xlfn.COVARIANCE.S('Common sample'!O6:O75,'Common sample'!AE6:AE75)</x:f>
        <x:v>0.0004928238444200005</x:v>
      </x:c>
      <x:c r="AF19" s="41" t="n">
        <x:f>_xlfn.COVARIANCE.S('Common sample'!O6:O75,'Common sample'!AF6:AF75)</x:f>
        <x:v>-0.0016138160817561207</x:v>
      </x:c>
      <x:c r="AG19" s="41" t="n">
        <x:f>_xlfn.COVARIANCE.S('Common sample'!O6:O75,'Common sample'!AG6:AG75)</x:f>
        <x:v>0.000281112797770919</x:v>
      </x:c>
      <x:c r="AH19" s="41" t="n">
        <x:f>_xlfn.COVARIANCE.S('Common sample'!O6:O75,'Common sample'!AH6:AH75)</x:f>
        <x:v>0.0026957833078193835</x:v>
      </x:c>
      <x:c r="AI19" s="41" t="n">
        <x:f>_xlfn.COVARIANCE.S('Common sample'!O6:O75,'Common sample'!AI6:AI75)</x:f>
        <x:v>0.0010252632056460514</x:v>
      </x:c>
      <x:c r="AJ19" s="41" t="n">
        <x:f>_xlfn.COVARIANCE.S('Common sample'!O6:O75,'Common sample'!AJ6:AJ75)</x:f>
        <x:v>0.0015456277015411149</x:v>
      </x:c>
      <x:c r="AK19" s="41" t="n">
        <x:f>_xlfn.COVARIANCE.S('Common sample'!O6:O75,'Common sample'!AK6:AK75)</x:f>
        <x:v>0.002769388921557767</x:v>
      </x:c>
      <x:c r="AL19" s="41" t="n">
        <x:f>_xlfn.COVARIANCE.S('Common sample'!O6:O75,'Common sample'!AL6:AL75)</x:f>
        <x:v>-0.0031972634747114703</x:v>
      </x:c>
      <x:c r="AM19" s="41" t="n">
        <x:f>_xlfn.COVARIANCE.S('Common sample'!O6:O75,'Common sample'!AM6:AM75)</x:f>
        <x:v>0.003051792635479016</x:v>
      </x:c>
      <x:c r="AN19" s="41" t="n">
        <x:f>_xlfn.COVARIANCE.S('Common sample'!O6:O75,'Common sample'!AN6:AN75)</x:f>
        <x:v>0.0005327722816406395</x:v>
      </x:c>
      <x:c r="AO19" s="41" t="n">
        <x:f>_xlfn.COVARIANCE.S('Common sample'!O6:O75,'Common sample'!AO6:AO75)</x:f>
        <x:v>0.001671564209427346</x:v>
      </x:c>
      <x:c r="AP19" s="41" t="n">
        <x:f>_xlfn.COVARIANCE.S('Common sample'!O6:O75,'Common sample'!AP6:AP75)</x:f>
        <x:v>0.0001860379243586302</x:v>
      </x:c>
      <x:c r="AQ19" s="41" t="n">
        <x:f>_xlfn.COVARIANCE.S('Common sample'!O6:O75,'Common sample'!AQ6:AQ75)</x:f>
        <x:v>0.000887086457220189</x:v>
      </x:c>
      <x:c r="AR19" s="41" t="n">
        <x:f>_xlfn.COVARIANCE.S('Common sample'!O6:O75,'Common sample'!AR6:AR75)</x:f>
        <x:v>0.0002046020967366969</x:v>
      </x:c>
    </x:row>
    <x:row r="20" ht="19" customHeight="1">
      <x:c r="A20" s="29" t="str">
        <x:v>ASND</x:v>
      </x:c>
      <x:c r="B20" s="41" t="n">
        <x:f>_xlfn.COVARIANCE.S('Common sample'!P6:P75,'Common sample'!B6:B75)</x:f>
        <x:v>-0.00017106922634709307</x:v>
      </x:c>
      <x:c r="C20" s="41" t="n">
        <x:f>_xlfn.COVARIANCE.S('Common sample'!P6:P75,'Common sample'!C6:C75)</x:f>
        <x:v>-0.0002716127026862527</x:v>
      </x:c>
      <x:c r="D20" s="41" t="n">
        <x:f>_xlfn.COVARIANCE.S('Common sample'!P6:P75,'Common sample'!D6:D75)</x:f>
        <x:v>-0.00018093843949891183</x:v>
      </x:c>
      <x:c r="E20" s="41" t="n">
        <x:f>_xlfn.COVARIANCE.S('Common sample'!P6:P75,'Common sample'!E6:E75)</x:f>
        <x:v>0.0001405390845095729</x:v>
      </x:c>
      <x:c r="F20" s="41" t="n">
        <x:f>_xlfn.COVARIANCE.S('Common sample'!P6:P75,'Common sample'!F6:F75)</x:f>
        <x:v>-0.0009578446843767754</x:v>
      </x:c>
      <x:c r="G20" s="41" t="n">
        <x:f>_xlfn.COVARIANCE.S('Common sample'!P6:P75,'Common sample'!G6:G75)</x:f>
        <x:v>-0.0008332091071071364</x:v>
      </x:c>
      <x:c r="H20" s="41" t="n">
        <x:f>_xlfn.COVARIANCE.S('Common sample'!P6:P75,'Common sample'!H6:H75)</x:f>
        <x:v>-0.0017628494693208193</x:v>
      </x:c>
      <x:c r="I20" s="41" t="n">
        <x:f>_xlfn.COVARIANCE.S('Common sample'!P6:P75,'Common sample'!I6:I75)</x:f>
        <x:v>-0.00041395565693132144</x:v>
      </x:c>
      <x:c r="J20" s="41" t="n">
        <x:f>_xlfn.COVARIANCE.S('Common sample'!P6:P75,'Common sample'!J6:J75)</x:f>
        <x:v>-0.0025072264066697677</x:v>
      </x:c>
      <x:c r="K20" s="41" t="n">
        <x:f>_xlfn.COVARIANCE.S('Common sample'!P6:P75,'Common sample'!K6:K75)</x:f>
        <x:v>0.001196480345969322</x:v>
      </x:c>
      <x:c r="L20" s="41" t="n">
        <x:f>_xlfn.COVARIANCE.S('Common sample'!P6:P75,'Common sample'!L6:L75)</x:f>
        <x:v>0.0009635745341117929</x:v>
      </x:c>
      <x:c r="M20" s="41" t="n">
        <x:f>_xlfn.COVARIANCE.S('Common sample'!P6:P75,'Common sample'!M6:M75)</x:f>
        <x:v>0.00009311181436946315</x:v>
      </x:c>
      <x:c r="N20" s="41" t="n">
        <x:f>_xlfn.COVARIANCE.S('Common sample'!P6:P75,'Common sample'!N6:N75)</x:f>
        <x:v>0.0013770486086790725</x:v>
      </x:c>
      <x:c r="O20" s="41" t="n">
        <x:f>_xlfn.COVARIANCE.S('Common sample'!P6:P75,'Common sample'!O6:O75)</x:f>
        <x:v>-0.002546870892228285</x:v>
      </x:c>
      <x:c r="P20" s="41" t="n">
        <x:f>_xlfn.COVARIANCE.S('Common sample'!P6:P75,'Common sample'!P6:P75)</x:f>
        <x:v>0.011461839398223954</x:v>
      </x:c>
      <x:c r="Q20" s="41" t="n">
        <x:f>_xlfn.COVARIANCE.S('Common sample'!P6:P75,'Common sample'!Q6:Q75)</x:f>
        <x:v>0.0009604992747440253</x:v>
      </x:c>
      <x:c r="R20" s="41" t="n">
        <x:f>_xlfn.COVARIANCE.S('Common sample'!P6:P75,'Common sample'!R6:R75)</x:f>
        <x:v>0.00012679834314800463</x:v>
      </x:c>
      <x:c r="S20" s="41" t="n">
        <x:f>_xlfn.COVARIANCE.S('Common sample'!P6:P75,'Common sample'!S6:S75)</x:f>
        <x:v>0.0018653342950213972</x:v>
      </x:c>
      <x:c r="T20" s="41" t="n">
        <x:f>_xlfn.COVARIANCE.S('Common sample'!P6:P75,'Common sample'!T6:T75)</x:f>
        <x:v>0.00018777521264221205</x:v>
      </x:c>
      <x:c r="U20" s="41" t="n">
        <x:f>_xlfn.COVARIANCE.S('Common sample'!P6:P75,'Common sample'!U6:U75)</x:f>
        <x:v>0.0011841079685465947</x:v>
      </x:c>
      <x:c r="V20" s="41" t="n">
        <x:f>_xlfn.COVARIANCE.S('Common sample'!P6:P75,'Common sample'!V6:V75)</x:f>
        <x:v>0.0020799903369224495</x:v>
      </x:c>
      <x:c r="W20" s="41" t="n">
        <x:f>_xlfn.COVARIANCE.S('Common sample'!P6:P75,'Common sample'!W6:W75)</x:f>
        <x:v>-0.0007312072979988669</x:v>
      </x:c>
      <x:c r="X20" s="41" t="n">
        <x:f>_xlfn.COVARIANCE.S('Common sample'!P6:P75,'Common sample'!X6:X75)</x:f>
        <x:v>-0.001311719357025005</x:v>
      </x:c>
      <x:c r="Y20" s="41" t="n">
        <x:f>_xlfn.COVARIANCE.S('Common sample'!P6:P75,'Common sample'!Y6:Y75)</x:f>
        <x:v>-0.0011969843983188158</x:v>
      </x:c>
      <x:c r="Z20" s="41" t="n">
        <x:f>_xlfn.COVARIANCE.S('Common sample'!P6:P75,'Common sample'!Z6:Z75)</x:f>
        <x:v>0.0001901363702396571</x:v>
      </x:c>
      <x:c r="AA20" s="41" t="n">
        <x:f>_xlfn.COVARIANCE.S('Common sample'!P6:P75,'Common sample'!AA6:AA75)</x:f>
        <x:v>-0.00216785748830237</x:v>
      </x:c>
      <x:c r="AB20" s="41" t="n">
        <x:f>_xlfn.COVARIANCE.S('Common sample'!P6:P75,'Common sample'!AB6:AB75)</x:f>
        <x:v>-0.00268313057702587</x:v>
      </x:c>
      <x:c r="AC20" s="41" t="n">
        <x:f>_xlfn.COVARIANCE.S('Common sample'!P6:P75,'Common sample'!AC6:AC75)</x:f>
        <x:v>-0.0006312404291327877</x:v>
      </x:c>
      <x:c r="AD20" s="41" t="n">
        <x:f>_xlfn.COVARIANCE.S('Common sample'!P6:P75,'Common sample'!AD6:AD75)</x:f>
        <x:v>0.0006192138545804682</x:v>
      </x:c>
      <x:c r="AE20" s="41" t="n">
        <x:f>_xlfn.COVARIANCE.S('Common sample'!P6:P75,'Common sample'!AE6:AE75)</x:f>
        <x:v>-0.0002109961099757987</x:v>
      </x:c>
      <x:c r="AF20" s="41" t="n">
        <x:f>_xlfn.COVARIANCE.S('Common sample'!P6:P75,'Common sample'!AF6:AF75)</x:f>
        <x:v>0.0012584697083914144</x:v>
      </x:c>
      <x:c r="AG20" s="41" t="n">
        <x:f>_xlfn.COVARIANCE.S('Common sample'!P6:P75,'Common sample'!AG6:AG75)</x:f>
        <x:v>-0.0006360065348655771</x:v>
      </x:c>
      <x:c r="AH20" s="41" t="n">
        <x:f>_xlfn.COVARIANCE.S('Common sample'!P6:P75,'Common sample'!AH6:AH75)</x:f>
        <x:v>0.0006004703289020034</x:v>
      </x:c>
      <x:c r="AI20" s="41" t="n">
        <x:f>_xlfn.COVARIANCE.S('Common sample'!P6:P75,'Common sample'!AI6:AI75)</x:f>
        <x:v>-0.00013658371719937293</x:v>
      </x:c>
      <x:c r="AJ20" s="41" t="n">
        <x:f>_xlfn.COVARIANCE.S('Common sample'!P6:P75,'Common sample'!AJ6:AJ75)</x:f>
        <x:v>-0.0012575051392491945</x:v>
      </x:c>
      <x:c r="AK20" s="41" t="n">
        <x:f>_xlfn.COVARIANCE.S('Common sample'!P6:P75,'Common sample'!AK6:AK75)</x:f>
        <x:v>-0.000016129978901890704</x:v>
      </x:c>
      <x:c r="AL20" s="41" t="n">
        <x:f>_xlfn.COVARIANCE.S('Common sample'!P6:P75,'Common sample'!AL6:AL75)</x:f>
        <x:v>-0.002267491861611547</x:v>
      </x:c>
      <x:c r="AM20" s="41" t="n">
        <x:f>_xlfn.COVARIANCE.S('Common sample'!P6:P75,'Common sample'!AM6:AM75)</x:f>
        <x:v>-0.0022755155241488494</x:v>
      </x:c>
      <x:c r="AN20" s="41" t="n">
        <x:f>_xlfn.COVARIANCE.S('Common sample'!P6:P75,'Common sample'!AN6:AN75)</x:f>
        <x:v>0.00016601965059277057</x:v>
      </x:c>
      <x:c r="AO20" s="41" t="n">
        <x:f>_xlfn.COVARIANCE.S('Common sample'!P6:P75,'Common sample'!AO6:AO75)</x:f>
        <x:v>0.00008936984923303793</x:v>
      </x:c>
      <x:c r="AP20" s="41" t="n">
        <x:f>_xlfn.COVARIANCE.S('Common sample'!P6:P75,'Common sample'!AP6:AP75)</x:f>
        <x:v>-0.00039835887044342065</x:v>
      </x:c>
      <x:c r="AQ20" s="41" t="n">
        <x:f>_xlfn.COVARIANCE.S('Common sample'!P6:P75,'Common sample'!AQ6:AQ75)</x:f>
        <x:v>0.00035404417495939097</x:v>
      </x:c>
      <x:c r="AR20" s="41" t="n">
        <x:f>_xlfn.COVARIANCE.S('Common sample'!P6:P75,'Common sample'!AR6:AR75)</x:f>
        <x:v>0.0002022240559843554</x:v>
      </x:c>
    </x:row>
    <x:row r="21" ht="19" customHeight="1">
      <x:c r="A21" s="29" t="str">
        <x:v>DOCN</x:v>
      </x:c>
      <x:c r="B21" s="41" t="n">
        <x:f>_xlfn.COVARIANCE.S('Common sample'!Q6:Q75,'Common sample'!B6:B75)</x:f>
        <x:v>-0.002306038676605167</x:v>
      </x:c>
      <x:c r="C21" s="41" t="n">
        <x:f>_xlfn.COVARIANCE.S('Common sample'!Q6:Q75,'Common sample'!C6:C75)</x:f>
        <x:v>0.004854208712287481</x:v>
      </x:c>
      <x:c r="D21" s="41" t="n">
        <x:f>_xlfn.COVARIANCE.S('Common sample'!Q6:Q75,'Common sample'!D6:D75)</x:f>
        <x:v>0.0008158352493546072</x:v>
      </x:c>
      <x:c r="E21" s="41" t="n">
        <x:f>_xlfn.COVARIANCE.S('Common sample'!Q6:Q75,'Common sample'!E6:E75)</x:f>
        <x:v>0.001409315106426363</x:v>
      </x:c>
      <x:c r="F21" s="41" t="n">
        <x:f>_xlfn.COVARIANCE.S('Common sample'!Q6:Q75,'Common sample'!F6:F75)</x:f>
        <x:v>-0.0015948050540717787</x:v>
      </x:c>
      <x:c r="G21" s="41" t="n">
        <x:f>_xlfn.COVARIANCE.S('Common sample'!Q6:Q75,'Common sample'!G6:G75)</x:f>
        <x:v>-0.004345757874861598</x:v>
      </x:c>
      <x:c r="H21" s="41" t="n">
        <x:f>_xlfn.COVARIANCE.S('Common sample'!Q6:Q75,'Common sample'!H6:H75)</x:f>
        <x:v>0.0004556587372488653</x:v>
      </x:c>
      <x:c r="I21" s="41" t="n">
        <x:f>_xlfn.COVARIANCE.S('Common sample'!Q6:Q75,'Common sample'!I6:I75)</x:f>
        <x:v>0.0022301308605749233</x:v>
      </x:c>
      <x:c r="J21" s="41" t="n">
        <x:f>_xlfn.COVARIANCE.S('Common sample'!Q6:Q75,'Common sample'!J6:J75)</x:f>
        <x:v>0.004070790549480758</x:v>
      </x:c>
      <x:c r="K21" s="41" t="n">
        <x:f>_xlfn.COVARIANCE.S('Common sample'!Q6:Q75,'Common sample'!K6:K75)</x:f>
        <x:v>-0.0000901944139798595</x:v>
      </x:c>
      <x:c r="L21" s="41" t="n">
        <x:f>_xlfn.COVARIANCE.S('Common sample'!Q6:Q75,'Common sample'!L6:L75)</x:f>
        <x:v>0.0012972020069145916</x:v>
      </x:c>
      <x:c r="M21" s="41" t="n">
        <x:f>_xlfn.COVARIANCE.S('Common sample'!Q6:Q75,'Common sample'!M6:M75)</x:f>
        <x:v>-0.0009166751420395292</x:v>
      </x:c>
      <x:c r="N21" s="41" t="n">
        <x:f>_xlfn.COVARIANCE.S('Common sample'!Q6:Q75,'Common sample'!N6:N75)</x:f>
        <x:v>0.0003703952962160798</x:v>
      </x:c>
      <x:c r="O21" s="41" t="n">
        <x:f>_xlfn.COVARIANCE.S('Common sample'!Q6:Q75,'Common sample'!O6:O75)</x:f>
        <x:v>0.0049969501701176535</x:v>
      </x:c>
      <x:c r="P21" s="41" t="n">
        <x:f>_xlfn.COVARIANCE.S('Common sample'!Q6:Q75,'Common sample'!P6:P75)</x:f>
        <x:v>0.0009604992747440253</x:v>
      </x:c>
      <x:c r="Q21" s="41" t="n">
        <x:f>_xlfn.COVARIANCE.S('Common sample'!Q6:Q75,'Common sample'!Q6:Q75)</x:f>
        <x:v>0.028283132853531016</x:v>
      </x:c>
      <x:c r="R21" s="41" t="n">
        <x:f>_xlfn.COVARIANCE.S('Common sample'!Q6:Q75,'Common sample'!R6:R75)</x:f>
        <x:v>-0.0007526653887489778</x:v>
      </x:c>
      <x:c r="S21" s="41" t="n">
        <x:f>_xlfn.COVARIANCE.S('Common sample'!Q6:Q75,'Common sample'!S6:S75)</x:f>
        <x:v>0.004672227658418121</x:v>
      </x:c>
      <x:c r="T21" s="41" t="n">
        <x:f>_xlfn.COVARIANCE.S('Common sample'!Q6:Q75,'Common sample'!T6:T75)</x:f>
        <x:v>-0.00015813559231405195</x:v>
      </x:c>
      <x:c r="U21" s="41" t="n">
        <x:f>_xlfn.COVARIANCE.S('Common sample'!Q6:Q75,'Common sample'!U6:U75)</x:f>
        <x:v>-0.006963497829114318</x:v>
      </x:c>
      <x:c r="V21" s="41" t="n">
        <x:f>_xlfn.COVARIANCE.S('Common sample'!Q6:Q75,'Common sample'!V6:V75)</x:f>
        <x:v>0.0017640418625782417</x:v>
      </x:c>
      <x:c r="W21" s="41" t="n">
        <x:f>_xlfn.COVARIANCE.S('Common sample'!Q6:Q75,'Common sample'!W6:W75)</x:f>
        <x:v>-0.0031364003955146</x:v>
      </x:c>
      <x:c r="X21" s="41" t="n">
        <x:f>_xlfn.COVARIANCE.S('Common sample'!Q6:Q75,'Common sample'!X6:X75)</x:f>
        <x:v>0.0027131884098265174</x:v>
      </x:c>
      <x:c r="Y21" s="41" t="n">
        <x:f>_xlfn.COVARIANCE.S('Common sample'!Q6:Q75,'Common sample'!Y6:Y75)</x:f>
        <x:v>-0.0013882830973582063</x:v>
      </x:c>
      <x:c r="Z21" s="41" t="n">
        <x:f>_xlfn.COVARIANCE.S('Common sample'!Q6:Q75,'Common sample'!Z6:Z75)</x:f>
        <x:v>-0.0009019714345701098</x:v>
      </x:c>
      <x:c r="AA21" s="41" t="n">
        <x:f>_xlfn.COVARIANCE.S('Common sample'!Q6:Q75,'Common sample'!AA6:AA75)</x:f>
        <x:v>-0.006931322792458298</x:v>
      </x:c>
      <x:c r="AB21" s="41" t="n">
        <x:f>_xlfn.COVARIANCE.S('Common sample'!Q6:Q75,'Common sample'!AB6:AB75)</x:f>
        <x:v>0.005877862833517404</x:v>
      </x:c>
      <x:c r="AC21" s="41" t="n">
        <x:f>_xlfn.COVARIANCE.S('Common sample'!Q6:Q75,'Common sample'!AC6:AC75)</x:f>
        <x:v>-0.0011386890950147723</x:v>
      </x:c>
      <x:c r="AD21" s="41" t="n">
        <x:f>_xlfn.COVARIANCE.S('Common sample'!Q6:Q75,'Common sample'!AD6:AD75)</x:f>
        <x:v>0.0007066668884395037</x:v>
      </x:c>
      <x:c r="AE21" s="41" t="n">
        <x:f>_xlfn.COVARIANCE.S('Common sample'!Q6:Q75,'Common sample'!AE6:AE75)</x:f>
        <x:v>0.001571556669100071</x:v>
      </x:c>
      <x:c r="AF21" s="41" t="n">
        <x:f>_xlfn.COVARIANCE.S('Common sample'!Q6:Q75,'Common sample'!AF6:AF75)</x:f>
        <x:v>-0.0029868637220398547</x:v>
      </x:c>
      <x:c r="AG21" s="41" t="n">
        <x:f>_xlfn.COVARIANCE.S('Common sample'!Q6:Q75,'Common sample'!AG6:AG75)</x:f>
        <x:v>0.00006007125851572725</x:v>
      </x:c>
      <x:c r="AH21" s="41" t="n">
        <x:f>_xlfn.COVARIANCE.S('Common sample'!Q6:Q75,'Common sample'!AH6:AH75)</x:f>
        <x:v>0.0024981019241811556</x:v>
      </x:c>
      <x:c r="AI21" s="41" t="n">
        <x:f>_xlfn.COVARIANCE.S('Common sample'!Q6:Q75,'Common sample'!AI6:AI75)</x:f>
        <x:v>0.0008275081757575024</x:v>
      </x:c>
      <x:c r="AJ21" s="41" t="n">
        <x:f>_xlfn.COVARIANCE.S('Common sample'!Q6:Q75,'Common sample'!AJ6:AJ75)</x:f>
        <x:v>0.0005649540081899369</x:v>
      </x:c>
      <x:c r="AK21" s="41" t="n">
        <x:f>_xlfn.COVARIANCE.S('Common sample'!Q6:Q75,'Common sample'!AK6:AK75)</x:f>
        <x:v>0.006793586189889034</x:v>
      </x:c>
      <x:c r="AL21" s="41" t="n">
        <x:f>_xlfn.COVARIANCE.S('Common sample'!Q6:Q75,'Common sample'!AL6:AL75)</x:f>
        <x:v>-0.003894601986394807</x:v>
      </x:c>
      <x:c r="AM21" s="41" t="n">
        <x:f>_xlfn.COVARIANCE.S('Common sample'!Q6:Q75,'Common sample'!AM6:AM75)</x:f>
        <x:v>0.0006440811007617455</x:v>
      </x:c>
      <x:c r="AN21" s="41" t="n">
        <x:f>_xlfn.COVARIANCE.S('Common sample'!Q6:Q75,'Common sample'!AN6:AN75)</x:f>
        <x:v>0.0011112528716807975</x:v>
      </x:c>
      <x:c r="AO21" s="41" t="n">
        <x:f>_xlfn.COVARIANCE.S('Common sample'!Q6:Q75,'Common sample'!AO6:AO75)</x:f>
        <x:v>-0.000979987886416955</x:v>
      </x:c>
      <x:c r="AP21" s="41" t="n">
        <x:f>_xlfn.COVARIANCE.S('Common sample'!Q6:Q75,'Common sample'!AP6:AP75)</x:f>
        <x:v>0.0011770045682258886</x:v>
      </x:c>
      <x:c r="AQ21" s="41" t="n">
        <x:f>_xlfn.COVARIANCE.S('Common sample'!Q6:Q75,'Common sample'!AQ6:AQ75)</x:f>
        <x:v>0.000727723766789413</x:v>
      </x:c>
      <x:c r="AR21" s="41" t="n">
        <x:f>_xlfn.COVARIANCE.S('Common sample'!Q6:Q75,'Common sample'!AR6:AR75)</x:f>
        <x:v>0.0000486864657446089</x:v>
      </x:c>
    </x:row>
    <x:row r="22" ht="19" customHeight="1">
      <x:c r="A22" s="29" t="str">
        <x:v>CME</x:v>
      </x:c>
      <x:c r="B22" s="41" t="n">
        <x:f>_xlfn.COVARIANCE.S('Common sample'!R6:R75,'Common sample'!B6:B75)</x:f>
        <x:v>0.00019797277872218885</x:v>
      </x:c>
      <x:c r="C22" s="41" t="n">
        <x:f>_xlfn.COVARIANCE.S('Common sample'!R6:R75,'Common sample'!C6:C75)</x:f>
        <x:v>0.00031672660101361873</x:v>
      </x:c>
      <x:c r="D22" s="41" t="n">
        <x:f>_xlfn.COVARIANCE.S('Common sample'!R6:R75,'Common sample'!D6:D75)</x:f>
        <x:v>0.00011408090924370068</x:v>
      </x:c>
      <x:c r="E22" s="41" t="n">
        <x:f>_xlfn.COVARIANCE.S('Common sample'!R6:R75,'Common sample'!E6:E75)</x:f>
        <x:v>0.0000727341283089049</x:v>
      </x:c>
      <x:c r="F22" s="41" t="n">
        <x:f>_xlfn.COVARIANCE.S('Common sample'!R6:R75,'Common sample'!F6:F75)</x:f>
        <x:v>0.000618568775770908</x:v>
      </x:c>
      <x:c r="G22" s="41" t="n">
        <x:f>_xlfn.COVARIANCE.S('Common sample'!R6:R75,'Common sample'!G6:G75)</x:f>
        <x:v>-0.00025413225861915697</x:v>
      </x:c>
      <x:c r="H22" s="41" t="n">
        <x:f>_xlfn.COVARIANCE.S('Common sample'!R6:R75,'Common sample'!H6:H75)</x:f>
        <x:v>0.000035448677843983475</x:v>
      </x:c>
      <x:c r="I22" s="41" t="n">
        <x:f>_xlfn.COVARIANCE.S('Common sample'!R6:R75,'Common sample'!I6:I75)</x:f>
        <x:v>0.00031214923518057934</x:v>
      </x:c>
      <x:c r="J22" s="41" t="n">
        <x:f>_xlfn.COVARIANCE.S('Common sample'!R6:R75,'Common sample'!J6:J75)</x:f>
        <x:v>-0.0003210013013607797</x:v>
      </x:c>
      <x:c r="K22" s="41" t="n">
        <x:f>_xlfn.COVARIANCE.S('Common sample'!R6:R75,'Common sample'!K6:K75)</x:f>
        <x:v>-0.0005430347773583603</x:v>
      </x:c>
      <x:c r="L22" s="41" t="n">
        <x:f>_xlfn.COVARIANCE.S('Common sample'!R6:R75,'Common sample'!L6:L75)</x:f>
        <x:v>0.0003257211033388308</x:v>
      </x:c>
      <x:c r="M22" s="41" t="n">
        <x:f>_xlfn.COVARIANCE.S('Common sample'!R6:R75,'Common sample'!M6:M75)</x:f>
        <x:v>0.0008546288608782174</x:v>
      </x:c>
      <x:c r="N22" s="41" t="n">
        <x:f>_xlfn.COVARIANCE.S('Common sample'!R6:R75,'Common sample'!N6:N75)</x:f>
        <x:v>-0.0004486996351493017</x:v>
      </x:c>
      <x:c r="O22" s="41" t="n">
        <x:f>_xlfn.COVARIANCE.S('Common sample'!R6:R75,'Common sample'!O6:O75)</x:f>
        <x:v>-0.0019029327800909183</x:v>
      </x:c>
      <x:c r="P22" s="41" t="n">
        <x:f>_xlfn.COVARIANCE.S('Common sample'!R6:R75,'Common sample'!P6:P75)</x:f>
        <x:v>0.00012679834314800463</x:v>
      </x:c>
      <x:c r="Q22" s="41" t="n">
        <x:f>_xlfn.COVARIANCE.S('Common sample'!R6:R75,'Common sample'!Q6:Q75)</x:f>
        <x:v>-0.0007526653887489778</x:v>
      </x:c>
      <x:c r="R22" s="41" t="n">
        <x:f>_xlfn.COVARIANCE.S('Common sample'!R6:R75,'Common sample'!R6:R75)</x:f>
        <x:v>0.0028700265573294048</x:v>
      </x:c>
      <x:c r="S22" s="41" t="n">
        <x:f>_xlfn.COVARIANCE.S('Common sample'!R6:R75,'Common sample'!S6:S75)</x:f>
        <x:v>0.0006620394065577589</x:v>
      </x:c>
      <x:c r="T22" s="41" t="n">
        <x:f>_xlfn.COVARIANCE.S('Common sample'!R6:R75,'Common sample'!T6:T75)</x:f>
        <x:v>-0.0025731452759500096</x:v>
      </x:c>
      <x:c r="U22" s="41" t="n">
        <x:f>_xlfn.COVARIANCE.S('Common sample'!R6:R75,'Common sample'!U6:U75)</x:f>
        <x:v>0.0005868221799001933</x:v>
      </x:c>
      <x:c r="V22" s="41" t="n">
        <x:f>_xlfn.COVARIANCE.S('Common sample'!R6:R75,'Common sample'!V6:V75)</x:f>
        <x:v>0.0015971555594342338</x:v>
      </x:c>
      <x:c r="W22" s="41" t="n">
        <x:f>_xlfn.COVARIANCE.S('Common sample'!R6:R75,'Common sample'!W6:W75)</x:f>
        <x:v>0.00045687642679050256</x:v>
      </x:c>
      <x:c r="X22" s="41" t="n">
        <x:f>_xlfn.COVARIANCE.S('Common sample'!R6:R75,'Common sample'!X6:X75)</x:f>
        <x:v>-0.0020291495223688175</x:v>
      </x:c>
      <x:c r="Y22" s="41" t="n">
        <x:f>_xlfn.COVARIANCE.S('Common sample'!R6:R75,'Common sample'!Y6:Y75)</x:f>
        <x:v>0.0008275662084281794</x:v>
      </x:c>
      <x:c r="Z22" s="41" t="n">
        <x:f>_xlfn.COVARIANCE.S('Common sample'!R6:R75,'Common sample'!Z6:Z75)</x:f>
        <x:v>0.00037682000247331456</x:v>
      </x:c>
      <x:c r="AA22" s="41" t="n">
        <x:f>_xlfn.COVARIANCE.S('Common sample'!R6:R75,'Common sample'!AA6:AA75)</x:f>
        <x:v>-0.0007375769511280153</x:v>
      </x:c>
      <x:c r="AB22" s="41" t="n">
        <x:f>_xlfn.COVARIANCE.S('Common sample'!R6:R75,'Common sample'!AB6:AB75)</x:f>
        <x:v>-0.0016893531912574322</x:v>
      </x:c>
      <x:c r="AC22" s="41" t="n">
        <x:f>_xlfn.COVARIANCE.S('Common sample'!R6:R75,'Common sample'!AC6:AC75)</x:f>
        <x:v>0.0000775725314604319</x:v>
      </x:c>
      <x:c r="AD22" s="41" t="n">
        <x:f>_xlfn.COVARIANCE.S('Common sample'!R6:R75,'Common sample'!AD6:AD75)</x:f>
        <x:v>0.0005622872157663359</x:v>
      </x:c>
      <x:c r="AE22" s="41" t="n">
        <x:f>_xlfn.COVARIANCE.S('Common sample'!R6:R75,'Common sample'!AE6:AE75)</x:f>
        <x:v>-0.0007116175455456024</x:v>
      </x:c>
      <x:c r="AF22" s="41" t="n">
        <x:f>_xlfn.COVARIANCE.S('Common sample'!R6:R75,'Common sample'!AF6:AF75)</x:f>
        <x:v>0.00023314678389359738</x:v>
      </x:c>
      <x:c r="AG22" s="41" t="n">
        <x:f>_xlfn.COVARIANCE.S('Common sample'!R6:R75,'Common sample'!AG6:AG75)</x:f>
        <x:v>0.0006909089397997905</x:v>
      </x:c>
      <x:c r="AH22" s="41" t="n">
        <x:f>_xlfn.COVARIANCE.S('Common sample'!R6:R75,'Common sample'!AH6:AH75)</x:f>
        <x:v>-0.0007134453101577765</x:v>
      </x:c>
      <x:c r="AI22" s="41" t="n">
        <x:f>_xlfn.COVARIANCE.S('Common sample'!R6:R75,'Common sample'!AI6:AI75)</x:f>
        <x:v>0.00030323070408104833</x:v>
      </x:c>
      <x:c r="AJ22" s="41" t="n">
        <x:f>_xlfn.COVARIANCE.S('Common sample'!R6:R75,'Common sample'!AJ6:AJ75)</x:f>
        <x:v>0.00026238975484281415</x:v>
      </x:c>
      <x:c r="AK22" s="41" t="n">
        <x:f>_xlfn.COVARIANCE.S('Common sample'!R6:R75,'Common sample'!AK6:AK75)</x:f>
        <x:v>0.0020491874044505525</x:v>
      </x:c>
      <x:c r="AL22" s="41" t="n">
        <x:f>_xlfn.COVARIANCE.S('Common sample'!R6:R75,'Common sample'!AL6:AL75)</x:f>
        <x:v>0.0010115119869399003</x:v>
      </x:c>
      <x:c r="AM22" s="41" t="n">
        <x:f>_xlfn.COVARIANCE.S('Common sample'!R6:R75,'Common sample'!AM6:AM75)</x:f>
        <x:v>-0.0003081268210580342</x:v>
      </x:c>
      <x:c r="AN22" s="41" t="n">
        <x:f>_xlfn.COVARIANCE.S('Common sample'!R6:R75,'Common sample'!AN6:AN75)</x:f>
        <x:v>0.0006535322565258025</x:v>
      </x:c>
      <x:c r="AO22" s="41" t="n">
        <x:f>_xlfn.COVARIANCE.S('Common sample'!R6:R75,'Common sample'!AO6:AO75)</x:f>
        <x:v>-0.0007943336650680036</x:v>
      </x:c>
      <x:c r="AP22" s="41" t="n">
        <x:f>_xlfn.COVARIANCE.S('Common sample'!R6:R75,'Common sample'!AP6:AP75)</x:f>
        <x:v>0.00042729005927520674</x:v>
      </x:c>
      <x:c r="AQ22" s="41" t="n">
        <x:f>_xlfn.COVARIANCE.S('Common sample'!R6:R75,'Common sample'!AQ6:AQ75)</x:f>
        <x:v>0.000278725176602487</x:v>
      </x:c>
      <x:c r="AR22" s="41" t="n">
        <x:f>_xlfn.COVARIANCE.S('Common sample'!R6:R75,'Common sample'!AR6:AR75)</x:f>
        <x:v>0.00024190146349807424</x:v>
      </x:c>
    </x:row>
    <x:row r="23" ht="19" customHeight="1">
      <x:c r="A23" s="29" t="str">
        <x:v>NET</x:v>
      </x:c>
      <x:c r="B23" s="41" t="n">
        <x:f>_xlfn.COVARIANCE.S('Common sample'!S6:S75,'Common sample'!B6:B75)</x:f>
        <x:v>0.00010804820387054532</x:v>
      </x:c>
      <x:c r="C23" s="41" t="n">
        <x:f>_xlfn.COVARIANCE.S('Common sample'!S6:S75,'Common sample'!C6:C75)</x:f>
        <x:v>0.0004325584952407707</x:v>
      </x:c>
      <x:c r="D23" s="41" t="n">
        <x:f>_xlfn.COVARIANCE.S('Common sample'!S6:S75,'Common sample'!D6:D75)</x:f>
        <x:v>0.0000042840261767935505</x:v>
      </x:c>
      <x:c r="E23" s="41" t="n">
        <x:f>_xlfn.COVARIANCE.S('Common sample'!S6:S75,'Common sample'!E6:E75)</x:f>
        <x:v>0.00026407168259533074</x:v>
      </x:c>
      <x:c r="F23" s="41" t="n">
        <x:f>_xlfn.COVARIANCE.S('Common sample'!S6:S75,'Common sample'!F6:F75)</x:f>
        <x:v>0.0008062313530811723</x:v>
      </x:c>
      <x:c r="G23" s="41" t="n">
        <x:f>_xlfn.COVARIANCE.S('Common sample'!S6:S75,'Common sample'!G6:G75)</x:f>
        <x:v>0.0009042010928717587</x:v>
      </x:c>
      <x:c r="H23" s="41" t="n">
        <x:f>_xlfn.COVARIANCE.S('Common sample'!S6:S75,'Common sample'!H6:H75)</x:f>
        <x:v>0.0006170026382898268</x:v>
      </x:c>
      <x:c r="I23" s="41" t="n">
        <x:f>_xlfn.COVARIANCE.S('Common sample'!S6:S75,'Common sample'!I6:I75)</x:f>
        <x:v>0.0001825532469687373</x:v>
      </x:c>
      <x:c r="J23" s="41" t="n">
        <x:f>_xlfn.COVARIANCE.S('Common sample'!S6:S75,'Common sample'!J6:J75)</x:f>
        <x:v>-0.0002269594236183761</x:v>
      </x:c>
      <x:c r="K23" s="41" t="n">
        <x:f>_xlfn.COVARIANCE.S('Common sample'!S6:S75,'Common sample'!K6:K75)</x:f>
        <x:v>0.0036333322765796728</x:v>
      </x:c>
      <x:c r="L23" s="41" t="n">
        <x:f>_xlfn.COVARIANCE.S('Common sample'!S6:S75,'Common sample'!L6:L75)</x:f>
        <x:v>0.003514724430481433</x:v>
      </x:c>
      <x:c r="M23" s="41" t="n">
        <x:f>_xlfn.COVARIANCE.S('Common sample'!S6:S75,'Common sample'!M6:M75)</x:f>
        <x:v>0.0012924193978476341</x:v>
      </x:c>
      <x:c r="N23" s="41" t="n">
        <x:f>_xlfn.COVARIANCE.S('Common sample'!S6:S75,'Common sample'!N6:N75)</x:f>
        <x:v>0.0007979419939383671</x:v>
      </x:c>
      <x:c r="O23" s="41" t="n">
        <x:f>_xlfn.COVARIANCE.S('Common sample'!S6:S75,'Common sample'!O6:O75)</x:f>
        <x:v>-0.003116933982170764</x:v>
      </x:c>
      <x:c r="P23" s="41" t="n">
        <x:f>_xlfn.COVARIANCE.S('Common sample'!S6:S75,'Common sample'!P6:P75)</x:f>
        <x:v>0.0018653342950213972</x:v>
      </x:c>
      <x:c r="Q23" s="41" t="n">
        <x:f>_xlfn.COVARIANCE.S('Common sample'!S6:S75,'Common sample'!Q6:Q75)</x:f>
        <x:v>0.004672227658418121</x:v>
      </x:c>
      <x:c r="R23" s="41" t="n">
        <x:f>_xlfn.COVARIANCE.S('Common sample'!S6:S75,'Common sample'!R6:R75)</x:f>
        <x:v>0.0006620394065577589</x:v>
      </x:c>
      <x:c r="S23" s="41" t="n">
        <x:f>_xlfn.COVARIANCE.S('Common sample'!S6:S75,'Common sample'!S6:S75)</x:f>
        <x:v>0.015821268312663127</x:v>
      </x:c>
      <x:c r="T23" s="41" t="n">
        <x:f>_xlfn.COVARIANCE.S('Common sample'!S6:S75,'Common sample'!T6:T75)</x:f>
        <x:v>-0.0018177154548854964</x:v>
      </x:c>
      <x:c r="U23" s="41" t="n">
        <x:f>_xlfn.COVARIANCE.S('Common sample'!S6:S75,'Common sample'!U6:U75)</x:f>
        <x:v>0.004210032529692342</x:v>
      </x:c>
      <x:c r="V23" s="41" t="n">
        <x:f>_xlfn.COVARIANCE.S('Common sample'!S6:S75,'Common sample'!V6:V75)</x:f>
        <x:v>0.003568234990355219</x:v>
      </x:c>
      <x:c r="W23" s="41" t="n">
        <x:f>_xlfn.COVARIANCE.S('Common sample'!S6:S75,'Common sample'!W6:W75)</x:f>
        <x:v>-0.0008679586077622798</x:v>
      </x:c>
      <x:c r="X23" s="41" t="n">
        <x:f>_xlfn.COVARIANCE.S('Common sample'!S6:S75,'Common sample'!X6:X75)</x:f>
        <x:v>-0.0023353772896829894</x:v>
      </x:c>
      <x:c r="Y23" s="41" t="n">
        <x:f>_xlfn.COVARIANCE.S('Common sample'!S6:S75,'Common sample'!Y6:Y75)</x:f>
        <x:v>-0.0018765879824277736</x:v>
      </x:c>
      <x:c r="Z23" s="41" t="n">
        <x:f>_xlfn.COVARIANCE.S('Common sample'!S6:S75,'Common sample'!Z6:Z75)</x:f>
        <x:v>-0.00031032258066509617</x:v>
      </x:c>
      <x:c r="AA23" s="41" t="n">
        <x:f>_xlfn.COVARIANCE.S('Common sample'!S6:S75,'Common sample'!AA6:AA75)</x:f>
        <x:v>-0.0011062546904529872</x:v>
      </x:c>
      <x:c r="AB23" s="41" t="n">
        <x:f>_xlfn.COVARIANCE.S('Common sample'!S6:S75,'Common sample'!AB6:AB75)</x:f>
        <x:v>0.0022227974994278614</x:v>
      </x:c>
      <x:c r="AC23" s="41" t="n">
        <x:f>_xlfn.COVARIANCE.S('Common sample'!S6:S75,'Common sample'!AC6:AC75)</x:f>
        <x:v>-0.0004852074814665873</x:v>
      </x:c>
      <x:c r="AD23" s="41" t="n">
        <x:f>_xlfn.COVARIANCE.S('Common sample'!S6:S75,'Common sample'!AD6:AD75)</x:f>
        <x:v>-0.00032536199118948995</x:v>
      </x:c>
      <x:c r="AE23" s="41" t="n">
        <x:f>_xlfn.COVARIANCE.S('Common sample'!S6:S75,'Common sample'!AE6:AE75)</x:f>
        <x:v>0.0015350104396278856</x:v>
      </x:c>
      <x:c r="AF23" s="41" t="n">
        <x:f>_xlfn.COVARIANCE.S('Common sample'!S6:S75,'Common sample'!AF6:AF75)</x:f>
        <x:v>-0.00019928479177357263</x:v>
      </x:c>
      <x:c r="AG23" s="41" t="n">
        <x:f>_xlfn.COVARIANCE.S('Common sample'!S6:S75,'Common sample'!AG6:AG75)</x:f>
        <x:v>0.0009692239164941543</x:v>
      </x:c>
      <x:c r="AH23" s="41" t="n">
        <x:f>_xlfn.COVARIANCE.S('Common sample'!S6:S75,'Common sample'!AH6:AH75)</x:f>
        <x:v>0.0018229881107204747</x:v>
      </x:c>
      <x:c r="AI23" s="41" t="n">
        <x:f>_xlfn.COVARIANCE.S('Common sample'!S6:S75,'Common sample'!AI6:AI75)</x:f>
        <x:v>-0.000048731024655035044</x:v>
      </x:c>
      <x:c r="AJ23" s="41" t="n">
        <x:f>_xlfn.COVARIANCE.S('Common sample'!S6:S75,'Common sample'!AJ6:AJ75)</x:f>
        <x:v>0.0009860450071067501</x:v>
      </x:c>
      <x:c r="AK23" s="41" t="n">
        <x:f>_xlfn.COVARIANCE.S('Common sample'!S6:S75,'Common sample'!AK6:AK75)</x:f>
        <x:v>-0.0021257437685338635</x:v>
      </x:c>
      <x:c r="AL23" s="41" t="n">
        <x:f>_xlfn.COVARIANCE.S('Common sample'!S6:S75,'Common sample'!AL6:AL75)</x:f>
        <x:v>0.0022471500091761102</x:v>
      </x:c>
      <x:c r="AM23" s="41" t="n">
        <x:f>_xlfn.COVARIANCE.S('Common sample'!S6:S75,'Common sample'!AM6:AM75)</x:f>
        <x:v>-0.0016499353113418886</x:v>
      </x:c>
      <x:c r="AN23" s="41" t="n">
        <x:f>_xlfn.COVARIANCE.S('Common sample'!S6:S75,'Common sample'!AN6:AN75)</x:f>
        <x:v>0.0010893985565485172</x:v>
      </x:c>
      <x:c r="AO23" s="41" t="n">
        <x:f>_xlfn.COVARIANCE.S('Common sample'!S6:S75,'Common sample'!AO6:AO75)</x:f>
        <x:v>-0.0002328441558223315</x:v>
      </x:c>
      <x:c r="AP23" s="41" t="n">
        <x:f>_xlfn.COVARIANCE.S('Common sample'!S6:S75,'Common sample'!AP6:AP75)</x:f>
        <x:v>0.0009108190961403454</x:v>
      </x:c>
      <x:c r="AQ23" s="41" t="n">
        <x:f>_xlfn.COVARIANCE.S('Common sample'!S6:S75,'Common sample'!AQ6:AQ75)</x:f>
        <x:v>0.00023688994352351046</x:v>
      </x:c>
      <x:c r="AR23" s="41" t="n">
        <x:f>_xlfn.COVARIANCE.S('Common sample'!S6:S75,'Common sample'!AR6:AR75)</x:f>
        <x:v>0.000045003994786661916</x:v>
      </x:c>
    </x:row>
    <x:row r="24" ht="19" customHeight="1">
      <x:c r="A24" s="29" t="str">
        <x:v>MRNA</x:v>
      </x:c>
      <x:c r="B24" s="41" t="n">
        <x:f>_xlfn.COVARIANCE.S('Common sample'!T6:T75,'Common sample'!B6:B75)</x:f>
        <x:v>0.00009070341843562482</x:v>
      </x:c>
      <x:c r="C24" s="41" t="n">
        <x:f>_xlfn.COVARIANCE.S('Common sample'!T6:T75,'Common sample'!C6:C75)</x:f>
        <x:v>0.0016537525882863611</x:v>
      </x:c>
      <x:c r="D24" s="41" t="n">
        <x:f>_xlfn.COVARIANCE.S('Common sample'!T6:T75,'Common sample'!D6:D75)</x:f>
        <x:v>-0.00016146645785710968</x:v>
      </x:c>
      <x:c r="E24" s="41" t="n">
        <x:f>_xlfn.COVARIANCE.S('Common sample'!T6:T75,'Common sample'!E6:E75)</x:f>
        <x:v>-0.0005087455908037282</x:v>
      </x:c>
      <x:c r="F24" s="41" t="n">
        <x:f>_xlfn.COVARIANCE.S('Common sample'!T6:T75,'Common sample'!F6:F75)</x:f>
        <x:v>0.000046883377098908826</x:v>
      </x:c>
      <x:c r="G24" s="41" t="n">
        <x:f>_xlfn.COVARIANCE.S('Common sample'!T6:T75,'Common sample'!G6:G75)</x:f>
        <x:v>0.002613236335416836</x:v>
      </x:c>
      <x:c r="H24" s="41" t="n">
        <x:f>_xlfn.COVARIANCE.S('Common sample'!T6:T75,'Common sample'!H6:H75)</x:f>
        <x:v>0.00046102544883857254</x:v>
      </x:c>
      <x:c r="I24" s="41" t="n">
        <x:f>_xlfn.COVARIANCE.S('Common sample'!T6:T75,'Common sample'!I6:I75)</x:f>
        <x:v>-0.0018292705842559206</x:v>
      </x:c>
      <x:c r="J24" s="41" t="n">
        <x:f>_xlfn.COVARIANCE.S('Common sample'!T6:T75,'Common sample'!J6:J75)</x:f>
        <x:v>-0.00005258352546490027</x:v>
      </x:c>
      <x:c r="K24" s="41" t="n">
        <x:f>_xlfn.COVARIANCE.S('Common sample'!T6:T75,'Common sample'!K6:K75)</x:f>
        <x:v>0.00047369596719926376</x:v>
      </x:c>
      <x:c r="L24" s="41" t="n">
        <x:f>_xlfn.COVARIANCE.S('Common sample'!T6:T75,'Common sample'!L6:L75)</x:f>
        <x:v>0.00029051041070884634</x:v>
      </x:c>
      <x:c r="M24" s="41" t="n">
        <x:f>_xlfn.COVARIANCE.S('Common sample'!T6:T75,'Common sample'!M6:M75)</x:f>
        <x:v>0.001000845578908837</x:v>
      </x:c>
      <x:c r="N24" s="41" t="n">
        <x:f>_xlfn.COVARIANCE.S('Common sample'!T6:T75,'Common sample'!N6:N75)</x:f>
        <x:v>0.0014220758319544251</x:v>
      </x:c>
      <x:c r="O24" s="41" t="n">
        <x:f>_xlfn.COVARIANCE.S('Common sample'!T6:T75,'Common sample'!O6:O75)</x:f>
        <x:v>0.0026906810361922297</x:v>
      </x:c>
      <x:c r="P24" s="41" t="n">
        <x:f>_xlfn.COVARIANCE.S('Common sample'!T6:T75,'Common sample'!P6:P75)</x:f>
        <x:v>0.00018777521264221205</x:v>
      </x:c>
      <x:c r="Q24" s="41" t="n">
        <x:f>_xlfn.COVARIANCE.S('Common sample'!T6:T75,'Common sample'!Q6:Q75)</x:f>
        <x:v>-0.00015813559231405195</x:v>
      </x:c>
      <x:c r="R24" s="41" t="n">
        <x:f>_xlfn.COVARIANCE.S('Common sample'!T6:T75,'Common sample'!R6:R75)</x:f>
        <x:v>-0.0025731452759500096</x:v>
      </x:c>
      <x:c r="S24" s="41" t="n">
        <x:f>_xlfn.COVARIANCE.S('Common sample'!T6:T75,'Common sample'!S6:S75)</x:f>
        <x:v>-0.0018177154548854964</x:v>
      </x:c>
      <x:c r="T24" s="41" t="n">
        <x:f>_xlfn.COVARIANCE.S('Common sample'!T6:T75,'Common sample'!T6:T75)</x:f>
        <x:v>0.03148436253299804</x:v>
      </x:c>
      <x:c r="U24" s="41" t="n">
        <x:f>_xlfn.COVARIANCE.S('Common sample'!T6:T75,'Common sample'!U6:U75)</x:f>
        <x:v>-0.0016963834886141978</x:v>
      </x:c>
      <x:c r="V24" s="41" t="n">
        <x:f>_xlfn.COVARIANCE.S('Common sample'!T6:T75,'Common sample'!V6:V75)</x:f>
        <x:v>-0.0019281287256950302</x:v>
      </x:c>
      <x:c r="W24" s="41" t="n">
        <x:f>_xlfn.COVARIANCE.S('Common sample'!T6:T75,'Common sample'!W6:W75)</x:f>
        <x:v>0.0013795947201001029</x:v>
      </x:c>
      <x:c r="X24" s="41" t="n">
        <x:f>_xlfn.COVARIANCE.S('Common sample'!T6:T75,'Common sample'!X6:X75)</x:f>
        <x:v>0.0021555097950699954</x:v>
      </x:c>
      <x:c r="Y24" s="41" t="n">
        <x:f>_xlfn.COVARIANCE.S('Common sample'!T6:T75,'Common sample'!Y6:Y75)</x:f>
        <x:v>-0.0021685028636757027</x:v>
      </x:c>
      <x:c r="Z24" s="41" t="n">
        <x:f>_xlfn.COVARIANCE.S('Common sample'!T6:T75,'Common sample'!Z6:Z75)</x:f>
        <x:v>-0.0019165794415419986</x:v>
      </x:c>
      <x:c r="AA24" s="41" t="n">
        <x:f>_xlfn.COVARIANCE.S('Common sample'!T6:T75,'Common sample'!AA6:AA75)</x:f>
        <x:v>0.006212298121091713</x:v>
      </x:c>
      <x:c r="AB24" s="41" t="n">
        <x:f>_xlfn.COVARIANCE.S('Common sample'!T6:T75,'Common sample'!AB6:AB75)</x:f>
        <x:v>0.0025935843941035978</x:v>
      </x:c>
      <x:c r="AC24" s="41" t="n">
        <x:f>_xlfn.COVARIANCE.S('Common sample'!T6:T75,'Common sample'!AC6:AC75)</x:f>
        <x:v>0.0005476123564289068</x:v>
      </x:c>
      <x:c r="AD24" s="41" t="n">
        <x:f>_xlfn.COVARIANCE.S('Common sample'!T6:T75,'Common sample'!AD6:AD75)</x:f>
        <x:v>-0.0014079916889893254</x:v>
      </x:c>
      <x:c r="AE24" s="41" t="n">
        <x:f>_xlfn.COVARIANCE.S('Common sample'!T6:T75,'Common sample'!AE6:AE75)</x:f>
        <x:v>0.001475518156315901</x:v>
      </x:c>
      <x:c r="AF24" s="41" t="n">
        <x:f>_xlfn.COVARIANCE.S('Common sample'!T6:T75,'Common sample'!AF6:AF75)</x:f>
        <x:v>0.0018171343289052698</x:v>
      </x:c>
      <x:c r="AG24" s="41" t="n">
        <x:f>_xlfn.COVARIANCE.S('Common sample'!T6:T75,'Common sample'!AG6:AG75)</x:f>
        <x:v>-0.0023560798166266613</x:v>
      </x:c>
      <x:c r="AH24" s="41" t="n">
        <x:f>_xlfn.COVARIANCE.S('Common sample'!T6:T75,'Common sample'!AH6:AH75)</x:f>
        <x:v>0.0028808878925042935</x:v>
      </x:c>
      <x:c r="AI24" s="41" t="n">
        <x:f>_xlfn.COVARIANCE.S('Common sample'!T6:T75,'Common sample'!AI6:AI75)</x:f>
        <x:v>-0.00196603940675038</x:v>
      </x:c>
      <x:c r="AJ24" s="41" t="n">
        <x:f>_xlfn.COVARIANCE.S('Common sample'!T6:T75,'Common sample'!AJ6:AJ75)</x:f>
        <x:v>-0.0009467247875054853</x:v>
      </x:c>
      <x:c r="AK24" s="41" t="n">
        <x:f>_xlfn.COVARIANCE.S('Common sample'!T6:T75,'Common sample'!AK6:AK75)</x:f>
        <x:v>-0.002126629645991345</x:v>
      </x:c>
      <x:c r="AL24" s="41" t="n">
        <x:f>_xlfn.COVARIANCE.S('Common sample'!T6:T75,'Common sample'!AL6:AL75)</x:f>
        <x:v>-0.0015880282634432334</x:v>
      </x:c>
      <x:c r="AM24" s="41" t="n">
        <x:f>_xlfn.COVARIANCE.S('Common sample'!T6:T75,'Common sample'!AM6:AM75)</x:f>
        <x:v>0.00001796553286763298</x:v>
      </x:c>
      <x:c r="AN24" s="41" t="n">
        <x:f>_xlfn.COVARIANCE.S('Common sample'!T6:T75,'Common sample'!AN6:AN75)</x:f>
        <x:v>0.0013670035864123374</x:v>
      </x:c>
      <x:c r="AO24" s="41" t="n">
        <x:f>_xlfn.COVARIANCE.S('Common sample'!T6:T75,'Common sample'!AO6:AO75)</x:f>
        <x:v>0.0006192935177539658</x:v>
      </x:c>
      <x:c r="AP24" s="41" t="n">
        <x:f>_xlfn.COVARIANCE.S('Common sample'!T6:T75,'Common sample'!AP6:AP75)</x:f>
        <x:v>-0.0006643461571025127</x:v>
      </x:c>
      <x:c r="AQ24" s="41" t="n">
        <x:f>_xlfn.COVARIANCE.S('Common sample'!T6:T75,'Common sample'!AQ6:AQ75)</x:f>
        <x:v>0.0011475458198481725</x:v>
      </x:c>
      <x:c r="AR24" s="41" t="n">
        <x:f>_xlfn.COVARIANCE.S('Common sample'!T6:T75,'Common sample'!AR6:AR75)</x:f>
        <x:v>-0.001486314021719112</x:v>
      </x:c>
    </x:row>
    <x:row r="25" ht="19" customHeight="1">
      <x:c r="A25" s="29" t="str">
        <x:v>AXON</x:v>
      </x:c>
      <x:c r="B25" s="41" t="n">
        <x:f>_xlfn.COVARIANCE.S('Common sample'!U6:U75,'Common sample'!B6:B75)</x:f>
        <x:v>0.0032803276581145745</x:v>
      </x:c>
      <x:c r="C25" s="41" t="n">
        <x:f>_xlfn.COVARIANCE.S('Common sample'!U6:U75,'Common sample'!C6:C75)</x:f>
        <x:v>-0.0017942557761947712</x:v>
      </x:c>
      <x:c r="D25" s="41" t="n">
        <x:f>_xlfn.COVARIANCE.S('Common sample'!U6:U75,'Common sample'!D6:D75)</x:f>
        <x:v>-0.00041362434721384375</x:v>
      </x:c>
      <x:c r="E25" s="41" t="n">
        <x:f>_xlfn.COVARIANCE.S('Common sample'!U6:U75,'Common sample'!E6:E75)</x:f>
        <x:v>-0.00016344955515950487</x:v>
      </x:c>
      <x:c r="F25" s="41" t="n">
        <x:f>_xlfn.COVARIANCE.S('Common sample'!U6:U75,'Common sample'!F6:F75)</x:f>
        <x:v>0.0009579422821975134</x:v>
      </x:c>
      <x:c r="G25" s="41" t="n">
        <x:f>_xlfn.COVARIANCE.S('Common sample'!U6:U75,'Common sample'!G6:G75)</x:f>
        <x:v>0.0028771201620467132</x:v>
      </x:c>
      <x:c r="H25" s="41" t="n">
        <x:f>_xlfn.COVARIANCE.S('Common sample'!U6:U75,'Common sample'!H6:H75)</x:f>
        <x:v>-0.0009096321275907357</x:v>
      </x:c>
      <x:c r="I25" s="41" t="n">
        <x:f>_xlfn.COVARIANCE.S('Common sample'!U6:U75,'Common sample'!I6:I75)</x:f>
        <x:v>0.0020487763789052466</x:v>
      </x:c>
      <x:c r="J25" s="41" t="n">
        <x:f>_xlfn.COVARIANCE.S('Common sample'!U6:U75,'Common sample'!J6:J75)</x:f>
        <x:v>-0.0025553598398201796</x:v>
      </x:c>
      <x:c r="K25" s="41" t="n">
        <x:f>_xlfn.COVARIANCE.S('Common sample'!U6:U75,'Common sample'!K6:K75)</x:f>
        <x:v>0.000945608984027649</x:v>
      </x:c>
      <x:c r="L25" s="41" t="n">
        <x:f>_xlfn.COVARIANCE.S('Common sample'!U6:U75,'Common sample'!L6:L75)</x:f>
        <x:v>0.0007757642783241163</x:v>
      </x:c>
      <x:c r="M25" s="41" t="n">
        <x:f>_xlfn.COVARIANCE.S('Common sample'!U6:U75,'Common sample'!M6:M75)</x:f>
        <x:v>0.0007669140542158966</x:v>
      </x:c>
      <x:c r="N25" s="41" t="n">
        <x:f>_xlfn.COVARIANCE.S('Common sample'!U6:U75,'Common sample'!N6:N75)</x:f>
        <x:v>0.0019686169049937985</x:v>
      </x:c>
      <x:c r="O25" s="41" t="n">
        <x:f>_xlfn.COVARIANCE.S('Common sample'!U6:U75,'Common sample'!O6:O75)</x:f>
        <x:v>-0.004095060473579609</x:v>
      </x:c>
      <x:c r="P25" s="41" t="n">
        <x:f>_xlfn.COVARIANCE.S('Common sample'!U6:U75,'Common sample'!P6:P75)</x:f>
        <x:v>0.0011841079685465947</x:v>
      </x:c>
      <x:c r="Q25" s="41" t="n">
        <x:f>_xlfn.COVARIANCE.S('Common sample'!U6:U75,'Common sample'!Q6:Q75)</x:f>
        <x:v>-0.006963497829114318</x:v>
      </x:c>
      <x:c r="R25" s="41" t="n">
        <x:f>_xlfn.COVARIANCE.S('Common sample'!U6:U75,'Common sample'!R6:R75)</x:f>
        <x:v>0.0005868221799001933</x:v>
      </x:c>
      <x:c r="S25" s="41" t="n">
        <x:f>_xlfn.COVARIANCE.S('Common sample'!U6:U75,'Common sample'!S6:S75)</x:f>
        <x:v>0.004210032529692342</x:v>
      </x:c>
      <x:c r="T25" s="41" t="n">
        <x:f>_xlfn.COVARIANCE.S('Common sample'!U6:U75,'Common sample'!T6:T75)</x:f>
        <x:v>-0.0016963834886141978</x:v>
      </x:c>
      <x:c r="U25" s="41" t="n">
        <x:f>_xlfn.COVARIANCE.S('Common sample'!U6:U75,'Common sample'!U6:U75)</x:f>
        <x:v>0.013263746631508365</x:v>
      </x:c>
      <x:c r="V25" s="41" t="n">
        <x:f>_xlfn.COVARIANCE.S('Common sample'!U6:U75,'Common sample'!V6:V75)</x:f>
        <x:v>0.003935988451667015</x:v>
      </x:c>
      <x:c r="W25" s="41" t="n">
        <x:f>_xlfn.COVARIANCE.S('Common sample'!U6:U75,'Common sample'!W6:W75)</x:f>
        <x:v>0.0011525056882689115</x:v>
      </x:c>
      <x:c r="X25" s="41" t="n">
        <x:f>_xlfn.COVARIANCE.S('Common sample'!U6:U75,'Common sample'!X6:X75)</x:f>
        <x:v>-0.00008890684294575362</x:v>
      </x:c>
      <x:c r="Y25" s="41" t="n">
        <x:f>_xlfn.COVARIANCE.S('Common sample'!U6:U75,'Common sample'!Y6:Y75)</x:f>
        <x:v>-0.00005103837503416083</x:v>
      </x:c>
      <x:c r="Z25" s="41" t="n">
        <x:f>_xlfn.COVARIANCE.S('Common sample'!U6:U75,'Common sample'!Z6:Z75)</x:f>
        <x:v>0.0014830018305092313</x:v>
      </x:c>
      <x:c r="AA25" s="41" t="n">
        <x:f>_xlfn.COVARIANCE.S('Common sample'!U6:U75,'Common sample'!AA6:AA75)</x:f>
        <x:v>0.000164392024468582</x:v>
      </x:c>
      <x:c r="AB25" s="41" t="n">
        <x:f>_xlfn.COVARIANCE.S('Common sample'!U6:U75,'Common sample'!AB6:AB75)</x:f>
        <x:v>-0.0011659420337129108</x:v>
      </x:c>
      <x:c r="AC25" s="41" t="n">
        <x:f>_xlfn.COVARIANCE.S('Common sample'!U6:U75,'Common sample'!AC6:AC75)</x:f>
        <x:v>0.0002639639988834487</x:v>
      </x:c>
      <x:c r="AD25" s="41" t="n">
        <x:f>_xlfn.COVARIANCE.S('Common sample'!U6:U75,'Common sample'!AD6:AD75)</x:f>
        <x:v>0.0007231717977805357</x:v>
      </x:c>
      <x:c r="AE25" s="41" t="n">
        <x:f>_xlfn.COVARIANCE.S('Common sample'!U6:U75,'Common sample'!AE6:AE75)</x:f>
        <x:v>0.0023572141435317683</x:v>
      </x:c>
      <x:c r="AF25" s="41" t="n">
        <x:f>_xlfn.COVARIANCE.S('Common sample'!U6:U75,'Common sample'!AF6:AF75)</x:f>
        <x:v>0.0012594117204198865</x:v>
      </x:c>
      <x:c r="AG25" s="41" t="n">
        <x:f>_xlfn.COVARIANCE.S('Common sample'!U6:U75,'Common sample'!AG6:AG75)</x:f>
        <x:v>-0.0005845409761369442</x:v>
      </x:c>
      <x:c r="AH25" s="41" t="n">
        <x:f>_xlfn.COVARIANCE.S('Common sample'!U6:U75,'Common sample'!AH6:AH75)</x:f>
        <x:v>-0.0010898555256515577</x:v>
      </x:c>
      <x:c r="AI25" s="41" t="n">
        <x:f>_xlfn.COVARIANCE.S('Common sample'!U6:U75,'Common sample'!AI6:AI75)</x:f>
        <x:v>-0.00021110781147141332</x:v>
      </x:c>
      <x:c r="AJ25" s="41" t="n">
        <x:f>_xlfn.COVARIANCE.S('Common sample'!U6:U75,'Common sample'!AJ6:AJ75)</x:f>
        <x:v>0.0008352042389404266</x:v>
      </x:c>
      <x:c r="AK25" s="41" t="n">
        <x:f>_xlfn.COVARIANCE.S('Common sample'!U6:U75,'Common sample'!AK6:AK75)</x:f>
        <x:v>-0.002655835010707635</x:v>
      </x:c>
      <x:c r="AL25" s="41" t="n">
        <x:f>_xlfn.COVARIANCE.S('Common sample'!U6:U75,'Common sample'!AL6:AL75)</x:f>
        <x:v>0.0024220213473061547</x:v>
      </x:c>
      <x:c r="AM25" s="41" t="n">
        <x:f>_xlfn.COVARIANCE.S('Common sample'!U6:U75,'Common sample'!AM6:AM75)</x:f>
        <x:v>-0.0012814331995698878</x:v>
      </x:c>
      <x:c r="AN25" s="41" t="n">
        <x:f>_xlfn.COVARIANCE.S('Common sample'!U6:U75,'Common sample'!AN6:AN75)</x:f>
        <x:v>0.0005807259690770478</x:v>
      </x:c>
      <x:c r="AO25" s="41" t="n">
        <x:f>_xlfn.COVARIANCE.S('Common sample'!U6:U75,'Common sample'!AO6:AO75)</x:f>
        <x:v>0.00037142579177395585</x:v>
      </x:c>
      <x:c r="AP25" s="41" t="n">
        <x:f>_xlfn.COVARIANCE.S('Common sample'!U6:U75,'Common sample'!AP6:AP75)</x:f>
        <x:v>-0.00034150769920778624</x:v>
      </x:c>
      <x:c r="AQ25" s="41" t="n">
        <x:f>_xlfn.COVARIANCE.S('Common sample'!U6:U75,'Common sample'!AQ6:AQ75)</x:f>
        <x:v>-0.0009076867624104783</x:v>
      </x:c>
      <x:c r="AR25" s="41" t="n">
        <x:f>_xlfn.COVARIANCE.S('Common sample'!U6:U75,'Common sample'!AR6:AR75)</x:f>
        <x:v>0.0007344169033228732</x:v>
      </x:c>
    </x:row>
    <x:row r="26" ht="19" customHeight="1">
      <x:c r="A26" s="29" t="str">
        <x:v>NFLX</x:v>
      </x:c>
      <x:c r="B26" s="41" t="n">
        <x:f>_xlfn.COVARIANCE.S('Common sample'!V6:V75,'Common sample'!B6:B75)</x:f>
        <x:v>0.0012868960847926866</x:v>
      </x:c>
      <x:c r="C26" s="41" t="n">
        <x:f>_xlfn.COVARIANCE.S('Common sample'!V6:V75,'Common sample'!C6:C75)</x:f>
        <x:v>0.000659435828817803</x:v>
      </x:c>
      <x:c r="D26" s="41" t="n">
        <x:f>_xlfn.COVARIANCE.S('Common sample'!V6:V75,'Common sample'!D6:D75)</x:f>
        <x:v>-0.000025320178071847566</x:v>
      </x:c>
      <x:c r="E26" s="41" t="n">
        <x:f>_xlfn.COVARIANCE.S('Common sample'!V6:V75,'Common sample'!E6:E75)</x:f>
        <x:v>0.000004762432322985278</x:v>
      </x:c>
      <x:c r="F26" s="41" t="n">
        <x:f>_xlfn.COVARIANCE.S('Common sample'!V6:V75,'Common sample'!F6:F75)</x:f>
        <x:v>0.0007266052252901798</x:v>
      </x:c>
      <x:c r="G26" s="41" t="n">
        <x:f>_xlfn.COVARIANCE.S('Common sample'!V6:V75,'Common sample'!G6:G75)</x:f>
        <x:v>0.0006801150279534966</x:v>
      </x:c>
      <x:c r="H26" s="41" t="n">
        <x:f>_xlfn.COVARIANCE.S('Common sample'!V6:V75,'Common sample'!H6:H75)</x:f>
        <x:v>0.00026560729354102233</x:v>
      </x:c>
      <x:c r="I26" s="41" t="n">
        <x:f>_xlfn.COVARIANCE.S('Common sample'!V6:V75,'Common sample'!I6:I75)</x:f>
        <x:v>0.0025020167704430567</x:v>
      </x:c>
      <x:c r="J26" s="41" t="n">
        <x:f>_xlfn.COVARIANCE.S('Common sample'!V6:V75,'Common sample'!J6:J75)</x:f>
        <x:v>-0.0028218215540717485</x:v>
      </x:c>
      <x:c r="K26" s="41" t="n">
        <x:f>_xlfn.COVARIANCE.S('Common sample'!V6:V75,'Common sample'!K6:K75)</x:f>
        <x:v>-0.00010227579410618845</x:v>
      </x:c>
      <x:c r="L26" s="41" t="n">
        <x:f>_xlfn.COVARIANCE.S('Common sample'!V6:V75,'Common sample'!L6:L75)</x:f>
        <x:v>0.0010322546812638084</x:v>
      </x:c>
      <x:c r="M26" s="41" t="n">
        <x:f>_xlfn.COVARIANCE.S('Common sample'!V6:V75,'Common sample'!M6:M75)</x:f>
        <x:v>0.0002279438030949306</x:v>
      </x:c>
      <x:c r="N26" s="41" t="n">
        <x:f>_xlfn.COVARIANCE.S('Common sample'!V6:V75,'Common sample'!N6:N75)</x:f>
        <x:v>0.0012116358726272946</x:v>
      </x:c>
      <x:c r="O26" s="41" t="n">
        <x:f>_xlfn.COVARIANCE.S('Common sample'!V6:V75,'Common sample'!O6:O75)</x:f>
        <x:v>-0.0032142373421131915</x:v>
      </x:c>
      <x:c r="P26" s="41" t="n">
        <x:f>_xlfn.COVARIANCE.S('Common sample'!V6:V75,'Common sample'!P6:P75)</x:f>
        <x:v>0.0020799903369224495</x:v>
      </x:c>
      <x:c r="Q26" s="41" t="n">
        <x:f>_xlfn.COVARIANCE.S('Common sample'!V6:V75,'Common sample'!Q6:Q75)</x:f>
        <x:v>0.0017640418625782417</x:v>
      </x:c>
      <x:c r="R26" s="41" t="n">
        <x:f>_xlfn.COVARIANCE.S('Common sample'!V6:V75,'Common sample'!R6:R75)</x:f>
        <x:v>0.0015971555594342338</x:v>
      </x:c>
      <x:c r="S26" s="41" t="n">
        <x:f>_xlfn.COVARIANCE.S('Common sample'!V6:V75,'Common sample'!S6:S75)</x:f>
        <x:v>0.003568234990355219</x:v>
      </x:c>
      <x:c r="T26" s="41" t="n">
        <x:f>_xlfn.COVARIANCE.S('Common sample'!V6:V75,'Common sample'!T6:T75)</x:f>
        <x:v>-0.0019281287256950302</x:v>
      </x:c>
      <x:c r="U26" s="41" t="n">
        <x:f>_xlfn.COVARIANCE.S('Common sample'!V6:V75,'Common sample'!U6:U75)</x:f>
        <x:v>0.003935988451667015</x:v>
      </x:c>
      <x:c r="V26" s="41" t="n">
        <x:f>_xlfn.COVARIANCE.S('Common sample'!V6:V75,'Common sample'!V6:V75)</x:f>
        <x:v>0.010155338281915598</x:v>
      </x:c>
      <x:c r="W26" s="41" t="n">
        <x:f>_xlfn.COVARIANCE.S('Common sample'!V6:V75,'Common sample'!W6:W75)</x:f>
        <x:v>0.00014042039311667212</x:v>
      </x:c>
      <x:c r="X26" s="41" t="n">
        <x:f>_xlfn.COVARIANCE.S('Common sample'!V6:V75,'Common sample'!X6:X75)</x:f>
        <x:v>-0.0027780928371187895</x:v>
      </x:c>
      <x:c r="Y26" s="41" t="n">
        <x:f>_xlfn.COVARIANCE.S('Common sample'!V6:V75,'Common sample'!Y6:Y75)</x:f>
        <x:v>-0.0011682302677854717</x:v>
      </x:c>
      <x:c r="Z26" s="41" t="n">
        <x:f>_xlfn.COVARIANCE.S('Common sample'!V6:V75,'Common sample'!Z6:Z75)</x:f>
        <x:v>0.0004374562906668845</x:v>
      </x:c>
      <x:c r="AA26" s="41" t="n">
        <x:f>_xlfn.COVARIANCE.S('Common sample'!V6:V75,'Common sample'!AA6:AA75)</x:f>
        <x:v>-0.00440758727589165</x:v>
      </x:c>
      <x:c r="AB26" s="41" t="n">
        <x:f>_xlfn.COVARIANCE.S('Common sample'!V6:V75,'Common sample'!AB6:AB75)</x:f>
        <x:v>-0.00047769036467462265</x:v>
      </x:c>
      <x:c r="AC26" s="41" t="n">
        <x:f>_xlfn.COVARIANCE.S('Common sample'!V6:V75,'Common sample'!AC6:AC75)</x:f>
        <x:v>-0.00005189819571545426</x:v>
      </x:c>
      <x:c r="AD26" s="41" t="n">
        <x:f>_xlfn.COVARIANCE.S('Common sample'!V6:V75,'Common sample'!AD6:AD75)</x:f>
        <x:v>-0.00004434259375582651</x:v>
      </x:c>
      <x:c r="AE26" s="41" t="n">
        <x:f>_xlfn.COVARIANCE.S('Common sample'!V6:V75,'Common sample'!AE6:AE75)</x:f>
        <x:v>0.00039574082695274375</x:v>
      </x:c>
      <x:c r="AF26" s="41" t="n">
        <x:f>_xlfn.COVARIANCE.S('Common sample'!V6:V75,'Common sample'!AF6:AF75)</x:f>
        <x:v>0.0008015401674808504</x:v>
      </x:c>
      <x:c r="AG26" s="41" t="n">
        <x:f>_xlfn.COVARIANCE.S('Common sample'!V6:V75,'Common sample'!AG6:AG75)</x:f>
        <x:v>-0.0003101989327625749</x:v>
      </x:c>
      <x:c r="AH26" s="41" t="n">
        <x:f>_xlfn.COVARIANCE.S('Common sample'!V6:V75,'Common sample'!AH6:AH75)</x:f>
        <x:v>-0.002213340530325878</x:v>
      </x:c>
      <x:c r="AI26" s="41" t="n">
        <x:f>_xlfn.COVARIANCE.S('Common sample'!V6:V75,'Common sample'!AI6:AI75)</x:f>
        <x:v>0.0004679296049288982</x:v>
      </x:c>
      <x:c r="AJ26" s="41" t="n">
        <x:f>_xlfn.COVARIANCE.S('Common sample'!V6:V75,'Common sample'!AJ6:AJ75)</x:f>
        <x:v>0.00010350176843339474</x:v>
      </x:c>
      <x:c r="AK26" s="41" t="n">
        <x:f>_xlfn.COVARIANCE.S('Common sample'!V6:V75,'Common sample'!AK6:AK75)</x:f>
        <x:v>0.0005380030572702487</x:v>
      </x:c>
      <x:c r="AL26" s="41" t="n">
        <x:f>_xlfn.COVARIANCE.S('Common sample'!V6:V75,'Common sample'!AL6:AL75)</x:f>
        <x:v>0.001797920370947485</x:v>
      </x:c>
      <x:c r="AM26" s="41" t="n">
        <x:f>_xlfn.COVARIANCE.S('Common sample'!V6:V75,'Common sample'!AM6:AM75)</x:f>
        <x:v>-0.002234791130930821</x:v>
      </x:c>
      <x:c r="AN26" s="41" t="n">
        <x:f>_xlfn.COVARIANCE.S('Common sample'!V6:V75,'Common sample'!AN6:AN75)</x:f>
        <x:v>0.002034460536942678</x:v>
      </x:c>
      <x:c r="AO26" s="41" t="n">
        <x:f>_xlfn.COVARIANCE.S('Common sample'!V6:V75,'Common sample'!AO6:AO75)</x:f>
        <x:v>0.000295074409962644</x:v>
      </x:c>
      <x:c r="AP26" s="41" t="n">
        <x:f>_xlfn.COVARIANCE.S('Common sample'!V6:V75,'Common sample'!AP6:AP75)</x:f>
        <x:v>0.0001534618528017341</x:v>
      </x:c>
      <x:c r="AQ26" s="41" t="n">
        <x:f>_xlfn.COVARIANCE.S('Common sample'!V6:V75,'Common sample'!AQ6:AQ75)</x:f>
        <x:v>-0.0003823604431696858</x:v>
      </x:c>
      <x:c r="AR26" s="41" t="n">
        <x:f>_xlfn.COVARIANCE.S('Common sample'!V6:V75,'Common sample'!AR6:AR75)</x:f>
        <x:v>0.000873775056075677</x:v>
      </x:c>
    </x:row>
    <x:row r="27" ht="19" customHeight="1">
      <x:c r="A27" s="29" t="str">
        <x:v>CMCSA</x:v>
      </x:c>
      <x:c r="B27" s="41" t="n">
        <x:f>_xlfn.COVARIANCE.S('Common sample'!W6:W75,'Common sample'!B6:B75)</x:f>
        <x:v>-0.0003368107722629927</x:v>
      </x:c>
      <x:c r="C27" s="41" t="n">
        <x:f>_xlfn.COVARIANCE.S('Common sample'!W6:W75,'Common sample'!C6:C75)</x:f>
        <x:v>-0.0013346026520001145</x:v>
      </x:c>
      <x:c r="D27" s="41" t="n">
        <x:f>_xlfn.COVARIANCE.S('Common sample'!W6:W75,'Common sample'!D6:D75)</x:f>
        <x:v>-0.00010081643495498707</x:v>
      </x:c>
      <x:c r="E27" s="41" t="n">
        <x:f>_xlfn.COVARIANCE.S('Common sample'!W6:W75,'Common sample'!E6:E75)</x:f>
        <x:v>-0.00008234061395106201</x:v>
      </x:c>
      <x:c r="F27" s="41" t="n">
        <x:f>_xlfn.COVARIANCE.S('Common sample'!W6:W75,'Common sample'!F6:F75)</x:f>
        <x:v>0.0005852570574937503</x:v>
      </x:c>
      <x:c r="G27" s="41" t="n">
        <x:f>_xlfn.COVARIANCE.S('Common sample'!W6:W75,'Common sample'!G6:G75)</x:f>
        <x:v>0.001004555538347829</x:v>
      </x:c>
      <x:c r="H27" s="41" t="n">
        <x:f>_xlfn.COVARIANCE.S('Common sample'!W6:W75,'Common sample'!H6:H75)</x:f>
        <x:v>0.00026878077996707637</x:v>
      </x:c>
      <x:c r="I27" s="41" t="n">
        <x:f>_xlfn.COVARIANCE.S('Common sample'!W6:W75,'Common sample'!I6:I75)</x:f>
        <x:v>-0.0006645180307867003</x:v>
      </x:c>
      <x:c r="J27" s="41" t="n">
        <x:f>_xlfn.COVARIANCE.S('Common sample'!W6:W75,'Common sample'!J6:J75)</x:f>
        <x:v>-0.000553691619052709</x:v>
      </x:c>
      <x:c r="K27" s="41" t="n">
        <x:f>_xlfn.COVARIANCE.S('Common sample'!W6:W75,'Common sample'!K6:K75)</x:f>
        <x:v>-0.0007526133117092939</x:v>
      </x:c>
      <x:c r="L27" s="41" t="n">
        <x:f>_xlfn.COVARIANCE.S('Common sample'!W6:W75,'Common sample'!L6:L75)</x:f>
        <x:v>-0.0010258849766890893</x:v>
      </x:c>
      <x:c r="M27" s="41" t="n">
        <x:f>_xlfn.COVARIANCE.S('Common sample'!W6:W75,'Common sample'!M6:M75)</x:f>
        <x:v>-0.0007496090510686705</x:v>
      </x:c>
      <x:c r="N27" s="41" t="n">
        <x:f>_xlfn.COVARIANCE.S('Common sample'!W6:W75,'Common sample'!N6:N75)</x:f>
        <x:v>-0.0003154602927545263</x:v>
      </x:c>
      <x:c r="O27" s="41" t="n">
        <x:f>_xlfn.COVARIANCE.S('Common sample'!W6:W75,'Common sample'!O6:O75)</x:f>
        <x:v>-0.0014704170106228545</x:v>
      </x:c>
      <x:c r="P27" s="41" t="n">
        <x:f>_xlfn.COVARIANCE.S('Common sample'!W6:W75,'Common sample'!P6:P75)</x:f>
        <x:v>-0.0007312072979988669</x:v>
      </x:c>
      <x:c r="Q27" s="41" t="n">
        <x:f>_xlfn.COVARIANCE.S('Common sample'!W6:W75,'Common sample'!Q6:Q75)</x:f>
        <x:v>-0.0031364003955146</x:v>
      </x:c>
      <x:c r="R27" s="41" t="n">
        <x:f>_xlfn.COVARIANCE.S('Common sample'!W6:W75,'Common sample'!R6:R75)</x:f>
        <x:v>0.00045687642679050256</x:v>
      </x:c>
      <x:c r="S27" s="41" t="n">
        <x:f>_xlfn.COVARIANCE.S('Common sample'!W6:W75,'Common sample'!S6:S75)</x:f>
        <x:v>-0.0008679586077622798</x:v>
      </x:c>
      <x:c r="T27" s="41" t="n">
        <x:f>_xlfn.COVARIANCE.S('Common sample'!W6:W75,'Common sample'!T6:T75)</x:f>
        <x:v>0.0013795947201001029</x:v>
      </x:c>
      <x:c r="U27" s="41" t="n">
        <x:f>_xlfn.COVARIANCE.S('Common sample'!W6:W75,'Common sample'!U6:U75)</x:f>
        <x:v>0.0011525056882689115</x:v>
      </x:c>
      <x:c r="V27" s="41" t="n">
        <x:f>_xlfn.COVARIANCE.S('Common sample'!W6:W75,'Common sample'!V6:V75)</x:f>
        <x:v>0.00014042039311667212</x:v>
      </x:c>
      <x:c r="W27" s="41" t="n">
        <x:f>_xlfn.COVARIANCE.S('Common sample'!W6:W75,'Common sample'!W6:W75)</x:f>
        <x:v>0.0028106131802030513</x:v>
      </x:c>
      <x:c r="X27" s="41" t="n">
        <x:f>_xlfn.COVARIANCE.S('Common sample'!W6:W75,'Common sample'!X6:X75)</x:f>
        <x:v>-0.0006301063148205786</x:v>
      </x:c>
      <x:c r="Y27" s="41" t="n">
        <x:f>_xlfn.COVARIANCE.S('Common sample'!W6:W75,'Common sample'!Y6:Y75)</x:f>
        <x:v>-0.0006432042582748122</x:v>
      </x:c>
      <x:c r="Z27" s="41" t="n">
        <x:f>_xlfn.COVARIANCE.S('Common sample'!W6:W75,'Common sample'!Z6:Z75)</x:f>
        <x:v>0.00030448502448312046</x:v>
      </x:c>
      <x:c r="AA27" s="41" t="n">
        <x:f>_xlfn.COVARIANCE.S('Common sample'!W6:W75,'Common sample'!AA6:AA75)</x:f>
        <x:v>0.001076408207244168</x:v>
      </x:c>
      <x:c r="AB27" s="41" t="n">
        <x:f>_xlfn.COVARIANCE.S('Common sample'!W6:W75,'Common sample'!AB6:AB75)</x:f>
        <x:v>0.000798390066394164</x:v>
      </x:c>
      <x:c r="AC27" s="41" t="n">
        <x:f>_xlfn.COVARIANCE.S('Common sample'!W6:W75,'Common sample'!AC6:AC75)</x:f>
        <x:v>0.0005224514396232907</x:v>
      </x:c>
      <x:c r="AD27" s="41" t="n">
        <x:f>_xlfn.COVARIANCE.S('Common sample'!W6:W75,'Common sample'!AD6:AD75)</x:f>
        <x:v>-0.00013793520899759698</x:v>
      </x:c>
      <x:c r="AE27" s="41" t="n">
        <x:f>_xlfn.COVARIANCE.S('Common sample'!W6:W75,'Common sample'!AE6:AE75)</x:f>
        <x:v>0.00043314300058367697</x:v>
      </x:c>
      <x:c r="AF27" s="41" t="n">
        <x:f>_xlfn.COVARIANCE.S('Common sample'!W6:W75,'Common sample'!AF6:AF75)</x:f>
        <x:v>0.0010072783192401305</x:v>
      </x:c>
      <x:c r="AG27" s="41" t="n">
        <x:f>_xlfn.COVARIANCE.S('Common sample'!W6:W75,'Common sample'!AG6:AG75)</x:f>
        <x:v>0.00007608761499724182</x:v>
      </x:c>
      <x:c r="AH27" s="41" t="n">
        <x:f>_xlfn.COVARIANCE.S('Common sample'!W6:W75,'Common sample'!AH6:AH75)</x:f>
        <x:v>0.00026362607575022834</x:v>
      </x:c>
      <x:c r="AI27" s="41" t="n">
        <x:f>_xlfn.COVARIANCE.S('Common sample'!W6:W75,'Common sample'!AI6:AI75)</x:f>
        <x:v>0.000058194096096274356</x:v>
      </x:c>
      <x:c r="AJ27" s="41" t="n">
        <x:f>_xlfn.COVARIANCE.S('Common sample'!W6:W75,'Common sample'!AJ6:AJ75)</x:f>
        <x:v>-0.00023549289685774003</x:v>
      </x:c>
      <x:c r="AK27" s="41" t="n">
        <x:f>_xlfn.COVARIANCE.S('Common sample'!W6:W75,'Common sample'!AK6:AK75)</x:f>
        <x:v>-0.0009529010671846191</x:v>
      </x:c>
      <x:c r="AL27" s="41" t="n">
        <x:f>_xlfn.COVARIANCE.S('Common sample'!W6:W75,'Common sample'!AL6:AL75)</x:f>
        <x:v>0.0010388927319255848</x:v>
      </x:c>
      <x:c r="AM27" s="41" t="n">
        <x:f>_xlfn.COVARIANCE.S('Common sample'!W6:W75,'Common sample'!AM6:AM75)</x:f>
        <x:v>-0.0010611846813837163</x:v>
      </x:c>
      <x:c r="AN27" s="41" t="n">
        <x:f>_xlfn.COVARIANCE.S('Common sample'!W6:W75,'Common sample'!AN6:AN75)</x:f>
        <x:v>0.00022410779188400845</x:v>
      </x:c>
      <x:c r="AO27" s="41" t="n">
        <x:f>_xlfn.COVARIANCE.S('Common sample'!W6:W75,'Common sample'!AO6:AO75)</x:f>
        <x:v>0.0005740056387101434</x:v>
      </x:c>
      <x:c r="AP27" s="41" t="n">
        <x:f>_xlfn.COVARIANCE.S('Common sample'!W6:W75,'Common sample'!AP6:AP75)</x:f>
        <x:v>0.0001095750201959736</x:v>
      </x:c>
      <x:c r="AQ27" s="41" t="n">
        <x:f>_xlfn.COVARIANCE.S('Common sample'!W6:W75,'Common sample'!AQ6:AQ75)</x:f>
        <x:v>0.0002191674054622609</x:v>
      </x:c>
      <x:c r="AR27" s="41" t="n">
        <x:f>_xlfn.COVARIANCE.S('Common sample'!W6:W75,'Common sample'!AR6:AR75)</x:f>
        <x:v>0.00019617120165471628</x:v>
      </x:c>
    </x:row>
    <x:row r="28" ht="19" customHeight="1">
      <x:c r="A28" s="29" t="str">
        <x:v>MU</x:v>
      </x:c>
      <x:c r="B28" s="41" t="n">
        <x:f>_xlfn.COVARIANCE.S('Common sample'!X6:X75,'Common sample'!B6:B75)</x:f>
        <x:v>0.0016715052066409827</x:v>
      </x:c>
      <x:c r="C28" s="41" t="n">
        <x:f>_xlfn.COVARIANCE.S('Common sample'!X6:X75,'Common sample'!C6:C75)</x:f>
        <x:v>-0.0013488931766895136</x:v>
      </x:c>
      <x:c r="D28" s="41" t="n">
        <x:f>_xlfn.COVARIANCE.S('Common sample'!X6:X75,'Common sample'!D6:D75)</x:f>
        <x:v>0.00033038811813135445</x:v>
      </x:c>
      <x:c r="E28" s="41" t="n">
        <x:f>_xlfn.COVARIANCE.S('Common sample'!X6:X75,'Common sample'!E6:E75)</x:f>
        <x:v>0.0004713600318850095</x:v>
      </x:c>
      <x:c r="F28" s="41" t="n">
        <x:f>_xlfn.COVARIANCE.S('Common sample'!X6:X75,'Common sample'!F6:F75)</x:f>
        <x:v>0.0020005204274103072</x:v>
      </x:c>
      <x:c r="G28" s="41" t="n">
        <x:f>_xlfn.COVARIANCE.S('Common sample'!X6:X75,'Common sample'!G6:G75)</x:f>
        <x:v>-0.0015483426832071522</x:v>
      </x:c>
      <x:c r="H28" s="41" t="n">
        <x:f>_xlfn.COVARIANCE.S('Common sample'!X6:X75,'Common sample'!H6:H75)</x:f>
        <x:v>0.001060848226253272</x:v>
      </x:c>
      <x:c r="I28" s="41" t="n">
        <x:f>_xlfn.COVARIANCE.S('Common sample'!X6:X75,'Common sample'!I6:I75)</x:f>
        <x:v>0.0029826030692972736</x:v>
      </x:c>
      <x:c r="J28" s="41" t="n">
        <x:f>_xlfn.COVARIANCE.S('Common sample'!X6:X75,'Common sample'!J6:J75)</x:f>
        <x:v>0.010925338841595827</x:v>
      </x:c>
      <x:c r="K28" s="41" t="n">
        <x:f>_xlfn.COVARIANCE.S('Common sample'!X6:X75,'Common sample'!K6:K75)</x:f>
        <x:v>-0.0013935274005874728</x:v>
      </x:c>
      <x:c r="L28" s="41" t="n">
        <x:f>_xlfn.COVARIANCE.S('Common sample'!X6:X75,'Common sample'!L6:L75)</x:f>
        <x:v>-0.0027331082536371956</x:v>
      </x:c>
      <x:c r="M28" s="41" t="n">
        <x:f>_xlfn.COVARIANCE.S('Common sample'!X6:X75,'Common sample'!M6:M75)</x:f>
        <x:v>-0.0015967144337218427</x:v>
      </x:c>
      <x:c r="N28" s="41" t="n">
        <x:f>_xlfn.COVARIANCE.S('Common sample'!X6:X75,'Common sample'!N6:N75)</x:f>
        <x:v>-0.0011781302612093967</x:v>
      </x:c>
      <x:c r="O28" s="41" t="n">
        <x:f>_xlfn.COVARIANCE.S('Common sample'!X6:X75,'Common sample'!O6:O75)</x:f>
        <x:v>0.013606564335155353</x:v>
      </x:c>
      <x:c r="P28" s="41" t="n">
        <x:f>_xlfn.COVARIANCE.S('Common sample'!X6:X75,'Common sample'!P6:P75)</x:f>
        <x:v>-0.001311719357025005</x:v>
      </x:c>
      <x:c r="Q28" s="41" t="n">
        <x:f>_xlfn.COVARIANCE.S('Common sample'!X6:X75,'Common sample'!Q6:Q75)</x:f>
        <x:v>0.0027131884098265174</x:v>
      </x:c>
      <x:c r="R28" s="41" t="n">
        <x:f>_xlfn.COVARIANCE.S('Common sample'!X6:X75,'Common sample'!R6:R75)</x:f>
        <x:v>-0.0020291495223688175</x:v>
      </x:c>
      <x:c r="S28" s="41" t="n">
        <x:f>_xlfn.COVARIANCE.S('Common sample'!X6:X75,'Common sample'!S6:S75)</x:f>
        <x:v>-0.0023353772896829894</x:v>
      </x:c>
      <x:c r="T28" s="41" t="n">
        <x:f>_xlfn.COVARIANCE.S('Common sample'!X6:X75,'Common sample'!T6:T75)</x:f>
        <x:v>0.0021555097950699954</x:v>
      </x:c>
      <x:c r="U28" s="41" t="n">
        <x:f>_xlfn.COVARIANCE.S('Common sample'!X6:X75,'Common sample'!U6:U75)</x:f>
        <x:v>-0.00008890684294575362</x:v>
      </x:c>
      <x:c r="V28" s="41" t="n">
        <x:f>_xlfn.COVARIANCE.S('Common sample'!X6:X75,'Common sample'!V6:V75)</x:f>
        <x:v>-0.0027780928371187895</x:v>
      </x:c>
      <x:c r="W28" s="41" t="n">
        <x:f>_xlfn.COVARIANCE.S('Common sample'!X6:X75,'Common sample'!W6:W75)</x:f>
        <x:v>-0.0006301063148205786</x:v>
      </x:c>
      <x:c r="X28" s="41" t="n">
        <x:f>_xlfn.COVARIANCE.S('Common sample'!X6:X75,'Common sample'!X6:X75)</x:f>
        <x:v>0.019811869332595794</x:v>
      </x:c>
      <x:c r="Y28" s="41" t="n">
        <x:f>_xlfn.COVARIANCE.S('Common sample'!X6:X75,'Common sample'!Y6:Y75)</x:f>
        <x:v>0.0022445758420211997</x:v>
      </x:c>
      <x:c r="Z28" s="41" t="n">
        <x:f>_xlfn.COVARIANCE.S('Common sample'!X6:X75,'Common sample'!Z6:Z75)</x:f>
        <x:v>-0.0003283719994028378</x:v>
      </x:c>
      <x:c r="AA28" s="41" t="n">
        <x:f>_xlfn.COVARIANCE.S('Common sample'!X6:X75,'Common sample'!AA6:AA75)</x:f>
        <x:v>-0.00040946270007415796</x:v>
      </x:c>
      <x:c r="AB28" s="41" t="n">
        <x:f>_xlfn.COVARIANCE.S('Common sample'!X6:X75,'Common sample'!AB6:AB75)</x:f>
        <x:v>-0.0033062103158832097</x:v>
      </x:c>
      <x:c r="AC28" s="41" t="n">
        <x:f>_xlfn.COVARIANCE.S('Common sample'!X6:X75,'Common sample'!AC6:AC75)</x:f>
        <x:v>0.0011667966873777956</x:v>
      </x:c>
      <x:c r="AD28" s="41" t="n">
        <x:f>_xlfn.COVARIANCE.S('Common sample'!X6:X75,'Common sample'!AD6:AD75)</x:f>
        <x:v>0.0028418603571852127</x:v>
      </x:c>
      <x:c r="AE28" s="41" t="n">
        <x:f>_xlfn.COVARIANCE.S('Common sample'!X6:X75,'Common sample'!AE6:AE75)</x:f>
        <x:v>0.0011842326897571545</x:v>
      </x:c>
      <x:c r="AF28" s="41" t="n">
        <x:f>_xlfn.COVARIANCE.S('Common sample'!X6:X75,'Common sample'!AF6:AF75)</x:f>
        <x:v>-0.0010214852868691276</x:v>
      </x:c>
      <x:c r="AG28" s="41" t="n">
        <x:f>_xlfn.COVARIANCE.S('Common sample'!X6:X75,'Common sample'!AG6:AG75)</x:f>
        <x:v>0.00037003317988830697</x:v>
      </x:c>
      <x:c r="AH28" s="41" t="n">
        <x:f>_xlfn.COVARIANCE.S('Common sample'!X6:X75,'Common sample'!AH6:AH75)</x:f>
        <x:v>0.0023596916272533458</x:v>
      </x:c>
      <x:c r="AI28" s="41" t="n">
        <x:f>_xlfn.COVARIANCE.S('Common sample'!X6:X75,'Common sample'!AI6:AI75)</x:f>
        <x:v>0.0005596625492687011</x:v>
      </x:c>
      <x:c r="AJ28" s="41" t="n">
        <x:f>_xlfn.COVARIANCE.S('Common sample'!X6:X75,'Common sample'!AJ6:AJ75)</x:f>
        <x:v>0.0002899750832829753</x:v>
      </x:c>
      <x:c r="AK28" s="41" t="n">
        <x:f>_xlfn.COVARIANCE.S('Common sample'!X6:X75,'Common sample'!AK6:AK75)</x:f>
        <x:v>0.002413302586587212</x:v>
      </x:c>
      <x:c r="AL28" s="41" t="n">
        <x:f>_xlfn.COVARIANCE.S('Common sample'!X6:X75,'Common sample'!AL6:AL75)</x:f>
        <x:v>-0.002543592947942446</x:v>
      </x:c>
      <x:c r="AM28" s="41" t="n">
        <x:f>_xlfn.COVARIANCE.S('Common sample'!X6:X75,'Common sample'!AM6:AM75)</x:f>
        <x:v>0.0029803177132431856</x:v>
      </x:c>
      <x:c r="AN28" s="41" t="n">
        <x:f>_xlfn.COVARIANCE.S('Common sample'!X6:X75,'Common sample'!AN6:AN75)</x:f>
        <x:v>-0.00020593695587336358</x:v>
      </x:c>
      <x:c r="AO28" s="41" t="n">
        <x:f>_xlfn.COVARIANCE.S('Common sample'!X6:X75,'Common sample'!AO6:AO75)</x:f>
        <x:v>0.0018819945329002637</x:v>
      </x:c>
      <x:c r="AP28" s="41" t="n">
        <x:f>_xlfn.COVARIANCE.S('Common sample'!X6:X75,'Common sample'!AP6:AP75)</x:f>
        <x:v>-0.00027467337155671765</x:v>
      </x:c>
      <x:c r="AQ28" s="41" t="n">
        <x:f>_xlfn.COVARIANCE.S('Common sample'!X6:X75,'Common sample'!AQ6:AQ75)</x:f>
        <x:v>-0.000366434941134101</x:v>
      </x:c>
      <x:c r="AR28" s="41" t="n">
        <x:f>_xlfn.COVARIANCE.S('Common sample'!X6:X75,'Common sample'!AR6:AR75)</x:f>
        <x:v>0.00017429042248471294</x:v>
      </x:c>
    </x:row>
    <x:row r="29" ht="19" customHeight="1">
      <x:c r="A29" s="29" t="str">
        <x:v>NEM</x:v>
      </x:c>
      <x:c r="B29" s="41" t="n">
        <x:f>_xlfn.COVARIANCE.S('Common sample'!Y6:Y75,'Common sample'!B6:B75)</x:f>
        <x:v>-0.0007342065009067246</x:v>
      </x:c>
      <x:c r="C29" s="41" t="n">
        <x:f>_xlfn.COVARIANCE.S('Common sample'!Y6:Y75,'Common sample'!C6:C75)</x:f>
        <x:v>-0.000011589287601301693</x:v>
      </x:c>
      <x:c r="D29" s="41" t="n">
        <x:f>_xlfn.COVARIANCE.S('Common sample'!Y6:Y75,'Common sample'!D6:D75)</x:f>
        <x:v>-0.0003416479277649918</x:v>
      </x:c>
      <x:c r="E29" s="41" t="n">
        <x:f>_xlfn.COVARIANCE.S('Common sample'!Y6:Y75,'Common sample'!E6:E75)</x:f>
        <x:v>-0.0006334015296254414</x:v>
      </x:c>
      <x:c r="F29" s="41" t="n">
        <x:f>_xlfn.COVARIANCE.S('Common sample'!Y6:Y75,'Common sample'!F6:F75)</x:f>
        <x:v>0.0006287360623064812</x:v>
      </x:c>
      <x:c r="G29" s="41" t="n">
        <x:f>_xlfn.COVARIANCE.S('Common sample'!Y6:Y75,'Common sample'!G6:G75)</x:f>
        <x:v>-0.0017490281816838215</x:v>
      </x:c>
      <x:c r="H29" s="41" t="n">
        <x:f>_xlfn.COVARIANCE.S('Common sample'!Y6:Y75,'Common sample'!H6:H75)</x:f>
        <x:v>-0.0003520301824746776</x:v>
      </x:c>
      <x:c r="I29" s="41" t="n">
        <x:f>_xlfn.COVARIANCE.S('Common sample'!Y6:Y75,'Common sample'!I6:I75)</x:f>
        <x:v>-0.00025614977650701635</x:v>
      </x:c>
      <x:c r="J29" s="41" t="n">
        <x:f>_xlfn.COVARIANCE.S('Common sample'!Y6:Y75,'Common sample'!J6:J75)</x:f>
        <x:v>0.0020595847583580085</x:v>
      </x:c>
      <x:c r="K29" s="41" t="n">
        <x:f>_xlfn.COVARIANCE.S('Common sample'!Y6:Y75,'Common sample'!K6:K75)</x:f>
        <x:v>-0.0015105354335649232</x:v>
      </x:c>
      <x:c r="L29" s="41" t="n">
        <x:f>_xlfn.COVARIANCE.S('Common sample'!Y6:Y75,'Common sample'!L6:L75)</x:f>
        <x:v>-0.002688740887963398</x:v>
      </x:c>
      <x:c r="M29" s="41" t="n">
        <x:f>_xlfn.COVARIANCE.S('Common sample'!Y6:Y75,'Common sample'!M6:M75)</x:f>
        <x:v>-0.0005999414130729172</x:v>
      </x:c>
      <x:c r="N29" s="41" t="n">
        <x:f>_xlfn.COVARIANCE.S('Common sample'!Y6:Y75,'Common sample'!N6:N75)</x:f>
        <x:v>-0.0008614721196523389</x:v>
      </x:c>
      <x:c r="O29" s="41" t="n">
        <x:f>_xlfn.COVARIANCE.S('Common sample'!Y6:Y75,'Common sample'!O6:O75)</x:f>
        <x:v>0.003248338321982451</x:v>
      </x:c>
      <x:c r="P29" s="41" t="n">
        <x:f>_xlfn.COVARIANCE.S('Common sample'!Y6:Y75,'Common sample'!P6:P75)</x:f>
        <x:v>-0.0011969843983188158</x:v>
      </x:c>
      <x:c r="Q29" s="41" t="n">
        <x:f>_xlfn.COVARIANCE.S('Common sample'!Y6:Y75,'Common sample'!Q6:Q75)</x:f>
        <x:v>-0.0013882830973582063</x:v>
      </x:c>
      <x:c r="R29" s="41" t="n">
        <x:f>_xlfn.COVARIANCE.S('Common sample'!Y6:Y75,'Common sample'!R6:R75)</x:f>
        <x:v>0.0008275662084281794</x:v>
      </x:c>
      <x:c r="S29" s="41" t="n">
        <x:f>_xlfn.COVARIANCE.S('Common sample'!Y6:Y75,'Common sample'!S6:S75)</x:f>
        <x:v>-0.0018765879824277736</x:v>
      </x:c>
      <x:c r="T29" s="41" t="n">
        <x:f>_xlfn.COVARIANCE.S('Common sample'!Y6:Y75,'Common sample'!T6:T75)</x:f>
        <x:v>-0.0021685028636757027</x:v>
      </x:c>
      <x:c r="U29" s="41" t="n">
        <x:f>_xlfn.COVARIANCE.S('Common sample'!Y6:Y75,'Common sample'!U6:U75)</x:f>
        <x:v>-0.00005103837503416083</x:v>
      </x:c>
      <x:c r="V29" s="41" t="n">
        <x:f>_xlfn.COVARIANCE.S('Common sample'!Y6:Y75,'Common sample'!V6:V75)</x:f>
        <x:v>-0.0011682302677854717</x:v>
      </x:c>
      <x:c r="W29" s="41" t="n">
        <x:f>_xlfn.COVARIANCE.S('Common sample'!Y6:Y75,'Common sample'!W6:W75)</x:f>
        <x:v>-0.0006432042582748122</x:v>
      </x:c>
      <x:c r="X29" s="41" t="n">
        <x:f>_xlfn.COVARIANCE.S('Common sample'!Y6:Y75,'Common sample'!X6:X75)</x:f>
        <x:v>0.0022445758420211997</x:v>
      </x:c>
      <x:c r="Y29" s="41" t="n">
        <x:f>_xlfn.COVARIANCE.S('Common sample'!Y6:Y75,'Common sample'!Y6:Y75)</x:f>
        <x:v>0.010055839250456985</x:v>
      </x:c>
      <x:c r="Z29" s="41" t="n">
        <x:f>_xlfn.COVARIANCE.S('Common sample'!Y6:Y75,'Common sample'!Z6:Z75)</x:f>
        <x:v>0.000042094103782947995</x:v>
      </x:c>
      <x:c r="AA29" s="41" t="n">
        <x:f>_xlfn.COVARIANCE.S('Common sample'!Y6:Y75,'Common sample'!AA6:AA75)</x:f>
        <x:v>0.002565459171235772</x:v>
      </x:c>
      <x:c r="AB29" s="41" t="n">
        <x:f>_xlfn.COVARIANCE.S('Common sample'!Y6:Y75,'Common sample'!AB6:AB75)</x:f>
        <x:v>-0.000905741201596059</x:v>
      </x:c>
      <x:c r="AC29" s="41" t="n">
        <x:f>_xlfn.COVARIANCE.S('Common sample'!Y6:Y75,'Common sample'!AC6:AC75)</x:f>
        <x:v>-0.0001502487051740248</x:v>
      </x:c>
      <x:c r="AD29" s="41" t="n">
        <x:f>_xlfn.COVARIANCE.S('Common sample'!Y6:Y75,'Common sample'!AD6:AD75)</x:f>
        <x:v>-0.0005865238680742381</x:v>
      </x:c>
      <x:c r="AE29" s="41" t="n">
        <x:f>_xlfn.COVARIANCE.S('Common sample'!Y6:Y75,'Common sample'!AE6:AE75)</x:f>
        <x:v>0.0010589475943978794</x:v>
      </x:c>
      <x:c r="AF29" s="41" t="n">
        <x:f>_xlfn.COVARIANCE.S('Common sample'!Y6:Y75,'Common sample'!AF6:AF75)</x:f>
        <x:v>0.0001080528793816028</x:v>
      </x:c>
      <x:c r="AG29" s="41" t="n">
        <x:f>_xlfn.COVARIANCE.S('Common sample'!Y6:Y75,'Common sample'!AG6:AG75)</x:f>
        <x:v>0.0028174840196928037</x:v>
      </x:c>
      <x:c r="AH29" s="41" t="n">
        <x:f>_xlfn.COVARIANCE.S('Common sample'!Y6:Y75,'Common sample'!AH6:AH75)</x:f>
        <x:v>-0.0021028869935354696</x:v>
      </x:c>
      <x:c r="AI29" s="41" t="n">
        <x:f>_xlfn.COVARIANCE.S('Common sample'!Y6:Y75,'Common sample'!AI6:AI75)</x:f>
        <x:v>-0.0005106496399228863</x:v>
      </x:c>
      <x:c r="AJ29" s="41" t="n">
        <x:f>_xlfn.COVARIANCE.S('Common sample'!Y6:Y75,'Common sample'!AJ6:AJ75)</x:f>
        <x:v>-0.0010252853718153362</x:v>
      </x:c>
      <x:c r="AK29" s="41" t="n">
        <x:f>_xlfn.COVARIANCE.S('Common sample'!Y6:Y75,'Common sample'!AK6:AK75)</x:f>
        <x:v>0.00125184972637956</x:v>
      </x:c>
      <x:c r="AL29" s="41" t="n">
        <x:f>_xlfn.COVARIANCE.S('Common sample'!Y6:Y75,'Common sample'!AL6:AL75)</x:f>
        <x:v>0.0009061972677576581</x:v>
      </x:c>
      <x:c r="AM29" s="41" t="n">
        <x:f>_xlfn.COVARIANCE.S('Common sample'!Y6:Y75,'Common sample'!AM6:AM75)</x:f>
        <x:v>0.0009223712249104906</x:v>
      </x:c>
      <x:c r="AN29" s="41" t="n">
        <x:f>_xlfn.COVARIANCE.S('Common sample'!Y6:Y75,'Common sample'!AN6:AN75)</x:f>
        <x:v>-0.0007132469026957945</x:v>
      </x:c>
      <x:c r="AO29" s="41" t="n">
        <x:f>_xlfn.COVARIANCE.S('Common sample'!Y6:Y75,'Common sample'!AO6:AO75)</x:f>
        <x:v>-0.00012304089487988787</x:v>
      </x:c>
      <x:c r="AP29" s="41" t="n">
        <x:f>_xlfn.COVARIANCE.S('Common sample'!Y6:Y75,'Common sample'!AP6:AP75)</x:f>
        <x:v>0.0004798467093774974</x:v>
      </x:c>
      <x:c r="AQ29" s="41" t="n">
        <x:f>_xlfn.COVARIANCE.S('Common sample'!Y6:Y75,'Common sample'!AQ6:AQ75)</x:f>
        <x:v>-0.00027580773775290866</x:v>
      </x:c>
      <x:c r="AR29" s="41" t="n">
        <x:f>_xlfn.COVARIANCE.S('Common sample'!Y6:Y75,'Common sample'!AR6:AR75)</x:f>
        <x:v>0.0002455288760707114</x:v>
      </x:c>
    </x:row>
    <x:row r="30" ht="19" customHeight="1">
      <x:c r="A30" s="29" t="str">
        <x:v>PGR</x:v>
      </x:c>
      <x:c r="B30" s="41" t="n">
        <x:f>_xlfn.COVARIANCE.S('Common sample'!Z6:Z75,'Common sample'!B6:B75)</x:f>
        <x:v>-0.00011409859958502126</x:v>
      </x:c>
      <x:c r="C30" s="41" t="n">
        <x:f>_xlfn.COVARIANCE.S('Common sample'!Z6:Z75,'Common sample'!C6:C75)</x:f>
        <x:v>-0.00035868589851496797</x:v>
      </x:c>
      <x:c r="D30" s="41" t="n">
        <x:f>_xlfn.COVARIANCE.S('Common sample'!Z6:Z75,'Common sample'!D6:D75)</x:f>
        <x:v>0.0001669124456458093</x:v>
      </x:c>
      <x:c r="E30" s="41" t="n">
        <x:f>_xlfn.COVARIANCE.S('Common sample'!Z6:Z75,'Common sample'!E6:E75)</x:f>
        <x:v>0.00015238126515902447</x:v>
      </x:c>
      <x:c r="F30" s="41" t="n">
        <x:f>_xlfn.COVARIANCE.S('Common sample'!Z6:Z75,'Common sample'!F6:F75)</x:f>
        <x:v>0.0008002118851607915</x:v>
      </x:c>
      <x:c r="G30" s="41" t="n">
        <x:f>_xlfn.COVARIANCE.S('Common sample'!Z6:Z75,'Common sample'!G6:G75)</x:f>
        <x:v>0.0006964939597681272</x:v>
      </x:c>
      <x:c r="H30" s="41" t="n">
        <x:f>_xlfn.COVARIANCE.S('Common sample'!Z6:Z75,'Common sample'!H6:H75)</x:f>
        <x:v>-0.000044263564633461046</x:v>
      </x:c>
      <x:c r="I30" s="41" t="n">
        <x:f>_xlfn.COVARIANCE.S('Common sample'!Z6:Z75,'Common sample'!I6:I75)</x:f>
        <x:v>-0.00014345329657699314</x:v>
      </x:c>
      <x:c r="J30" s="41" t="n">
        <x:f>_xlfn.COVARIANCE.S('Common sample'!Z6:Z75,'Common sample'!J6:J75)</x:f>
        <x:v>0.00026017783271480705</x:v>
      </x:c>
      <x:c r="K30" s="41" t="n">
        <x:f>_xlfn.COVARIANCE.S('Common sample'!Z6:Z75,'Common sample'!K6:K75)</x:f>
        <x:v>-0.00023475292438725434</x:v>
      </x:c>
      <x:c r="L30" s="41" t="n">
        <x:f>_xlfn.COVARIANCE.S('Common sample'!Z6:Z75,'Common sample'!L6:L75)</x:f>
        <x:v>-0.0006451109841382037</x:v>
      </x:c>
      <x:c r="M30" s="41" t="n">
        <x:f>_xlfn.COVARIANCE.S('Common sample'!Z6:Z75,'Common sample'!M6:M75)</x:f>
        <x:v>-0.0004884969343924088</x:v>
      </x:c>
      <x:c r="N30" s="41" t="n">
        <x:f>_xlfn.COVARIANCE.S('Common sample'!Z6:Z75,'Common sample'!N6:N75)</x:f>
        <x:v>0.0007838877953276059</x:v>
      </x:c>
      <x:c r="O30" s="41" t="n">
        <x:f>_xlfn.COVARIANCE.S('Common sample'!Z6:Z75,'Common sample'!O6:O75)</x:f>
        <x:v>0.00001022111935785273</x:v>
      </x:c>
      <x:c r="P30" s="41" t="n">
        <x:f>_xlfn.COVARIANCE.S('Common sample'!Z6:Z75,'Common sample'!P6:P75)</x:f>
        <x:v>0.0001901363702396571</x:v>
      </x:c>
      <x:c r="Q30" s="41" t="n">
        <x:f>_xlfn.COVARIANCE.S('Common sample'!Z6:Z75,'Common sample'!Q6:Q75)</x:f>
        <x:v>-0.0009019714345701098</x:v>
      </x:c>
      <x:c r="R30" s="41" t="n">
        <x:f>_xlfn.COVARIANCE.S('Common sample'!Z6:Z75,'Common sample'!R6:R75)</x:f>
        <x:v>0.00037682000247331456</x:v>
      </x:c>
      <x:c r="S30" s="41" t="n">
        <x:f>_xlfn.COVARIANCE.S('Common sample'!Z6:Z75,'Common sample'!S6:S75)</x:f>
        <x:v>-0.00031032258066509617</x:v>
      </x:c>
      <x:c r="T30" s="41" t="n">
        <x:f>_xlfn.COVARIANCE.S('Common sample'!Z6:Z75,'Common sample'!T6:T75)</x:f>
        <x:v>-0.0019165794415419986</x:v>
      </x:c>
      <x:c r="U30" s="41" t="n">
        <x:f>_xlfn.COVARIANCE.S('Common sample'!Z6:Z75,'Common sample'!U6:U75)</x:f>
        <x:v>0.0014830018305092313</x:v>
      </x:c>
      <x:c r="V30" s="41" t="n">
        <x:f>_xlfn.COVARIANCE.S('Common sample'!Z6:Z75,'Common sample'!V6:V75)</x:f>
        <x:v>0.0004374562906668845</x:v>
      </x:c>
      <x:c r="W30" s="41" t="n">
        <x:f>_xlfn.COVARIANCE.S('Common sample'!Z6:Z75,'Common sample'!W6:W75)</x:f>
        <x:v>0.00030448502448312046</x:v>
      </x:c>
      <x:c r="X30" s="41" t="n">
        <x:f>_xlfn.COVARIANCE.S('Common sample'!Z6:Z75,'Common sample'!X6:X75)</x:f>
        <x:v>-0.0003283719994028378</x:v>
      </x:c>
      <x:c r="Y30" s="41" t="n">
        <x:f>_xlfn.COVARIANCE.S('Common sample'!Z6:Z75,'Common sample'!Y6:Y75)</x:f>
        <x:v>0.000042094103782947995</x:v>
      </x:c>
      <x:c r="Z30" s="41" t="n">
        <x:f>_xlfn.COVARIANCE.S('Common sample'!Z6:Z75,'Common sample'!Z6:Z75)</x:f>
        <x:v>0.0026069493274625275</x:v>
      </x:c>
      <x:c r="AA30" s="41" t="n">
        <x:f>_xlfn.COVARIANCE.S('Common sample'!Z6:Z75,'Common sample'!AA6:AA75)</x:f>
        <x:v>-0.0005562614064161268</x:v>
      </x:c>
      <x:c r="AB30" s="41" t="n">
        <x:f>_xlfn.COVARIANCE.S('Common sample'!Z6:Z75,'Common sample'!AB6:AB75)</x:f>
        <x:v>-0.0018329452374366735</x:v>
      </x:c>
      <x:c r="AC30" s="41" t="n">
        <x:f>_xlfn.COVARIANCE.S('Common sample'!Z6:Z75,'Common sample'!AC6:AC75)</x:f>
        <x:v>0.0005548214827356706</x:v>
      </x:c>
      <x:c r="AD30" s="41" t="n">
        <x:f>_xlfn.COVARIANCE.S('Common sample'!Z6:Z75,'Common sample'!AD6:AD75)</x:f>
        <x:v>0.0002106325090397824</x:v>
      </x:c>
      <x:c r="AE30" s="41" t="n">
        <x:f>_xlfn.COVARIANCE.S('Common sample'!Z6:Z75,'Common sample'!AE6:AE75)</x:f>
        <x:v>0.0000372882131245262</x:v>
      </x:c>
      <x:c r="AF30" s="41" t="n">
        <x:f>_xlfn.COVARIANCE.S('Common sample'!Z6:Z75,'Common sample'!AF6:AF75)</x:f>
        <x:v>-0.00017907657311900326</x:v>
      </x:c>
      <x:c r="AG30" s="41" t="n">
        <x:f>_xlfn.COVARIANCE.S('Common sample'!Z6:Z75,'Common sample'!AG6:AG75)</x:f>
        <x:v>-0.0008053354001397756</x:v>
      </x:c>
      <x:c r="AH30" s="41" t="n">
        <x:f>_xlfn.COVARIANCE.S('Common sample'!Z6:Z75,'Common sample'!AH6:AH75)</x:f>
        <x:v>-0.00017672858249683342</x:v>
      </x:c>
      <x:c r="AI30" s="41" t="n">
        <x:f>_xlfn.COVARIANCE.S('Common sample'!Z6:Z75,'Common sample'!AI6:AI75)</x:f>
        <x:v>0.00017402641654181312</x:v>
      </x:c>
      <x:c r="AJ30" s="41" t="n">
        <x:f>_xlfn.COVARIANCE.S('Common sample'!Z6:Z75,'Common sample'!AJ6:AJ75)</x:f>
        <x:v>0.00046033849510179606</x:v>
      </x:c>
      <x:c r="AK30" s="41" t="n">
        <x:f>_xlfn.COVARIANCE.S('Common sample'!Z6:Z75,'Common sample'!AK6:AK75)</x:f>
        <x:v>0.00005364411200532217</x:v>
      </x:c>
      <x:c r="AL30" s="41" t="n">
        <x:f>_xlfn.COVARIANCE.S('Common sample'!Z6:Z75,'Common sample'!AL6:AL75)</x:f>
        <x:v>0.00019296091264809595</x:v>
      </x:c>
      <x:c r="AM30" s="41" t="n">
        <x:f>_xlfn.COVARIANCE.S('Common sample'!Z6:Z75,'Common sample'!AM6:AM75)</x:f>
        <x:v>-0.0005976807770825981</x:v>
      </x:c>
      <x:c r="AN30" s="41" t="n">
        <x:f>_xlfn.COVARIANCE.S('Common sample'!Z6:Z75,'Common sample'!AN6:AN75)</x:f>
        <x:v>0.00023350160470290757</x:v>
      </x:c>
      <x:c r="AO30" s="41" t="n">
        <x:f>_xlfn.COVARIANCE.S('Common sample'!Z6:Z75,'Common sample'!AO6:AO75)</x:f>
        <x:v>0.00014270988911198145</x:v>
      </x:c>
      <x:c r="AP30" s="41" t="n">
        <x:f>_xlfn.COVARIANCE.S('Common sample'!Z6:Z75,'Common sample'!AP6:AP75)</x:f>
        <x:v>0.00028556846157277044</x:v>
      </x:c>
      <x:c r="AQ30" s="41" t="n">
        <x:f>_xlfn.COVARIANCE.S('Common sample'!Z6:Z75,'Common sample'!AQ6:AQ75)</x:f>
        <x:v>-0.00010201136794078007</x:v>
      </x:c>
      <x:c r="AR30" s="41" t="n">
        <x:f>_xlfn.COVARIANCE.S('Common sample'!Z6:Z75,'Common sample'!AR6:AR75)</x:f>
        <x:v>0.0006090661324866282</x:v>
      </x:c>
    </x:row>
    <x:row r="31" ht="19" customHeight="1">
      <x:c r="A31" s="29" t="str">
        <x:v>ORKA</x:v>
      </x:c>
      <x:c r="B31" s="41" t="n">
        <x:f>_xlfn.COVARIANCE.S('Common sample'!AA6:AA75,'Common sample'!B6:B75)</x:f>
        <x:v>-0.0032604280470960346</x:v>
      </x:c>
      <x:c r="C31" s="41" t="n">
        <x:f>_xlfn.COVARIANCE.S('Common sample'!AA6:AA75,'Common sample'!C6:C75)</x:f>
        <x:v>-0.0020511422527925236</x:v>
      </x:c>
      <x:c r="D31" s="41" t="n">
        <x:f>_xlfn.COVARIANCE.S('Common sample'!AA6:AA75,'Common sample'!D6:D75)</x:f>
        <x:v>-0.00044732733929513124</x:v>
      </x:c>
      <x:c r="E31" s="41" t="n">
        <x:f>_xlfn.COVARIANCE.S('Common sample'!AA6:AA75,'Common sample'!E6:E75)</x:f>
        <x:v>-0.0002891623882869831</x:v>
      </x:c>
      <x:c r="F31" s="41" t="n">
        <x:f>_xlfn.COVARIANCE.S('Common sample'!AA6:AA75,'Common sample'!F6:F75)</x:f>
        <x:v>-0.0003947835735293361</x:v>
      </x:c>
      <x:c r="G31" s="41" t="n">
        <x:f>_xlfn.COVARIANCE.S('Common sample'!AA6:AA75,'Common sample'!G6:G75)</x:f>
        <x:v>0.0028929224102223618</x:v>
      </x:c>
      <x:c r="H31" s="41" t="n">
        <x:f>_xlfn.COVARIANCE.S('Common sample'!AA6:AA75,'Common sample'!H6:H75)</x:f>
        <x:v>0.001307033787756971</x:v>
      </x:c>
      <x:c r="I31" s="41" t="n">
        <x:f>_xlfn.COVARIANCE.S('Common sample'!AA6:AA75,'Common sample'!I6:I75)</x:f>
        <x:v>-0.000020143342996925306</x:v>
      </x:c>
      <x:c r="J31" s="41" t="n">
        <x:f>_xlfn.COVARIANCE.S('Common sample'!AA6:AA75,'Common sample'!J6:J75)</x:f>
        <x:v>0.0012214078247862585</x:v>
      </x:c>
      <x:c r="K31" s="41" t="n">
        <x:f>_xlfn.COVARIANCE.S('Common sample'!AA6:AA75,'Common sample'!K6:K75)</x:f>
        <x:v>0.0034204059115176717</x:v>
      </x:c>
      <x:c r="L31" s="41" t="n">
        <x:f>_xlfn.COVARIANCE.S('Common sample'!AA6:AA75,'Common sample'!L6:L75)</x:f>
        <x:v>0.0002397547803116979</x:v>
      </x:c>
      <x:c r="M31" s="41" t="n">
        <x:f>_xlfn.COVARIANCE.S('Common sample'!AA6:AA75,'Common sample'!M6:M75)</x:f>
        <x:v>-0.0009162000659617918</x:v>
      </x:c>
      <x:c r="N31" s="41" t="n">
        <x:f>_xlfn.COVARIANCE.S('Common sample'!AA6:AA75,'Common sample'!N6:N75)</x:f>
        <x:v>-0.003046082662452888</x:v>
      </x:c>
      <x:c r="O31" s="41" t="n">
        <x:f>_xlfn.COVARIANCE.S('Common sample'!AA6:AA75,'Common sample'!O6:O75)</x:f>
        <x:v>0.0032063644247593056</x:v>
      </x:c>
      <x:c r="P31" s="41" t="n">
        <x:f>_xlfn.COVARIANCE.S('Common sample'!AA6:AA75,'Common sample'!P6:P75)</x:f>
        <x:v>-0.00216785748830237</x:v>
      </x:c>
      <x:c r="Q31" s="41" t="n">
        <x:f>_xlfn.COVARIANCE.S('Common sample'!AA6:AA75,'Common sample'!Q6:Q75)</x:f>
        <x:v>-0.006931322792458298</x:v>
      </x:c>
      <x:c r="R31" s="41" t="n">
        <x:f>_xlfn.COVARIANCE.S('Common sample'!AA6:AA75,'Common sample'!R6:R75)</x:f>
        <x:v>-0.0007375769511280153</x:v>
      </x:c>
      <x:c r="S31" s="41" t="n">
        <x:f>_xlfn.COVARIANCE.S('Common sample'!AA6:AA75,'Common sample'!S6:S75)</x:f>
        <x:v>-0.0011062546904529872</x:v>
      </x:c>
      <x:c r="T31" s="41" t="n">
        <x:f>_xlfn.COVARIANCE.S('Common sample'!AA6:AA75,'Common sample'!T6:T75)</x:f>
        <x:v>0.006212298121091713</x:v>
      </x:c>
      <x:c r="U31" s="41" t="n">
        <x:f>_xlfn.COVARIANCE.S('Common sample'!AA6:AA75,'Common sample'!U6:U75)</x:f>
        <x:v>0.000164392024468582</x:v>
      </x:c>
      <x:c r="V31" s="41" t="n">
        <x:f>_xlfn.COVARIANCE.S('Common sample'!AA6:AA75,'Common sample'!V6:V75)</x:f>
        <x:v>-0.00440758727589165</x:v>
      </x:c>
      <x:c r="W31" s="41" t="n">
        <x:f>_xlfn.COVARIANCE.S('Common sample'!AA6:AA75,'Common sample'!W6:W75)</x:f>
        <x:v>0.001076408207244168</x:v>
      </x:c>
      <x:c r="X31" s="41" t="n">
        <x:f>_xlfn.COVARIANCE.S('Common sample'!AA6:AA75,'Common sample'!X6:X75)</x:f>
        <x:v>-0.00040946270007415796</x:v>
      </x:c>
      <x:c r="Y31" s="41" t="n">
        <x:f>_xlfn.COVARIANCE.S('Common sample'!AA6:AA75,'Common sample'!Y6:Y75)</x:f>
        <x:v>0.002565459171235772</x:v>
      </x:c>
      <x:c r="Z31" s="41" t="n">
        <x:f>_xlfn.COVARIANCE.S('Common sample'!AA6:AA75,'Common sample'!Z6:Z75)</x:f>
        <x:v>-0.0005562614064161268</x:v>
      </x:c>
      <x:c r="AA31" s="41" t="n">
        <x:f>_xlfn.COVARIANCE.S('Common sample'!AA6:AA75,'Common sample'!AA6:AA75)</x:f>
        <x:v>0.03296311729718834</x:v>
      </x:c>
      <x:c r="AB31" s="41" t="n">
        <x:f>_xlfn.COVARIANCE.S('Common sample'!AA6:AA75,'Common sample'!AB6:AB75)</x:f>
        <x:v>0.000765362724929677</x:v>
      </x:c>
      <x:c r="AC31" s="41" t="n">
        <x:f>_xlfn.COVARIANCE.S('Common sample'!AA6:AA75,'Common sample'!AC6:AC75)</x:f>
        <x:v>-0.0008279794450027176</x:v>
      </x:c>
      <x:c r="AD31" s="41" t="n">
        <x:f>_xlfn.COVARIANCE.S('Common sample'!AA6:AA75,'Common sample'!AD6:AD75)</x:f>
        <x:v>-0.002841265503936722</x:v>
      </x:c>
      <x:c r="AE31" s="41" t="n">
        <x:f>_xlfn.COVARIANCE.S('Common sample'!AA6:AA75,'Common sample'!AE6:AE75)</x:f>
        <x:v>-0.0012217643582136078</x:v>
      </x:c>
      <x:c r="AF31" s="41" t="n">
        <x:f>_xlfn.COVARIANCE.S('Common sample'!AA6:AA75,'Common sample'!AF6:AF75)</x:f>
        <x:v>-0.00025045982065822846</x:v>
      </x:c>
      <x:c r="AG31" s="41" t="n">
        <x:f>_xlfn.COVARIANCE.S('Common sample'!AA6:AA75,'Common sample'!AG6:AG75)</x:f>
        <x:v>-0.0013631799216910904</x:v>
      </x:c>
      <x:c r="AH31" s="41" t="n">
        <x:f>_xlfn.COVARIANCE.S('Common sample'!AA6:AA75,'Common sample'!AH6:AH75)</x:f>
        <x:v>0.006113067139189219</x:v>
      </x:c>
      <x:c r="AI31" s="41" t="n">
        <x:f>_xlfn.COVARIANCE.S('Common sample'!AA6:AA75,'Common sample'!AI6:AI75)</x:f>
        <x:v>-0.003725196442988348</x:v>
      </x:c>
      <x:c r="AJ31" s="41" t="n">
        <x:f>_xlfn.COVARIANCE.S('Common sample'!AA6:AA75,'Common sample'!AJ6:AJ75)</x:f>
        <x:v>0.0007405965268742249</x:v>
      </x:c>
      <x:c r="AK31" s="41" t="n">
        <x:f>_xlfn.COVARIANCE.S('Common sample'!AA6:AA75,'Common sample'!AK6:AK75)</x:f>
        <x:v>-0.003739221639181315</x:v>
      </x:c>
      <x:c r="AL31" s="41" t="n">
        <x:f>_xlfn.COVARIANCE.S('Common sample'!AA6:AA75,'Common sample'!AL6:AL75)</x:f>
        <x:v>0.002233673435565074</x:v>
      </x:c>
      <x:c r="AM31" s="41" t="n">
        <x:f>_xlfn.COVARIANCE.S('Common sample'!AA6:AA75,'Common sample'!AM6:AM75)</x:f>
        <x:v>0.0003288860918631069</x:v>
      </x:c>
      <x:c r="AN31" s="41" t="n">
        <x:f>_xlfn.COVARIANCE.S('Common sample'!AA6:AA75,'Common sample'!AN6:AN75)</x:f>
        <x:v>-0.002118326212352131</x:v>
      </x:c>
      <x:c r="AO31" s="41" t="n">
        <x:f>_xlfn.COVARIANCE.S('Common sample'!AA6:AA75,'Common sample'!AO6:AO75)</x:f>
        <x:v>-0.0017296354756009102</x:v>
      </x:c>
      <x:c r="AP31" s="41" t="n">
        <x:f>_xlfn.COVARIANCE.S('Common sample'!AA6:AA75,'Common sample'!AP6:AP75)</x:f>
        <x:v>-0.0006276016469085461</x:v>
      </x:c>
      <x:c r="AQ31" s="41" t="n">
        <x:f>_xlfn.COVARIANCE.S('Common sample'!AA6:AA75,'Common sample'!AQ6:AQ75)</x:f>
        <x:v>0.0009666697116679252</x:v>
      </x:c>
      <x:c r="AR31" s="41" t="n">
        <x:f>_xlfn.COVARIANCE.S('Common sample'!AA6:AA75,'Common sample'!AR6:AR75)</x:f>
        <x:v>-0.0026150566855132965</x:v>
      </x:c>
    </x:row>
    <x:row r="32" ht="19" customHeight="1">
      <x:c r="A32" s="29" t="str">
        <x:v>UPST</x:v>
      </x:c>
      <x:c r="B32" s="41" t="n">
        <x:f>_xlfn.COVARIANCE.S('Common sample'!AB6:AB75,'Common sample'!B6:B75)</x:f>
        <x:v>0.00016992686291955093</x:v>
      </x:c>
      <x:c r="C32" s="41" t="n">
        <x:f>_xlfn.COVARIANCE.S('Common sample'!AB6:AB75,'Common sample'!C6:C75)</x:f>
        <x:v>0.0024159763757597113</x:v>
      </x:c>
      <x:c r="D32" s="41" t="n">
        <x:f>_xlfn.COVARIANCE.S('Common sample'!AB6:AB75,'Common sample'!D6:D75)</x:f>
        <x:v>-0.0006954105653890081</x:v>
      </x:c>
      <x:c r="E32" s="41" t="n">
        <x:f>_xlfn.COVARIANCE.S('Common sample'!AB6:AB75,'Common sample'!E6:E75)</x:f>
        <x:v>0.0021284281754174552</x:v>
      </x:c>
      <x:c r="F32" s="41" t="n">
        <x:f>_xlfn.COVARIANCE.S('Common sample'!AB6:AB75,'Common sample'!F6:F75)</x:f>
        <x:v>-0.0015398470134061722</x:v>
      </x:c>
      <x:c r="G32" s="41" t="n">
        <x:f>_xlfn.COVARIANCE.S('Common sample'!AB6:AB75,'Common sample'!G6:G75)</x:f>
        <x:v>0.004230374189765299</x:v>
      </x:c>
      <x:c r="H32" s="41" t="n">
        <x:f>_xlfn.COVARIANCE.S('Common sample'!AB6:AB75,'Common sample'!H6:H75)</x:f>
        <x:v>-0.00011542212023849416</x:v>
      </x:c>
      <x:c r="I32" s="41" t="n">
        <x:f>_xlfn.COVARIANCE.S('Common sample'!AB6:AB75,'Common sample'!I6:I75)</x:f>
        <x:v>-0.0034429528824949027</x:v>
      </x:c>
      <x:c r="J32" s="41" t="n">
        <x:f>_xlfn.COVARIANCE.S('Common sample'!AB6:AB75,'Common sample'!J6:J75)</x:f>
        <x:v>-0.004451419250602808</x:v>
      </x:c>
      <x:c r="K32" s="41" t="n">
        <x:f>_xlfn.COVARIANCE.S('Common sample'!AB6:AB75,'Common sample'!K6:K75)</x:f>
        <x:v>-0.0029043173918489435</x:v>
      </x:c>
      <x:c r="L32" s="41" t="n">
        <x:f>_xlfn.COVARIANCE.S('Common sample'!AB6:AB75,'Common sample'!L6:L75)</x:f>
        <x:v>-0.0017811977924706685</x:v>
      </x:c>
      <x:c r="M32" s="41" t="n">
        <x:f>_xlfn.COVARIANCE.S('Common sample'!AB6:AB75,'Common sample'!M6:M75)</x:f>
        <x:v>-0.0002448163350551431</x:v>
      </x:c>
      <x:c r="N32" s="41" t="n">
        <x:f>_xlfn.COVARIANCE.S('Common sample'!AB6:AB75,'Common sample'!N6:N75)</x:f>
        <x:v>0.0011474265730388575</x:v>
      </x:c>
      <x:c r="O32" s="41" t="n">
        <x:f>_xlfn.COVARIANCE.S('Common sample'!AB6:AB75,'Common sample'!O6:O75)</x:f>
        <x:v>-0.002276197748638751</x:v>
      </x:c>
      <x:c r="P32" s="41" t="n">
        <x:f>_xlfn.COVARIANCE.S('Common sample'!AB6:AB75,'Common sample'!P6:P75)</x:f>
        <x:v>-0.00268313057702587</x:v>
      </x:c>
      <x:c r="Q32" s="41" t="n">
        <x:f>_xlfn.COVARIANCE.S('Common sample'!AB6:AB75,'Common sample'!Q6:Q75)</x:f>
        <x:v>0.005877862833517404</x:v>
      </x:c>
      <x:c r="R32" s="41" t="n">
        <x:f>_xlfn.COVARIANCE.S('Common sample'!AB6:AB75,'Common sample'!R6:R75)</x:f>
        <x:v>-0.0016893531912574322</x:v>
      </x:c>
      <x:c r="S32" s="41" t="n">
        <x:f>_xlfn.COVARIANCE.S('Common sample'!AB6:AB75,'Common sample'!S6:S75)</x:f>
        <x:v>0.0022227974994278614</x:v>
      </x:c>
      <x:c r="T32" s="41" t="n">
        <x:f>_xlfn.COVARIANCE.S('Common sample'!AB6:AB75,'Common sample'!T6:T75)</x:f>
        <x:v>0.0025935843941035978</x:v>
      </x:c>
      <x:c r="U32" s="41" t="n">
        <x:f>_xlfn.COVARIANCE.S('Common sample'!AB6:AB75,'Common sample'!U6:U75)</x:f>
        <x:v>-0.0011659420337129108</x:v>
      </x:c>
      <x:c r="V32" s="41" t="n">
        <x:f>_xlfn.COVARIANCE.S('Common sample'!AB6:AB75,'Common sample'!V6:V75)</x:f>
        <x:v>-0.00047769036467462265</x:v>
      </x:c>
      <x:c r="W32" s="41" t="n">
        <x:f>_xlfn.COVARIANCE.S('Common sample'!AB6:AB75,'Common sample'!W6:W75)</x:f>
        <x:v>0.000798390066394164</x:v>
      </x:c>
      <x:c r="X32" s="41" t="n">
        <x:f>_xlfn.COVARIANCE.S('Common sample'!AB6:AB75,'Common sample'!X6:X75)</x:f>
        <x:v>-0.0033062103158832097</x:v>
      </x:c>
      <x:c r="Y32" s="41" t="n">
        <x:f>_xlfn.COVARIANCE.S('Common sample'!AB6:AB75,'Common sample'!Y6:Y75)</x:f>
        <x:v>-0.000905741201596059</x:v>
      </x:c>
      <x:c r="Z32" s="41" t="n">
        <x:f>_xlfn.COVARIANCE.S('Common sample'!AB6:AB75,'Common sample'!Z6:Z75)</x:f>
        <x:v>-0.0018329452374366735</x:v>
      </x:c>
      <x:c r="AA32" s="41" t="n">
        <x:f>_xlfn.COVARIANCE.S('Common sample'!AB6:AB75,'Common sample'!AA6:AA75)</x:f>
        <x:v>0.000765362724929677</x:v>
      </x:c>
      <x:c r="AB32" s="41" t="n">
        <x:f>_xlfn.COVARIANCE.S('Common sample'!AB6:AB75,'Common sample'!AB6:AB75)</x:f>
        <x:v>0.0476146605918216</x:v>
      </x:c>
      <x:c r="AC32" s="41" t="n">
        <x:f>_xlfn.COVARIANCE.S('Common sample'!AB6:AB75,'Common sample'!AC6:AC75)</x:f>
        <x:v>-0.0005852271132318901</x:v>
      </x:c>
      <x:c r="AD32" s="41" t="n">
        <x:f>_xlfn.COVARIANCE.S('Common sample'!AB6:AB75,'Common sample'!AD6:AD75)</x:f>
        <x:v>-0.002997523968354566</x:v>
      </x:c>
      <x:c r="AE32" s="41" t="n">
        <x:f>_xlfn.COVARIANCE.S('Common sample'!AB6:AB75,'Common sample'!AE6:AE75)</x:f>
        <x:v>0.0010444802078501854</x:v>
      </x:c>
      <x:c r="AF32" s="41" t="n">
        <x:f>_xlfn.COVARIANCE.S('Common sample'!AB6:AB75,'Common sample'!AF6:AF75)</x:f>
        <x:v>0.0003016296842118281</x:v>
      </x:c>
      <x:c r="AG32" s="41" t="n">
        <x:f>_xlfn.COVARIANCE.S('Common sample'!AB6:AB75,'Common sample'!AG6:AG75)</x:f>
        <x:v>-0.0014400300790928869</x:v>
      </x:c>
      <x:c r="AH32" s="41" t="n">
        <x:f>_xlfn.COVARIANCE.S('Common sample'!AB6:AB75,'Common sample'!AH6:AH75)</x:f>
        <x:v>-0.0032448070872463167</x:v>
      </x:c>
      <x:c r="AI32" s="41" t="n">
        <x:f>_xlfn.COVARIANCE.S('Common sample'!AB6:AB75,'Common sample'!AI6:AI75)</x:f>
        <x:v>-0.0003305745282208435</x:v>
      </x:c>
      <x:c r="AJ32" s="41" t="n">
        <x:f>_xlfn.COVARIANCE.S('Common sample'!AB6:AB75,'Common sample'!AJ6:AJ75)</x:f>
        <x:v>0.00006650596714665676</x:v>
      </x:c>
      <x:c r="AK32" s="41" t="n">
        <x:f>_xlfn.COVARIANCE.S('Common sample'!AB6:AB75,'Common sample'!AK6:AK75)</x:f>
        <x:v>-0.007664049475829496</x:v>
      </x:c>
      <x:c r="AL32" s="41" t="n">
        <x:f>_xlfn.COVARIANCE.S('Common sample'!AB6:AB75,'Common sample'!AL6:AL75)</x:f>
        <x:v>0.00012447141561099586</x:v>
      </x:c>
      <x:c r="AM32" s="41" t="n">
        <x:f>_xlfn.COVARIANCE.S('Common sample'!AB6:AB75,'Common sample'!AM6:AM75)</x:f>
        <x:v>-0.0007457059519272879</x:v>
      </x:c>
      <x:c r="AN32" s="41" t="n">
        <x:f>_xlfn.COVARIANCE.S('Common sample'!AB6:AB75,'Common sample'!AN6:AN75)</x:f>
        <x:v>0.00013092135288742074</x:v>
      </x:c>
      <x:c r="AO32" s="41" t="n">
        <x:f>_xlfn.COVARIANCE.S('Common sample'!AB6:AB75,'Common sample'!AO6:AO75)</x:f>
        <x:v>-0.0007724202672758633</x:v>
      </x:c>
      <x:c r="AP32" s="41" t="n">
        <x:f>_xlfn.COVARIANCE.S('Common sample'!AB6:AB75,'Common sample'!AP6:AP75)</x:f>
        <x:v>-0.0006686046641333807</x:v>
      </x:c>
      <x:c r="AQ32" s="41" t="n">
        <x:f>_xlfn.COVARIANCE.S('Common sample'!AB6:AB75,'Common sample'!AQ6:AQ75)</x:f>
        <x:v>0.0006856341933669266</x:v>
      </x:c>
      <x:c r="AR32" s="41" t="n">
        <x:f>_xlfn.COVARIANCE.S('Common sample'!AB6:AB75,'Common sample'!AR6:AR75)</x:f>
        <x:v>-0.0007988454719323153</x:v>
      </x:c>
    </x:row>
    <x:row r="33" ht="19" customHeight="1">
      <x:c r="A33" s="29" t="str">
        <x:v>PG</x:v>
      </x:c>
      <x:c r="B33" s="41" t="n">
        <x:f>_xlfn.COVARIANCE.S('Common sample'!AC6:AC75,'Common sample'!B6:B75)</x:f>
        <x:v>0.0009257707594221856</x:v>
      </x:c>
      <x:c r="C33" s="41" t="n">
        <x:f>_xlfn.COVARIANCE.S('Common sample'!AC6:AC75,'Common sample'!C6:C75)</x:f>
        <x:v>-0.00044924495616384955</x:v>
      </x:c>
      <x:c r="D33" s="41" t="n">
        <x:f>_xlfn.COVARIANCE.S('Common sample'!AC6:AC75,'Common sample'!D6:D75)</x:f>
        <x:v>0.00032281970604474097</x:v>
      </x:c>
      <x:c r="E33" s="41" t="n">
        <x:f>_xlfn.COVARIANCE.S('Common sample'!AC6:AC75,'Common sample'!E6:E75)</x:f>
        <x:v>0.00005887888460124938</x:v>
      </x:c>
      <x:c r="F33" s="41" t="n">
        <x:f>_xlfn.COVARIANCE.S('Common sample'!AC6:AC75,'Common sample'!F6:F75)</x:f>
        <x:v>0.0007663863256122156</x:v>
      </x:c>
      <x:c r="G33" s="41" t="n">
        <x:f>_xlfn.COVARIANCE.S('Common sample'!AC6:AC75,'Common sample'!G6:G75)</x:f>
        <x:v>0.000190299942901176</x:v>
      </x:c>
      <x:c r="H33" s="41" t="n">
        <x:f>_xlfn.COVARIANCE.S('Common sample'!AC6:AC75,'Common sample'!H6:H75)</x:f>
        <x:v>0.00022726663768714007</x:v>
      </x:c>
      <x:c r="I33" s="41" t="n">
        <x:f>_xlfn.COVARIANCE.S('Common sample'!AC6:AC75,'Common sample'!I6:I75)</x:f>
        <x:v>0.0002908565450796771</x:v>
      </x:c>
      <x:c r="J33" s="41" t="n">
        <x:f>_xlfn.COVARIANCE.S('Common sample'!AC6:AC75,'Common sample'!J6:J75)</x:f>
        <x:v>0.0006426350253380275</x:v>
      </x:c>
      <x:c r="K33" s="41" t="n">
        <x:f>_xlfn.COVARIANCE.S('Common sample'!AC6:AC75,'Common sample'!K6:K75)</x:f>
        <x:v>-0.00022419614097966717</x:v>
      </x:c>
      <x:c r="L33" s="41" t="n">
        <x:f>_xlfn.COVARIANCE.S('Common sample'!AC6:AC75,'Common sample'!L6:L75)</x:f>
        <x:v>-0.0007068036821562367</x:v>
      </x:c>
      <x:c r="M33" s="41" t="n">
        <x:f>_xlfn.COVARIANCE.S('Common sample'!AC6:AC75,'Common sample'!M6:M75)</x:f>
        <x:v>-0.00048204948940079443</x:v>
      </x:c>
      <x:c r="N33" s="41" t="n">
        <x:f>_xlfn.COVARIANCE.S('Common sample'!AC6:AC75,'Common sample'!N6:N75)</x:f>
        <x:v>0.00017531919072078932</x:v>
      </x:c>
      <x:c r="O33" s="41" t="n">
        <x:f>_xlfn.COVARIANCE.S('Common sample'!AC6:AC75,'Common sample'!O6:O75)</x:f>
        <x:v>0.0012777706314338008</x:v>
      </x:c>
      <x:c r="P33" s="41" t="n">
        <x:f>_xlfn.COVARIANCE.S('Common sample'!AC6:AC75,'Common sample'!P6:P75)</x:f>
        <x:v>-0.0006312404291327877</x:v>
      </x:c>
      <x:c r="Q33" s="41" t="n">
        <x:f>_xlfn.COVARIANCE.S('Common sample'!AC6:AC75,'Common sample'!Q6:Q75)</x:f>
        <x:v>-0.0011386890950147723</x:v>
      </x:c>
      <x:c r="R33" s="41" t="n">
        <x:f>_xlfn.COVARIANCE.S('Common sample'!AC6:AC75,'Common sample'!R6:R75)</x:f>
        <x:v>0.0000775725314604319</x:v>
      </x:c>
      <x:c r="S33" s="41" t="n">
        <x:f>_xlfn.COVARIANCE.S('Common sample'!AC6:AC75,'Common sample'!S6:S75)</x:f>
        <x:v>-0.0004852074814665873</x:v>
      </x:c>
      <x:c r="T33" s="41" t="n">
        <x:f>_xlfn.COVARIANCE.S('Common sample'!AC6:AC75,'Common sample'!T6:T75)</x:f>
        <x:v>0.0005476123564289068</x:v>
      </x:c>
      <x:c r="U33" s="41" t="n">
        <x:f>_xlfn.COVARIANCE.S('Common sample'!AC6:AC75,'Common sample'!U6:U75)</x:f>
        <x:v>0.0002639639988834487</x:v>
      </x:c>
      <x:c r="V33" s="41" t="n">
        <x:f>_xlfn.COVARIANCE.S('Common sample'!AC6:AC75,'Common sample'!V6:V75)</x:f>
        <x:v>-0.00005189819571545426</x:v>
      </x:c>
      <x:c r="W33" s="41" t="n">
        <x:f>_xlfn.COVARIANCE.S('Common sample'!AC6:AC75,'Common sample'!W6:W75)</x:f>
        <x:v>0.0005224514396232907</x:v>
      </x:c>
      <x:c r="X33" s="41" t="n">
        <x:f>_xlfn.COVARIANCE.S('Common sample'!AC6:AC75,'Common sample'!X6:X75)</x:f>
        <x:v>0.0011667966873777956</x:v>
      </x:c>
      <x:c r="Y33" s="41" t="n">
        <x:f>_xlfn.COVARIANCE.S('Common sample'!AC6:AC75,'Common sample'!Y6:Y75)</x:f>
        <x:v>-0.0001502487051740248</x:v>
      </x:c>
      <x:c r="Z33" s="41" t="n">
        <x:f>_xlfn.COVARIANCE.S('Common sample'!AC6:AC75,'Common sample'!Z6:Z75)</x:f>
        <x:v>0.0005548214827356706</x:v>
      </x:c>
      <x:c r="AA33" s="41" t="n">
        <x:f>_xlfn.COVARIANCE.S('Common sample'!AC6:AC75,'Common sample'!AA6:AA75)</x:f>
        <x:v>-0.0008279794450027176</x:v>
      </x:c>
      <x:c r="AB33" s="41" t="n">
        <x:f>_xlfn.COVARIANCE.S('Common sample'!AC6:AC75,'Common sample'!AB6:AB75)</x:f>
        <x:v>-0.0005852271132318901</x:v>
      </x:c>
      <x:c r="AC33" s="41" t="n">
        <x:f>_xlfn.COVARIANCE.S('Common sample'!AC6:AC75,'Common sample'!AC6:AC75)</x:f>
        <x:v>0.0014019971280918749</x:v>
      </x:c>
      <x:c r="AD33" s="41" t="n">
        <x:f>_xlfn.COVARIANCE.S('Common sample'!AC6:AC75,'Common sample'!AD6:AD75)</x:f>
        <x:v>0.00042183935710560005</x:v>
      </x:c>
      <x:c r="AE33" s="41" t="n">
        <x:f>_xlfn.COVARIANCE.S('Common sample'!AC6:AC75,'Common sample'!AE6:AE75)</x:f>
        <x:v>0.0001645533026082843</x:v>
      </x:c>
      <x:c r="AF33" s="41" t="n">
        <x:f>_xlfn.COVARIANCE.S('Common sample'!AC6:AC75,'Common sample'!AF6:AF75)</x:f>
        <x:v>0.00011400250399001903</x:v>
      </x:c>
      <x:c r="AG33" s="41" t="n">
        <x:f>_xlfn.COVARIANCE.S('Common sample'!AC6:AC75,'Common sample'!AG6:AG75)</x:f>
        <x:v>-0.00042518936479801707</x:v>
      </x:c>
      <x:c r="AH33" s="41" t="n">
        <x:f>_xlfn.COVARIANCE.S('Common sample'!AC6:AC75,'Common sample'!AH6:AH75)</x:f>
        <x:v>-0.00024477189877002663</x:v>
      </x:c>
      <x:c r="AI33" s="41" t="n">
        <x:f>_xlfn.COVARIANCE.S('Common sample'!AC6:AC75,'Common sample'!AI6:AI75)</x:f>
        <x:v>0.0007012412856460521</x:v>
      </x:c>
      <x:c r="AJ33" s="41" t="n">
        <x:f>_xlfn.COVARIANCE.S('Common sample'!AC6:AC75,'Common sample'!AJ6:AJ75)</x:f>
        <x:v>0.00030078223261997583</x:v>
      </x:c>
      <x:c r="AK33" s="41" t="n">
        <x:f>_xlfn.COVARIANCE.S('Common sample'!AC6:AC75,'Common sample'!AK6:AK75)</x:f>
        <x:v>0.000040468811058278406</x:v>
      </x:c>
      <x:c r="AL33" s="41" t="n">
        <x:f>_xlfn.COVARIANCE.S('Common sample'!AC6:AC75,'Common sample'!AL6:AL75)</x:f>
        <x:v>-0.00004370852222846049</x:v>
      </x:c>
      <x:c r="AM33" s="41" t="n">
        <x:f>_xlfn.COVARIANCE.S('Common sample'!AC6:AC75,'Common sample'!AM6:AM75)</x:f>
        <x:v>0.00016204270472112913</x:v>
      </x:c>
      <x:c r="AN33" s="41" t="n">
        <x:f>_xlfn.COVARIANCE.S('Common sample'!AC6:AC75,'Common sample'!AN6:AN75)</x:f>
        <x:v>0.0004564076637928029</x:v>
      </x:c>
      <x:c r="AO33" s="41" t="n">
        <x:f>_xlfn.COVARIANCE.S('Common sample'!AC6:AC75,'Common sample'!AO6:AO75)</x:f>
        <x:v>0.0008259779237311122</x:v>
      </x:c>
      <x:c r="AP33" s="41" t="n">
        <x:f>_xlfn.COVARIANCE.S('Common sample'!AC6:AC75,'Common sample'!AP6:AP75)</x:f>
        <x:v>0.00018978998937607195</x:v>
      </x:c>
      <x:c r="AQ33" s="41" t="n">
        <x:f>_xlfn.COVARIANCE.S('Common sample'!AC6:AC75,'Common sample'!AQ6:AQ75)</x:f>
        <x:v>-0.00007744783892441834</x:v>
      </x:c>
      <x:c r="AR33" s="41" t="n">
        <x:f>_xlfn.COVARIANCE.S('Common sample'!AC6:AC75,'Common sample'!AR6:AR75)</x:f>
        <x:v>0.0004193799270347166</x:v>
      </x:c>
    </x:row>
    <x:row r="34" ht="19" customHeight="1">
      <x:c r="A34" s="29" t="str">
        <x:v>F</x:v>
      </x:c>
      <x:c r="B34" s="41" t="n">
        <x:f>_xlfn.COVARIANCE.S('Common sample'!AD6:AD75,'Common sample'!B6:B75)</x:f>
        <x:v>-0.00047630585848500964</x:v>
      </x:c>
      <x:c r="C34" s="41" t="n">
        <x:f>_xlfn.COVARIANCE.S('Common sample'!AD6:AD75,'Common sample'!C6:C75)</x:f>
        <x:v>0.0012989439544662707</x:v>
      </x:c>
      <x:c r="D34" s="41" t="n">
        <x:f>_xlfn.COVARIANCE.S('Common sample'!AD6:AD75,'Common sample'!D6:D75)</x:f>
        <x:v>0.0008167466831315344</x:v>
      </x:c>
      <x:c r="E34" s="41" t="n">
        <x:f>_xlfn.COVARIANCE.S('Common sample'!AD6:AD75,'Common sample'!E6:E75)</x:f>
        <x:v>0.0001494696514883863</x:v>
      </x:c>
      <x:c r="F34" s="41" t="n">
        <x:f>_xlfn.COVARIANCE.S('Common sample'!AD6:AD75,'Common sample'!F6:F75)</x:f>
        <x:v>0.0003193957232164292</x:v>
      </x:c>
      <x:c r="G34" s="41" t="n">
        <x:f>_xlfn.COVARIANCE.S('Common sample'!AD6:AD75,'Common sample'!G6:G75)</x:f>
        <x:v>-0.001820519084156845</x:v>
      </x:c>
      <x:c r="H34" s="41" t="n">
        <x:f>_xlfn.COVARIANCE.S('Common sample'!AD6:AD75,'Common sample'!H6:H75)</x:f>
        <x:v>-0.0006575198538596843</x:v>
      </x:c>
      <x:c r="I34" s="41" t="n">
        <x:f>_xlfn.COVARIANCE.S('Common sample'!AD6:AD75,'Common sample'!I6:I75)</x:f>
        <x:v>0.0002158507199183151</x:v>
      </x:c>
      <x:c r="J34" s="41" t="n">
        <x:f>_xlfn.COVARIANCE.S('Common sample'!AD6:AD75,'Common sample'!J6:J75)</x:f>
        <x:v>0.0015899117265043184</x:v>
      </x:c>
      <x:c r="K34" s="41" t="n">
        <x:f>_xlfn.COVARIANCE.S('Common sample'!AD6:AD75,'Common sample'!K6:K75)</x:f>
        <x:v>-0.0006692741638133845</x:v>
      </x:c>
      <x:c r="L34" s="41" t="n">
        <x:f>_xlfn.COVARIANCE.S('Common sample'!AD6:AD75,'Common sample'!L6:L75)</x:f>
        <x:v>-0.001165495782017179</x:v>
      </x:c>
      <x:c r="M34" s="41" t="n">
        <x:f>_xlfn.COVARIANCE.S('Common sample'!AD6:AD75,'Common sample'!M6:M75)</x:f>
        <x:v>0.000302559568017652</x:v>
      </x:c>
      <x:c r="N34" s="41" t="n">
        <x:f>_xlfn.COVARIANCE.S('Common sample'!AD6:AD75,'Common sample'!N6:N75)</x:f>
        <x:v>-0.00006492341879786268</x:v>
      </x:c>
      <x:c r="O34" s="41" t="n">
        <x:f>_xlfn.COVARIANCE.S('Common sample'!AD6:AD75,'Common sample'!O6:O75)</x:f>
        <x:v>0.0013620881321023575</x:v>
      </x:c>
      <x:c r="P34" s="41" t="n">
        <x:f>_xlfn.COVARIANCE.S('Common sample'!AD6:AD75,'Common sample'!P6:P75)</x:f>
        <x:v>0.0006192138545804682</x:v>
      </x:c>
      <x:c r="Q34" s="41" t="n">
        <x:f>_xlfn.COVARIANCE.S('Common sample'!AD6:AD75,'Common sample'!Q6:Q75)</x:f>
        <x:v>0.0007066668884395037</x:v>
      </x:c>
      <x:c r="R34" s="41" t="n">
        <x:f>_xlfn.COVARIANCE.S('Common sample'!AD6:AD75,'Common sample'!R6:R75)</x:f>
        <x:v>0.0005622872157663359</x:v>
      </x:c>
      <x:c r="S34" s="41" t="n">
        <x:f>_xlfn.COVARIANCE.S('Common sample'!AD6:AD75,'Common sample'!S6:S75)</x:f>
        <x:v>-0.00032536199118948995</x:v>
      </x:c>
      <x:c r="T34" s="41" t="n">
        <x:f>_xlfn.COVARIANCE.S('Common sample'!AD6:AD75,'Common sample'!T6:T75)</x:f>
        <x:v>-0.0014079916889893254</x:v>
      </x:c>
      <x:c r="U34" s="41" t="n">
        <x:f>_xlfn.COVARIANCE.S('Common sample'!AD6:AD75,'Common sample'!U6:U75)</x:f>
        <x:v>0.0007231717977805357</x:v>
      </x:c>
      <x:c r="V34" s="41" t="n">
        <x:f>_xlfn.COVARIANCE.S('Common sample'!AD6:AD75,'Common sample'!V6:V75)</x:f>
        <x:v>-0.00004434259375582651</x:v>
      </x:c>
      <x:c r="W34" s="41" t="n">
        <x:f>_xlfn.COVARIANCE.S('Common sample'!AD6:AD75,'Common sample'!W6:W75)</x:f>
        <x:v>-0.00013793520899759698</x:v>
      </x:c>
      <x:c r="X34" s="41" t="n">
        <x:f>_xlfn.COVARIANCE.S('Common sample'!AD6:AD75,'Common sample'!X6:X75)</x:f>
        <x:v>0.0028418603571852127</x:v>
      </x:c>
      <x:c r="Y34" s="41" t="n">
        <x:f>_xlfn.COVARIANCE.S('Common sample'!AD6:AD75,'Common sample'!Y6:Y75)</x:f>
        <x:v>-0.0005865238680742381</x:v>
      </x:c>
      <x:c r="Z34" s="41" t="n">
        <x:f>_xlfn.COVARIANCE.S('Common sample'!AD6:AD75,'Common sample'!Z6:Z75)</x:f>
        <x:v>0.0002106325090397824</x:v>
      </x:c>
      <x:c r="AA34" s="41" t="n">
        <x:f>_xlfn.COVARIANCE.S('Common sample'!AD6:AD75,'Common sample'!AA6:AA75)</x:f>
        <x:v>-0.002841265503936722</x:v>
      </x:c>
      <x:c r="AB34" s="41" t="n">
        <x:f>_xlfn.COVARIANCE.S('Common sample'!AD6:AD75,'Common sample'!AB6:AB75)</x:f>
        <x:v>-0.002997523968354566</x:v>
      </x:c>
      <x:c r="AC34" s="41" t="n">
        <x:f>_xlfn.COVARIANCE.S('Common sample'!AD6:AD75,'Common sample'!AC6:AC75)</x:f>
        <x:v>0.00042183935710560005</x:v>
      </x:c>
      <x:c r="AD34" s="41" t="n">
        <x:f>_xlfn.COVARIANCE.S('Common sample'!AD6:AD75,'Common sample'!AD6:AD75)</x:f>
        <x:v>0.007550493108307872</x:v>
      </x:c>
      <x:c r="AE34" s="41" t="n">
        <x:f>_xlfn.COVARIANCE.S('Common sample'!AD6:AD75,'Common sample'!AE6:AE75)</x:f>
        <x:v>-0.00021167488902701213</x:v>
      </x:c>
      <x:c r="AF34" s="41" t="n">
        <x:f>_xlfn.COVARIANCE.S('Common sample'!AD6:AD75,'Common sample'!AF6:AF75)</x:f>
        <x:v>-0.0005853036220692477</x:v>
      </x:c>
      <x:c r="AG34" s="41" t="n">
        <x:f>_xlfn.COVARIANCE.S('Common sample'!AD6:AD75,'Common sample'!AG6:AG75)</x:f>
        <x:v>0.000511138111610638</x:v>
      </x:c>
      <x:c r="AH34" s="41" t="n">
        <x:f>_xlfn.COVARIANCE.S('Common sample'!AD6:AD75,'Common sample'!AH6:AH75)</x:f>
        <x:v>0.0021082084011991337</x:v>
      </x:c>
      <x:c r="AI34" s="41" t="n">
        <x:f>_xlfn.COVARIANCE.S('Common sample'!AD6:AD75,'Common sample'!AI6:AI75)</x:f>
        <x:v>0.0006486153520905572</x:v>
      </x:c>
      <x:c r="AJ34" s="41" t="n">
        <x:f>_xlfn.COVARIANCE.S('Common sample'!AD6:AD75,'Common sample'!AJ6:AJ75)</x:f>
        <x:v>0.0006303971660240012</x:v>
      </x:c>
      <x:c r="AK34" s="41" t="n">
        <x:f>_xlfn.COVARIANCE.S('Common sample'!AD6:AD75,'Common sample'!AK6:AK75)</x:f>
        <x:v>0.002448690381688232</x:v>
      </x:c>
      <x:c r="AL34" s="41" t="n">
        <x:f>_xlfn.COVARIANCE.S('Common sample'!AD6:AD75,'Common sample'!AL6:AL75)</x:f>
        <x:v>-0.0002607530620391945</x:v>
      </x:c>
      <x:c r="AM34" s="41" t="n">
        <x:f>_xlfn.COVARIANCE.S('Common sample'!AD6:AD75,'Common sample'!AM6:AM75)</x:f>
        <x:v>0.0010377425924396246</x:v>
      </x:c>
      <x:c r="AN34" s="41" t="n">
        <x:f>_xlfn.COVARIANCE.S('Common sample'!AD6:AD75,'Common sample'!AN6:AN75)</x:f>
        <x:v>0.00023802212237063755</x:v>
      </x:c>
      <x:c r="AO34" s="41" t="n">
        <x:f>_xlfn.COVARIANCE.S('Common sample'!AD6:AD75,'Common sample'!AO6:AO75)</x:f>
        <x:v>0.00025468092192888173</x:v>
      </x:c>
      <x:c r="AP34" s="41" t="n">
        <x:f>_xlfn.COVARIANCE.S('Common sample'!AD6:AD75,'Common sample'!AP6:AP75)</x:f>
        <x:v>0.0003035663067315273</x:v>
      </x:c>
      <x:c r="AQ34" s="41" t="n">
        <x:f>_xlfn.COVARIANCE.S('Common sample'!AD6:AD75,'Common sample'!AQ6:AQ75)</x:f>
        <x:v>-0.000011081191422205155</x:v>
      </x:c>
      <x:c r="AR34" s="41" t="n">
        <x:f>_xlfn.COVARIANCE.S('Common sample'!AD6:AD75,'Common sample'!AR6:AR75)</x:f>
        <x:v>0.000900069255531659</x:v>
      </x:c>
    </x:row>
    <x:row r="35" ht="19" customHeight="1">
      <x:c r="A35" s="29" t="str">
        <x:v>HPE</x:v>
      </x:c>
      <x:c r="B35" s="41" t="n">
        <x:f>_xlfn.COVARIANCE.S('Common sample'!AE6:AE75,'Common sample'!B6:B75)</x:f>
        <x:v>0.0007145458607340835</x:v>
      </x:c>
      <x:c r="C35" s="41" t="n">
        <x:f>_xlfn.COVARIANCE.S('Common sample'!AE6:AE75,'Common sample'!C6:C75)</x:f>
        <x:v>-0.0024985289463792595</x:v>
      </x:c>
      <x:c r="D35" s="41" t="n">
        <x:f>_xlfn.COVARIANCE.S('Common sample'!AE6:AE75,'Common sample'!D6:D75)</x:f>
        <x:v>-0.00039919412464152883</x:v>
      </x:c>
      <x:c r="E35" s="41" t="n">
        <x:f>_xlfn.COVARIANCE.S('Common sample'!AE6:AE75,'Common sample'!E6:E75)</x:f>
        <x:v>0.00005905151333292333</x:v>
      </x:c>
      <x:c r="F35" s="41" t="n">
        <x:f>_xlfn.COVARIANCE.S('Common sample'!AE6:AE75,'Common sample'!F6:F75)</x:f>
        <x:v>0.00029714907574516814</x:v>
      </x:c>
      <x:c r="G35" s="41" t="n">
        <x:f>_xlfn.COVARIANCE.S('Common sample'!AE6:AE75,'Common sample'!G6:G75)</x:f>
        <x:v>-0.0010877779480407167</x:v>
      </x:c>
      <x:c r="H35" s="41" t="n">
        <x:f>_xlfn.COVARIANCE.S('Common sample'!AE6:AE75,'Common sample'!H6:H75)</x:f>
        <x:v>-0.0011162998030050057</x:v>
      </x:c>
      <x:c r="I35" s="41" t="n">
        <x:f>_xlfn.COVARIANCE.S('Common sample'!AE6:AE75,'Common sample'!I6:I75)</x:f>
        <x:v>-0.00023266849419353416</x:v>
      </x:c>
      <x:c r="J35" s="41" t="n">
        <x:f>_xlfn.COVARIANCE.S('Common sample'!AE6:AE75,'Common sample'!J6:J75)</x:f>
        <x:v>0.0007439196325608619</x:v>
      </x:c>
      <x:c r="K35" s="41" t="n">
        <x:f>_xlfn.COVARIANCE.S('Common sample'!AE6:AE75,'Common sample'!K6:K75)</x:f>
        <x:v>0.0011544454308541022</x:v>
      </x:c>
      <x:c r="L35" s="41" t="n">
        <x:f>_xlfn.COVARIANCE.S('Common sample'!AE6:AE75,'Common sample'!L6:L75)</x:f>
        <x:v>-0.00027906643039791047</x:v>
      </x:c>
      <x:c r="M35" s="41" t="n">
        <x:f>_xlfn.COVARIANCE.S('Common sample'!AE6:AE75,'Common sample'!M6:M75)</x:f>
        <x:v>-0.00024560664424762155</x:v>
      </x:c>
      <x:c r="N35" s="41" t="n">
        <x:f>_xlfn.COVARIANCE.S('Common sample'!AE6:AE75,'Common sample'!N6:N75)</x:f>
        <x:v>0.00097593269652166</x:v>
      </x:c>
      <x:c r="O35" s="41" t="n">
        <x:f>_xlfn.COVARIANCE.S('Common sample'!AE6:AE75,'Common sample'!O6:O75)</x:f>
        <x:v>0.0004928238444200005</x:v>
      </x:c>
      <x:c r="P35" s="41" t="n">
        <x:f>_xlfn.COVARIANCE.S('Common sample'!AE6:AE75,'Common sample'!P6:P75)</x:f>
        <x:v>-0.0002109961099757987</x:v>
      </x:c>
      <x:c r="Q35" s="41" t="n">
        <x:f>_xlfn.COVARIANCE.S('Common sample'!AE6:AE75,'Common sample'!Q6:Q75)</x:f>
        <x:v>0.001571556669100071</x:v>
      </x:c>
      <x:c r="R35" s="41" t="n">
        <x:f>_xlfn.COVARIANCE.S('Common sample'!AE6:AE75,'Common sample'!R6:R75)</x:f>
        <x:v>-0.0007116175455456024</x:v>
      </x:c>
      <x:c r="S35" s="41" t="n">
        <x:f>_xlfn.COVARIANCE.S('Common sample'!AE6:AE75,'Common sample'!S6:S75)</x:f>
        <x:v>0.0015350104396278856</x:v>
      </x:c>
      <x:c r="T35" s="41" t="n">
        <x:f>_xlfn.COVARIANCE.S('Common sample'!AE6:AE75,'Common sample'!T6:T75)</x:f>
        <x:v>0.001475518156315901</x:v>
      </x:c>
      <x:c r="U35" s="41" t="n">
        <x:f>_xlfn.COVARIANCE.S('Common sample'!AE6:AE75,'Common sample'!U6:U75)</x:f>
        <x:v>0.0023572141435317683</x:v>
      </x:c>
      <x:c r="V35" s="41" t="n">
        <x:f>_xlfn.COVARIANCE.S('Common sample'!AE6:AE75,'Common sample'!V6:V75)</x:f>
        <x:v>0.00039574082695274375</x:v>
      </x:c>
      <x:c r="W35" s="41" t="n">
        <x:f>_xlfn.COVARIANCE.S('Common sample'!AE6:AE75,'Common sample'!W6:W75)</x:f>
        <x:v>0.00043314300058367697</x:v>
      </x:c>
      <x:c r="X35" s="41" t="n">
        <x:f>_xlfn.COVARIANCE.S('Common sample'!AE6:AE75,'Common sample'!X6:X75)</x:f>
        <x:v>0.0011842326897571545</x:v>
      </x:c>
      <x:c r="Y35" s="41" t="n">
        <x:f>_xlfn.COVARIANCE.S('Common sample'!AE6:AE75,'Common sample'!Y6:Y75)</x:f>
        <x:v>0.0010589475943978794</x:v>
      </x:c>
      <x:c r="Z35" s="41" t="n">
        <x:f>_xlfn.COVARIANCE.S('Common sample'!AE6:AE75,'Common sample'!Z6:Z75)</x:f>
        <x:v>0.0000372882131245262</x:v>
      </x:c>
      <x:c r="AA35" s="41" t="n">
        <x:f>_xlfn.COVARIANCE.S('Common sample'!AE6:AE75,'Common sample'!AA6:AA75)</x:f>
        <x:v>-0.0012217643582136078</x:v>
      </x:c>
      <x:c r="AB35" s="41" t="n">
        <x:f>_xlfn.COVARIANCE.S('Common sample'!AE6:AE75,'Common sample'!AB6:AB75)</x:f>
        <x:v>0.0010444802078501854</x:v>
      </x:c>
      <x:c r="AC35" s="41" t="n">
        <x:f>_xlfn.COVARIANCE.S('Common sample'!AE6:AE75,'Common sample'!AC6:AC75)</x:f>
        <x:v>0.0001645533026082843</x:v>
      </x:c>
      <x:c r="AD35" s="41" t="n">
        <x:f>_xlfn.COVARIANCE.S('Common sample'!AE6:AE75,'Common sample'!AD6:AD75)</x:f>
        <x:v>-0.00021167488902701213</x:v>
      </x:c>
      <x:c r="AE35" s="41" t="n">
        <x:f>_xlfn.COVARIANCE.S('Common sample'!AE6:AE75,'Common sample'!AE6:AE75)</x:f>
        <x:v>0.007126222091483354</x:v>
      </x:c>
      <x:c r="AF35" s="41" t="n">
        <x:f>_xlfn.COVARIANCE.S('Common sample'!AE6:AE75,'Common sample'!AF6:AF75)</x:f>
        <x:v>0.00019577014963871763</x:v>
      </x:c>
      <x:c r="AG35" s="41" t="n">
        <x:f>_xlfn.COVARIANCE.S('Common sample'!AE6:AE75,'Common sample'!AG6:AG75)</x:f>
        <x:v>-0.0014978787406419137</x:v>
      </x:c>
      <x:c r="AH35" s="41" t="n">
        <x:f>_xlfn.COVARIANCE.S('Common sample'!AE6:AE75,'Common sample'!AH6:AH75)</x:f>
        <x:v>-0.0022473220581255143</x:v>
      </x:c>
      <x:c r="AI35" s="41" t="n">
        <x:f>_xlfn.COVARIANCE.S('Common sample'!AE6:AE75,'Common sample'!AI6:AI75)</x:f>
        <x:v>0.0007129770383320653</x:v>
      </x:c>
      <x:c r="AJ35" s="41" t="n">
        <x:f>_xlfn.COVARIANCE.S('Common sample'!AE6:AE75,'Common sample'!AJ6:AJ75)</x:f>
        <x:v>-0.0005824916253227895</x:v>
      </x:c>
      <x:c r="AK35" s="41" t="n">
        <x:f>_xlfn.COVARIANCE.S('Common sample'!AE6:AE75,'Common sample'!AK6:AK75)</x:f>
        <x:v>-0.0005227992486105694</x:v>
      </x:c>
      <x:c r="AL35" s="41" t="n">
        <x:f>_xlfn.COVARIANCE.S('Common sample'!AE6:AE75,'Common sample'!AL6:AL75)</x:f>
        <x:v>-0.00012682209486976578</x:v>
      </x:c>
      <x:c r="AM35" s="41" t="n">
        <x:f>_xlfn.COVARIANCE.S('Common sample'!AE6:AE75,'Common sample'!AM6:AM75)</x:f>
        <x:v>-0.00010371429169801342</x:v>
      </x:c>
      <x:c r="AN35" s="41" t="n">
        <x:f>_xlfn.COVARIANCE.S('Common sample'!AE6:AE75,'Common sample'!AN6:AN75)</x:f>
        <x:v>0.000010943005339669638</x:v>
      </x:c>
      <x:c r="AO35" s="41" t="n">
        <x:f>_xlfn.COVARIANCE.S('Common sample'!AE6:AE75,'Common sample'!AO6:AO75)</x:f>
        <x:v>0.0008534099972028232</x:v>
      </x:c>
      <x:c r="AP35" s="41" t="n">
        <x:f>_xlfn.COVARIANCE.S('Common sample'!AE6:AE75,'Common sample'!AP6:AP75)</x:f>
        <x:v>0.000134335108331455</x:v>
      </x:c>
      <x:c r="AQ35" s="41" t="n">
        <x:f>_xlfn.COVARIANCE.S('Common sample'!AE6:AE75,'Common sample'!AQ6:AQ75)</x:f>
        <x:v>0.0007784206429304822</x:v>
      </x:c>
      <x:c r="AR35" s="41" t="n">
        <x:f>_xlfn.COVARIANCE.S('Common sample'!AE6:AE75,'Common sample'!AR6:AR75)</x:f>
        <x:v>0.0002427271198977884</x:v>
      </x:c>
    </x:row>
    <x:row r="36" ht="19" customHeight="1">
      <x:c r="A36" s="29" t="str">
        <x:v>BA</x:v>
      </x:c>
      <x:c r="B36" s="41" t="n">
        <x:f>_xlfn.COVARIANCE.S('Common sample'!AF6:AF75,'Common sample'!B6:B75)</x:f>
        <x:v>-0.0016893707962080018</x:v>
      </x:c>
      <x:c r="C36" s="41" t="n">
        <x:f>_xlfn.COVARIANCE.S('Common sample'!AF6:AF75,'Common sample'!C6:C75)</x:f>
        <x:v>-0.0012326702776400717</x:v>
      </x:c>
      <x:c r="D36" s="41" t="n">
        <x:f>_xlfn.COVARIANCE.S('Common sample'!AF6:AF75,'Common sample'!D6:D75)</x:f>
        <x:v>-0.000057562470340239516</x:v>
      </x:c>
      <x:c r="E36" s="41" t="n">
        <x:f>_xlfn.COVARIANCE.S('Common sample'!AF6:AF75,'Common sample'!E6:E75)</x:f>
        <x:v>-0.000003746502111718898</x:v>
      </x:c>
      <x:c r="F36" s="41" t="n">
        <x:f>_xlfn.COVARIANCE.S('Common sample'!AF6:AF75,'Common sample'!F6:F75)</x:f>
        <x:v>0.0006934549641455735</x:v>
      </x:c>
      <x:c r="G36" s="41" t="n">
        <x:f>_xlfn.COVARIANCE.S('Common sample'!AF6:AF75,'Common sample'!G6:G75)</x:f>
        <x:v>-0.0003857619029870615</x:v>
      </x:c>
      <x:c r="H36" s="41" t="n">
        <x:f>_xlfn.COVARIANCE.S('Common sample'!AF6:AF75,'Common sample'!H6:H75)</x:f>
        <x:v>-0.0002478440663214835</x:v>
      </x:c>
      <x:c r="I36" s="41" t="n">
        <x:f>_xlfn.COVARIANCE.S('Common sample'!AF6:AF75,'Common sample'!I6:I75)</x:f>
        <x:v>-0.0012499432226422886</x:v>
      </x:c>
      <x:c r="J36" s="41" t="n">
        <x:f>_xlfn.COVARIANCE.S('Common sample'!AF6:AF75,'Common sample'!J6:J75)</x:f>
        <x:v>-0.0009654971495595624</x:v>
      </x:c>
      <x:c r="K36" s="41" t="n">
        <x:f>_xlfn.COVARIANCE.S('Common sample'!AF6:AF75,'Common sample'!K6:K75)</x:f>
        <x:v>-0.00035072597813302827</x:v>
      </x:c>
      <x:c r="L36" s="41" t="n">
        <x:f>_xlfn.COVARIANCE.S('Common sample'!AF6:AF75,'Common sample'!L6:L75)</x:f>
        <x:v>-0.00017270803115564354</x:v>
      </x:c>
      <x:c r="M36" s="41" t="n">
        <x:f>_xlfn.COVARIANCE.S('Common sample'!AF6:AF75,'Common sample'!M6:M75)</x:f>
        <x:v>-0.0004589811467371033</x:v>
      </x:c>
      <x:c r="N36" s="41" t="n">
        <x:f>_xlfn.COVARIANCE.S('Common sample'!AF6:AF75,'Common sample'!N6:N75)</x:f>
        <x:v>0.0005675828753432626</x:v>
      </x:c>
      <x:c r="O36" s="41" t="n">
        <x:f>_xlfn.COVARIANCE.S('Common sample'!AF6:AF75,'Common sample'!O6:O75)</x:f>
        <x:v>-0.0016138160817561207</x:v>
      </x:c>
      <x:c r="P36" s="41" t="n">
        <x:f>_xlfn.COVARIANCE.S('Common sample'!AF6:AF75,'Common sample'!P6:P75)</x:f>
        <x:v>0.0012584697083914144</x:v>
      </x:c>
      <x:c r="Q36" s="41" t="n">
        <x:f>_xlfn.COVARIANCE.S('Common sample'!AF6:AF75,'Common sample'!Q6:Q75)</x:f>
        <x:v>-0.0029868637220398547</x:v>
      </x:c>
      <x:c r="R36" s="41" t="n">
        <x:f>_xlfn.COVARIANCE.S('Common sample'!AF6:AF75,'Common sample'!R6:R75)</x:f>
        <x:v>0.00023314678389359738</x:v>
      </x:c>
      <x:c r="S36" s="41" t="n">
        <x:f>_xlfn.COVARIANCE.S('Common sample'!AF6:AF75,'Common sample'!S6:S75)</x:f>
        <x:v>-0.00019928479177357263</x:v>
      </x:c>
      <x:c r="T36" s="41" t="n">
        <x:f>_xlfn.COVARIANCE.S('Common sample'!AF6:AF75,'Common sample'!T6:T75)</x:f>
        <x:v>0.0018171343289052698</x:v>
      </x:c>
      <x:c r="U36" s="41" t="n">
        <x:f>_xlfn.COVARIANCE.S('Common sample'!AF6:AF75,'Common sample'!U6:U75)</x:f>
        <x:v>0.0012594117204198865</x:v>
      </x:c>
      <x:c r="V36" s="41" t="n">
        <x:f>_xlfn.COVARIANCE.S('Common sample'!AF6:AF75,'Common sample'!V6:V75)</x:f>
        <x:v>0.0008015401674808504</x:v>
      </x:c>
      <x:c r="W36" s="41" t="n">
        <x:f>_xlfn.COVARIANCE.S('Common sample'!AF6:AF75,'Common sample'!W6:W75)</x:f>
        <x:v>0.0010072783192401305</x:v>
      </x:c>
      <x:c r="X36" s="41" t="n">
        <x:f>_xlfn.COVARIANCE.S('Common sample'!AF6:AF75,'Common sample'!X6:X75)</x:f>
        <x:v>-0.0010214852868691276</x:v>
      </x:c>
      <x:c r="Y36" s="41" t="n">
        <x:f>_xlfn.COVARIANCE.S('Common sample'!AF6:AF75,'Common sample'!Y6:Y75)</x:f>
        <x:v>0.0001080528793816028</x:v>
      </x:c>
      <x:c r="Z36" s="41" t="n">
        <x:f>_xlfn.COVARIANCE.S('Common sample'!AF6:AF75,'Common sample'!Z6:Z75)</x:f>
        <x:v>-0.00017907657311900326</x:v>
      </x:c>
      <x:c r="AA36" s="41" t="n">
        <x:f>_xlfn.COVARIANCE.S('Common sample'!AF6:AF75,'Common sample'!AA6:AA75)</x:f>
        <x:v>-0.00025045982065822846</x:v>
      </x:c>
      <x:c r="AB36" s="41" t="n">
        <x:f>_xlfn.COVARIANCE.S('Common sample'!AF6:AF75,'Common sample'!AB6:AB75)</x:f>
        <x:v>0.0003016296842118281</x:v>
      </x:c>
      <x:c r="AC36" s="41" t="n">
        <x:f>_xlfn.COVARIANCE.S('Common sample'!AF6:AF75,'Common sample'!AC6:AC75)</x:f>
        <x:v>0.00011400250399001903</x:v>
      </x:c>
      <x:c r="AD36" s="41" t="n">
        <x:f>_xlfn.COVARIANCE.S('Common sample'!AF6:AF75,'Common sample'!AD6:AD75)</x:f>
        <x:v>-0.0005853036220692477</x:v>
      </x:c>
      <x:c r="AE36" s="41" t="n">
        <x:f>_xlfn.COVARIANCE.S('Common sample'!AF6:AF75,'Common sample'!AE6:AE75)</x:f>
        <x:v>0.00019577014963871763</x:v>
      </x:c>
      <x:c r="AF36" s="41" t="n">
        <x:f>_xlfn.COVARIANCE.S('Common sample'!AF6:AF75,'Common sample'!AF6:AF75)</x:f>
        <x:v>0.006128623910336619</x:v>
      </x:c>
      <x:c r="AG36" s="41" t="n">
        <x:f>_xlfn.COVARIANCE.S('Common sample'!AF6:AF75,'Common sample'!AG6:AG75)</x:f>
        <x:v>-0.0004279340006796981</x:v>
      </x:c>
      <x:c r="AH36" s="41" t="n">
        <x:f>_xlfn.COVARIANCE.S('Common sample'!AF6:AF75,'Common sample'!AH6:AH75)</x:f>
        <x:v>-0.000010790322024787294</x:v>
      </x:c>
      <x:c r="AI36" s="41" t="n">
        <x:f>_xlfn.COVARIANCE.S('Common sample'!AF6:AF75,'Common sample'!AI6:AI75)</x:f>
        <x:v>-0.0007203621614646816</x:v>
      </x:c>
      <x:c r="AJ36" s="41" t="n">
        <x:f>_xlfn.COVARIANCE.S('Common sample'!AF6:AF75,'Common sample'!AJ6:AJ75)</x:f>
        <x:v>-0.000652755900822778</x:v>
      </x:c>
      <x:c r="AK36" s="41" t="n">
        <x:f>_xlfn.COVARIANCE.S('Common sample'!AF6:AF75,'Common sample'!AK6:AK75)</x:f>
        <x:v>-0.0012739238281186355</x:v>
      </x:c>
      <x:c r="AL36" s="41" t="n">
        <x:f>_xlfn.COVARIANCE.S('Common sample'!AF6:AF75,'Common sample'!AL6:AL75)</x:f>
        <x:v>0.00017205045061569757</x:v>
      </x:c>
      <x:c r="AM36" s="41" t="n">
        <x:f>_xlfn.COVARIANCE.S('Common sample'!AF6:AF75,'Common sample'!AM6:AM75)</x:f>
        <x:v>-0.00019103612535838942</x:v>
      </x:c>
      <x:c r="AN36" s="41" t="n">
        <x:f>_xlfn.COVARIANCE.S('Common sample'!AF6:AF75,'Common sample'!AN6:AN75)</x:f>
        <x:v>-0.00040283188180361985</x:v>
      </x:c>
      <x:c r="AO36" s="41" t="n">
        <x:f>_xlfn.COVARIANCE.S('Common sample'!AF6:AF75,'Common sample'!AO6:AO75)</x:f>
        <x:v>0.00007884566454902637</x:v>
      </x:c>
      <x:c r="AP36" s="41" t="n">
        <x:f>_xlfn.COVARIANCE.S('Common sample'!AF6:AF75,'Common sample'!AP6:AP75)</x:f>
        <x:v>-0.00006364888090758058</x:v>
      </x:c>
      <x:c r="AQ36" s="41" t="n">
        <x:f>_xlfn.COVARIANCE.S('Common sample'!AF6:AF75,'Common sample'!AQ6:AQ75)</x:f>
        <x:v>0.0005771702445994612</x:v>
      </x:c>
      <x:c r="AR36" s="41" t="n">
        <x:f>_xlfn.COVARIANCE.S('Common sample'!AF6:AF75,'Common sample'!AR6:AR75)</x:f>
        <x:v>-0.00043313542995470337</x:v>
      </x:c>
    </x:row>
    <x:row r="37" ht="19" customHeight="1">
      <x:c r="A37" s="29" t="str">
        <x:v>HII</x:v>
      </x:c>
      <x:c r="B37" s="41" t="n">
        <x:f>_xlfn.COVARIANCE.S('Common sample'!AG6:AG75,'Common sample'!B6:B75)</x:f>
        <x:v>-0.0008582354899958559</x:v>
      </x:c>
      <x:c r="C37" s="41" t="n">
        <x:f>_xlfn.COVARIANCE.S('Common sample'!AG6:AG75,'Common sample'!C6:C75)</x:f>
        <x:v>0.0014205127691467364</x:v>
      </x:c>
      <x:c r="D37" s="41" t="n">
        <x:f>_xlfn.COVARIANCE.S('Common sample'!AG6:AG75,'Common sample'!D6:D75)</x:f>
        <x:v>0.00008601763540523289</x:v>
      </x:c>
      <x:c r="E37" s="41" t="n">
        <x:f>_xlfn.COVARIANCE.S('Common sample'!AG6:AG75,'Common sample'!E6:E75)</x:f>
        <x:v>-0.0007180664834278546</x:v>
      </x:c>
      <x:c r="F37" s="41" t="n">
        <x:f>_xlfn.COVARIANCE.S('Common sample'!AG6:AG75,'Common sample'!F6:F75)</x:f>
        <x:v>0.0007261303705602293</x:v>
      </x:c>
      <x:c r="G37" s="41" t="n">
        <x:f>_xlfn.COVARIANCE.S('Common sample'!AG6:AG75,'Common sample'!G6:G75)</x:f>
        <x:v>-0.0005074859280218305</x:v>
      </x:c>
      <x:c r="H37" s="41" t="n">
        <x:f>_xlfn.COVARIANCE.S('Common sample'!AG6:AG75,'Common sample'!H6:H75)</x:f>
        <x:v>0.0003821701405263412</x:v>
      </x:c>
      <x:c r="I37" s="41" t="n">
        <x:f>_xlfn.COVARIANCE.S('Common sample'!AG6:AG75,'Common sample'!I6:I75)</x:f>
        <x:v>-0.0004506584066509468</x:v>
      </x:c>
      <x:c r="J37" s="41" t="n">
        <x:f>_xlfn.COVARIANCE.S('Common sample'!AG6:AG75,'Common sample'!J6:J75)</x:f>
        <x:v>0.0011734791713091807</x:v>
      </x:c>
      <x:c r="K37" s="41" t="n">
        <x:f>_xlfn.COVARIANCE.S('Common sample'!AG6:AG75,'Common sample'!K6:K75)</x:f>
        <x:v>-0.0004809851182490475</x:v>
      </x:c>
      <x:c r="L37" s="41" t="n">
        <x:f>_xlfn.COVARIANCE.S('Common sample'!AG6:AG75,'Common sample'!L6:L75)</x:f>
        <x:v>-0.0002588625562256476</x:v>
      </x:c>
      <x:c r="M37" s="41" t="n">
        <x:f>_xlfn.COVARIANCE.S('Common sample'!AG6:AG75,'Common sample'!M6:M75)</x:f>
        <x:v>-0.0003928299555736717</x:v>
      </x:c>
      <x:c r="N37" s="41" t="n">
        <x:f>_xlfn.COVARIANCE.S('Common sample'!AG6:AG75,'Common sample'!N6:N75)</x:f>
        <x:v>-0.0008692006781217016</x:v>
      </x:c>
      <x:c r="O37" s="41" t="n">
        <x:f>_xlfn.COVARIANCE.S('Common sample'!AG6:AG75,'Common sample'!O6:O75)</x:f>
        <x:v>0.000281112797770919</x:v>
      </x:c>
      <x:c r="P37" s="41" t="n">
        <x:f>_xlfn.COVARIANCE.S('Common sample'!AG6:AG75,'Common sample'!P6:P75)</x:f>
        <x:v>-0.0006360065348655771</x:v>
      </x:c>
      <x:c r="Q37" s="41" t="n">
        <x:f>_xlfn.COVARIANCE.S('Common sample'!AG6:AG75,'Common sample'!Q6:Q75)</x:f>
        <x:v>0.00006007125851572725</x:v>
      </x:c>
      <x:c r="R37" s="41" t="n">
        <x:f>_xlfn.COVARIANCE.S('Common sample'!AG6:AG75,'Common sample'!R6:R75)</x:f>
        <x:v>0.0006909089397997905</x:v>
      </x:c>
      <x:c r="S37" s="41" t="n">
        <x:f>_xlfn.COVARIANCE.S('Common sample'!AG6:AG75,'Common sample'!S6:S75)</x:f>
        <x:v>0.0009692239164941543</x:v>
      </x:c>
      <x:c r="T37" s="41" t="n">
        <x:f>_xlfn.COVARIANCE.S('Common sample'!AG6:AG75,'Common sample'!T6:T75)</x:f>
        <x:v>-0.0023560798166266613</x:v>
      </x:c>
      <x:c r="U37" s="41" t="n">
        <x:f>_xlfn.COVARIANCE.S('Common sample'!AG6:AG75,'Common sample'!U6:U75)</x:f>
        <x:v>-0.0005845409761369442</x:v>
      </x:c>
      <x:c r="V37" s="41" t="n">
        <x:f>_xlfn.COVARIANCE.S('Common sample'!AG6:AG75,'Common sample'!V6:V75)</x:f>
        <x:v>-0.0003101989327625749</x:v>
      </x:c>
      <x:c r="W37" s="41" t="n">
        <x:f>_xlfn.COVARIANCE.S('Common sample'!AG6:AG75,'Common sample'!W6:W75)</x:f>
        <x:v>0.00007608761499724182</x:v>
      </x:c>
      <x:c r="X37" s="41" t="n">
        <x:f>_xlfn.COVARIANCE.S('Common sample'!AG6:AG75,'Common sample'!X6:X75)</x:f>
        <x:v>0.00037003317988830697</x:v>
      </x:c>
      <x:c r="Y37" s="41" t="n">
        <x:f>_xlfn.COVARIANCE.S('Common sample'!AG6:AG75,'Common sample'!Y6:Y75)</x:f>
        <x:v>0.0028174840196928037</x:v>
      </x:c>
      <x:c r="Z37" s="41" t="n">
        <x:f>_xlfn.COVARIANCE.S('Common sample'!AG6:AG75,'Common sample'!Z6:Z75)</x:f>
        <x:v>-0.0008053354001397756</x:v>
      </x:c>
      <x:c r="AA37" s="41" t="n">
        <x:f>_xlfn.COVARIANCE.S('Common sample'!AG6:AG75,'Common sample'!AA6:AA75)</x:f>
        <x:v>-0.0013631799216910904</x:v>
      </x:c>
      <x:c r="AB37" s="41" t="n">
        <x:f>_xlfn.COVARIANCE.S('Common sample'!AG6:AG75,'Common sample'!AB6:AB75)</x:f>
        <x:v>-0.0014400300790928869</x:v>
      </x:c>
      <x:c r="AC37" s="41" t="n">
        <x:f>_xlfn.COVARIANCE.S('Common sample'!AG6:AG75,'Common sample'!AC6:AC75)</x:f>
        <x:v>-0.00042518936479801707</x:v>
      </x:c>
      <x:c r="AD37" s="41" t="n">
        <x:f>_xlfn.COVARIANCE.S('Common sample'!AG6:AG75,'Common sample'!AD6:AD75)</x:f>
        <x:v>0.000511138111610638</x:v>
      </x:c>
      <x:c r="AE37" s="41" t="n">
        <x:f>_xlfn.COVARIANCE.S('Common sample'!AG6:AG75,'Common sample'!AE6:AE75)</x:f>
        <x:v>-0.0014978787406419137</x:v>
      </x:c>
      <x:c r="AF37" s="41" t="n">
        <x:f>_xlfn.COVARIANCE.S('Common sample'!AG6:AG75,'Common sample'!AF6:AF75)</x:f>
        <x:v>-0.0004279340006796981</x:v>
      </x:c>
      <x:c r="AG37" s="41" t="n">
        <x:f>_xlfn.COVARIANCE.S('Common sample'!AG6:AG75,'Common sample'!AG6:AG75)</x:f>
        <x:v>0.006198727271167671</x:v>
      </x:c>
      <x:c r="AH37" s="41" t="n">
        <x:f>_xlfn.COVARIANCE.S('Common sample'!AG6:AG75,'Common sample'!AH6:AH75)</x:f>
        <x:v>0.0003937353886512183</x:v>
      </x:c>
      <x:c r="AI37" s="41" t="n">
        <x:f>_xlfn.COVARIANCE.S('Common sample'!AG6:AG75,'Common sample'!AI6:AI75)</x:f>
        <x:v>0.000030692630184981066</x:v>
      </x:c>
      <x:c r="AJ37" s="41" t="n">
        <x:f>_xlfn.COVARIANCE.S('Common sample'!AG6:AG75,'Common sample'!AJ6:AJ75)</x:f>
        <x:v>-0.0013088029114583033</x:v>
      </x:c>
      <x:c r="AK37" s="41" t="n">
        <x:f>_xlfn.COVARIANCE.S('Common sample'!AG6:AG75,'Common sample'!AK6:AK75)</x:f>
        <x:v>-0.0003265149329419858</x:v>
      </x:c>
      <x:c r="AL37" s="41" t="n">
        <x:f>_xlfn.COVARIANCE.S('Common sample'!AG6:AG75,'Common sample'!AL6:AL75)</x:f>
        <x:v>0.0012141790143720059</x:v>
      </x:c>
      <x:c r="AM37" s="41" t="n">
        <x:f>_xlfn.COVARIANCE.S('Common sample'!AG6:AG75,'Common sample'!AM6:AM75)</x:f>
        <x:v>-0.0003685285434638645</x:v>
      </x:c>
      <x:c r="AN37" s="41" t="n">
        <x:f>_xlfn.COVARIANCE.S('Common sample'!AG6:AG75,'Common sample'!AN6:AN75)</x:f>
        <x:v>-0.0005339308153149967</x:v>
      </x:c>
      <x:c r="AO37" s="41" t="n">
        <x:f>_xlfn.COVARIANCE.S('Common sample'!AG6:AG75,'Common sample'!AO6:AO75)</x:f>
        <x:v>0.000050598028846066526</x:v>
      </x:c>
      <x:c r="AP37" s="41" t="n">
        <x:f>_xlfn.COVARIANCE.S('Common sample'!AG6:AG75,'Common sample'!AP6:AP75)</x:f>
        <x:v>0.00035876585774804185</x:v>
      </x:c>
      <x:c r="AQ37" s="41" t="n">
        <x:f>_xlfn.COVARIANCE.S('Common sample'!AG6:AG75,'Common sample'!AQ6:AQ75)</x:f>
        <x:v>-0.00033603963768364834</x:v>
      </x:c>
      <x:c r="AR37" s="41" t="n">
        <x:f>_xlfn.COVARIANCE.S('Common sample'!AG6:AG75,'Common sample'!AR6:AR75)</x:f>
        <x:v>-0.00009660318294348726</x:v>
      </x:c>
    </x:row>
    <x:row r="38" ht="19" customHeight="1">
      <x:c r="A38" s="29" t="str">
        <x:v>AMD</x:v>
      </x:c>
      <x:c r="B38" s="41" t="n">
        <x:f>_xlfn.COVARIANCE.S('Common sample'!AH6:AH75,'Common sample'!B6:B75)</x:f>
        <x:v>-0.0006147596435194291</x:v>
      </x:c>
      <x:c r="C38" s="41" t="n">
        <x:f>_xlfn.COVARIANCE.S('Common sample'!AH6:AH75,'Common sample'!C6:C75)</x:f>
        <x:v>0.0006314356564174044</x:v>
      </x:c>
      <x:c r="D38" s="41" t="n">
        <x:f>_xlfn.COVARIANCE.S('Common sample'!AH6:AH75,'Common sample'!D6:D75)</x:f>
        <x:v>0.001095242610498944</x:v>
      </x:c>
      <x:c r="E38" s="41" t="n">
        <x:f>_xlfn.COVARIANCE.S('Common sample'!AH6:AH75,'Common sample'!E6:E75)</x:f>
        <x:v>-0.00013615874410973102</x:v>
      </x:c>
      <x:c r="F38" s="41" t="n">
        <x:f>_xlfn.COVARIANCE.S('Common sample'!AH6:AH75,'Common sample'!F6:F75)</x:f>
        <x:v>0.00012100665919500044</x:v>
      </x:c>
      <x:c r="G38" s="41" t="n">
        <x:f>_xlfn.COVARIANCE.S('Common sample'!AH6:AH75,'Common sample'!G6:G75)</x:f>
        <x:v>0.0008800641526556437</x:v>
      </x:c>
      <x:c r="H38" s="41" t="n">
        <x:f>_xlfn.COVARIANCE.S('Common sample'!AH6:AH75,'Common sample'!H6:H75)</x:f>
        <x:v>0.0029255766492462944</x:v>
      </x:c>
      <x:c r="I38" s="41" t="n">
        <x:f>_xlfn.COVARIANCE.S('Common sample'!AH6:AH75,'Common sample'!I6:I75)</x:f>
        <x:v>0.0014481886656081146</x:v>
      </x:c>
      <x:c r="J38" s="41" t="n">
        <x:f>_xlfn.COVARIANCE.S('Common sample'!AH6:AH75,'Common sample'!J6:J75)</x:f>
        <x:v>0.0029783704430283706</x:v>
      </x:c>
      <x:c r="K38" s="41" t="n">
        <x:f>_xlfn.COVARIANCE.S('Common sample'!AH6:AH75,'Common sample'!K6:K75)</x:f>
        <x:v>0.0011526500156475905</x:v>
      </x:c>
      <x:c r="L38" s="41" t="n">
        <x:f>_xlfn.COVARIANCE.S('Common sample'!AH6:AH75,'Common sample'!L6:L75)</x:f>
        <x:v>0.001833023652570373</x:v>
      </x:c>
      <x:c r="M38" s="41" t="n">
        <x:f>_xlfn.COVARIANCE.S('Common sample'!AH6:AH75,'Common sample'!M6:M75)</x:f>
        <x:v>0.00010432753029173215</x:v>
      </x:c>
      <x:c r="N38" s="41" t="n">
        <x:f>_xlfn.COVARIANCE.S('Common sample'!AH6:AH75,'Common sample'!N6:N75)</x:f>
        <x:v>-0.0008135746160073997</x:v>
      </x:c>
      <x:c r="O38" s="41" t="n">
        <x:f>_xlfn.COVARIANCE.S('Common sample'!AH6:AH75,'Common sample'!O6:O75)</x:f>
        <x:v>0.0026957833078193835</x:v>
      </x:c>
      <x:c r="P38" s="41" t="n">
        <x:f>_xlfn.COVARIANCE.S('Common sample'!AH6:AH75,'Common sample'!P6:P75)</x:f>
        <x:v>0.0006004703289020034</x:v>
      </x:c>
      <x:c r="Q38" s="41" t="n">
        <x:f>_xlfn.COVARIANCE.S('Common sample'!AH6:AH75,'Common sample'!Q6:Q75)</x:f>
        <x:v>0.0024981019241811556</x:v>
      </x:c>
      <x:c r="R38" s="41" t="n">
        <x:f>_xlfn.COVARIANCE.S('Common sample'!AH6:AH75,'Common sample'!R6:R75)</x:f>
        <x:v>-0.0007134453101577765</x:v>
      </x:c>
      <x:c r="S38" s="41" t="n">
        <x:f>_xlfn.COVARIANCE.S('Common sample'!AH6:AH75,'Common sample'!S6:S75)</x:f>
        <x:v>0.0018229881107204747</x:v>
      </x:c>
      <x:c r="T38" s="41" t="n">
        <x:f>_xlfn.COVARIANCE.S('Common sample'!AH6:AH75,'Common sample'!T6:T75)</x:f>
        <x:v>0.0028808878925042935</x:v>
      </x:c>
      <x:c r="U38" s="41" t="n">
        <x:f>_xlfn.COVARIANCE.S('Common sample'!AH6:AH75,'Common sample'!U6:U75)</x:f>
        <x:v>-0.0010898555256515577</x:v>
      </x:c>
      <x:c r="V38" s="41" t="n">
        <x:f>_xlfn.COVARIANCE.S('Common sample'!AH6:AH75,'Common sample'!V6:V75)</x:f>
        <x:v>-0.002213340530325878</x:v>
      </x:c>
      <x:c r="W38" s="41" t="n">
        <x:f>_xlfn.COVARIANCE.S('Common sample'!AH6:AH75,'Common sample'!W6:W75)</x:f>
        <x:v>0.00026362607575022834</x:v>
      </x:c>
      <x:c r="X38" s="41" t="n">
        <x:f>_xlfn.COVARIANCE.S('Common sample'!AH6:AH75,'Common sample'!X6:X75)</x:f>
        <x:v>0.0023596916272533458</x:v>
      </x:c>
      <x:c r="Y38" s="41" t="n">
        <x:f>_xlfn.COVARIANCE.S('Common sample'!AH6:AH75,'Common sample'!Y6:Y75)</x:f>
        <x:v>-0.0021028869935354696</x:v>
      </x:c>
      <x:c r="Z38" s="41" t="n">
        <x:f>_xlfn.COVARIANCE.S('Common sample'!AH6:AH75,'Common sample'!Z6:Z75)</x:f>
        <x:v>-0.00017672858249683342</x:v>
      </x:c>
      <x:c r="AA38" s="41" t="n">
        <x:f>_xlfn.COVARIANCE.S('Common sample'!AH6:AH75,'Common sample'!AA6:AA75)</x:f>
        <x:v>0.006113067139189219</x:v>
      </x:c>
      <x:c r="AB38" s="41" t="n">
        <x:f>_xlfn.COVARIANCE.S('Common sample'!AH6:AH75,'Common sample'!AB6:AB75)</x:f>
        <x:v>-0.0032448070872463167</x:v>
      </x:c>
      <x:c r="AC38" s="41" t="n">
        <x:f>_xlfn.COVARIANCE.S('Common sample'!AH6:AH75,'Common sample'!AC6:AC75)</x:f>
        <x:v>-0.00024477189877002663</x:v>
      </x:c>
      <x:c r="AD38" s="41" t="n">
        <x:f>_xlfn.COVARIANCE.S('Common sample'!AH6:AH75,'Common sample'!AD6:AD75)</x:f>
        <x:v>0.0021082084011991337</x:v>
      </x:c>
      <x:c r="AE38" s="41" t="n">
        <x:f>_xlfn.COVARIANCE.S('Common sample'!AH6:AH75,'Common sample'!AE6:AE75)</x:f>
        <x:v>-0.0022473220581255143</x:v>
      </x:c>
      <x:c r="AF38" s="41" t="n">
        <x:f>_xlfn.COVARIANCE.S('Common sample'!AH6:AH75,'Common sample'!AF6:AF75)</x:f>
        <x:v>-0.000010790322024787294</x:v>
      </x:c>
      <x:c r="AG38" s="41" t="n">
        <x:f>_xlfn.COVARIANCE.S('Common sample'!AH6:AH75,'Common sample'!AG6:AG75)</x:f>
        <x:v>0.0003937353886512183</x:v>
      </x:c>
      <x:c r="AH38" s="41" t="n">
        <x:f>_xlfn.COVARIANCE.S('Common sample'!AH6:AH75,'Common sample'!AH6:AH75)</x:f>
        <x:v>0.012984455450792309</x:v>
      </x:c>
      <x:c r="AI38" s="41" t="n">
        <x:f>_xlfn.COVARIANCE.S('Common sample'!AH6:AH75,'Common sample'!AI6:AI75)</x:f>
        <x:v>-0.00068852124254442</x:v>
      </x:c>
      <x:c r="AJ38" s="41" t="n">
        <x:f>_xlfn.COVARIANCE.S('Common sample'!AH6:AH75,'Common sample'!AJ6:AJ75)</x:f>
        <x:v>0.0004093501499605597</x:v>
      </x:c>
      <x:c r="AK38" s="41" t="n">
        <x:f>_xlfn.COVARIANCE.S('Common sample'!AH6:AH75,'Common sample'!AK6:AK75)</x:f>
        <x:v>0.0009232040011031058</x:v>
      </x:c>
      <x:c r="AL38" s="41" t="n">
        <x:f>_xlfn.COVARIANCE.S('Common sample'!AH6:AH75,'Common sample'!AL6:AL75)</x:f>
        <x:v>0.00020220749806576583</x:v>
      </x:c>
      <x:c r="AM38" s="41" t="n">
        <x:f>_xlfn.COVARIANCE.S('Common sample'!AH6:AH75,'Common sample'!AM6:AM75)</x:f>
        <x:v>0.0008894424278943887</x:v>
      </x:c>
      <x:c r="AN38" s="41" t="n">
        <x:f>_xlfn.COVARIANCE.S('Common sample'!AH6:AH75,'Common sample'!AN6:AN75)</x:f>
        <x:v>-0.0005670776609583072</x:v>
      </x:c>
      <x:c r="AO38" s="41" t="n">
        <x:f>_xlfn.COVARIANCE.S('Common sample'!AH6:AH75,'Common sample'!AO6:AO75)</x:f>
        <x:v>0.00015706223047861362</x:v>
      </x:c>
      <x:c r="AP38" s="41" t="n">
        <x:f>_xlfn.COVARIANCE.S('Common sample'!AH6:AH75,'Common sample'!AP6:AP75)</x:f>
        <x:v>0.00008244907028157556</x:v>
      </x:c>
      <x:c r="AQ38" s="41" t="n">
        <x:f>_xlfn.COVARIANCE.S('Common sample'!AH6:AH75,'Common sample'!AQ6:AQ75)</x:f>
        <x:v>0.0008240900898005895</x:v>
      </x:c>
      <x:c r="AR38" s="41" t="n">
        <x:f>_xlfn.COVARIANCE.S('Common sample'!AH6:AH75,'Common sample'!AR6:AR75)</x:f>
        <x:v>-0.00024226607997470057</x:v>
      </x:c>
    </x:row>
    <x:row r="39" ht="19" customHeight="1">
      <x:c r="A39" s="29" t="str">
        <x:v>LLY</x:v>
      </x:c>
      <x:c r="B39" s="41" t="n">
        <x:f>_xlfn.COVARIANCE.S('Common sample'!AI6:AI75,'Common sample'!B6:B75)</x:f>
        <x:v>0.0010561764786929002</x:v>
      </x:c>
      <x:c r="C39" s="41" t="n">
        <x:f>_xlfn.COVARIANCE.S('Common sample'!AI6:AI75,'Common sample'!C6:C75)</x:f>
        <x:v>0.0008919469257234133</x:v>
      </x:c>
      <x:c r="D39" s="41" t="n">
        <x:f>_xlfn.COVARIANCE.S('Common sample'!AI6:AI75,'Common sample'!D6:D75)</x:f>
        <x:v>0.0003212040184628508</x:v>
      </x:c>
      <x:c r="E39" s="41" t="n">
        <x:f>_xlfn.COVARIANCE.S('Common sample'!AI6:AI75,'Common sample'!E6:E75)</x:f>
        <x:v>-0.00020853237161960674</x:v>
      </x:c>
      <x:c r="F39" s="41" t="n">
        <x:f>_xlfn.COVARIANCE.S('Common sample'!AI6:AI75,'Common sample'!F6:F75)</x:f>
        <x:v>0.00036551478409800224</x:v>
      </x:c>
      <x:c r="G39" s="41" t="n">
        <x:f>_xlfn.COVARIANCE.S('Common sample'!AI6:AI75,'Common sample'!G6:G75)</x:f>
        <x:v>0.0012975979402894686</x:v>
      </x:c>
      <x:c r="H39" s="41" t="n">
        <x:f>_xlfn.COVARIANCE.S('Common sample'!AI6:AI75,'Common sample'!H6:H75)</x:f>
        <x:v>-0.0004244242626635881</x:v>
      </x:c>
      <x:c r="I39" s="41" t="n">
        <x:f>_xlfn.COVARIANCE.S('Common sample'!AI6:AI75,'Common sample'!I6:I75)</x:f>
        <x:v>0.0006030098874429895</x:v>
      </x:c>
      <x:c r="J39" s="41" t="n">
        <x:f>_xlfn.COVARIANCE.S('Common sample'!AI6:AI75,'Common sample'!J6:J75)</x:f>
        <x:v>-0.00003188459010157601</x:v>
      </x:c>
      <x:c r="K39" s="41" t="n">
        <x:f>_xlfn.COVARIANCE.S('Common sample'!AI6:AI75,'Common sample'!K6:K75)</x:f>
        <x:v>-0.0005254689967516928</x:v>
      </x:c>
      <x:c r="L39" s="41" t="n">
        <x:f>_xlfn.COVARIANCE.S('Common sample'!AI6:AI75,'Common sample'!L6:L75)</x:f>
        <x:v>-0.00026026109493410796</x:v>
      </x:c>
      <x:c r="M39" s="41" t="n">
        <x:f>_xlfn.COVARIANCE.S('Common sample'!AI6:AI75,'Common sample'!M6:M75)</x:f>
        <x:v>-0.00022498158518553687</x:v>
      </x:c>
      <x:c r="N39" s="41" t="n">
        <x:f>_xlfn.COVARIANCE.S('Common sample'!AI6:AI75,'Common sample'!N6:N75)</x:f>
        <x:v>-0.00027672089433223364</x:v>
      </x:c>
      <x:c r="O39" s="41" t="n">
        <x:f>_xlfn.COVARIANCE.S('Common sample'!AI6:AI75,'Common sample'!O6:O75)</x:f>
        <x:v>0.0010252632056460514</x:v>
      </x:c>
      <x:c r="P39" s="41" t="n">
        <x:f>_xlfn.COVARIANCE.S('Common sample'!AI6:AI75,'Common sample'!P6:P75)</x:f>
        <x:v>-0.00013658371719937293</x:v>
      </x:c>
      <x:c r="Q39" s="41" t="n">
        <x:f>_xlfn.COVARIANCE.S('Common sample'!AI6:AI75,'Common sample'!Q6:Q75)</x:f>
        <x:v>0.0008275081757575024</x:v>
      </x:c>
      <x:c r="R39" s="41" t="n">
        <x:f>_xlfn.COVARIANCE.S('Common sample'!AI6:AI75,'Common sample'!R6:R75)</x:f>
        <x:v>0.00030323070408104833</x:v>
      </x:c>
      <x:c r="S39" s="41" t="n">
        <x:f>_xlfn.COVARIANCE.S('Common sample'!AI6:AI75,'Common sample'!S6:S75)</x:f>
        <x:v>-0.000048731024655035044</x:v>
      </x:c>
      <x:c r="T39" s="41" t="n">
        <x:f>_xlfn.COVARIANCE.S('Common sample'!AI6:AI75,'Common sample'!T6:T75)</x:f>
        <x:v>-0.00196603940675038</x:v>
      </x:c>
      <x:c r="U39" s="41" t="n">
        <x:f>_xlfn.COVARIANCE.S('Common sample'!AI6:AI75,'Common sample'!U6:U75)</x:f>
        <x:v>-0.00021110781147141332</x:v>
      </x:c>
      <x:c r="V39" s="41" t="n">
        <x:f>_xlfn.COVARIANCE.S('Common sample'!AI6:AI75,'Common sample'!V6:V75)</x:f>
        <x:v>0.0004679296049288982</x:v>
      </x:c>
      <x:c r="W39" s="41" t="n">
        <x:f>_xlfn.COVARIANCE.S('Common sample'!AI6:AI75,'Common sample'!W6:W75)</x:f>
        <x:v>0.000058194096096274356</x:v>
      </x:c>
      <x:c r="X39" s="41" t="n">
        <x:f>_xlfn.COVARIANCE.S('Common sample'!AI6:AI75,'Common sample'!X6:X75)</x:f>
        <x:v>0.0005596625492687011</x:v>
      </x:c>
      <x:c r="Y39" s="41" t="n">
        <x:f>_xlfn.COVARIANCE.S('Common sample'!AI6:AI75,'Common sample'!Y6:Y75)</x:f>
        <x:v>-0.0005106496399228863</x:v>
      </x:c>
      <x:c r="Z39" s="41" t="n">
        <x:f>_xlfn.COVARIANCE.S('Common sample'!AI6:AI75,'Common sample'!Z6:Z75)</x:f>
        <x:v>0.00017402641654181312</x:v>
      </x:c>
      <x:c r="AA39" s="41" t="n">
        <x:f>_xlfn.COVARIANCE.S('Common sample'!AI6:AI75,'Common sample'!AA6:AA75)</x:f>
        <x:v>-0.003725196442988348</x:v>
      </x:c>
      <x:c r="AB39" s="41" t="n">
        <x:f>_xlfn.COVARIANCE.S('Common sample'!AI6:AI75,'Common sample'!AB6:AB75)</x:f>
        <x:v>-0.0003305745282208435</x:v>
      </x:c>
      <x:c r="AC39" s="41" t="n">
        <x:f>_xlfn.COVARIANCE.S('Common sample'!AI6:AI75,'Common sample'!AC6:AC75)</x:f>
        <x:v>0.0007012412856460521</x:v>
      </x:c>
      <x:c r="AD39" s="41" t="n">
        <x:f>_xlfn.COVARIANCE.S('Common sample'!AI6:AI75,'Common sample'!AD6:AD75)</x:f>
        <x:v>0.0006486153520905572</x:v>
      </x:c>
      <x:c r="AE39" s="41" t="n">
        <x:f>_xlfn.COVARIANCE.S('Common sample'!AI6:AI75,'Common sample'!AE6:AE75)</x:f>
        <x:v>0.0007129770383320653</x:v>
      </x:c>
      <x:c r="AF39" s="41" t="n">
        <x:f>_xlfn.COVARIANCE.S('Common sample'!AI6:AI75,'Common sample'!AF6:AF75)</x:f>
        <x:v>-0.0007203621614646816</x:v>
      </x:c>
      <x:c r="AG39" s="41" t="n">
        <x:f>_xlfn.COVARIANCE.S('Common sample'!AI6:AI75,'Common sample'!AG6:AG75)</x:f>
        <x:v>0.000030692630184981066</x:v>
      </x:c>
      <x:c r="AH39" s="41" t="n">
        <x:f>_xlfn.COVARIANCE.S('Common sample'!AI6:AI75,'Common sample'!AH6:AH75)</x:f>
        <x:v>-0.00068852124254442</x:v>
      </x:c>
      <x:c r="AI39" s="41" t="n">
        <x:f>_xlfn.COVARIANCE.S('Common sample'!AI6:AI75,'Common sample'!AI6:AI75)</x:f>
        <x:v>0.00474701324597565</x:v>
      </x:c>
      <x:c r="AJ39" s="41" t="n">
        <x:f>_xlfn.COVARIANCE.S('Common sample'!AI6:AI75,'Common sample'!AJ6:AJ75)</x:f>
        <x:v>0.0003825378588341094</x:v>
      </x:c>
      <x:c r="AK39" s="41" t="n">
        <x:f>_xlfn.COVARIANCE.S('Common sample'!AI6:AI75,'Common sample'!AK6:AK75)</x:f>
        <x:v>0.001325888601080873</x:v>
      </x:c>
      <x:c r="AL39" s="41" t="n">
        <x:f>_xlfn.COVARIANCE.S('Common sample'!AI6:AI75,'Common sample'!AL6:AL75)</x:f>
        <x:v>-0.0010908320376931048</x:v>
      </x:c>
      <x:c r="AM39" s="41" t="n">
        <x:f>_xlfn.COVARIANCE.S('Common sample'!AI6:AI75,'Common sample'!AM6:AM75)</x:f>
        <x:v>0.00021000346503369024</x:v>
      </x:c>
      <x:c r="AN39" s="41" t="n">
        <x:f>_xlfn.COVARIANCE.S('Common sample'!AI6:AI75,'Common sample'!AN6:AN75)</x:f>
        <x:v>0.0005148164574542933</x:v>
      </x:c>
      <x:c r="AO39" s="41" t="n">
        <x:f>_xlfn.COVARIANCE.S('Common sample'!AI6:AI75,'Common sample'!AO6:AO75)</x:f>
        <x:v>0.0002243311866143463</x:v>
      </x:c>
      <x:c r="AP39" s="41" t="n">
        <x:f>_xlfn.COVARIANCE.S('Common sample'!AI6:AI75,'Common sample'!AP6:AP75)</x:f>
        <x:v>0.00043353269869123327</x:v>
      </x:c>
      <x:c r="AQ39" s="41" t="n">
        <x:f>_xlfn.COVARIANCE.S('Common sample'!AI6:AI75,'Common sample'!AQ6:AQ75)</x:f>
        <x:v>-0.00014412804030035204</x:v>
      </x:c>
      <x:c r="AR39" s="41" t="n">
        <x:f>_xlfn.COVARIANCE.S('Common sample'!AI6:AI75,'Common sample'!AR6:AR75)</x:f>
        <x:v>0.0008912132440796622</x:v>
      </x:c>
    </x:row>
    <x:row r="40" ht="19" customHeight="1">
      <x:c r="A40" s="29" t="str">
        <x:v>WELL</x:v>
      </x:c>
      <x:c r="B40" s="41" t="n">
        <x:f>_xlfn.COVARIANCE.S('Common sample'!AJ6:AJ75,'Common sample'!B6:B75)</x:f>
        <x:v>0.00015385159096717113</x:v>
      </x:c>
      <x:c r="C40" s="41" t="n">
        <x:f>_xlfn.COVARIANCE.S('Common sample'!AJ6:AJ75,'Common sample'!C6:C75)</x:f>
        <x:v>0.00004118520463835053</x:v>
      </x:c>
      <x:c r="D40" s="41" t="n">
        <x:f>_xlfn.COVARIANCE.S('Common sample'!AJ6:AJ75,'Common sample'!D6:D75)</x:f>
        <x:v>0.0007103408763481613</x:v>
      </x:c>
      <x:c r="E40" s="41" t="n">
        <x:f>_xlfn.COVARIANCE.S('Common sample'!AJ6:AJ75,'Common sample'!E6:E75)</x:f>
        <x:v>0.0006230592140647995</x:v>
      </x:c>
      <x:c r="F40" s="41" t="n">
        <x:f>_xlfn.COVARIANCE.S('Common sample'!AJ6:AJ75,'Common sample'!F6:F75)</x:f>
        <x:v>-0.00021683461722351118</x:v>
      </x:c>
      <x:c r="G40" s="41" t="n">
        <x:f>_xlfn.COVARIANCE.S('Common sample'!AJ6:AJ75,'Common sample'!G6:G75)</x:f>
        <x:v>-0.0008239049971054838</x:v>
      </x:c>
      <x:c r="H40" s="41" t="n">
        <x:f>_xlfn.COVARIANCE.S('Common sample'!AJ6:AJ75,'Common sample'!H6:H75)</x:f>
        <x:v>0.0003575414495568462</x:v>
      </x:c>
      <x:c r="I40" s="41" t="n">
        <x:f>_xlfn.COVARIANCE.S('Common sample'!AJ6:AJ75,'Common sample'!I6:I75)</x:f>
        <x:v>0.0012551301856806195</x:v>
      </x:c>
      <x:c r="J40" s="41" t="n">
        <x:f>_xlfn.COVARIANCE.S('Common sample'!AJ6:AJ75,'Common sample'!J6:J75)</x:f>
        <x:v>0.0008565266048511884</x:v>
      </x:c>
      <x:c r="K40" s="41" t="n">
        <x:f>_xlfn.COVARIANCE.S('Common sample'!AJ6:AJ75,'Common sample'!K6:K75)</x:f>
        <x:v>0.0006705987944826841</x:v>
      </x:c>
      <x:c r="L40" s="41" t="n">
        <x:f>_xlfn.COVARIANCE.S('Common sample'!AJ6:AJ75,'Common sample'!L6:L75)</x:f>
        <x:v>-0.0003184032893219309</x:v>
      </x:c>
      <x:c r="M40" s="41" t="n">
        <x:f>_xlfn.COVARIANCE.S('Common sample'!AJ6:AJ75,'Common sample'!M6:M75)</x:f>
        <x:v>0.0002513703025432982</x:v>
      </x:c>
      <x:c r="N40" s="41" t="n">
        <x:f>_xlfn.COVARIANCE.S('Common sample'!AJ6:AJ75,'Common sample'!N6:N75)</x:f>
        <x:v>-0.00011092371708538178</x:v>
      </x:c>
      <x:c r="O40" s="41" t="n">
        <x:f>_xlfn.COVARIANCE.S('Common sample'!AJ6:AJ75,'Common sample'!O6:O75)</x:f>
        <x:v>0.0015456277015411149</x:v>
      </x:c>
      <x:c r="P40" s="41" t="n">
        <x:f>_xlfn.COVARIANCE.S('Common sample'!AJ6:AJ75,'Common sample'!P6:P75)</x:f>
        <x:v>-0.0012575051392491945</x:v>
      </x:c>
      <x:c r="Q40" s="41" t="n">
        <x:f>_xlfn.COVARIANCE.S('Common sample'!AJ6:AJ75,'Common sample'!Q6:Q75)</x:f>
        <x:v>0.0005649540081899369</x:v>
      </x:c>
      <x:c r="R40" s="41" t="n">
        <x:f>_xlfn.COVARIANCE.S('Common sample'!AJ6:AJ75,'Common sample'!R6:R75)</x:f>
        <x:v>0.00026238975484281415</x:v>
      </x:c>
      <x:c r="S40" s="41" t="n">
        <x:f>_xlfn.COVARIANCE.S('Common sample'!AJ6:AJ75,'Common sample'!S6:S75)</x:f>
        <x:v>0.0009860450071067501</x:v>
      </x:c>
      <x:c r="T40" s="41" t="n">
        <x:f>_xlfn.COVARIANCE.S('Common sample'!AJ6:AJ75,'Common sample'!T6:T75)</x:f>
        <x:v>-0.0009467247875054853</x:v>
      </x:c>
      <x:c r="U40" s="41" t="n">
        <x:f>_xlfn.COVARIANCE.S('Common sample'!AJ6:AJ75,'Common sample'!U6:U75)</x:f>
        <x:v>0.0008352042389404266</x:v>
      </x:c>
      <x:c r="V40" s="41" t="n">
        <x:f>_xlfn.COVARIANCE.S('Common sample'!AJ6:AJ75,'Common sample'!V6:V75)</x:f>
        <x:v>0.00010350176843339474</x:v>
      </x:c>
      <x:c r="W40" s="41" t="n">
        <x:f>_xlfn.COVARIANCE.S('Common sample'!AJ6:AJ75,'Common sample'!W6:W75)</x:f>
        <x:v>-0.00023549289685774003</x:v>
      </x:c>
      <x:c r="X40" s="41" t="n">
        <x:f>_xlfn.COVARIANCE.S('Common sample'!AJ6:AJ75,'Common sample'!X6:X75)</x:f>
        <x:v>0.0002899750832829753</x:v>
      </x:c>
      <x:c r="Y40" s="41" t="n">
        <x:f>_xlfn.COVARIANCE.S('Common sample'!AJ6:AJ75,'Common sample'!Y6:Y75)</x:f>
        <x:v>-0.0010252853718153362</x:v>
      </x:c>
      <x:c r="Z40" s="41" t="n">
        <x:f>_xlfn.COVARIANCE.S('Common sample'!AJ6:AJ75,'Common sample'!Z6:Z75)</x:f>
        <x:v>0.00046033849510179606</x:v>
      </x:c>
      <x:c r="AA40" s="41" t="n">
        <x:f>_xlfn.COVARIANCE.S('Common sample'!AJ6:AJ75,'Common sample'!AA6:AA75)</x:f>
        <x:v>0.0007405965268742249</x:v>
      </x:c>
      <x:c r="AB40" s="41" t="n">
        <x:f>_xlfn.COVARIANCE.S('Common sample'!AJ6:AJ75,'Common sample'!AB6:AB75)</x:f>
        <x:v>0.00006650596714665676</x:v>
      </x:c>
      <x:c r="AC40" s="41" t="n">
        <x:f>_xlfn.COVARIANCE.S('Common sample'!AJ6:AJ75,'Common sample'!AC6:AC75)</x:f>
        <x:v>0.00030078223261997583</x:v>
      </x:c>
      <x:c r="AD40" s="41" t="n">
        <x:f>_xlfn.COVARIANCE.S('Common sample'!AJ6:AJ75,'Common sample'!AD6:AD75)</x:f>
        <x:v>0.0006303971660240012</x:v>
      </x:c>
      <x:c r="AE40" s="41" t="n">
        <x:f>_xlfn.COVARIANCE.S('Common sample'!AJ6:AJ75,'Common sample'!AE6:AE75)</x:f>
        <x:v>-0.0005824916253227895</x:v>
      </x:c>
      <x:c r="AF40" s="41" t="n">
        <x:f>_xlfn.COVARIANCE.S('Common sample'!AJ6:AJ75,'Common sample'!AF6:AF75)</x:f>
        <x:v>-0.000652755900822778</x:v>
      </x:c>
      <x:c r="AG40" s="41" t="n">
        <x:f>_xlfn.COVARIANCE.S('Common sample'!AJ6:AJ75,'Common sample'!AG6:AG75)</x:f>
        <x:v>-0.0013088029114583033</x:v>
      </x:c>
      <x:c r="AH40" s="41" t="n">
        <x:f>_xlfn.COVARIANCE.S('Common sample'!AJ6:AJ75,'Common sample'!AH6:AH75)</x:f>
        <x:v>0.0004093501499605597</x:v>
      </x:c>
      <x:c r="AI40" s="41" t="n">
        <x:f>_xlfn.COVARIANCE.S('Common sample'!AJ6:AJ75,'Common sample'!AI6:AI75)</x:f>
        <x:v>0.0003825378588341094</x:v>
      </x:c>
      <x:c r="AJ40" s="41" t="n">
        <x:f>_xlfn.COVARIANCE.S('Common sample'!AJ6:AJ75,'Common sample'!AJ6:AJ75)</x:f>
        <x:v>0.00266393993220076</x:v>
      </x:c>
      <x:c r="AK40" s="41" t="n">
        <x:f>_xlfn.COVARIANCE.S('Common sample'!AJ6:AJ75,'Common sample'!AK6:AK75)</x:f>
        <x:v>-0.00007277111176273824</x:v>
      </x:c>
      <x:c r="AL40" s="41" t="n">
        <x:f>_xlfn.COVARIANCE.S('Common sample'!AJ6:AJ75,'Common sample'!AL6:AL75)</x:f>
        <x:v>0.00005455308399052118</x:v>
      </x:c>
      <x:c r="AM40" s="41" t="n">
        <x:f>_xlfn.COVARIANCE.S('Common sample'!AJ6:AJ75,'Common sample'!AM6:AM75)</x:f>
        <x:v>0.0003965043670718657</x:v>
      </x:c>
      <x:c r="AN40" s="41" t="n">
        <x:f>_xlfn.COVARIANCE.S('Common sample'!AJ6:AJ75,'Common sample'!AN6:AN75)</x:f>
        <x:v>0.0005742531748593119</x:v>
      </x:c>
      <x:c r="AO40" s="41" t="n">
        <x:f>_xlfn.COVARIANCE.S('Common sample'!AJ6:AJ75,'Common sample'!AO6:AO75)</x:f>
        <x:v>-0.0001575764855089556</x:v>
      </x:c>
      <x:c r="AP40" s="41" t="n">
        <x:f>_xlfn.COVARIANCE.S('Common sample'!AJ6:AJ75,'Common sample'!AP6:AP75)</x:f>
        <x:v>0.00035383400504982316</x:v>
      </x:c>
      <x:c r="AQ40" s="41" t="n">
        <x:f>_xlfn.COVARIANCE.S('Common sample'!AJ6:AJ75,'Common sample'!AQ6:AQ75)</x:f>
        <x:v>0.0003963679855014748</x:v>
      </x:c>
      <x:c r="AR40" s="41" t="n">
        <x:f>_xlfn.COVARIANCE.S('Common sample'!AJ6:AJ75,'Common sample'!AR6:AR75)</x:f>
        <x:v>0.00042367501912327044</x:v>
      </x:c>
    </x:row>
    <x:row r="41" ht="19" customHeight="1">
      <x:c r="A41" s="29" t="str">
        <x:v>NOK</x:v>
      </x:c>
      <x:c r="B41" s="41" t="n">
        <x:f>_xlfn.COVARIANCE.S('Common sample'!AK6:AK75,'Common sample'!B6:B75)</x:f>
        <x:v>-0.0013006088518701677</x:v>
      </x:c>
      <x:c r="C41" s="41" t="n">
        <x:f>_xlfn.COVARIANCE.S('Common sample'!AK6:AK75,'Common sample'!C6:C75)</x:f>
        <x:v>0.000735162817970891</x:v>
      </x:c>
      <x:c r="D41" s="41" t="n">
        <x:f>_xlfn.COVARIANCE.S('Common sample'!AK6:AK75,'Common sample'!D6:D75)</x:f>
        <x:v>0.00042025086588145757</x:v>
      </x:c>
      <x:c r="E41" s="41" t="n">
        <x:f>_xlfn.COVARIANCE.S('Common sample'!AK6:AK75,'Common sample'!E6:E75)</x:f>
        <x:v>0.0006351128269301565</x:v>
      </x:c>
      <x:c r="F41" s="41" t="n">
        <x:f>_xlfn.COVARIANCE.S('Common sample'!AK6:AK75,'Common sample'!F6:F75)</x:f>
        <x:v>-0.000017968634034035958</x:v>
      </x:c>
      <x:c r="G41" s="41" t="n">
        <x:f>_xlfn.COVARIANCE.S('Common sample'!AK6:AK75,'Common sample'!G6:G75)</x:f>
        <x:v>-0.0035336959120227554</x:v>
      </x:c>
      <x:c r="H41" s="41" t="n">
        <x:f>_xlfn.COVARIANCE.S('Common sample'!AK6:AK75,'Common sample'!H6:H75)</x:f>
        <x:v>0.0006396629820272995</x:v>
      </x:c>
      <x:c r="I41" s="41" t="n">
        <x:f>_xlfn.COVARIANCE.S('Common sample'!AK6:AK75,'Common sample'!I6:I75)</x:f>
        <x:v>0.0017148083158309462</x:v>
      </x:c>
      <x:c r="J41" s="41" t="n">
        <x:f>_xlfn.COVARIANCE.S('Common sample'!AK6:AK75,'Common sample'!J6:J75)</x:f>
        <x:v>0.002572277345608734</x:v>
      </x:c>
      <x:c r="K41" s="41" t="n">
        <x:f>_xlfn.COVARIANCE.S('Common sample'!AK6:AK75,'Common sample'!K6:K75)</x:f>
        <x:v>-0.0004793435458536592</x:v>
      </x:c>
      <x:c r="L41" s="41" t="n">
        <x:f>_xlfn.COVARIANCE.S('Common sample'!AK6:AK75,'Common sample'!L6:L75)</x:f>
        <x:v>0.0001471618373159606</x:v>
      </x:c>
      <x:c r="M41" s="41" t="n">
        <x:f>_xlfn.COVARIANCE.S('Common sample'!AK6:AK75,'Common sample'!M6:M75)</x:f>
        <x:v>0.00018521913002338732</x:v>
      </x:c>
      <x:c r="N41" s="41" t="n">
        <x:f>_xlfn.COVARIANCE.S('Common sample'!AK6:AK75,'Common sample'!N6:N75)</x:f>
        <x:v>-0.0004709886139509916</x:v>
      </x:c>
      <x:c r="O41" s="41" t="n">
        <x:f>_xlfn.COVARIANCE.S('Common sample'!AK6:AK75,'Common sample'!O6:O75)</x:f>
        <x:v>0.002769388921557767</x:v>
      </x:c>
      <x:c r="P41" s="41" t="n">
        <x:f>_xlfn.COVARIANCE.S('Common sample'!AK6:AK75,'Common sample'!P6:P75)</x:f>
        <x:v>-0.000016129978901890704</x:v>
      </x:c>
      <x:c r="Q41" s="41" t="n">
        <x:f>_xlfn.COVARIANCE.S('Common sample'!AK6:AK75,'Common sample'!Q6:Q75)</x:f>
        <x:v>0.006793586189889034</x:v>
      </x:c>
      <x:c r="R41" s="41" t="n">
        <x:f>_xlfn.COVARIANCE.S('Common sample'!AK6:AK75,'Common sample'!R6:R75)</x:f>
        <x:v>0.0020491874044505525</x:v>
      </x:c>
      <x:c r="S41" s="41" t="n">
        <x:f>_xlfn.COVARIANCE.S('Common sample'!AK6:AK75,'Common sample'!S6:S75)</x:f>
        <x:v>-0.0021257437685338635</x:v>
      </x:c>
      <x:c r="T41" s="41" t="n">
        <x:f>_xlfn.COVARIANCE.S('Common sample'!AK6:AK75,'Common sample'!T6:T75)</x:f>
        <x:v>-0.002126629645991345</x:v>
      </x:c>
      <x:c r="U41" s="41" t="n">
        <x:f>_xlfn.COVARIANCE.S('Common sample'!AK6:AK75,'Common sample'!U6:U75)</x:f>
        <x:v>-0.002655835010707635</x:v>
      </x:c>
      <x:c r="V41" s="41" t="n">
        <x:f>_xlfn.COVARIANCE.S('Common sample'!AK6:AK75,'Common sample'!V6:V75)</x:f>
        <x:v>0.0005380030572702487</x:v>
      </x:c>
      <x:c r="W41" s="41" t="n">
        <x:f>_xlfn.COVARIANCE.S('Common sample'!AK6:AK75,'Common sample'!W6:W75)</x:f>
        <x:v>-0.0009529010671846191</x:v>
      </x:c>
      <x:c r="X41" s="41" t="n">
        <x:f>_xlfn.COVARIANCE.S('Common sample'!AK6:AK75,'Common sample'!X6:X75)</x:f>
        <x:v>0.002413302586587212</x:v>
      </x:c>
      <x:c r="Y41" s="41" t="n">
        <x:f>_xlfn.COVARIANCE.S('Common sample'!AK6:AK75,'Common sample'!Y6:Y75)</x:f>
        <x:v>0.00125184972637956</x:v>
      </x:c>
      <x:c r="Z41" s="41" t="n">
        <x:f>_xlfn.COVARIANCE.S('Common sample'!AK6:AK75,'Common sample'!Z6:Z75)</x:f>
        <x:v>0.00005364411200532217</x:v>
      </x:c>
      <x:c r="AA41" s="41" t="n">
        <x:f>_xlfn.COVARIANCE.S('Common sample'!AK6:AK75,'Common sample'!AA6:AA75)</x:f>
        <x:v>-0.003739221639181315</x:v>
      </x:c>
      <x:c r="AB41" s="41" t="n">
        <x:f>_xlfn.COVARIANCE.S('Common sample'!AK6:AK75,'Common sample'!AB6:AB75)</x:f>
        <x:v>-0.007664049475829496</x:v>
      </x:c>
      <x:c r="AC41" s="41" t="n">
        <x:f>_xlfn.COVARIANCE.S('Common sample'!AK6:AK75,'Common sample'!AC6:AC75)</x:f>
        <x:v>0.000040468811058278406</x:v>
      </x:c>
      <x:c r="AD41" s="41" t="n">
        <x:f>_xlfn.COVARIANCE.S('Common sample'!AK6:AK75,'Common sample'!AD6:AD75)</x:f>
        <x:v>0.002448690381688232</x:v>
      </x:c>
      <x:c r="AE41" s="41" t="n">
        <x:f>_xlfn.COVARIANCE.S('Common sample'!AK6:AK75,'Common sample'!AE6:AE75)</x:f>
        <x:v>-0.0005227992486105694</x:v>
      </x:c>
      <x:c r="AF41" s="41" t="n">
        <x:f>_xlfn.COVARIANCE.S('Common sample'!AK6:AK75,'Common sample'!AF6:AF75)</x:f>
        <x:v>-0.0012739238281186355</x:v>
      </x:c>
      <x:c r="AG41" s="41" t="n">
        <x:f>_xlfn.COVARIANCE.S('Common sample'!AK6:AK75,'Common sample'!AG6:AG75)</x:f>
        <x:v>-0.0003265149329419858</x:v>
      </x:c>
      <x:c r="AH41" s="41" t="n">
        <x:f>_xlfn.COVARIANCE.S('Common sample'!AK6:AK75,'Common sample'!AH6:AH75)</x:f>
        <x:v>0.0009232040011031058</x:v>
      </x:c>
      <x:c r="AI41" s="41" t="n">
        <x:f>_xlfn.COVARIANCE.S('Common sample'!AK6:AK75,'Common sample'!AI6:AI75)</x:f>
        <x:v>0.001325888601080873</x:v>
      </x:c>
      <x:c r="AJ41" s="41" t="n">
        <x:f>_xlfn.COVARIANCE.S('Common sample'!AK6:AK75,'Common sample'!AJ6:AJ75)</x:f>
        <x:v>-0.00007277111176273824</x:v>
      </x:c>
      <x:c r="AK41" s="41" t="n">
        <x:f>_xlfn.COVARIANCE.S('Common sample'!AK6:AK75,'Common sample'!AK6:AK75)</x:f>
        <x:v>0.01449179818159283</x:v>
      </x:c>
      <x:c r="AL41" s="41" t="n">
        <x:f>_xlfn.COVARIANCE.S('Common sample'!AK6:AK75,'Common sample'!AL6:AL75)</x:f>
        <x:v>-0.001709952500086576</x:v>
      </x:c>
      <x:c r="AM41" s="41" t="n">
        <x:f>_xlfn.COVARIANCE.S('Common sample'!AK6:AK75,'Common sample'!AM6:AM75)</x:f>
        <x:v>0.0015344783330911442</x:v>
      </x:c>
      <x:c r="AN41" s="41" t="n">
        <x:f>_xlfn.COVARIANCE.S('Common sample'!AK6:AK75,'Common sample'!AN6:AN75)</x:f>
        <x:v>0.0005321537494421295</x:v>
      </x:c>
      <x:c r="AO41" s="41" t="n">
        <x:f>_xlfn.COVARIANCE.S('Common sample'!AK6:AK75,'Common sample'!AO6:AO75)</x:f>
        <x:v>-0.0022895418637065494</x:v>
      </x:c>
      <x:c r="AP41" s="41" t="n">
        <x:f>_xlfn.COVARIANCE.S('Common sample'!AK6:AK75,'Common sample'!AP6:AP75)</x:f>
        <x:v>0.0007746504038523421</x:v>
      </x:c>
      <x:c r="AQ41" s="41" t="n">
        <x:f>_xlfn.COVARIANCE.S('Common sample'!AK6:AK75,'Common sample'!AQ6:AQ75)</x:f>
        <x:v>-0.0005135103400084705</x:v>
      </x:c>
      <x:c r="AR41" s="41" t="n">
        <x:f>_xlfn.COVARIANCE.S('Common sample'!AK6:AK75,'Common sample'!AR6:AR75)</x:f>
        <x:v>0.0012448333981726896</x:v>
      </x:c>
    </x:row>
    <x:row r="42" ht="19" customHeight="1">
      <x:c r="A42" s="29" t="str">
        <x:v>MSFT</x:v>
      </x:c>
      <x:c r="B42" s="41" t="n">
        <x:f>_xlfn.COVARIANCE.S('Common sample'!AL6:AL75,'Common sample'!B6:B75)</x:f>
        <x:v>0.00040882222075184853</x:v>
      </x:c>
      <x:c r="C42" s="41" t="n">
        <x:f>_xlfn.COVARIANCE.S('Common sample'!AL6:AL75,'Common sample'!C6:C75)</x:f>
        <x:v>-0.0006060788582575378</x:v>
      </x:c>
      <x:c r="D42" s="41" t="n">
        <x:f>_xlfn.COVARIANCE.S('Common sample'!AL6:AL75,'Common sample'!D6:D75)</x:f>
        <x:v>-0.0002631947653625097</x:v>
      </x:c>
      <x:c r="E42" s="41" t="n">
        <x:f>_xlfn.COVARIANCE.S('Common sample'!AL6:AL75,'Common sample'!E6:E75)</x:f>
        <x:v>-0.00045918724114183735</x:v>
      </x:c>
      <x:c r="F42" s="41" t="n">
        <x:f>_xlfn.COVARIANCE.S('Common sample'!AL6:AL75,'Common sample'!F6:F75)</x:f>
        <x:v>0.0012761361422425669</x:v>
      </x:c>
      <x:c r="G42" s="41" t="n">
        <x:f>_xlfn.COVARIANCE.S('Common sample'!AL6:AL75,'Common sample'!G6:G75)</x:f>
        <x:v>0.0017572423936571399</x:v>
      </x:c>
      <x:c r="H42" s="41" t="n">
        <x:f>_xlfn.COVARIANCE.S('Common sample'!AL6:AL75,'Common sample'!H6:H75)</x:f>
        <x:v>0.0012101367643799319</x:v>
      </x:c>
      <x:c r="I42" s="41" t="n">
        <x:f>_xlfn.COVARIANCE.S('Common sample'!AL6:AL75,'Common sample'!I6:I75)</x:f>
        <x:v>-0.0006943110160155379</x:v>
      </x:c>
      <x:c r="J42" s="41" t="n">
        <x:f>_xlfn.COVARIANCE.S('Common sample'!AL6:AL75,'Common sample'!J6:J75)</x:f>
        <x:v>-0.001883977940372791</x:v>
      </x:c>
      <x:c r="K42" s="41" t="n">
        <x:f>_xlfn.COVARIANCE.S('Common sample'!AL6:AL75,'Common sample'!K6:K75)</x:f>
        <x:v>0.0006947580972033714</x:v>
      </x:c>
      <x:c r="L42" s="41" t="n">
        <x:f>_xlfn.COVARIANCE.S('Common sample'!AL6:AL75,'Common sample'!L6:L75)</x:f>
        <x:v>0.0004275952980658476</x:v>
      </x:c>
      <x:c r="M42" s="41" t="n">
        <x:f>_xlfn.COVARIANCE.S('Common sample'!AL6:AL75,'Common sample'!M6:M75)</x:f>
        <x:v>0.0006010189572257507</x:v>
      </x:c>
      <x:c r="N42" s="41" t="n">
        <x:f>_xlfn.COVARIANCE.S('Common sample'!AL6:AL75,'Common sample'!N6:N75)</x:f>
        <x:v>-0.00031137009214286305</x:v>
      </x:c>
      <x:c r="O42" s="41" t="n">
        <x:f>_xlfn.COVARIANCE.S('Common sample'!AL6:AL75,'Common sample'!O6:O75)</x:f>
        <x:v>-0.0031972634747114703</x:v>
      </x:c>
      <x:c r="P42" s="41" t="n">
        <x:f>_xlfn.COVARIANCE.S('Common sample'!AL6:AL75,'Common sample'!P6:P75)</x:f>
        <x:v>-0.002267491861611547</x:v>
      </x:c>
      <x:c r="Q42" s="41" t="n">
        <x:f>_xlfn.COVARIANCE.S('Common sample'!AL6:AL75,'Common sample'!Q6:Q75)</x:f>
        <x:v>-0.003894601986394807</x:v>
      </x:c>
      <x:c r="R42" s="41" t="n">
        <x:f>_xlfn.COVARIANCE.S('Common sample'!AL6:AL75,'Common sample'!R6:R75)</x:f>
        <x:v>0.0010115119869399003</x:v>
      </x:c>
      <x:c r="S42" s="41" t="n">
        <x:f>_xlfn.COVARIANCE.S('Common sample'!AL6:AL75,'Common sample'!S6:S75)</x:f>
        <x:v>0.0022471500091761102</x:v>
      </x:c>
      <x:c r="T42" s="41" t="n">
        <x:f>_xlfn.COVARIANCE.S('Common sample'!AL6:AL75,'Common sample'!T6:T75)</x:f>
        <x:v>-0.0015880282634432334</x:v>
      </x:c>
      <x:c r="U42" s="41" t="n">
        <x:f>_xlfn.COVARIANCE.S('Common sample'!AL6:AL75,'Common sample'!U6:U75)</x:f>
        <x:v>0.0024220213473061547</x:v>
      </x:c>
      <x:c r="V42" s="41" t="n">
        <x:f>_xlfn.COVARIANCE.S('Common sample'!AL6:AL75,'Common sample'!V6:V75)</x:f>
        <x:v>0.001797920370947485</x:v>
      </x:c>
      <x:c r="W42" s="41" t="n">
        <x:f>_xlfn.COVARIANCE.S('Common sample'!AL6:AL75,'Common sample'!W6:W75)</x:f>
        <x:v>0.0010388927319255848</x:v>
      </x:c>
      <x:c r="X42" s="41" t="n">
        <x:f>_xlfn.COVARIANCE.S('Common sample'!AL6:AL75,'Common sample'!X6:X75)</x:f>
        <x:v>-0.002543592947942446</x:v>
      </x:c>
      <x:c r="Y42" s="41" t="n">
        <x:f>_xlfn.COVARIANCE.S('Common sample'!AL6:AL75,'Common sample'!Y6:Y75)</x:f>
        <x:v>0.0009061972677576581</x:v>
      </x:c>
      <x:c r="Z42" s="41" t="n">
        <x:f>_xlfn.COVARIANCE.S('Common sample'!AL6:AL75,'Common sample'!Z6:Z75)</x:f>
        <x:v>0.00019296091264809595</x:v>
      </x:c>
      <x:c r="AA42" s="41" t="n">
        <x:f>_xlfn.COVARIANCE.S('Common sample'!AL6:AL75,'Common sample'!AA6:AA75)</x:f>
        <x:v>0.002233673435565074</x:v>
      </x:c>
      <x:c r="AB42" s="41" t="n">
        <x:f>_xlfn.COVARIANCE.S('Common sample'!AL6:AL75,'Common sample'!AB6:AB75)</x:f>
        <x:v>0.00012447141561099586</x:v>
      </x:c>
      <x:c r="AC42" s="41" t="n">
        <x:f>_xlfn.COVARIANCE.S('Common sample'!AL6:AL75,'Common sample'!AC6:AC75)</x:f>
        <x:v>-0.00004370852222846049</x:v>
      </x:c>
      <x:c r="AD42" s="41" t="n">
        <x:f>_xlfn.COVARIANCE.S('Common sample'!AL6:AL75,'Common sample'!AD6:AD75)</x:f>
        <x:v>-0.0002607530620391945</x:v>
      </x:c>
      <x:c r="AE42" s="41" t="n">
        <x:f>_xlfn.COVARIANCE.S('Common sample'!AL6:AL75,'Common sample'!AE6:AE75)</x:f>
        <x:v>-0.00012682209486976578</x:v>
      </x:c>
      <x:c r="AF42" s="41" t="n">
        <x:f>_xlfn.COVARIANCE.S('Common sample'!AL6:AL75,'Common sample'!AF6:AF75)</x:f>
        <x:v>0.00017205045061569757</x:v>
      </x:c>
      <x:c r="AG42" s="41" t="n">
        <x:f>_xlfn.COVARIANCE.S('Common sample'!AL6:AL75,'Common sample'!AG6:AG75)</x:f>
        <x:v>0.0012141790143720059</x:v>
      </x:c>
      <x:c r="AH42" s="41" t="n">
        <x:f>_xlfn.COVARIANCE.S('Common sample'!AL6:AL75,'Common sample'!AH6:AH75)</x:f>
        <x:v>0.00020220749806576583</x:v>
      </x:c>
      <x:c r="AI42" s="41" t="n">
        <x:f>_xlfn.COVARIANCE.S('Common sample'!AL6:AL75,'Common sample'!AI6:AI75)</x:f>
        <x:v>-0.0010908320376931048</x:v>
      </x:c>
      <x:c r="AJ42" s="41" t="n">
        <x:f>_xlfn.COVARIANCE.S('Common sample'!AL6:AL75,'Common sample'!AJ6:AJ75)</x:f>
        <x:v>0.00005455308399052118</x:v>
      </x:c>
      <x:c r="AK42" s="41" t="n">
        <x:f>_xlfn.COVARIANCE.S('Common sample'!AL6:AL75,'Common sample'!AK6:AK75)</x:f>
        <x:v>-0.001709952500086576</x:v>
      </x:c>
      <x:c r="AL42" s="41" t="n">
        <x:f>_xlfn.COVARIANCE.S('Common sample'!AL6:AL75,'Common sample'!AL6:AL75)</x:f>
        <x:v>0.0038009994869646906</x:v>
      </x:c>
      <x:c r="AM42" s="41" t="n">
        <x:f>_xlfn.COVARIANCE.S('Common sample'!AL6:AL75,'Common sample'!AM6:AM75)</x:f>
        <x:v>-0.00031508528299416266</x:v>
      </x:c>
      <x:c r="AN42" s="41" t="n">
        <x:f>_xlfn.COVARIANCE.S('Common sample'!AL6:AL75,'Common sample'!AN6:AN75)</x:f>
        <x:v>0.000007628791073109787</x:v>
      </x:c>
      <x:c r="AO42" s="41" t="n">
        <x:f>_xlfn.COVARIANCE.S('Common sample'!AL6:AL75,'Common sample'!AO6:AO75)</x:f>
        <x:v>-0.0001818028040423927</x:v>
      </x:c>
      <x:c r="AP42" s="41" t="n">
        <x:f>_xlfn.COVARIANCE.S('Common sample'!AL6:AL75,'Common sample'!AP6:AP75)</x:f>
        <x:v>0.0002137757727547689</x:v>
      </x:c>
      <x:c r="AQ42" s="41" t="n">
        <x:f>_xlfn.COVARIANCE.S('Common sample'!AL6:AL75,'Common sample'!AQ6:AQ75)</x:f>
        <x:v>-0.00020816368841238627</x:v>
      </x:c>
      <x:c r="AR42" s="41" t="n">
        <x:f>_xlfn.COVARIANCE.S('Common sample'!AL6:AL75,'Common sample'!AR6:AR75)</x:f>
        <x:v>-0.00010676745802000112</x:v>
      </x:c>
    </x:row>
    <x:row r="43" ht="19" customHeight="1">
      <x:c r="A43" s="29" t="str">
        <x:v>GOOGL</x:v>
      </x:c>
      <x:c r="B43" s="41" t="n">
        <x:f>_xlfn.COVARIANCE.S('Common sample'!AM6:AM75,'Common sample'!B6:B75)</x:f>
        <x:v>-0.00028651273884219364</x:v>
      </x:c>
      <x:c r="C43" s="41" t="n">
        <x:f>_xlfn.COVARIANCE.S('Common sample'!AM6:AM75,'Common sample'!C6:C75)</x:f>
        <x:v>0.00017583555533009346</x:v>
      </x:c>
      <x:c r="D43" s="41" t="n">
        <x:f>_xlfn.COVARIANCE.S('Common sample'!AM6:AM75,'Common sample'!D6:D75)</x:f>
        <x:v>0.00021539734403803183</x:v>
      </x:c>
      <x:c r="E43" s="41" t="n">
        <x:f>_xlfn.COVARIANCE.S('Common sample'!AM6:AM75,'Common sample'!E6:E75)</x:f>
        <x:v>0.0003184160351107606</x:v>
      </x:c>
      <x:c r="F43" s="41" t="n">
        <x:f>_xlfn.COVARIANCE.S('Common sample'!AM6:AM75,'Common sample'!F6:F75)</x:f>
        <x:v>0.0000013138284232165492</x:v>
      </x:c>
      <x:c r="G43" s="41" t="n">
        <x:f>_xlfn.COVARIANCE.S('Common sample'!AM6:AM75,'Common sample'!G6:G75)</x:f>
        <x:v>-0.0007074209716232452</x:v>
      </x:c>
      <x:c r="H43" s="41" t="n">
        <x:f>_xlfn.COVARIANCE.S('Common sample'!AM6:AM75,'Common sample'!H6:H75)</x:f>
        <x:v>0.0007997843195570429</x:v>
      </x:c>
      <x:c r="I43" s="41" t="n">
        <x:f>_xlfn.COVARIANCE.S('Common sample'!AM6:AM75,'Common sample'!I6:I75)</x:f>
        <x:v>0.00047731317192048977</x:v>
      </x:c>
      <x:c r="J43" s="41" t="n">
        <x:f>_xlfn.COVARIANCE.S('Common sample'!AM6:AM75,'Common sample'!J6:J75)</x:f>
        <x:v>0.0024597910992244835</x:v>
      </x:c>
      <x:c r="K43" s="41" t="n">
        <x:f>_xlfn.COVARIANCE.S('Common sample'!AM6:AM75,'Common sample'!K6:K75)</x:f>
        <x:v>-0.00019241557286511887</x:v>
      </x:c>
      <x:c r="L43" s="41" t="n">
        <x:f>_xlfn.COVARIANCE.S('Common sample'!AM6:AM75,'Common sample'!L6:L75)</x:f>
        <x:v>-0.0006256735182492278</x:v>
      </x:c>
      <x:c r="M43" s="41" t="n">
        <x:f>_xlfn.COVARIANCE.S('Common sample'!AM6:AM75,'Common sample'!M6:M75)</x:f>
        <x:v>0.00022651435704745774</x:v>
      </x:c>
      <x:c r="N43" s="41" t="n">
        <x:f>_xlfn.COVARIANCE.S('Common sample'!AM6:AM75,'Common sample'!N6:N75)</x:f>
        <x:v>-0.0006265057751990896</x:v>
      </x:c>
      <x:c r="O43" s="41" t="n">
        <x:f>_xlfn.COVARIANCE.S('Common sample'!AM6:AM75,'Common sample'!O6:O75)</x:f>
        <x:v>0.003051792635479016</x:v>
      </x:c>
      <x:c r="P43" s="41" t="n">
        <x:f>_xlfn.COVARIANCE.S('Common sample'!AM6:AM75,'Common sample'!P6:P75)</x:f>
        <x:v>-0.0022755155241488494</x:v>
      </x:c>
      <x:c r="Q43" s="41" t="n">
        <x:f>_xlfn.COVARIANCE.S('Common sample'!AM6:AM75,'Common sample'!Q6:Q75)</x:f>
        <x:v>0.0006440811007617455</x:v>
      </x:c>
      <x:c r="R43" s="41" t="n">
        <x:f>_xlfn.COVARIANCE.S('Common sample'!AM6:AM75,'Common sample'!R6:R75)</x:f>
        <x:v>-0.0003081268210580342</x:v>
      </x:c>
      <x:c r="S43" s="41" t="n">
        <x:f>_xlfn.COVARIANCE.S('Common sample'!AM6:AM75,'Common sample'!S6:S75)</x:f>
        <x:v>-0.0016499353113418886</x:v>
      </x:c>
      <x:c r="T43" s="41" t="n">
        <x:f>_xlfn.COVARIANCE.S('Common sample'!AM6:AM75,'Common sample'!T6:T75)</x:f>
        <x:v>0.00001796553286763298</x:v>
      </x:c>
      <x:c r="U43" s="41" t="n">
        <x:f>_xlfn.COVARIANCE.S('Common sample'!AM6:AM75,'Common sample'!U6:U75)</x:f>
        <x:v>-0.0012814331995698878</x:v>
      </x:c>
      <x:c r="V43" s="41" t="n">
        <x:f>_xlfn.COVARIANCE.S('Common sample'!AM6:AM75,'Common sample'!V6:V75)</x:f>
        <x:v>-0.002234791130930821</x:v>
      </x:c>
      <x:c r="W43" s="41" t="n">
        <x:f>_xlfn.COVARIANCE.S('Common sample'!AM6:AM75,'Common sample'!W6:W75)</x:f>
        <x:v>-0.0010611846813837163</x:v>
      </x:c>
      <x:c r="X43" s="41" t="n">
        <x:f>_xlfn.COVARIANCE.S('Common sample'!AM6:AM75,'Common sample'!X6:X75)</x:f>
        <x:v>0.0029803177132431856</x:v>
      </x:c>
      <x:c r="Y43" s="41" t="n">
        <x:f>_xlfn.COVARIANCE.S('Common sample'!AM6:AM75,'Common sample'!Y6:Y75)</x:f>
        <x:v>0.0009223712249104906</x:v>
      </x:c>
      <x:c r="Z43" s="41" t="n">
        <x:f>_xlfn.COVARIANCE.S('Common sample'!AM6:AM75,'Common sample'!Z6:Z75)</x:f>
        <x:v>-0.0005976807770825981</x:v>
      </x:c>
      <x:c r="AA43" s="41" t="n">
        <x:f>_xlfn.COVARIANCE.S('Common sample'!AM6:AM75,'Common sample'!AA6:AA75)</x:f>
        <x:v>0.0003288860918631069</x:v>
      </x:c>
      <x:c r="AB43" s="41" t="n">
        <x:f>_xlfn.COVARIANCE.S('Common sample'!AM6:AM75,'Common sample'!AB6:AB75)</x:f>
        <x:v>-0.0007457059519272879</x:v>
      </x:c>
      <x:c r="AC43" s="41" t="n">
        <x:f>_xlfn.COVARIANCE.S('Common sample'!AM6:AM75,'Common sample'!AC6:AC75)</x:f>
        <x:v>0.00016204270472112913</x:v>
      </x:c>
      <x:c r="AD43" s="41" t="n">
        <x:f>_xlfn.COVARIANCE.S('Common sample'!AM6:AM75,'Common sample'!AD6:AD75)</x:f>
        <x:v>0.0010377425924396246</x:v>
      </x:c>
      <x:c r="AE43" s="41" t="n">
        <x:f>_xlfn.COVARIANCE.S('Common sample'!AM6:AM75,'Common sample'!AE6:AE75)</x:f>
        <x:v>-0.00010371429169801342</x:v>
      </x:c>
      <x:c r="AF43" s="41" t="n">
        <x:f>_xlfn.COVARIANCE.S('Common sample'!AM6:AM75,'Common sample'!AF6:AF75)</x:f>
        <x:v>-0.00019103612535838942</x:v>
      </x:c>
      <x:c r="AG43" s="41" t="n">
        <x:f>_xlfn.COVARIANCE.S('Common sample'!AM6:AM75,'Common sample'!AG6:AG75)</x:f>
        <x:v>-0.0003685285434638645</x:v>
      </x:c>
      <x:c r="AH43" s="41" t="n">
        <x:f>_xlfn.COVARIANCE.S('Common sample'!AM6:AM75,'Common sample'!AH6:AH75)</x:f>
        <x:v>0.0008894424278943887</x:v>
      </x:c>
      <x:c r="AI43" s="41" t="n">
        <x:f>_xlfn.COVARIANCE.S('Common sample'!AM6:AM75,'Common sample'!AI6:AI75)</x:f>
        <x:v>0.00021000346503369024</x:v>
      </x:c>
      <x:c r="AJ43" s="41" t="n">
        <x:f>_xlfn.COVARIANCE.S('Common sample'!AM6:AM75,'Common sample'!AJ6:AJ75)</x:f>
        <x:v>0.0003965043670718657</x:v>
      </x:c>
      <x:c r="AK43" s="41" t="n">
        <x:f>_xlfn.COVARIANCE.S('Common sample'!AM6:AM75,'Common sample'!AK6:AK75)</x:f>
        <x:v>0.0015344783330911442</x:v>
      </x:c>
      <x:c r="AL43" s="41" t="n">
        <x:f>_xlfn.COVARIANCE.S('Common sample'!AM6:AM75,'Common sample'!AL6:AL75)</x:f>
        <x:v>-0.00031508528299416266</x:v>
      </x:c>
      <x:c r="AM43" s="41" t="n">
        <x:f>_xlfn.COVARIANCE.S('Common sample'!AM6:AM75,'Common sample'!AM6:AM75)</x:f>
        <x:v>0.004434700953415789</x:v>
      </x:c>
      <x:c r="AN43" s="41" t="n">
        <x:f>_xlfn.COVARIANCE.S('Common sample'!AM6:AM75,'Common sample'!AN6:AN75)</x:f>
        <x:v>-0.0004960555000155404</x:v>
      </x:c>
      <x:c r="AO43" s="41" t="n">
        <x:f>_xlfn.COVARIANCE.S('Common sample'!AM6:AM75,'Common sample'!AO6:AO75)</x:f>
        <x:v>0.0003251659335813995</x:v>
      </x:c>
      <x:c r="AP43" s="41" t="n">
        <x:f>_xlfn.COVARIANCE.S('Common sample'!AM6:AM75,'Common sample'!AP6:AP75)</x:f>
        <x:v>0.00023597769207830705</x:v>
      </x:c>
      <x:c r="AQ43" s="41" t="n">
        <x:f>_xlfn.COVARIANCE.S('Common sample'!AM6:AM75,'Common sample'!AQ6:AQ75)</x:f>
        <x:v>-0.00017204388357762687</x:v>
      </x:c>
      <x:c r="AR43" s="41" t="n">
        <x:f>_xlfn.COVARIANCE.S('Common sample'!AM6:AM75,'Common sample'!AR6:AR75)</x:f>
        <x:v>-0.00006301815520582296</x:v>
      </x:c>
    </x:row>
    <x:row r="44" ht="19" customHeight="1">
      <x:c r="A44" s="29" t="str">
        <x:v>COST</x:v>
      </x:c>
      <x:c r="B44" s="41" t="n">
        <x:f>_xlfn.COVARIANCE.S('Common sample'!AN6:AN75,'Common sample'!B6:B75)</x:f>
        <x:v>0.0005812716253548748</x:v>
      </x:c>
      <x:c r="C44" s="41" t="n">
        <x:f>_xlfn.COVARIANCE.S('Common sample'!AN6:AN75,'Common sample'!C6:C75)</x:f>
        <x:v>0.0007140733466927441</x:v>
      </x:c>
      <x:c r="D44" s="41" t="n">
        <x:f>_xlfn.COVARIANCE.S('Common sample'!AN6:AN75,'Common sample'!D6:D75)</x:f>
        <x:v>0.00031711715697816284</x:v>
      </x:c>
      <x:c r="E44" s="41" t="n">
        <x:f>_xlfn.COVARIANCE.S('Common sample'!AN6:AN75,'Common sample'!E6:E75)</x:f>
        <x:v>0.00042368650776378365</x:v>
      </x:c>
      <x:c r="F44" s="41" t="n">
        <x:f>_xlfn.COVARIANCE.S('Common sample'!AN6:AN75,'Common sample'!F6:F75)</x:f>
        <x:v>-0.00008356577509505122</x:v>
      </x:c>
      <x:c r="G44" s="41" t="n">
        <x:f>_xlfn.COVARIANCE.S('Common sample'!AN6:AN75,'Common sample'!G6:G75)</x:f>
        <x:v>-0.000015036136507544744</x:v>
      </x:c>
      <x:c r="H44" s="41" t="n">
        <x:f>_xlfn.COVARIANCE.S('Common sample'!AN6:AN75,'Common sample'!H6:H75)</x:f>
        <x:v>0.0003730885296031505</x:v>
      </x:c>
      <x:c r="I44" s="41" t="n">
        <x:f>_xlfn.COVARIANCE.S('Common sample'!AN6:AN75,'Common sample'!I6:I75)</x:f>
        <x:v>0.0008413589790976639</x:v>
      </x:c>
      <x:c r="J44" s="41" t="n">
        <x:f>_xlfn.COVARIANCE.S('Common sample'!AN6:AN75,'Common sample'!J6:J75)</x:f>
        <x:v>0.0005377250374920754</x:v>
      </x:c>
      <x:c r="K44" s="41" t="n">
        <x:f>_xlfn.COVARIANCE.S('Common sample'!AN6:AN75,'Common sample'!K6:K75)</x:f>
        <x:v>-0.00039834502184957665</x:v>
      </x:c>
      <x:c r="L44" s="41" t="n">
        <x:f>_xlfn.COVARIANCE.S('Common sample'!AN6:AN75,'Common sample'!L6:L75)</x:f>
        <x:v>0.0002654362204132437</x:v>
      </x:c>
      <x:c r="M44" s="41" t="n">
        <x:f>_xlfn.COVARIANCE.S('Common sample'!AN6:AN75,'Common sample'!M6:M75)</x:f>
        <x:v>0.0002453935319452594</x:v>
      </x:c>
      <x:c r="N44" s="41" t="n">
        <x:f>_xlfn.COVARIANCE.S('Common sample'!AN6:AN75,'Common sample'!N6:N75)</x:f>
        <x:v>0.000538521384978686</x:v>
      </x:c>
      <x:c r="O44" s="41" t="n">
        <x:f>_xlfn.COVARIANCE.S('Common sample'!AN6:AN75,'Common sample'!O6:O75)</x:f>
        <x:v>0.0005327722816406395</x:v>
      </x:c>
      <x:c r="P44" s="41" t="n">
        <x:f>_xlfn.COVARIANCE.S('Common sample'!AN6:AN75,'Common sample'!P6:P75)</x:f>
        <x:v>0.00016601965059277057</x:v>
      </x:c>
      <x:c r="Q44" s="41" t="n">
        <x:f>_xlfn.COVARIANCE.S('Common sample'!AN6:AN75,'Common sample'!Q6:Q75)</x:f>
        <x:v>0.0011112528716807975</x:v>
      </x:c>
      <x:c r="R44" s="41" t="n">
        <x:f>_xlfn.COVARIANCE.S('Common sample'!AN6:AN75,'Common sample'!R6:R75)</x:f>
        <x:v>0.0006535322565258025</x:v>
      </x:c>
      <x:c r="S44" s="41" t="n">
        <x:f>_xlfn.COVARIANCE.S('Common sample'!AN6:AN75,'Common sample'!S6:S75)</x:f>
        <x:v>0.0010893985565485172</x:v>
      </x:c>
      <x:c r="T44" s="41" t="n">
        <x:f>_xlfn.COVARIANCE.S('Common sample'!AN6:AN75,'Common sample'!T6:T75)</x:f>
        <x:v>0.0013670035864123374</x:v>
      </x:c>
      <x:c r="U44" s="41" t="n">
        <x:f>_xlfn.COVARIANCE.S('Common sample'!AN6:AN75,'Common sample'!U6:U75)</x:f>
        <x:v>0.0005807259690770478</x:v>
      </x:c>
      <x:c r="V44" s="41" t="n">
        <x:f>_xlfn.COVARIANCE.S('Common sample'!AN6:AN75,'Common sample'!V6:V75)</x:f>
        <x:v>0.002034460536942678</x:v>
      </x:c>
      <x:c r="W44" s="41" t="n">
        <x:f>_xlfn.COVARIANCE.S('Common sample'!AN6:AN75,'Common sample'!W6:W75)</x:f>
        <x:v>0.00022410779188400845</x:v>
      </x:c>
      <x:c r="X44" s="41" t="n">
        <x:f>_xlfn.COVARIANCE.S('Common sample'!AN6:AN75,'Common sample'!X6:X75)</x:f>
        <x:v>-0.00020593695587336358</x:v>
      </x:c>
      <x:c r="Y44" s="41" t="n">
        <x:f>_xlfn.COVARIANCE.S('Common sample'!AN6:AN75,'Common sample'!Y6:Y75)</x:f>
        <x:v>-0.0007132469026957945</x:v>
      </x:c>
      <x:c r="Z44" s="41" t="n">
        <x:f>_xlfn.COVARIANCE.S('Common sample'!AN6:AN75,'Common sample'!Z6:Z75)</x:f>
        <x:v>0.00023350160470290757</x:v>
      </x:c>
      <x:c r="AA44" s="41" t="n">
        <x:f>_xlfn.COVARIANCE.S('Common sample'!AN6:AN75,'Common sample'!AA6:AA75)</x:f>
        <x:v>-0.002118326212352131</x:v>
      </x:c>
      <x:c r="AB44" s="41" t="n">
        <x:f>_xlfn.COVARIANCE.S('Common sample'!AN6:AN75,'Common sample'!AB6:AB75)</x:f>
        <x:v>0.00013092135288742074</x:v>
      </x:c>
      <x:c r="AC44" s="41" t="n">
        <x:f>_xlfn.COVARIANCE.S('Common sample'!AN6:AN75,'Common sample'!AC6:AC75)</x:f>
        <x:v>0.0004564076637928029</x:v>
      </x:c>
      <x:c r="AD44" s="41" t="n">
        <x:f>_xlfn.COVARIANCE.S('Common sample'!AN6:AN75,'Common sample'!AD6:AD75)</x:f>
        <x:v>0.00023802212237063755</x:v>
      </x:c>
      <x:c r="AE44" s="41" t="n">
        <x:f>_xlfn.COVARIANCE.S('Common sample'!AN6:AN75,'Common sample'!AE6:AE75)</x:f>
        <x:v>0.000010943005339669638</x:v>
      </x:c>
      <x:c r="AF44" s="41" t="n">
        <x:f>_xlfn.COVARIANCE.S('Common sample'!AN6:AN75,'Common sample'!AF6:AF75)</x:f>
        <x:v>-0.00040283188180361985</x:v>
      </x:c>
      <x:c r="AG44" s="41" t="n">
        <x:f>_xlfn.COVARIANCE.S('Common sample'!AN6:AN75,'Common sample'!AG6:AG75)</x:f>
        <x:v>-0.0005339308153149967</x:v>
      </x:c>
      <x:c r="AH44" s="41" t="n">
        <x:f>_xlfn.COVARIANCE.S('Common sample'!AN6:AN75,'Common sample'!AH6:AH75)</x:f>
        <x:v>-0.0005670776609583072</x:v>
      </x:c>
      <x:c r="AI44" s="41" t="n">
        <x:f>_xlfn.COVARIANCE.S('Common sample'!AN6:AN75,'Common sample'!AI6:AI75)</x:f>
        <x:v>0.0005148164574542933</x:v>
      </x:c>
      <x:c r="AJ44" s="41" t="n">
        <x:f>_xlfn.COVARIANCE.S('Common sample'!AN6:AN75,'Common sample'!AJ6:AJ75)</x:f>
        <x:v>0.0005742531748593119</x:v>
      </x:c>
      <x:c r="AK44" s="41" t="n">
        <x:f>_xlfn.COVARIANCE.S('Common sample'!AN6:AN75,'Common sample'!AK6:AK75)</x:f>
        <x:v>0.0005321537494421295</x:v>
      </x:c>
      <x:c r="AL44" s="41" t="n">
        <x:f>_xlfn.COVARIANCE.S('Common sample'!AN6:AN75,'Common sample'!AL6:AL75)</x:f>
        <x:v>0.000007628791073109787</x:v>
      </x:c>
      <x:c r="AM44" s="41" t="n">
        <x:f>_xlfn.COVARIANCE.S('Common sample'!AN6:AN75,'Common sample'!AM6:AM75)</x:f>
        <x:v>-0.0004960555000155404</x:v>
      </x:c>
      <x:c r="AN44" s="41" t="n">
        <x:f>_xlfn.COVARIANCE.S('Common sample'!AN6:AN75,'Common sample'!AN6:AN75)</x:f>
        <x:v>0.0020484621303979086</x:v>
      </x:c>
      <x:c r="AO44" s="41" t="n">
        <x:f>_xlfn.COVARIANCE.S('Common sample'!AN6:AN75,'Common sample'!AO6:AO75)</x:f>
        <x:v>0.00039496917465476467</x:v>
      </x:c>
      <x:c r="AP44" s="41" t="n">
        <x:f>_xlfn.COVARIANCE.S('Common sample'!AN6:AN75,'Common sample'!AP6:AP75)</x:f>
        <x:v>0.00022565792995761424</x:v>
      </x:c>
      <x:c r="AQ44" s="41" t="n">
        <x:f>_xlfn.COVARIANCE.S('Common sample'!AN6:AN75,'Common sample'!AQ6:AQ75)</x:f>
        <x:v>0.0002005212912225234</x:v>
      </x:c>
      <x:c r="AR44" s="41" t="n">
        <x:f>_xlfn.COVARIANCE.S('Common sample'!AN6:AN75,'Common sample'!AR6:AR75)</x:f>
        <x:v>0.00040669856750743497</x:v>
      </x:c>
    </x:row>
    <x:row r="45" ht="19" customHeight="1">
      <x:c r="A45" s="29" t="str">
        <x:v>HD</x:v>
      </x:c>
      <x:c r="B45" s="41" t="n">
        <x:f>_xlfn.COVARIANCE.S('Common sample'!AO6:AO75,'Common sample'!B6:B75)</x:f>
        <x:v>0.0012383157173145797</x:v>
      </x:c>
      <x:c r="C45" s="41" t="n">
        <x:f>_xlfn.COVARIANCE.S('Common sample'!AO6:AO75,'Common sample'!C6:C75)</x:f>
        <x:v>-0.0009458536122666318</x:v>
      </x:c>
      <x:c r="D45" s="41" t="n">
        <x:f>_xlfn.COVARIANCE.S('Common sample'!AO6:AO75,'Common sample'!D6:D75)</x:f>
        <x:v>0.0003560723639123001</x:v>
      </x:c>
      <x:c r="E45" s="41" t="n">
        <x:f>_xlfn.COVARIANCE.S('Common sample'!AO6:AO75,'Common sample'!E6:E75)</x:f>
        <x:v>0.00011978968074267072</x:v>
      </x:c>
      <x:c r="F45" s="41" t="n">
        <x:f>_xlfn.COVARIANCE.S('Common sample'!AO6:AO75,'Common sample'!F6:F75)</x:f>
        <x:v>0.0005362976585261293</x:v>
      </x:c>
      <x:c r="G45" s="41" t="n">
        <x:f>_xlfn.COVARIANCE.S('Common sample'!AO6:AO75,'Common sample'!G6:G75)</x:f>
        <x:v>-0.00011296634410403544</x:v>
      </x:c>
      <x:c r="H45" s="41" t="n">
        <x:f>_xlfn.COVARIANCE.S('Common sample'!AO6:AO75,'Common sample'!H6:H75)</x:f>
        <x:v>-0.00008242571777761051</x:v>
      </x:c>
      <x:c r="I45" s="41" t="n">
        <x:f>_xlfn.COVARIANCE.S('Common sample'!AO6:AO75,'Common sample'!I6:I75)</x:f>
        <x:v>0.0011179235721645356</x:v>
      </x:c>
      <x:c r="J45" s="41" t="n">
        <x:f>_xlfn.COVARIANCE.S('Common sample'!AO6:AO75,'Common sample'!J6:J75)</x:f>
        <x:v>0.0014341970561070553</x:v>
      </x:c>
      <x:c r="K45" s="41" t="n">
        <x:f>_xlfn.COVARIANCE.S('Common sample'!AO6:AO75,'Common sample'!K6:K75)</x:f>
        <x:v>-0.00006680056980708443</x:v>
      </x:c>
      <x:c r="L45" s="41" t="n">
        <x:f>_xlfn.COVARIANCE.S('Common sample'!AO6:AO75,'Common sample'!L6:L75)</x:f>
        <x:v>-0.0008030202951158713</x:v>
      </x:c>
      <x:c r="M45" s="41" t="n">
        <x:f>_xlfn.COVARIANCE.S('Common sample'!AO6:AO75,'Common sample'!M6:M75)</x:f>
        <x:v>-0.0007360456190160547</x:v>
      </x:c>
      <x:c r="N45" s="41" t="n">
        <x:f>_xlfn.COVARIANCE.S('Common sample'!AO6:AO75,'Common sample'!N6:N75)</x:f>
        <x:v>0.0002122648323895905</x:v>
      </x:c>
      <x:c r="O45" s="41" t="n">
        <x:f>_xlfn.COVARIANCE.S('Common sample'!AO6:AO75,'Common sample'!O6:O75)</x:f>
        <x:v>0.001671564209427346</x:v>
      </x:c>
      <x:c r="P45" s="41" t="n">
        <x:f>_xlfn.COVARIANCE.S('Common sample'!AO6:AO75,'Common sample'!P6:P75)</x:f>
        <x:v>0.00008936984923303793</x:v>
      </x:c>
      <x:c r="Q45" s="41" t="n">
        <x:f>_xlfn.COVARIANCE.S('Common sample'!AO6:AO75,'Common sample'!Q6:Q75)</x:f>
        <x:v>-0.000979987886416955</x:v>
      </x:c>
      <x:c r="R45" s="41" t="n">
        <x:f>_xlfn.COVARIANCE.S('Common sample'!AO6:AO75,'Common sample'!R6:R75)</x:f>
        <x:v>-0.0007943336650680036</x:v>
      </x:c>
      <x:c r="S45" s="41" t="n">
        <x:f>_xlfn.COVARIANCE.S('Common sample'!AO6:AO75,'Common sample'!S6:S75)</x:f>
        <x:v>-0.0002328441558223315</x:v>
      </x:c>
      <x:c r="T45" s="41" t="n">
        <x:f>_xlfn.COVARIANCE.S('Common sample'!AO6:AO75,'Common sample'!T6:T75)</x:f>
        <x:v>0.0006192935177539658</x:v>
      </x:c>
      <x:c r="U45" s="41" t="n">
        <x:f>_xlfn.COVARIANCE.S('Common sample'!AO6:AO75,'Common sample'!U6:U75)</x:f>
        <x:v>0.00037142579177395585</x:v>
      </x:c>
      <x:c r="V45" s="41" t="n">
        <x:f>_xlfn.COVARIANCE.S('Common sample'!AO6:AO75,'Common sample'!V6:V75)</x:f>
        <x:v>0.000295074409962644</x:v>
      </x:c>
      <x:c r="W45" s="41" t="n">
        <x:f>_xlfn.COVARIANCE.S('Common sample'!AO6:AO75,'Common sample'!W6:W75)</x:f>
        <x:v>0.0005740056387101434</x:v>
      </x:c>
      <x:c r="X45" s="41" t="n">
        <x:f>_xlfn.COVARIANCE.S('Common sample'!AO6:AO75,'Common sample'!X6:X75)</x:f>
        <x:v>0.0018819945329002637</x:v>
      </x:c>
      <x:c r="Y45" s="41" t="n">
        <x:f>_xlfn.COVARIANCE.S('Common sample'!AO6:AO75,'Common sample'!Y6:Y75)</x:f>
        <x:v>-0.00012304089487988787</x:v>
      </x:c>
      <x:c r="Z45" s="41" t="n">
        <x:f>_xlfn.COVARIANCE.S('Common sample'!AO6:AO75,'Common sample'!Z6:Z75)</x:f>
        <x:v>0.00014270988911198145</x:v>
      </x:c>
      <x:c r="AA45" s="41" t="n">
        <x:f>_xlfn.COVARIANCE.S('Common sample'!AO6:AO75,'Common sample'!AA6:AA75)</x:f>
        <x:v>-0.0017296354756009102</x:v>
      </x:c>
      <x:c r="AB45" s="41" t="n">
        <x:f>_xlfn.COVARIANCE.S('Common sample'!AO6:AO75,'Common sample'!AB6:AB75)</x:f>
        <x:v>-0.0007724202672758633</x:v>
      </x:c>
      <x:c r="AC45" s="41" t="n">
        <x:f>_xlfn.COVARIANCE.S('Common sample'!AO6:AO75,'Common sample'!AC6:AC75)</x:f>
        <x:v>0.0008259779237311122</x:v>
      </x:c>
      <x:c r="AD45" s="41" t="n">
        <x:f>_xlfn.COVARIANCE.S('Common sample'!AO6:AO75,'Common sample'!AD6:AD75)</x:f>
        <x:v>0.00025468092192888173</x:v>
      </x:c>
      <x:c r="AE45" s="41" t="n">
        <x:f>_xlfn.COVARIANCE.S('Common sample'!AO6:AO75,'Common sample'!AE6:AE75)</x:f>
        <x:v>0.0008534099972028232</x:v>
      </x:c>
      <x:c r="AF45" s="41" t="n">
        <x:f>_xlfn.COVARIANCE.S('Common sample'!AO6:AO75,'Common sample'!AF6:AF75)</x:f>
        <x:v>0.00007884566454902637</x:v>
      </x:c>
      <x:c r="AG45" s="41" t="n">
        <x:f>_xlfn.COVARIANCE.S('Common sample'!AO6:AO75,'Common sample'!AG6:AG75)</x:f>
        <x:v>0.000050598028846066526</x:v>
      </x:c>
      <x:c r="AH45" s="41" t="n">
        <x:f>_xlfn.COVARIANCE.S('Common sample'!AO6:AO75,'Common sample'!AH6:AH75)</x:f>
        <x:v>0.00015706223047861362</x:v>
      </x:c>
      <x:c r="AI45" s="41" t="n">
        <x:f>_xlfn.COVARIANCE.S('Common sample'!AO6:AO75,'Common sample'!AI6:AI75)</x:f>
        <x:v>0.0002243311866143463</x:v>
      </x:c>
      <x:c r="AJ45" s="41" t="n">
        <x:f>_xlfn.COVARIANCE.S('Common sample'!AO6:AO75,'Common sample'!AJ6:AJ75)</x:f>
        <x:v>-0.0001575764855089556</x:v>
      </x:c>
      <x:c r="AK45" s="41" t="n">
        <x:f>_xlfn.COVARIANCE.S('Common sample'!AO6:AO75,'Common sample'!AK6:AK75)</x:f>
        <x:v>-0.0022895418637065494</x:v>
      </x:c>
      <x:c r="AL45" s="41" t="n">
        <x:f>_xlfn.COVARIANCE.S('Common sample'!AO6:AO75,'Common sample'!AL6:AL75)</x:f>
        <x:v>-0.0001818028040423927</x:v>
      </x:c>
      <x:c r="AM45" s="41" t="n">
        <x:f>_xlfn.COVARIANCE.S('Common sample'!AO6:AO75,'Common sample'!AM6:AM75)</x:f>
        <x:v>0.0003251659335813995</x:v>
      </x:c>
      <x:c r="AN45" s="41" t="n">
        <x:f>_xlfn.COVARIANCE.S('Common sample'!AO6:AO75,'Common sample'!AN6:AN75)</x:f>
        <x:v>0.00039496917465476467</x:v>
      </x:c>
      <x:c r="AO45" s="41" t="n">
        <x:f>_xlfn.COVARIANCE.S('Common sample'!AO6:AO75,'Common sample'!AO6:AO75)</x:f>
        <x:v>0.0031408274622675395</x:v>
      </x:c>
      <x:c r="AP45" s="41" t="n">
        <x:f>_xlfn.COVARIANCE.S('Common sample'!AO6:AO75,'Common sample'!AP6:AP75)</x:f>
        <x:v>0.00014194863151949222</x:v>
      </x:c>
      <x:c r="AQ45" s="41" t="n">
        <x:f>_xlfn.COVARIANCE.S('Common sample'!AO6:AO75,'Common sample'!AQ6:AQ75)</x:f>
        <x:v>0.0001647078670404138</x:v>
      </x:c>
      <x:c r="AR45" s="41" t="n">
        <x:f>_xlfn.COVARIANCE.S('Common sample'!AO6:AO75,'Common sample'!AR6:AR75)</x:f>
        <x:v>0.000436902652090469</x:v>
      </x:c>
    </x:row>
    <x:row r="46" ht="19" customHeight="1">
      <x:c r="A46" s="29" t="str">
        <x:v>KO</x:v>
      </x:c>
      <x:c r="B46" s="41" t="n">
        <x:f>_xlfn.COVARIANCE.S('Common sample'!AP6:AP75,'Common sample'!B6:B75)</x:f>
        <x:v>-0.0007403799063415955</x:v>
      </x:c>
      <x:c r="C46" s="41" t="n">
        <x:f>_xlfn.COVARIANCE.S('Common sample'!AP6:AP75,'Common sample'!C6:C75)</x:f>
        <x:v>0.00016980903975972726</x:v>
      </x:c>
      <x:c r="D46" s="41" t="n">
        <x:f>_xlfn.COVARIANCE.S('Common sample'!AP6:AP75,'Common sample'!D6:D75)</x:f>
        <x:v>0.0003358688889009089</x:v>
      </x:c>
      <x:c r="E46" s="41" t="n">
        <x:f>_xlfn.COVARIANCE.S('Common sample'!AP6:AP75,'Common sample'!E6:E75)</x:f>
        <x:v>0.00013231028710120683</x:v>
      </x:c>
      <x:c r="F46" s="41" t="n">
        <x:f>_xlfn.COVARIANCE.S('Common sample'!AP6:AP75,'Common sample'!F6:F75)</x:f>
        <x:v>0.00029767575685810496</x:v>
      </x:c>
      <x:c r="G46" s="41" t="n">
        <x:f>_xlfn.COVARIANCE.S('Common sample'!AP6:AP75,'Common sample'!G6:G75)</x:f>
        <x:v>-0.00023188087188097343</x:v>
      </x:c>
      <x:c r="H46" s="41" t="n">
        <x:f>_xlfn.COVARIANCE.S('Common sample'!AP6:AP75,'Common sample'!H6:H75)</x:f>
        <x:v>0.00037204489666136796</x:v>
      </x:c>
      <x:c r="I46" s="41" t="n">
        <x:f>_xlfn.COVARIANCE.S('Common sample'!AP6:AP75,'Common sample'!I6:I75)</x:f>
        <x:v>-0.00023921523359853012</x:v>
      </x:c>
      <x:c r="J46" s="41" t="n">
        <x:f>_xlfn.COVARIANCE.S('Common sample'!AP6:AP75,'Common sample'!J6:J75)</x:f>
        <x:v>0.0006703624923667447</x:v>
      </x:c>
      <x:c r="K46" s="41" t="n">
        <x:f>_xlfn.COVARIANCE.S('Common sample'!AP6:AP75,'Common sample'!K6:K75)</x:f>
        <x:v>0.00009200554476337273</x:v>
      </x:c>
      <x:c r="L46" s="41" t="n">
        <x:f>_xlfn.COVARIANCE.S('Common sample'!AP6:AP75,'Common sample'!L6:L75)</x:f>
        <x:v>-0.00036087443706176846</x:v>
      </x:c>
      <x:c r="M46" s="41" t="n">
        <x:f>_xlfn.COVARIANCE.S('Common sample'!AP6:AP75,'Common sample'!M6:M75)</x:f>
        <x:v>-0.00021249072181159565</x:v>
      </x:c>
      <x:c r="N46" s="41" t="n">
        <x:f>_xlfn.COVARIANCE.S('Common sample'!AP6:AP75,'Common sample'!N6:N75)</x:f>
        <x:v>-0.00007538102845730902</x:v>
      </x:c>
      <x:c r="O46" s="41" t="n">
        <x:f>_xlfn.COVARIANCE.S('Common sample'!AP6:AP75,'Common sample'!O6:O75)</x:f>
        <x:v>0.0001860379243586302</x:v>
      </x:c>
      <x:c r="P46" s="41" t="n">
        <x:f>_xlfn.COVARIANCE.S('Common sample'!AP6:AP75,'Common sample'!P6:P75)</x:f>
        <x:v>-0.00039835887044342065</x:v>
      </x:c>
      <x:c r="Q46" s="41" t="n">
        <x:f>_xlfn.COVARIANCE.S('Common sample'!AP6:AP75,'Common sample'!Q6:Q75)</x:f>
        <x:v>0.0011770045682258886</x:v>
      </x:c>
      <x:c r="R46" s="41" t="n">
        <x:f>_xlfn.COVARIANCE.S('Common sample'!AP6:AP75,'Common sample'!R6:R75)</x:f>
        <x:v>0.00042729005927520674</x:v>
      </x:c>
      <x:c r="S46" s="41" t="n">
        <x:f>_xlfn.COVARIANCE.S('Common sample'!AP6:AP75,'Common sample'!S6:S75)</x:f>
        <x:v>0.0009108190961403454</x:v>
      </x:c>
      <x:c r="T46" s="41" t="n">
        <x:f>_xlfn.COVARIANCE.S('Common sample'!AP6:AP75,'Common sample'!T6:T75)</x:f>
        <x:v>-0.0006643461571025127</x:v>
      </x:c>
      <x:c r="U46" s="41" t="n">
        <x:f>_xlfn.COVARIANCE.S('Common sample'!AP6:AP75,'Common sample'!U6:U75)</x:f>
        <x:v>-0.00034150769920778624</x:v>
      </x:c>
      <x:c r="V46" s="41" t="n">
        <x:f>_xlfn.COVARIANCE.S('Common sample'!AP6:AP75,'Common sample'!V6:V75)</x:f>
        <x:v>0.0001534618528017341</x:v>
      </x:c>
      <x:c r="W46" s="41" t="n">
        <x:f>_xlfn.COVARIANCE.S('Common sample'!AP6:AP75,'Common sample'!W6:W75)</x:f>
        <x:v>0.0001095750201959736</x:v>
      </x:c>
      <x:c r="X46" s="41" t="n">
        <x:f>_xlfn.COVARIANCE.S('Common sample'!AP6:AP75,'Common sample'!X6:X75)</x:f>
        <x:v>-0.00027467337155671765</x:v>
      </x:c>
      <x:c r="Y46" s="41" t="n">
        <x:f>_xlfn.COVARIANCE.S('Common sample'!AP6:AP75,'Common sample'!Y6:Y75)</x:f>
        <x:v>0.0004798467093774974</x:v>
      </x:c>
      <x:c r="Z46" s="41" t="n">
        <x:f>_xlfn.COVARIANCE.S('Common sample'!AP6:AP75,'Common sample'!Z6:Z75)</x:f>
        <x:v>0.00028556846157277044</x:v>
      </x:c>
      <x:c r="AA46" s="41" t="n">
        <x:f>_xlfn.COVARIANCE.S('Common sample'!AP6:AP75,'Common sample'!AA6:AA75)</x:f>
        <x:v>-0.0006276016469085461</x:v>
      </x:c>
      <x:c r="AB46" s="41" t="n">
        <x:f>_xlfn.COVARIANCE.S('Common sample'!AP6:AP75,'Common sample'!AB6:AB75)</x:f>
        <x:v>-0.0006686046641333807</x:v>
      </x:c>
      <x:c r="AC46" s="41" t="n">
        <x:f>_xlfn.COVARIANCE.S('Common sample'!AP6:AP75,'Common sample'!AC6:AC75)</x:f>
        <x:v>0.00018978998937607195</x:v>
      </x:c>
      <x:c r="AD46" s="41" t="n">
        <x:f>_xlfn.COVARIANCE.S('Common sample'!AP6:AP75,'Common sample'!AD6:AD75)</x:f>
        <x:v>0.0003035663067315273</x:v>
      </x:c>
      <x:c r="AE46" s="41" t="n">
        <x:f>_xlfn.COVARIANCE.S('Common sample'!AP6:AP75,'Common sample'!AE6:AE75)</x:f>
        <x:v>0.000134335108331455</x:v>
      </x:c>
      <x:c r="AF46" s="41" t="n">
        <x:f>_xlfn.COVARIANCE.S('Common sample'!AP6:AP75,'Common sample'!AF6:AF75)</x:f>
        <x:v>-0.00006364888090758058</x:v>
      </x:c>
      <x:c r="AG46" s="41" t="n">
        <x:f>_xlfn.COVARIANCE.S('Common sample'!AP6:AP75,'Common sample'!AG6:AG75)</x:f>
        <x:v>0.00035876585774804185</x:v>
      </x:c>
      <x:c r="AH46" s="41" t="n">
        <x:f>_xlfn.COVARIANCE.S('Common sample'!AP6:AP75,'Common sample'!AH6:AH75)</x:f>
        <x:v>0.00008244907028157556</x:v>
      </x:c>
      <x:c r="AI46" s="41" t="n">
        <x:f>_xlfn.COVARIANCE.S('Common sample'!AP6:AP75,'Common sample'!AI6:AI75)</x:f>
        <x:v>0.00043353269869123327</x:v>
      </x:c>
      <x:c r="AJ46" s="41" t="n">
        <x:f>_xlfn.COVARIANCE.S('Common sample'!AP6:AP75,'Common sample'!AJ6:AJ75)</x:f>
        <x:v>0.00035383400504982316</x:v>
      </x:c>
      <x:c r="AK46" s="41" t="n">
        <x:f>_xlfn.COVARIANCE.S('Common sample'!AP6:AP75,'Common sample'!AK6:AK75)</x:f>
        <x:v>0.0007746504038523421</x:v>
      </x:c>
      <x:c r="AL46" s="41" t="n">
        <x:f>_xlfn.COVARIANCE.S('Common sample'!AP6:AP75,'Common sample'!AL6:AL75)</x:f>
        <x:v>0.0002137757727547689</x:v>
      </x:c>
      <x:c r="AM46" s="41" t="n">
        <x:f>_xlfn.COVARIANCE.S('Common sample'!AP6:AP75,'Common sample'!AM6:AM75)</x:f>
        <x:v>0.00023597769207830705</x:v>
      </x:c>
      <x:c r="AN46" s="41" t="n">
        <x:f>_xlfn.COVARIANCE.S('Common sample'!AP6:AP75,'Common sample'!AN6:AN75)</x:f>
        <x:v>0.00022565792995761424</x:v>
      </x:c>
      <x:c r="AO46" s="41" t="n">
        <x:f>_xlfn.COVARIANCE.S('Common sample'!AP6:AP75,'Common sample'!AO6:AO75)</x:f>
        <x:v>0.00014194863151949222</x:v>
      </x:c>
      <x:c r="AP46" s="41" t="n">
        <x:f>_xlfn.COVARIANCE.S('Common sample'!AP6:AP75,'Common sample'!AP6:AP75)</x:f>
        <x:v>0.000773163221858974</x:v>
      </x:c>
      <x:c r="AQ46" s="41" t="n">
        <x:f>_xlfn.COVARIANCE.S('Common sample'!AP6:AP75,'Common sample'!AQ6:AQ75)</x:f>
        <x:v>0.00020729451966589724</x:v>
      </x:c>
      <x:c r="AR46" s="41" t="n">
        <x:f>_xlfn.COVARIANCE.S('Common sample'!AP6:AP75,'Common sample'!AR6:AR75)</x:f>
        <x:v>0.00037805318483616546</x:v>
      </x:c>
    </x:row>
    <x:row r="47" ht="19" customHeight="1">
      <x:c r="A47" s="29" t="str">
        <x:v>JNJ</x:v>
      </x:c>
      <x:c r="B47" s="41" t="n">
        <x:f>_xlfn.COVARIANCE.S('Common sample'!AQ6:AQ75,'Common sample'!B6:B75)</x:f>
        <x:v>-0.0009755568347668183</x:v>
      </x:c>
      <x:c r="C47" s="41" t="n">
        <x:f>_xlfn.COVARIANCE.S('Common sample'!AQ6:AQ75,'Common sample'!C6:C75)</x:f>
        <x:v>-0.0004883055708460823</x:v>
      </x:c>
      <x:c r="D47" s="41" t="n">
        <x:f>_xlfn.COVARIANCE.S('Common sample'!AQ6:AQ75,'Common sample'!D6:D75)</x:f>
        <x:v>0.00039939815951578044</x:v>
      </x:c>
      <x:c r="E47" s="41" t="n">
        <x:f>_xlfn.COVARIANCE.S('Common sample'!AQ6:AQ75,'Common sample'!E6:E75)</x:f>
        <x:v>0.0002975079418799376</x:v>
      </x:c>
      <x:c r="F47" s="41" t="n">
        <x:f>_xlfn.COVARIANCE.S('Common sample'!AQ6:AQ75,'Common sample'!F6:F75)</x:f>
        <x:v>0.0001226911420548997</x:v>
      </x:c>
      <x:c r="G47" s="41" t="n">
        <x:f>_xlfn.COVARIANCE.S('Common sample'!AQ6:AQ75,'Common sample'!G6:G75)</x:f>
        <x:v>-0.0005468513823394423</x:v>
      </x:c>
      <x:c r="H47" s="41" t="n">
        <x:f>_xlfn.COVARIANCE.S('Common sample'!AQ6:AQ75,'Common sample'!H6:H75)</x:f>
        <x:v>-0.00004070934822179198</x:v>
      </x:c>
      <x:c r="I47" s="41" t="n">
        <x:f>_xlfn.COVARIANCE.S('Common sample'!AQ6:AQ75,'Common sample'!I6:I75)</x:f>
        <x:v>0.0002975709226355196</x:v>
      </x:c>
      <x:c r="J47" s="41" t="n">
        <x:f>_xlfn.COVARIANCE.S('Common sample'!AQ6:AQ75,'Common sample'!J6:J75)</x:f>
        <x:v>0.0012377439378485067</x:v>
      </x:c>
      <x:c r="K47" s="41" t="n">
        <x:f>_xlfn.COVARIANCE.S('Common sample'!AQ6:AQ75,'Common sample'!K6:K75)</x:f>
        <x:v>0.0002412035477701583</x:v>
      </x:c>
      <x:c r="L47" s="41" t="n">
        <x:f>_xlfn.COVARIANCE.S('Common sample'!AQ6:AQ75,'Common sample'!L6:L75)</x:f>
        <x:v>0.00044872854177419025</x:v>
      </x:c>
      <x:c r="M47" s="41" t="n">
        <x:f>_xlfn.COVARIANCE.S('Common sample'!AQ6:AQ75,'Common sample'!M6:M75)</x:f>
        <x:v>0.00035434101701175885</x:v>
      </x:c>
      <x:c r="N47" s="41" t="n">
        <x:f>_xlfn.COVARIANCE.S('Common sample'!AQ6:AQ75,'Common sample'!N6:N75)</x:f>
        <x:v>0.0001695938427539978</x:v>
      </x:c>
      <x:c r="O47" s="41" t="n">
        <x:f>_xlfn.COVARIANCE.S('Common sample'!AQ6:AQ75,'Common sample'!O6:O75)</x:f>
        <x:v>0.000887086457220189</x:v>
      </x:c>
      <x:c r="P47" s="41" t="n">
        <x:f>_xlfn.COVARIANCE.S('Common sample'!AQ6:AQ75,'Common sample'!P6:P75)</x:f>
        <x:v>0.00035404417495939097</x:v>
      </x:c>
      <x:c r="Q47" s="41" t="n">
        <x:f>_xlfn.COVARIANCE.S('Common sample'!AQ6:AQ75,'Common sample'!Q6:Q75)</x:f>
        <x:v>0.000727723766789413</x:v>
      </x:c>
      <x:c r="R47" s="41" t="n">
        <x:f>_xlfn.COVARIANCE.S('Common sample'!AQ6:AQ75,'Common sample'!R6:R75)</x:f>
        <x:v>0.000278725176602487</x:v>
      </x:c>
      <x:c r="S47" s="41" t="n">
        <x:f>_xlfn.COVARIANCE.S('Common sample'!AQ6:AQ75,'Common sample'!S6:S75)</x:f>
        <x:v>0.00023688994352351046</x:v>
      </x:c>
      <x:c r="T47" s="41" t="n">
        <x:f>_xlfn.COVARIANCE.S('Common sample'!AQ6:AQ75,'Common sample'!T6:T75)</x:f>
        <x:v>0.0011475458198481725</x:v>
      </x:c>
      <x:c r="U47" s="41" t="n">
        <x:f>_xlfn.COVARIANCE.S('Common sample'!AQ6:AQ75,'Common sample'!U6:U75)</x:f>
        <x:v>-0.0009076867624104783</x:v>
      </x:c>
      <x:c r="V47" s="41" t="n">
        <x:f>_xlfn.COVARIANCE.S('Common sample'!AQ6:AQ75,'Common sample'!V6:V75)</x:f>
        <x:v>-0.0003823604431696858</x:v>
      </x:c>
      <x:c r="W47" s="41" t="n">
        <x:f>_xlfn.COVARIANCE.S('Common sample'!AQ6:AQ75,'Common sample'!W6:W75)</x:f>
        <x:v>0.0002191674054622609</x:v>
      </x:c>
      <x:c r="X47" s="41" t="n">
        <x:f>_xlfn.COVARIANCE.S('Common sample'!AQ6:AQ75,'Common sample'!X6:X75)</x:f>
        <x:v>-0.000366434941134101</x:v>
      </x:c>
      <x:c r="Y47" s="41" t="n">
        <x:f>_xlfn.COVARIANCE.S('Common sample'!AQ6:AQ75,'Common sample'!Y6:Y75)</x:f>
        <x:v>-0.00027580773775290866</x:v>
      </x:c>
      <x:c r="Z47" s="41" t="n">
        <x:f>_xlfn.COVARIANCE.S('Common sample'!AQ6:AQ75,'Common sample'!Z6:Z75)</x:f>
        <x:v>-0.00010201136794078007</x:v>
      </x:c>
      <x:c r="AA47" s="41" t="n">
        <x:f>_xlfn.COVARIANCE.S('Common sample'!AQ6:AQ75,'Common sample'!AA6:AA75)</x:f>
        <x:v>0.0009666697116679252</x:v>
      </x:c>
      <x:c r="AB47" s="41" t="n">
        <x:f>_xlfn.COVARIANCE.S('Common sample'!AQ6:AQ75,'Common sample'!AB6:AB75)</x:f>
        <x:v>0.0006856341933669266</x:v>
      </x:c>
      <x:c r="AC47" s="41" t="n">
        <x:f>_xlfn.COVARIANCE.S('Common sample'!AQ6:AQ75,'Common sample'!AC6:AC75)</x:f>
        <x:v>-0.00007744783892441834</x:v>
      </x:c>
      <x:c r="AD47" s="41" t="n">
        <x:f>_xlfn.COVARIANCE.S('Common sample'!AQ6:AQ75,'Common sample'!AD6:AD75)</x:f>
        <x:v>-0.000011081191422205155</x:v>
      </x:c>
      <x:c r="AE47" s="41" t="n">
        <x:f>_xlfn.COVARIANCE.S('Common sample'!AQ6:AQ75,'Common sample'!AE6:AE75)</x:f>
        <x:v>0.0007784206429304822</x:v>
      </x:c>
      <x:c r="AF47" s="41" t="n">
        <x:f>_xlfn.COVARIANCE.S('Common sample'!AQ6:AQ75,'Common sample'!AF6:AF75)</x:f>
        <x:v>0.0005771702445994612</x:v>
      </x:c>
      <x:c r="AG47" s="41" t="n">
        <x:f>_xlfn.COVARIANCE.S('Common sample'!AQ6:AQ75,'Common sample'!AG6:AG75)</x:f>
        <x:v>-0.00033603963768364834</x:v>
      </x:c>
      <x:c r="AH47" s="41" t="n">
        <x:f>_xlfn.COVARIANCE.S('Common sample'!AQ6:AQ75,'Common sample'!AH6:AH75)</x:f>
        <x:v>0.0008240900898005895</x:v>
      </x:c>
      <x:c r="AI47" s="41" t="n">
        <x:f>_xlfn.COVARIANCE.S('Common sample'!AQ6:AQ75,'Common sample'!AI6:AI75)</x:f>
        <x:v>-0.00014412804030035204</x:v>
      </x:c>
      <x:c r="AJ47" s="41" t="n">
        <x:f>_xlfn.COVARIANCE.S('Common sample'!AQ6:AQ75,'Common sample'!AJ6:AJ75)</x:f>
        <x:v>0.0003963679855014748</x:v>
      </x:c>
      <x:c r="AK47" s="41" t="n">
        <x:f>_xlfn.COVARIANCE.S('Common sample'!AQ6:AQ75,'Common sample'!AK6:AK75)</x:f>
        <x:v>-0.0005135103400084705</x:v>
      </x:c>
      <x:c r="AL47" s="41" t="n">
        <x:f>_xlfn.COVARIANCE.S('Common sample'!AQ6:AQ75,'Common sample'!AL6:AL75)</x:f>
        <x:v>-0.00020816368841238627</x:v>
      </x:c>
      <x:c r="AM47" s="41" t="n">
        <x:f>_xlfn.COVARIANCE.S('Common sample'!AQ6:AQ75,'Common sample'!AM6:AM75)</x:f>
        <x:v>-0.00017204388357762687</x:v>
      </x:c>
      <x:c r="AN47" s="41" t="n">
        <x:f>_xlfn.COVARIANCE.S('Common sample'!AQ6:AQ75,'Common sample'!AN6:AN75)</x:f>
        <x:v>0.0002005212912225234</x:v>
      </x:c>
      <x:c r="AO47" s="41" t="n">
        <x:f>_xlfn.COVARIANCE.S('Common sample'!AQ6:AQ75,'Common sample'!AO6:AO75)</x:f>
        <x:v>0.0001647078670404138</x:v>
      </x:c>
      <x:c r="AP47" s="41" t="n">
        <x:f>_xlfn.COVARIANCE.S('Common sample'!AQ6:AQ75,'Common sample'!AP6:AP75)</x:f>
        <x:v>0.00020729451966589724</x:v>
      </x:c>
      <x:c r="AQ47" s="41" t="n">
        <x:f>_xlfn.COVARIANCE.S('Common sample'!AQ6:AQ75,'Common sample'!AQ6:AQ75)</x:f>
        <x:v>0.001517688908610923</x:v>
      </x:c>
      <x:c r="AR47" s="41" t="n">
        <x:f>_xlfn.COVARIANCE.S('Common sample'!AQ6:AQ75,'Common sample'!AR6:AR75)</x:f>
        <x:v>-0.0001510902302597714</x:v>
      </x:c>
    </x:row>
    <x:row r="48" ht="19" customHeight="1">
      <x:c r="A48" s="29" t="str">
        <x:v>BRK-B</x:v>
      </x:c>
      <x:c r="B48" s="41" t="n">
        <x:f>_xlfn.COVARIANCE.S('Common sample'!AR6:AR75,'Common sample'!B6:B75)</x:f>
        <x:v>-0.00009163938590778378</x:v>
      </x:c>
      <x:c r="C48" s="41" t="n">
        <x:f>_xlfn.COVARIANCE.S('Common sample'!AR6:AR75,'Common sample'!C6:C75)</x:f>
        <x:v>0.00033118895615153544</x:v>
      </x:c>
      <x:c r="D48" s="41" t="n">
        <x:f>_xlfn.COVARIANCE.S('Common sample'!AR6:AR75,'Common sample'!D6:D75)</x:f>
        <x:v>0.0003602693814034721</x:v>
      </x:c>
      <x:c r="E48" s="41" t="n">
        <x:f>_xlfn.COVARIANCE.S('Common sample'!AR6:AR75,'Common sample'!E6:E75)</x:f>
        <x:v>0.00012256062865001802</x:v>
      </x:c>
      <x:c r="F48" s="41" t="n">
        <x:f>_xlfn.COVARIANCE.S('Common sample'!AR6:AR75,'Common sample'!F6:F75)</x:f>
        <x:v>0.00002854446794175151</x:v>
      </x:c>
      <x:c r="G48" s="41" t="n">
        <x:f>_xlfn.COVARIANCE.S('Common sample'!AR6:AR75,'Common sample'!G6:G75)</x:f>
        <x:v>-0.0006009816169666428</x:v>
      </x:c>
      <x:c r="H48" s="41" t="n">
        <x:f>_xlfn.COVARIANCE.S('Common sample'!AR6:AR75,'Common sample'!H6:H75)</x:f>
        <x:v>-0.00001948591565633469</x:v>
      </x:c>
      <x:c r="I48" s="41" t="n">
        <x:f>_xlfn.COVARIANCE.S('Common sample'!AR6:AR75,'Common sample'!I6:I75)</x:f>
        <x:v>0.0005567368444796814</x:v>
      </x:c>
      <x:c r="J48" s="41" t="n">
        <x:f>_xlfn.COVARIANCE.S('Common sample'!AR6:AR75,'Common sample'!J6:J75)</x:f>
        <x:v>-0.000015786470904924427</x:v>
      </x:c>
      <x:c r="K48" s="41" t="n">
        <x:f>_xlfn.COVARIANCE.S('Common sample'!AR6:AR75,'Common sample'!K6:K75)</x:f>
        <x:v>-0.0002507072231603653</x:v>
      </x:c>
      <x:c r="L48" s="41" t="n">
        <x:f>_xlfn.COVARIANCE.S('Common sample'!AR6:AR75,'Common sample'!L6:L75)</x:f>
        <x:v>-0.0006873503806779389</x:v>
      </x:c>
      <x:c r="M48" s="41" t="n">
        <x:f>_xlfn.COVARIANCE.S('Common sample'!AR6:AR75,'Common sample'!M6:M75)</x:f>
        <x:v>-0.00011949707013275758</x:v>
      </x:c>
      <x:c r="N48" s="41" t="n">
        <x:f>_xlfn.COVARIANCE.S('Common sample'!AR6:AR75,'Common sample'!N6:N75)</x:f>
        <x:v>0.00020079723213913778</x:v>
      </x:c>
      <x:c r="O48" s="41" t="n">
        <x:f>_xlfn.COVARIANCE.S('Common sample'!AR6:AR75,'Common sample'!O6:O75)</x:f>
        <x:v>0.0002046020967366969</x:v>
      </x:c>
      <x:c r="P48" s="41" t="n">
        <x:f>_xlfn.COVARIANCE.S('Common sample'!AR6:AR75,'Common sample'!P6:P75)</x:f>
        <x:v>0.0002022240559843554</x:v>
      </x:c>
      <x:c r="Q48" s="41" t="n">
        <x:f>_xlfn.COVARIANCE.S('Common sample'!AR6:AR75,'Common sample'!Q6:Q75)</x:f>
        <x:v>0.0000486864657446089</x:v>
      </x:c>
      <x:c r="R48" s="41" t="n">
        <x:f>_xlfn.COVARIANCE.S('Common sample'!AR6:AR75,'Common sample'!R6:R75)</x:f>
        <x:v>0.00024190146349807424</x:v>
      </x:c>
      <x:c r="S48" s="41" t="n">
        <x:f>_xlfn.COVARIANCE.S('Common sample'!AR6:AR75,'Common sample'!S6:S75)</x:f>
        <x:v>0.000045003994786661916</x:v>
      </x:c>
      <x:c r="T48" s="41" t="n">
        <x:f>_xlfn.COVARIANCE.S('Common sample'!AR6:AR75,'Common sample'!T6:T75)</x:f>
        <x:v>-0.001486314021719112</x:v>
      </x:c>
      <x:c r="U48" s="41" t="n">
        <x:f>_xlfn.COVARIANCE.S('Common sample'!AR6:AR75,'Common sample'!U6:U75)</x:f>
        <x:v>0.0007344169033228732</x:v>
      </x:c>
      <x:c r="V48" s="41" t="n">
        <x:f>_xlfn.COVARIANCE.S('Common sample'!AR6:AR75,'Common sample'!V6:V75)</x:f>
        <x:v>0.000873775056075677</x:v>
      </x:c>
      <x:c r="W48" s="41" t="n">
        <x:f>_xlfn.COVARIANCE.S('Common sample'!AR6:AR75,'Common sample'!W6:W75)</x:f>
        <x:v>0.00019617120165471628</x:v>
      </x:c>
      <x:c r="X48" s="41" t="n">
        <x:f>_xlfn.COVARIANCE.S('Common sample'!AR6:AR75,'Common sample'!X6:X75)</x:f>
        <x:v>0.00017429042248471294</x:v>
      </x:c>
      <x:c r="Y48" s="41" t="n">
        <x:f>_xlfn.COVARIANCE.S('Common sample'!AR6:AR75,'Common sample'!Y6:Y75)</x:f>
        <x:v>0.0002455288760707114</x:v>
      </x:c>
      <x:c r="Z48" s="41" t="n">
        <x:f>_xlfn.COVARIANCE.S('Common sample'!AR6:AR75,'Common sample'!Z6:Z75)</x:f>
        <x:v>0.0006090661324866282</x:v>
      </x:c>
      <x:c r="AA48" s="41" t="n">
        <x:f>_xlfn.COVARIANCE.S('Common sample'!AR6:AR75,'Common sample'!AA6:AA75)</x:f>
        <x:v>-0.0026150566855132965</x:v>
      </x:c>
      <x:c r="AB48" s="41" t="n">
        <x:f>_xlfn.COVARIANCE.S('Common sample'!AR6:AR75,'Common sample'!AB6:AB75)</x:f>
        <x:v>-0.0007988454719323153</x:v>
      </x:c>
      <x:c r="AC48" s="41" t="n">
        <x:f>_xlfn.COVARIANCE.S('Common sample'!AR6:AR75,'Common sample'!AC6:AC75)</x:f>
        <x:v>0.0004193799270347166</x:v>
      </x:c>
      <x:c r="AD48" s="41" t="n">
        <x:f>_xlfn.COVARIANCE.S('Common sample'!AR6:AR75,'Common sample'!AD6:AD75)</x:f>
        <x:v>0.000900069255531659</x:v>
      </x:c>
      <x:c r="AE48" s="41" t="n">
        <x:f>_xlfn.COVARIANCE.S('Common sample'!AR6:AR75,'Common sample'!AE6:AE75)</x:f>
        <x:v>0.0002427271198977884</x:v>
      </x:c>
      <x:c r="AF48" s="41" t="n">
        <x:f>_xlfn.COVARIANCE.S('Common sample'!AR6:AR75,'Common sample'!AF6:AF75)</x:f>
        <x:v>-0.00043313542995470337</x:v>
      </x:c>
      <x:c r="AG48" s="41" t="n">
        <x:f>_xlfn.COVARIANCE.S('Common sample'!AR6:AR75,'Common sample'!AG6:AG75)</x:f>
        <x:v>-0.00009660318294348726</x:v>
      </x:c>
      <x:c r="AH48" s="41" t="n">
        <x:f>_xlfn.COVARIANCE.S('Common sample'!AR6:AR75,'Common sample'!AH6:AH75)</x:f>
        <x:v>-0.00024226607997470057</x:v>
      </x:c>
      <x:c r="AI48" s="41" t="n">
        <x:f>_xlfn.COVARIANCE.S('Common sample'!AR6:AR75,'Common sample'!AI6:AI75)</x:f>
        <x:v>0.0008912132440796622</x:v>
      </x:c>
      <x:c r="AJ48" s="41" t="n">
        <x:f>_xlfn.COVARIANCE.S('Common sample'!AR6:AR75,'Common sample'!AJ6:AJ75)</x:f>
        <x:v>0.00042367501912327044</x:v>
      </x:c>
      <x:c r="AK48" s="41" t="n">
        <x:f>_xlfn.COVARIANCE.S('Common sample'!AR6:AR75,'Common sample'!AK6:AK75)</x:f>
        <x:v>0.0012448333981726896</x:v>
      </x:c>
      <x:c r="AL48" s="41" t="n">
        <x:f>_xlfn.COVARIANCE.S('Common sample'!AR6:AR75,'Common sample'!AL6:AL75)</x:f>
        <x:v>-0.00010676745802000112</x:v>
      </x:c>
      <x:c r="AM48" s="41" t="n">
        <x:f>_xlfn.COVARIANCE.S('Common sample'!AR6:AR75,'Common sample'!AM6:AM75)</x:f>
        <x:v>-0.00006301815520582296</x:v>
      </x:c>
      <x:c r="AN48" s="41" t="n">
        <x:f>_xlfn.COVARIANCE.S('Common sample'!AR6:AR75,'Common sample'!AN6:AN75)</x:f>
        <x:v>0.00040669856750743497</x:v>
      </x:c>
      <x:c r="AO48" s="41" t="n">
        <x:f>_xlfn.COVARIANCE.S('Common sample'!AR6:AR75,'Common sample'!AO6:AO75)</x:f>
        <x:v>0.000436902652090469</x:v>
      </x:c>
      <x:c r="AP48" s="41" t="n">
        <x:f>_xlfn.COVARIANCE.S('Common sample'!AR6:AR75,'Common sample'!AP6:AP75)</x:f>
        <x:v>0.00037805318483616546</x:v>
      </x:c>
      <x:c r="AQ48" s="41" t="n">
        <x:f>_xlfn.COVARIANCE.S('Common sample'!AR6:AR75,'Common sample'!AQ6:AQ75)</x:f>
        <x:v>-0.0001510902302597714</x:v>
      </x:c>
      <x:c r="AR48" s="41" t="n">
        <x:f>_xlfn.COVARIANCE.S('Common sample'!AR6:AR75,'Common sample'!AR6:AR75)</x:f>
        <x:v>0.0011979076091401706</x:v>
      </x:c>
    </x:row>
  </x:sheetData>
  <x:pageMargins left="0.7" right="0.7" top="0.75" bottom="0.75" header="0.3" footer="0.3"/>
</x:worksheet>
</file>

<file path=xl/worksheets/sheet7.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s>
  <x:sheetData>
    <x:row r="1" ht="19" customHeight="1">
      <x:c r="A1" s="23"/>
      <x:c r="B1" s="23"/>
      <x:c r="C1" s="23"/>
      <x:c r="D1" s="23"/>
    </x:row>
    <x:row r="2" ht="19" customHeight="1">
      <x:c r="A2" s="34" t="str">
        <x:v>PCA of final residual covariance</x:v>
      </x:c>
      <x:c r="B2" s="23"/>
      <x:c r="C2" s="23"/>
      <x:c r="D2" s="23"/>
    </x:row>
    <x:row r="3" ht="19" customHeight="1">
      <x:c r="A3" s="27"/>
      <x:c r="B3" s="23"/>
      <x:c r="C3" s="23"/>
      <x:c r="D3" s="23"/>
    </x:row>
    <x:row r="4" ht="19" customHeight="1">
      <x:c r="A4" s="23"/>
      <x:c r="B4" s="23"/>
      <x:c r="C4" s="23"/>
      <x:c r="D4" s="23"/>
    </x:row>
    <x:row r="5" ht="42" customHeight="1">
      <x:c r="A5" s="35" t="str">
        <x:v>component</x:v>
      </x:c>
      <x:c r="B5" s="35" t="str">
        <x:v>eigenvalue</x:v>
      </x:c>
      <x:c r="C5" s="35" t="str">
        <x:v>explained_share</x:v>
      </x:c>
      <x:c r="D5" s="35" t="str">
        <x:v>cumulative_share</x:v>
      </x:c>
    </x:row>
    <x:row r="6" ht="19" customHeight="1">
      <x:c r="A6" s="29" t="str">
        <x:v>PC1</x:v>
      </x:c>
      <x:c r="B6" s="41" t="n">
        <x:v>0.059891322</x:v>
      </x:c>
      <x:c r="C6" s="31" t="n">
        <x:f>B6/SUM($B$6:$B$48)</x:f>
        <x:v>0.14726180147730566</x:v>
      </x:c>
      <x:c r="D6" s="31" t="n">
        <x:f>SUM($C$6:C6)</x:f>
        <x:v>0.14726180147730566</x:v>
      </x:c>
    </x:row>
    <x:row r="7" ht="19" customHeight="1">
      <x:c r="A7" s="29" t="str">
        <x:v>PC2</x:v>
      </x:c>
      <x:c r="B7" s="41" t="n">
        <x:v>0.0506883073</x:v>
      </x:c>
      <x:c r="C7" s="31" t="n">
        <x:f>B7/SUM($B$6:$B$48)</x:f>
        <x:v>0.1246332723601136</x:v>
      </x:c>
      <x:c r="D7" s="31" t="n">
        <x:f>SUM($C$6:C7)</x:f>
        <x:v>0.2718950738374193</x:v>
      </x:c>
    </x:row>
    <x:row r="8" ht="19" customHeight="1">
      <x:c r="A8" s="29" t="str">
        <x:v>PC3</x:v>
      </x:c>
      <x:c r="B8" s="41" t="n">
        <x:v>0.04836902</x:v>
      </x:c>
      <x:c r="C8" s="31" t="n">
        <x:f>B8/SUM($B$6:$B$48)</x:f>
        <x:v>0.11893056928834911</x:v>
      </x:c>
      <x:c r="D8" s="31" t="n">
        <x:f>SUM($C$6:C8)</x:f>
        <x:v>0.3908256431257684</x:v>
      </x:c>
    </x:row>
    <x:row r="9" ht="19" customHeight="1">
      <x:c r="A9" s="29" t="str">
        <x:v>PC4</x:v>
      </x:c>
      <x:c r="B9" s="41" t="n">
        <x:v>0.0317908156</x:v>
      </x:c>
      <x:c r="C9" s="31" t="n">
        <x:f>B9/SUM($B$6:$B$48)</x:f>
        <x:v>0.07816779826113761</x:v>
      </x:c>
      <x:c r="D9" s="31" t="n">
        <x:f>SUM($C$6:C9)</x:f>
        <x:v>0.468993441386906</x:v>
      </x:c>
    </x:row>
    <x:row r="10" ht="19" customHeight="1">
      <x:c r="A10" s="29" t="str">
        <x:v>PC5</x:v>
      </x:c>
      <x:c r="B10" s="41" t="n">
        <x:v>0.0285583958</x:v>
      </x:c>
      <x:c r="C10" s="31" t="n">
        <x:f>B10/SUM($B$6:$B$48)</x:f>
        <x:v>0.0702198694630571</x:v>
      </x:c>
      <x:c r="D10" s="31" t="n">
        <x:f>SUM($C$6:C10)</x:f>
        <x:v>0.5392133108499632</x:v>
      </x:c>
    </x:row>
    <x:row r="11" ht="19" customHeight="1">
      <x:c r="A11" s="29" t="str">
        <x:v>PC6</x:v>
      </x:c>
      <x:c r="B11" s="41" t="n">
        <x:v>0.0251712789</x:v>
      </x:c>
      <x:c r="C11" s="31" t="n">
        <x:f>B11/SUM($B$6:$B$48)</x:f>
        <x:v>0.06189156880360218</x:v>
      </x:c>
      <x:c r="D11" s="31" t="n">
        <x:f>SUM($C$6:C11)</x:f>
        <x:v>0.6011048796535653</x:v>
      </x:c>
    </x:row>
    <x:row r="12" ht="19" customHeight="1">
      <x:c r="A12" s="29" t="str">
        <x:v>PC7</x:v>
      </x:c>
      <x:c r="B12" s="41" t="n">
        <x:v>0.0162712716</x:v>
      </x:c>
      <x:c r="C12" s="31" t="n">
        <x:f>B12/SUM($B$6:$B$48)</x:f>
        <x:v>0.04000807943665899</x:v>
      </x:c>
      <x:c r="D12" s="31" t="n">
        <x:f>SUM($C$6:C12)</x:f>
        <x:v>0.6411129590902243</x:v>
      </x:c>
    </x:row>
    <x:row r="13" ht="19" customHeight="1">
      <x:c r="A13" s="29" t="str">
        <x:v>PC8</x:v>
      </x:c>
      <x:c r="B13" s="41" t="n">
        <x:v>0.014091989</x:v>
      </x:c>
      <x:c r="C13" s="31" t="n">
        <x:f>B13/SUM($B$6:$B$48)</x:f>
        <x:v>0.03464962230318401</x:v>
      </x:c>
      <x:c r="D13" s="31" t="n">
        <x:f>SUM($C$6:C13)</x:f>
        <x:v>0.6757625813934083</x:v>
      </x:c>
    </x:row>
    <x:row r="14" ht="19" customHeight="1">
      <x:c r="A14" s="29" t="str">
        <x:v>PC9</x:v>
      </x:c>
      <x:c r="B14" s="41" t="n">
        <x:v>0.0137489615</x:v>
      </x:c>
      <x:c r="C14" s="31" t="n">
        <x:f>B14/SUM($B$6:$B$48)</x:f>
        <x:v>0.033806180450184735</x:v>
      </x:c>
      <x:c r="D14" s="31" t="n">
        <x:f>SUM($C$6:C14)</x:f>
        <x:v>0.709568761843593</x:v>
      </x:c>
    </x:row>
    <x:row r="15" ht="19" customHeight="1">
      <x:c r="A15" s="29" t="str">
        <x:v>PC10</x:v>
      </x:c>
      <x:c r="B15" s="41" t="n">
        <x:v>0.0123208814</x:v>
      </x:c>
      <x:c r="C15" s="31" t="n">
        <x:f>B15/SUM($B$6:$B$48)</x:f>
        <x:v>0.03029479280407649</x:v>
      </x:c>
      <x:c r="D15" s="31" t="n">
        <x:f>SUM($C$6:C15)</x:f>
        <x:v>0.7398635546476695</x:v>
      </x:c>
    </x:row>
    <x:row r="16" ht="19" customHeight="1">
      <x:c r="A16" s="29" t="str">
        <x:v>PC11</x:v>
      </x:c>
      <x:c r="B16" s="41" t="n">
        <x:v>0.0112325429</x:v>
      </x:c>
      <x:c r="C16" s="31" t="n">
        <x:f>B16/SUM($B$6:$B$48)</x:f>
        <x:v>0.027618767584143816</x:v>
      </x:c>
      <x:c r="D16" s="31" t="n">
        <x:f>SUM($C$6:C16)</x:f>
        <x:v>0.7674823222318133</x:v>
      </x:c>
    </x:row>
    <x:row r="17" ht="19" customHeight="1">
      <x:c r="A17" s="29" t="str">
        <x:v>PC12</x:v>
      </x:c>
      <x:c r="B17" s="41" t="n">
        <x:v>0.0104556901</x:v>
      </x:c>
      <x:c r="C17" s="31" t="n">
        <x:f>B17/SUM($B$6:$B$48)</x:f>
        <x:v>0.025708628702743114</x:v>
      </x:c>
      <x:c r="D17" s="31" t="n">
        <x:f>SUM($C$6:C17)</x:f>
        <x:v>0.7931909509345565</x:v>
      </x:c>
    </x:row>
    <x:row r="18" ht="19" customHeight="1">
      <x:c r="A18" s="29" t="str">
        <x:v>PC13</x:v>
      </x:c>
      <x:c r="B18" s="41" t="n">
        <x:v>0.0094355152</x:v>
      </x:c>
      <x:c r="C18" s="31" t="n">
        <x:f>B18/SUM($B$6:$B$48)</x:f>
        <x:v>0.023200205302172157</x:v>
      </x:c>
      <x:c r="D18" s="31" t="n">
        <x:f>SUM($C$6:C18)</x:f>
        <x:v>0.8163911562367286</x:v>
      </x:c>
    </x:row>
    <x:row r="19" ht="19" customHeight="1">
      <x:c r="A19" s="29" t="str">
        <x:v>PC14</x:v>
      </x:c>
      <x:c r="B19" s="41" t="n">
        <x:v>0.0082504614</x:v>
      </x:c>
      <x:c r="C19" s="31" t="n">
        <x:f>B19/SUM($B$6:$B$48)</x:f>
        <x:v>0.020286374857161667</x:v>
      </x:c>
      <x:c r="D19" s="31" t="n">
        <x:f>SUM($C$6:C19)</x:f>
        <x:v>0.8366775310938903</x:v>
      </x:c>
    </x:row>
    <x:row r="20" ht="19" customHeight="1">
      <x:c r="A20" s="29" t="str">
        <x:v>PC15</x:v>
      </x:c>
      <x:c r="B20" s="41" t="n">
        <x:v>0.0076788922</x:v>
      </x:c>
      <x:c r="C20" s="31" t="n">
        <x:f>B20/SUM($B$6:$B$48)</x:f>
        <x:v>0.018880990783974195</x:v>
      </x:c>
      <x:c r="D20" s="31" t="n">
        <x:f>SUM($C$6:C20)</x:f>
        <x:v>0.8555585218778645</x:v>
      </x:c>
    </x:row>
    <x:row r="21" ht="19" customHeight="1">
      <x:c r="A21" s="29" t="str">
        <x:v>PC16</x:v>
      </x:c>
      <x:c r="B21" s="41" t="n">
        <x:v>0.0065141309</x:v>
      </x:c>
      <x:c r="C21" s="31" t="n">
        <x:f>B21/SUM($B$6:$B$48)</x:f>
        <x:v>0.01601705588320429</x:v>
      </x:c>
      <x:c r="D21" s="31" t="n">
        <x:f>SUM($C$6:C21)</x:f>
        <x:v>0.8715755777610688</x:v>
      </x:c>
    </x:row>
    <x:row r="22" ht="19" customHeight="1">
      <x:c r="A22" s="29" t="str">
        <x:v>PC17</x:v>
      </x:c>
      <x:c r="B22" s="41" t="n">
        <x:v>0.0062057424</x:v>
      </x:c>
      <x:c r="C22" s="31" t="n">
        <x:f>B22/SUM($B$6:$B$48)</x:f>
        <x:v>0.015258784992725632</x:v>
      </x:c>
      <x:c r="D22" s="31" t="n">
        <x:f>SUM($C$6:C22)</x:f>
        <x:v>0.8868343627537943</x:v>
      </x:c>
    </x:row>
    <x:row r="23" ht="19" customHeight="1">
      <x:c r="A23" s="29" t="str">
        <x:v>PC18</x:v>
      </x:c>
      <x:c r="B23" s="41" t="n">
        <x:v>0.0051963631</x:v>
      </x:c>
      <x:c r="C23" s="31" t="n">
        <x:f>B23/SUM($B$6:$B$48)</x:f>
        <x:v>0.012776905997102498</x:v>
      </x:c>
      <x:c r="D23" s="31" t="n">
        <x:f>SUM($C$6:C23)</x:f>
        <x:v>0.8996112687508968</x:v>
      </x:c>
    </x:row>
    <x:row r="24" ht="19" customHeight="1">
      <x:c r="A24" s="29" t="str">
        <x:v>PC19</x:v>
      </x:c>
      <x:c r="B24" s="41" t="n">
        <x:v>0.0047580383</x:v>
      </x:c>
      <x:c r="C24" s="31" t="n">
        <x:f>B24/SUM($B$6:$B$48)</x:f>
        <x:v>0.011699145521550132</x:v>
      </x:c>
      <x:c r="D24" s="31" t="n">
        <x:f>SUM($C$6:C24)</x:f>
        <x:v>0.911310414272447</x:v>
      </x:c>
    </x:row>
    <x:row r="25" ht="19" customHeight="1">
      <x:c r="A25" s="29" t="str">
        <x:v>PC20</x:v>
      </x:c>
      <x:c r="B25" s="41" t="n">
        <x:v>0.0046841159</x:v>
      </x:c>
      <x:c r="C25" s="31" t="n">
        <x:f>B25/SUM($B$6:$B$48)</x:f>
        <x:v>0.011517383866772734</x:v>
      </x:c>
      <x:c r="D25" s="31" t="n">
        <x:f>SUM($C$6:C25)</x:f>
        <x:v>0.9228277981392197</x:v>
      </x:c>
    </x:row>
    <x:row r="26" ht="19" customHeight="1">
      <x:c r="A26" s="29" t="str">
        <x:v>PC21</x:v>
      </x:c>
      <x:c r="B26" s="41" t="n">
        <x:v>0.0040917594</x:v>
      </x:c>
      <x:c r="C26" s="31" t="n">
        <x:f>B26/SUM($B$6:$B$48)</x:f>
        <x:v>0.010060887626686539</x:v>
      </x:c>
      <x:c r="D26" s="31" t="n">
        <x:f>SUM($C$6:C26)</x:f>
        <x:v>0.9328886857659062</x:v>
      </x:c>
    </x:row>
    <x:row r="27" ht="19" customHeight="1">
      <x:c r="A27" s="29" t="str">
        <x:v>PC22</x:v>
      </x:c>
      <x:c r="B27" s="41" t="n">
        <x:v>0.0038311826</x:v>
      </x:c>
      <x:c r="C27" s="31" t="n">
        <x:f>B27/SUM($B$6:$B$48)</x:f>
        <x:v>0.009420176957598428</x:v>
      </x:c>
      <x:c r="D27" s="31" t="n">
        <x:f>SUM($C$6:C27)</x:f>
        <x:v>0.9423088627235047</x:v>
      </x:c>
    </x:row>
    <x:row r="28" ht="19" customHeight="1">
      <x:c r="A28" s="29" t="str">
        <x:v>PC23</x:v>
      </x:c>
      <x:c r="B28" s="41" t="n">
        <x:v>0.0032258925</x:v>
      </x:c>
      <x:c r="C28" s="31" t="n">
        <x:f>B28/SUM($B$6:$B$48)</x:f>
        <x:v>0.007931879361790165</x:v>
      </x:c>
      <x:c r="D28" s="31" t="n">
        <x:f>SUM($C$6:C28)</x:f>
        <x:v>0.9502407420852949</x:v>
      </x:c>
    </x:row>
    <x:row r="29" ht="19" customHeight="1">
      <x:c r="A29" s="29" t="str">
        <x:v>PC24</x:v>
      </x:c>
      <x:c r="B29" s="41" t="n">
        <x:v>0.0027908959</x:v>
      </x:c>
      <x:c r="C29" s="31" t="n">
        <x:f>B29/SUM($B$6:$B$48)</x:f>
        <x:v>0.006862302321021171</x:v>
      </x:c>
      <x:c r="D29" s="31" t="n">
        <x:f>SUM($C$6:C29)</x:f>
        <x:v>0.957103044406316</x:v>
      </x:c>
    </x:row>
    <x:row r="30" ht="19" customHeight="1">
      <x:c r="A30" s="29" t="str">
        <x:v>PC25</x:v>
      </x:c>
      <x:c r="B30" s="41" t="n">
        <x:v>0.0026088217</x:v>
      </x:c>
      <x:c r="C30" s="31" t="n">
        <x:f>B30/SUM($B$6:$B$48)</x:f>
        <x:v>0.006414615180394366</x:v>
      </x:c>
      <x:c r="D30" s="31" t="n">
        <x:f>SUM($C$6:C30)</x:f>
        <x:v>0.9635176595867103</x:v>
      </x:c>
    </x:row>
    <x:row r="31" ht="19" customHeight="1">
      <x:c r="A31" s="29" t="str">
        <x:v>PC26</x:v>
      </x:c>
      <x:c r="B31" s="41" t="n">
        <x:v>0.0022920414</x:v>
      </x:c>
      <x:c r="C31" s="31" t="n">
        <x:f>B31/SUM($B$6:$B$48)</x:f>
        <x:v>0.005635710389304243</x:v>
      </x:c>
      <x:c r="D31" s="31" t="n">
        <x:f>SUM($C$6:C31)</x:f>
        <x:v>0.9691533699760145</x:v>
      </x:c>
    </x:row>
    <x:row r="32" ht="19" customHeight="1">
      <x:c r="A32" s="29" t="str">
        <x:v>PC27</x:v>
      </x:c>
      <x:c r="B32" s="41" t="n">
        <x:v>0.0018448211</x:v>
      </x:c>
      <x:c r="C32" s="31" t="n">
        <x:f>B32/SUM($B$6:$B$48)</x:f>
        <x:v>0.00453607750701086</x:v>
      </x:c>
      <x:c r="D32" s="31" t="n">
        <x:f>SUM($C$6:C32)</x:f>
        <x:v>0.9736894474830254</x:v>
      </x:c>
    </x:row>
    <x:row r="33" ht="19" customHeight="1">
      <x:c r="A33" s="29" t="str">
        <x:v>PC28</x:v>
      </x:c>
      <x:c r="B33" s="41" t="n">
        <x:v>0.0015972325</x:v>
      </x:c>
      <x:c r="C33" s="31" t="n">
        <x:f>B33/SUM($B$6:$B$48)</x:f>
        <x:v>0.003927302445053737</x:v>
      </x:c>
      <x:c r="D33" s="31" t="n">
        <x:f>SUM($C$6:C33)</x:f>
        <x:v>0.9776167499280791</x:v>
      </x:c>
    </x:row>
    <x:row r="34" ht="19" customHeight="1">
      <x:c r="A34" s="29" t="str">
        <x:v>PC29</x:v>
      </x:c>
      <x:c r="B34" s="41" t="n">
        <x:v>0.0014305127</x:v>
      </x:c>
      <x:c r="C34" s="31" t="n">
        <x:f>B34/SUM($B$6:$B$48)</x:f>
        <x:v>0.00351736896437458</x:v>
      </x:c>
      <x:c r="D34" s="31" t="n">
        <x:f>SUM($C$6:C34)</x:f>
        <x:v>0.9811341188924537</x:v>
      </x:c>
    </x:row>
    <x:row r="35" ht="19" customHeight="1">
      <x:c r="A35" s="29" t="str">
        <x:v>PC30</x:v>
      </x:c>
      <x:c r="B35" s="41" t="n">
        <x:v>0.0012278863</x:v>
      </x:c>
      <x:c r="C35" s="31" t="n">
        <x:f>B35/SUM($B$6:$B$48)</x:f>
        <x:v>0.003019147724728858</x:v>
      </x:c>
      <x:c r="D35" s="31" t="n">
        <x:f>SUM($C$6:C35)</x:f>
        <x:v>0.9841532666171826</x:v>
      </x:c>
    </x:row>
    <x:row r="36" ht="19" customHeight="1">
      <x:c r="A36" s="29" t="str">
        <x:v>PC31</x:v>
      </x:c>
      <x:c r="B36" s="41" t="n">
        <x:v>0.0011282428</x:v>
      </x:c>
      <x:c r="C36" s="31" t="n">
        <x:f>B36/SUM($B$6:$B$48)</x:f>
        <x:v>0.0027741425916729553</x:v>
      </x:c>
      <x:c r="D36" s="31" t="n">
        <x:f>SUM($C$6:C36)</x:f>
        <x:v>0.9869274092088556</x:v>
      </x:c>
    </x:row>
    <x:row r="37" ht="19" customHeight="1">
      <x:c r="A37" s="29" t="str">
        <x:v>PC32</x:v>
      </x:c>
      <x:c r="B37" s="41" t="n">
        <x:v>0.0010252418</x:v>
      </x:c>
      <x:c r="C37" s="31" t="n">
        <x:f>B37/SUM($B$6:$B$48)</x:f>
        <x:v>0.0025208819804951963</x:v>
      </x:c>
      <x:c r="D37" s="31" t="n">
        <x:f>SUM($C$6:C37)</x:f>
        <x:v>0.9894482911893507</x:v>
      </x:c>
    </x:row>
    <x:row r="38" ht="19" customHeight="1">
      <x:c r="A38" s="29" t="str">
        <x:v>PC33</x:v>
      </x:c>
      <x:c r="B38" s="41" t="n">
        <x:v>0.000810674</x:v>
      </x:c>
      <x:c r="C38" s="31" t="n">
        <x:f>B38/SUM($B$6:$B$48)</x:f>
        <x:v>0.001993299023367915</x:v>
      </x:c>
      <x:c r="D38" s="31" t="n">
        <x:f>SUM($C$6:C38)</x:f>
        <x:v>0.9914415902127186</x:v>
      </x:c>
    </x:row>
    <x:row r="39" ht="19" customHeight="1">
      <x:c r="A39" s="29" t="str">
        <x:v>PC34</x:v>
      </x:c>
      <x:c r="B39" s="41" t="n">
        <x:v>0.0006379095</x:v>
      </x:c>
      <x:c r="C39" s="31" t="n">
        <x:f>B39/SUM($B$6:$B$48)</x:f>
        <x:v>0.0015685027314890016</x:v>
      </x:c>
      <x:c r="D39" s="31" t="n">
        <x:f>SUM($C$6:C39)</x:f>
        <x:v>0.9930100929442076</x:v>
      </x:c>
    </x:row>
    <x:row r="40" ht="19" customHeight="1">
      <x:c r="A40" s="29" t="str">
        <x:v>PC35</x:v>
      </x:c>
      <x:c r="B40" s="41" t="n">
        <x:v>0.0005475078</x:v>
      </x:c>
      <x:c r="C40" s="31" t="n">
        <x:f>B40/SUM($B$6:$B$48)</x:f>
        <x:v>0.0013462214935057932</x:v>
      </x:c>
      <x:c r="D40" s="31" t="n">
        <x:f>SUM($C$6:C40)</x:f>
        <x:v>0.9943563144377134</x:v>
      </x:c>
    </x:row>
    <x:row r="41" ht="19" customHeight="1">
      <x:c r="A41" s="29" t="str">
        <x:v>PC36</x:v>
      </x:c>
      <x:c r="B41" s="41" t="n">
        <x:v>0.0004982846</x:v>
      </x:c>
      <x:c r="C41" s="31" t="n">
        <x:f>B41/SUM($B$6:$B$48)</x:f>
        <x:v>0.0012251906519010994</x:v>
      </x:c>
      <x:c r="D41" s="31" t="n">
        <x:f>SUM($C$6:C41)</x:f>
        <x:v>0.9955815050896145</x:v>
      </x:c>
    </x:row>
    <x:row r="42" ht="19" customHeight="1">
      <x:c r="A42" s="29" t="str">
        <x:v>PC37</x:v>
      </x:c>
      <x:c r="B42" s="41" t="n">
        <x:v>0.0004570694</x:v>
      </x:c>
      <x:c r="C42" s="31" t="n">
        <x:f>B42/SUM($B$6:$B$48)</x:f>
        <x:v>0.0011238500169382004</x:v>
      </x:c>
      <x:c r="D42" s="31" t="n">
        <x:f>SUM($C$6:C42)</x:f>
        <x:v>0.9967053551065527</x:v>
      </x:c>
    </x:row>
    <x:row r="43" ht="19" customHeight="1">
      <x:c r="A43" s="29" t="str">
        <x:v>PC38</x:v>
      </x:c>
      <x:c r="B43" s="41" t="n">
        <x:v>0.0003441009</x:v>
      </x:c>
      <x:c r="C43" s="31" t="n">
        <x:f>B43/SUM($B$6:$B$48)</x:f>
        <x:v>0.0008460811471812596</x:v>
      </x:c>
      <x:c r="D43" s="31" t="n">
        <x:f>SUM($C$6:C43)</x:f>
        <x:v>0.9975514362537339</x:v>
      </x:c>
    </x:row>
    <x:row r="44" ht="19" customHeight="1">
      <x:c r="A44" s="29" t="str">
        <x:v>PC39</x:v>
      </x:c>
      <x:c r="B44" s="41" t="n">
        <x:v>0.0002847954</x:v>
      </x:c>
      <x:c r="C44" s="31" t="n">
        <x:f>B44/SUM($B$6:$B$48)</x:f>
        <x:v>0.0007002597748042672</x:v>
      </x:c>
      <x:c r="D44" s="31" t="n">
        <x:f>SUM($C$6:C44)</x:f>
        <x:v>0.9982516960285381</x:v>
      </x:c>
    </x:row>
    <x:row r="45" ht="19" customHeight="1">
      <x:c r="A45" s="29" t="str">
        <x:v>PC40</x:v>
      </x:c>
      <x:c r="B45" s="41" t="n">
        <x:v>0.0002427455</x:v>
      </x:c>
      <x:c r="C45" s="31" t="n">
        <x:f>B45/SUM($B$6:$B$48)</x:f>
        <x:v>0.0005968667652804408</x:v>
      </x:c>
      <x:c r="D45" s="31" t="n">
        <x:f>SUM($C$6:C45)</x:f>
        <x:v>0.9988485627938186</x:v>
      </x:c>
    </x:row>
    <x:row r="46" ht="19" customHeight="1">
      <x:c r="A46" s="29" t="str">
        <x:v>PC41</x:v>
      </x:c>
      <x:c r="B46" s="41" t="n">
        <x:v>0.0001920479</x:v>
      </x:c>
      <x:c r="C46" s="31" t="n">
        <x:f>B46/SUM($B$6:$B$48)</x:f>
        <x:v>0.00047221064387146855</x:v>
      </x:c>
      <x:c r="D46" s="31" t="n">
        <x:f>SUM($C$6:C46)</x:f>
        <x:v>0.9993207734376901</x:v>
      </x:c>
    </x:row>
    <x:row r="47" ht="19" customHeight="1">
      <x:c r="A47" s="29" t="str">
        <x:v>PC42</x:v>
      </x:c>
      <x:c r="B47" s="41" t="n">
        <x:v>0.0001562846</x:v>
      </x:c>
      <x:c r="C47" s="31" t="n">
        <x:f>B47/SUM($B$6:$B$48)</x:f>
        <x:v>0.0003842752333828952</x:v>
      </x:c>
      <x:c r="D47" s="31" t="n">
        <x:f>SUM($C$6:C47)</x:f>
        <x:v>0.999705048671073</x:v>
      </x:c>
    </x:row>
    <x:row r="48" ht="19" customHeight="1">
      <x:c r="A48" s="29" t="str">
        <x:v>PC43</x:v>
      </x:c>
      <x:c r="B48" s="41" t="n">
        <x:v>0.0001199566</x:v>
      </x:c>
      <x:c r="C48" s="31" t="n">
        <x:f>B48/SUM($B$6:$B$48)</x:f>
        <x:v>0.0002949513289269615</x:v>
      </x:c>
      <x:c r="D48" s="31" t="n">
        <x:f>SUM($C$6:C48)</x:f>
        <x:v>1</x:v>
      </x:c>
    </x:row>
  </x:sheetData>
  <x:pageMargins left="0.7" right="0.7" top="0.75" bottom="0.75" header="0.3" footer="0.3"/>
  <x:drawing xmlns:r="http://schemas.openxmlformats.org/officeDocument/2006/relationships" r:id="R7f15260d25dc45b0"/>
</x:worksheet>
</file>

<file path=xl/worksheets/sheet8.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PCA eigenvectors</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factor_or_stock</x:v>
      </x:c>
      <x:c r="B5" s="35" t="str">
        <x:v>PC1</x:v>
      </x:c>
      <x:c r="C5" s="35" t="str">
        <x:v>PC2</x:v>
      </x:c>
      <x:c r="D5" s="35" t="str">
        <x:v>PC3</x:v>
      </x:c>
      <x:c r="E5" s="35" t="str">
        <x:v>PC4</x:v>
      </x:c>
      <x:c r="F5" s="35" t="str">
        <x:v>PC5</x:v>
      </x:c>
      <x:c r="G5" s="35" t="str">
        <x:v>PC6</x:v>
      </x:c>
      <x:c r="H5" s="35" t="str">
        <x:v>PC7</x:v>
      </x:c>
      <x:c r="I5" s="35" t="str">
        <x:v>PC8</x:v>
      </x:c>
      <x:c r="J5" s="35" t="str">
        <x:v>PC9</x:v>
      </x:c>
      <x:c r="K5" s="35" t="str">
        <x:v>PC10</x:v>
      </x:c>
      <x:c r="L5" s="35" t="str">
        <x:v>PC11</x:v>
      </x:c>
      <x:c r="M5" s="35" t="str">
        <x:v>PC12</x:v>
      </x:c>
      <x:c r="N5" s="35" t="str">
        <x:v>PC13</x:v>
      </x:c>
      <x:c r="O5" s="35" t="str">
        <x:v>PC14</x:v>
      </x:c>
      <x:c r="P5" s="35" t="str">
        <x:v>PC15</x:v>
      </x:c>
      <x:c r="Q5" s="35" t="str">
        <x:v>PC16</x:v>
      </x:c>
      <x:c r="R5" s="35" t="str">
        <x:v>PC17</x:v>
      </x:c>
      <x:c r="S5" s="35" t="str">
        <x:v>PC18</x:v>
      </x:c>
      <x:c r="T5" s="35" t="str">
        <x:v>PC19</x:v>
      </x:c>
      <x:c r="U5" s="35" t="str">
        <x:v>PC20</x:v>
      </x:c>
      <x:c r="V5" s="35" t="str">
        <x:v>PC21</x:v>
      </x:c>
      <x:c r="W5" s="35" t="str">
        <x:v>PC22</x:v>
      </x:c>
      <x:c r="X5" s="35" t="str">
        <x:v>PC23</x:v>
      </x:c>
      <x:c r="Y5" s="35" t="str">
        <x:v>PC24</x:v>
      </x:c>
      <x:c r="Z5" s="35" t="str">
        <x:v>PC25</x:v>
      </x:c>
      <x:c r="AA5" s="35" t="str">
        <x:v>PC26</x:v>
      </x:c>
      <x:c r="AB5" s="35" t="str">
        <x:v>PC27</x:v>
      </x:c>
      <x:c r="AC5" s="35" t="str">
        <x:v>PC28</x:v>
      </x:c>
      <x:c r="AD5" s="35" t="str">
        <x:v>PC29</x:v>
      </x:c>
      <x:c r="AE5" s="35" t="str">
        <x:v>PC30</x:v>
      </x:c>
      <x:c r="AF5" s="35" t="str">
        <x:v>PC31</x:v>
      </x:c>
      <x:c r="AG5" s="35" t="str">
        <x:v>PC32</x:v>
      </x:c>
      <x:c r="AH5" s="35" t="str">
        <x:v>PC33</x:v>
      </x:c>
      <x:c r="AI5" s="35" t="str">
        <x:v>PC34</x:v>
      </x:c>
      <x:c r="AJ5" s="35" t="str">
        <x:v>PC35</x:v>
      </x:c>
      <x:c r="AK5" s="35" t="str">
        <x:v>PC36</x:v>
      </x:c>
      <x:c r="AL5" s="35" t="str">
        <x:v>PC37</x:v>
      </x:c>
      <x:c r="AM5" s="35" t="str">
        <x:v>PC38</x:v>
      </x:c>
      <x:c r="AN5" s="35" t="str">
        <x:v>PC39</x:v>
      </x:c>
      <x:c r="AO5" s="35" t="str">
        <x:v>PC40</x:v>
      </x:c>
      <x:c r="AP5" s="35" t="str">
        <x:v>PC41</x:v>
      </x:c>
      <x:c r="AQ5" s="35" t="str">
        <x:v>PC42</x:v>
      </x:c>
      <x:c r="AR5" s="35" t="str">
        <x:v>PC43</x:v>
      </x:c>
    </x:row>
    <x:row r="6" ht="19" customHeight="1">
      <x:c r="A6" s="29" t="str">
        <x:v>VST</x:v>
      </x:c>
      <x:c r="B6" s="38" t="n">
        <x:v>0.0360847705</x:v>
      </x:c>
      <x:c r="C6" s="38" t="n">
        <x:v>-0.0566311731</x:v>
      </x:c>
      <x:c r="D6" s="38" t="n">
        <x:v>-0.0316333252</x:v>
      </x:c>
      <x:c r="E6" s="38" t="n">
        <x:v>-0.0501893107</x:v>
      </x:c>
      <x:c r="F6" s="38" t="n">
        <x:v>0.1934178169</x:v>
      </x:c>
      <x:c r="G6" s="38" t="n">
        <x:v>0.2276223096</x:v>
      </x:c>
      <x:c r="H6" s="38" t="n">
        <x:v>0.1724713802</x:v>
      </x:c>
      <x:c r="I6" s="38" t="n">
        <x:v>0.0568975795</x:v>
      </x:c>
      <x:c r="J6" s="38" t="n">
        <x:v>-0.3060491312</x:v>
      </x:c>
      <x:c r="K6" s="38" t="n">
        <x:v>-0.2650206598</x:v>
      </x:c>
      <x:c r="L6" s="38" t="n">
        <x:v>-0.1495932851</x:v>
      </x:c>
      <x:c r="M6" s="38" t="n">
        <x:v>0.2926368794</x:v>
      </x:c>
      <x:c r="N6" s="38" t="n">
        <x:v>-0.1104615954</x:v>
      </x:c>
      <x:c r="O6" s="38" t="n">
        <x:v>-0.1257519405</x:v>
      </x:c>
      <x:c r="P6" s="38" t="n">
        <x:v>0.294169903</x:v>
      </x:c>
      <x:c r="Q6" s="38" t="n">
        <x:v>-0.2954766104</x:v>
      </x:c>
      <x:c r="R6" s="38" t="n">
        <x:v>-0.01602638</x:v>
      </x:c>
      <x:c r="S6" s="38" t="n">
        <x:v>0.1285680921</x:v>
      </x:c>
      <x:c r="T6" s="38" t="n">
        <x:v>0.0370446665</x:v>
      </x:c>
      <x:c r="U6" s="38" t="n">
        <x:v>-0.194639026</x:v>
      </x:c>
      <x:c r="V6" s="38" t="n">
        <x:v>0.2578085667</x:v>
      </x:c>
      <x:c r="W6" s="38" t="n">
        <x:v>-0.2919633316</x:v>
      </x:c>
      <x:c r="X6" s="38" t="n">
        <x:v>0.1255902738</x:v>
      </x:c>
      <x:c r="Y6" s="38" t="n">
        <x:v>0.0131690986</x:v>
      </x:c>
      <x:c r="Z6" s="38" t="n">
        <x:v>-0.0777501935</x:v>
      </x:c>
      <x:c r="AA6" s="38" t="n">
        <x:v>-0.2085677137</x:v>
      </x:c>
      <x:c r="AB6" s="38" t="n">
        <x:v>-0.0464714791</x:v>
      </x:c>
      <x:c r="AC6" s="38" t="n">
        <x:v>0.0170534505</x:v>
      </x:c>
      <x:c r="AD6" s="38" t="n">
        <x:v>0.0416306702</x:v>
      </x:c>
      <x:c r="AE6" s="38" t="n">
        <x:v>0.044692203</x:v>
      </x:c>
      <x:c r="AF6" s="38" t="n">
        <x:v>-0.1288616803</x:v>
      </x:c>
      <x:c r="AG6" s="38" t="n">
        <x:v>0.0551131803</x:v>
      </x:c>
      <x:c r="AH6" s="38" t="n">
        <x:v>-0.0330260576</x:v>
      </x:c>
      <x:c r="AI6" s="38" t="n">
        <x:v>0.039413916</x:v>
      </x:c>
      <x:c r="AJ6" s="38" t="n">
        <x:v>-0.1821257127</x:v>
      </x:c>
      <x:c r="AK6" s="38" t="n">
        <x:v>-0.0195484986</x:v>
      </x:c>
      <x:c r="AL6" s="38" t="n">
        <x:v>-0.156767143</x:v>
      </x:c>
      <x:c r="AM6" s="38" t="n">
        <x:v>-0.1448204421</x:v>
      </x:c>
      <x:c r="AN6" s="38" t="n">
        <x:v>-0.0047139811</x:v>
      </x:c>
      <x:c r="AO6" s="38" t="n">
        <x:v>0.0589902441</x:v>
      </x:c>
      <x:c r="AP6" s="38" t="n">
        <x:v>-0.0684852075</x:v>
      </x:c>
      <x:c r="AQ6" s="38" t="n">
        <x:v>0.0671315265</x:v>
      </x:c>
      <x:c r="AR6" s="38" t="n">
        <x:v>0.0498018209</x:v>
      </x:c>
    </x:row>
    <x:row r="7" ht="19" customHeight="1">
      <x:c r="A7" s="29" t="str">
        <x:v>VIST</x:v>
      </x:c>
      <x:c r="B7" s="38" t="n">
        <x:v>0.0008043326</x:v>
      </x:c>
      <x:c r="C7" s="38" t="n">
        <x:v>0.1049425515</x:v>
      </x:c>
      <x:c r="D7" s="38" t="n">
        <x:v>-0.093613867</x:v>
      </x:c>
      <x:c r="E7" s="38" t="n">
        <x:v>0.1463385594</x:v>
      </x:c>
      <x:c r="F7" s="38" t="n">
        <x:v>-0.0629348744</x:v>
      </x:c>
      <x:c r="G7" s="38" t="n">
        <x:v>-0.0950218499</x:v>
      </x:c>
      <x:c r="H7" s="38" t="n">
        <x:v>0.3463696033</x:v>
      </x:c>
      <x:c r="I7" s="38" t="n">
        <x:v>0.224784289</x:v>
      </x:c>
      <x:c r="J7" s="38" t="n">
        <x:v>0.1813018225</x:v>
      </x:c>
      <x:c r="K7" s="38" t="n">
        <x:v>0.2178601036</x:v>
      </x:c>
      <x:c r="L7" s="38" t="n">
        <x:v>-0.4383299042</x:v>
      </x:c>
      <x:c r="M7" s="38" t="n">
        <x:v>-0.0627100636</x:v>
      </x:c>
      <x:c r="N7" s="38" t="n">
        <x:v>-0.2101795741</x:v>
      </x:c>
      <x:c r="O7" s="38" t="n">
        <x:v>0.285362003</x:v>
      </x:c>
      <x:c r="P7" s="38" t="n">
        <x:v>-0.1464744067</x:v>
      </x:c>
      <x:c r="Q7" s="38" t="n">
        <x:v>0.1612995804</x:v>
      </x:c>
      <x:c r="R7" s="38" t="n">
        <x:v>0.045524838</x:v>
      </x:c>
      <x:c r="S7" s="38" t="n">
        <x:v>0.0784204352</x:v>
      </x:c>
      <x:c r="T7" s="38" t="n">
        <x:v>0.1881959415</x:v>
      </x:c>
      <x:c r="U7" s="38" t="n">
        <x:v>-0.0435931258</x:v>
      </x:c>
      <x:c r="V7" s="38" t="n">
        <x:v>0.372752524</x:v>
      </x:c>
      <x:c r="W7" s="38" t="n">
        <x:v>0.0692767157</x:v>
      </x:c>
      <x:c r="X7" s="38" t="n">
        <x:v>-0.1413194581</x:v>
      </x:c>
      <x:c r="Y7" s="38" t="n">
        <x:v>0.0732051685</x:v>
      </x:c>
      <x:c r="Z7" s="38" t="n">
        <x:v>0.1466167475</x:v>
      </x:c>
      <x:c r="AA7" s="38" t="n">
        <x:v>-0.0333361956</x:v>
      </x:c>
      <x:c r="AB7" s="38" t="n">
        <x:v>-0.0015052997</x:v>
      </x:c>
      <x:c r="AC7" s="38" t="n">
        <x:v>0.0611426364</x:v>
      </x:c>
      <x:c r="AD7" s="38" t="n">
        <x:v>0.0332856031</x:v>
      </x:c>
      <x:c r="AE7" s="38" t="n">
        <x:v>0.0003780566</x:v>
      </x:c>
      <x:c r="AF7" s="38" t="n">
        <x:v>-0.1231915101</x:v>
      </x:c>
      <x:c r="AG7" s="38" t="n">
        <x:v>0.1814305815</x:v>
      </x:c>
      <x:c r="AH7" s="38" t="n">
        <x:v>-0.0416534854</x:v>
      </x:c>
      <x:c r="AI7" s="38" t="n">
        <x:v>0.1187623717</x:v>
      </x:c>
      <x:c r="AJ7" s="38" t="n">
        <x:v>-0.0517520742</x:v>
      </x:c>
      <x:c r="AK7" s="38" t="n">
        <x:v>0.0242242337</x:v>
      </x:c>
      <x:c r="AL7" s="38" t="n">
        <x:v>-0.1152540341</x:v>
      </x:c>
      <x:c r="AM7" s="38" t="n">
        <x:v>-0.0175586686</x:v>
      </x:c>
      <x:c r="AN7" s="38" t="n">
        <x:v>-0.0162608186</x:v>
      </x:c>
      <x:c r="AO7" s="38" t="n">
        <x:v>-0.0375723353</x:v>
      </x:c>
      <x:c r="AP7" s="38" t="n">
        <x:v>-0.0259051745</x:v>
      </x:c>
      <x:c r="AQ7" s="38" t="n">
        <x:v>-0.0202967805</x:v>
      </x:c>
      <x:c r="AR7" s="38" t="n">
        <x:v>-0.0148416019</x:v>
      </x:c>
    </x:row>
    <x:row r="8" ht="19" customHeight="1">
      <x:c r="A8" s="29" t="str">
        <x:v>AEP</x:v>
      </x:c>
      <x:c r="B8" s="38" t="n">
        <x:v>-0.0400631659</x:v>
      </x:c>
      <x:c r="C8" s="38" t="n">
        <x:v>0.0159574565</x:v>
      </x:c>
      <x:c r="D8" s="38" t="n">
        <x:v>-0.0125811585</x:v>
      </x:c>
      <x:c r="E8" s="38" t="n">
        <x:v>0.0112240751</x:v>
      </x:c>
      <x:c r="F8" s="38" t="n">
        <x:v>-0.0147513987</x:v>
      </x:c>
      <x:c r="G8" s="38" t="n">
        <x:v>0.0160242657</x:v>
      </x:c>
      <x:c r="H8" s="38" t="n">
        <x:v>0.0543252282</x:v>
      </x:c>
      <x:c r="I8" s="38" t="n">
        <x:v>-0.0257357274</x:v>
      </x:c>
      <x:c r="J8" s="38" t="n">
        <x:v>0.0118812819</x:v>
      </x:c>
      <x:c r="K8" s="38" t="n">
        <x:v>0.0524322093</x:v>
      </x:c>
      <x:c r="L8" s="38" t="n">
        <x:v>0.009258261</x:v>
      </x:c>
      <x:c r="M8" s="38" t="n">
        <x:v>-0.145626143</x:v>
      </x:c>
      <x:c r="N8" s="38" t="n">
        <x:v>0.0196291476</x:v>
      </x:c>
      <x:c r="O8" s="38" t="n">
        <x:v>0.0194839539</x:v>
      </x:c>
      <x:c r="P8" s="38" t="n">
        <x:v>-0.0057601242</x:v>
      </x:c>
      <x:c r="Q8" s="38" t="n">
        <x:v>-0.0282001624</x:v>
      </x:c>
      <x:c r="R8" s="38" t="n">
        <x:v>0.117338513</x:v>
      </x:c>
      <x:c r="S8" s="38" t="n">
        <x:v>-0.0168438598</x:v>
      </x:c>
      <x:c r="T8" s="38" t="n">
        <x:v>-0.0456397135</x:v>
      </x:c>
      <x:c r="U8" s="38" t="n">
        <x:v>-0.0399869767</x:v>
      </x:c>
      <x:c r="V8" s="38" t="n">
        <x:v>-0.0864847307</x:v>
      </x:c>
      <x:c r="W8" s="38" t="n">
        <x:v>0.0141094125</x:v>
      </x:c>
      <x:c r="X8" s="38" t="n">
        <x:v>0.1102606329</x:v>
      </x:c>
      <x:c r="Y8" s="38" t="n">
        <x:v>0.0630834043</x:v>
      </x:c>
      <x:c r="Z8" s="38" t="n">
        <x:v>0.0456270975</x:v>
      </x:c>
      <x:c r="AA8" s="38" t="n">
        <x:v>0.1688614687</x:v>
      </x:c>
      <x:c r="AB8" s="38" t="n">
        <x:v>0.0385859831</x:v>
      </x:c>
      <x:c r="AC8" s="38" t="n">
        <x:v>-0.0841617719</x:v>
      </x:c>
      <x:c r="AD8" s="38" t="n">
        <x:v>0.0921169789</x:v>
      </x:c>
      <x:c r="AE8" s="38" t="n">
        <x:v>0.1841049957</x:v>
      </x:c>
      <x:c r="AF8" s="38" t="n">
        <x:v>-0.2659989763</x:v>
      </x:c>
      <x:c r="AG8" s="38" t="n">
        <x:v>-0.1067915646</x:v>
      </x:c>
      <x:c r="AH8" s="38" t="n">
        <x:v>-0.1931323963</x:v>
      </x:c>
      <x:c r="AI8" s="38" t="n">
        <x:v>-0.148011802</x:v>
      </x:c>
      <x:c r="AJ8" s="38" t="n">
        <x:v>0.1799345995</x:v>
      </x:c>
      <x:c r="AK8" s="38" t="n">
        <x:v>0.3148993925</x:v>
      </x:c>
      <x:c r="AL8" s="38" t="n">
        <x:v>-0.1611406494</x:v>
      </x:c>
      <x:c r="AM8" s="38" t="n">
        <x:v>-0.0825140153</x:v>
      </x:c>
      <x:c r="AN8" s="38" t="n">
        <x:v>0.1849201648</x:v>
      </x:c>
      <x:c r="AO8" s="38" t="n">
        <x:v>0.0423732991</x:v>
      </x:c>
      <x:c r="AP8" s="38" t="n">
        <x:v>-0.3095282815</x:v>
      </x:c>
      <x:c r="AQ8" s="38" t="n">
        <x:v>0.18618274</x:v>
      </x:c>
      <x:c r="AR8" s="38" t="n">
        <x:v>0.6105330958</x:v>
      </x:c>
    </x:row>
    <x:row r="9" ht="19" customHeight="1">
      <x:c r="A9" s="29" t="str">
        <x:v>ETR</x:v>
      </x:c>
      <x:c r="B9" s="38" t="n">
        <x:v>-0.0087610737</x:v>
      </x:c>
      <x:c r="C9" s="38" t="n">
        <x:v>0.0554551719</x:v>
      </x:c>
      <x:c r="D9" s="38" t="n">
        <x:v>-0.0242050477</x:v>
      </x:c>
      <x:c r="E9" s="38" t="n">
        <x:v>-0.0142220197</x:v>
      </x:c>
      <x:c r="F9" s="38" t="n">
        <x:v>-0.0172389292</x:v>
      </x:c>
      <x:c r="G9" s="38" t="n">
        <x:v>0.0308295452</x:v>
      </x:c>
      <x:c r="H9" s="38" t="n">
        <x:v>-0.0319745787</x:v>
      </x:c>
      <x:c r="I9" s="38" t="n">
        <x:v>-0.0255628538</x:v>
      </x:c>
      <x:c r="J9" s="38" t="n">
        <x:v>-0.0713991364</x:v>
      </x:c>
      <x:c r="K9" s="38" t="n">
        <x:v>0.025735237</x:v>
      </x:c>
      <x:c r="L9" s="38" t="n">
        <x:v>0.0374061113</x:v>
      </x:c>
      <x:c r="M9" s="38" t="n">
        <x:v>-0.123422598</x:v>
      </x:c>
      <x:c r="N9" s="38" t="n">
        <x:v>-0.0310835591</x:v>
      </x:c>
      <x:c r="O9" s="38" t="n">
        <x:v>-0.0439183225</x:v>
      </x:c>
      <x:c r="P9" s="38" t="n">
        <x:v>-0.0724365314</x:v>
      </x:c>
      <x:c r="Q9" s="38" t="n">
        <x:v>0.0069087824</x:v>
      </x:c>
      <x:c r="R9" s="38" t="n">
        <x:v>0.0113294479</x:v>
      </x:c>
      <x:c r="S9" s="38" t="n">
        <x:v>-0.0455528537</x:v>
      </x:c>
      <x:c r="T9" s="38" t="n">
        <x:v>-0.0846909871</x:v>
      </x:c>
      <x:c r="U9" s="38" t="n">
        <x:v>-0.0543216316</x:v>
      </x:c>
      <x:c r="V9" s="38" t="n">
        <x:v>-0.0578931094</x:v>
      </x:c>
      <x:c r="W9" s="38" t="n">
        <x:v>-0.0385439969</x:v>
      </x:c>
      <x:c r="X9" s="38" t="n">
        <x:v>0.0335887343</x:v>
      </x:c>
      <x:c r="Y9" s="38" t="n">
        <x:v>0.1299625562</x:v>
      </x:c>
      <x:c r="Z9" s="38" t="n">
        <x:v>0.0353916157</x:v>
      </x:c>
      <x:c r="AA9" s="38" t="n">
        <x:v>0.0605865109</x:v>
      </x:c>
      <x:c r="AB9" s="38" t="n">
        <x:v>-0.0847686497</x:v>
      </x:c>
      <x:c r="AC9" s="38" t="n">
        <x:v>-0.2713406956</x:v>
      </x:c>
      <x:c r="AD9" s="38" t="n">
        <x:v>-0.1735420113</x:v>
      </x:c>
      <x:c r="AE9" s="38" t="n">
        <x:v>-0.0021797337</x:v>
      </x:c>
      <x:c r="AF9" s="38" t="n">
        <x:v>-0.0931745762</x:v>
      </x:c>
      <x:c r="AG9" s="38" t="n">
        <x:v>0.0594023224</x:v>
      </x:c>
      <x:c r="AH9" s="38" t="n">
        <x:v>-0.2125431959</x:v>
      </x:c>
      <x:c r="AI9" s="38" t="n">
        <x:v>-0.190978232</x:v>
      </x:c>
      <x:c r="AJ9" s="38" t="n">
        <x:v>-0.1975435036</x:v>
      </x:c>
      <x:c r="AK9" s="38" t="n">
        <x:v>0.4466888544</x:v>
      </x:c>
      <x:c r="AL9" s="38" t="n">
        <x:v>-0.2486378152</x:v>
      </x:c>
      <x:c r="AM9" s="38" t="n">
        <x:v>-0.1658135569</x:v>
      </x:c>
      <x:c r="AN9" s="38" t="n">
        <x:v>0.1417641314</x:v>
      </x:c>
      <x:c r="AO9" s="38" t="n">
        <x:v>-0.0744315178</x:v>
      </x:c>
      <x:c r="AP9" s="38" t="n">
        <x:v>-0.138629539</x:v>
      </x:c>
      <x:c r="AQ9" s="38" t="n">
        <x:v>-0.25260048</x:v>
      </x:c>
      <x:c r="AR9" s="38" t="n">
        <x:v>-0.5302133304</x:v>
      </x:c>
    </x:row>
    <x:row r="10" ht="19" customHeight="1">
      <x:c r="A10" s="29" t="str">
        <x:v>DIS</x:v>
      </x:c>
      <x:c r="B10" s="38" t="n">
        <x:v>-0.0313073768</x:v>
      </x:c>
      <x:c r="C10" s="38" t="n">
        <x:v>-0.0271892839</x:v>
      </x:c>
      <x:c r="D10" s="38" t="n">
        <x:v>0.0210844882</x:v>
      </x:c>
      <x:c r="E10" s="38" t="n">
        <x:v>-0.044577292</x:v>
      </x:c>
      <x:c r="F10" s="38" t="n">
        <x:v>0.0566231902</x:v>
      </x:c>
      <x:c r="G10" s="38" t="n">
        <x:v>0.1137140341</x:v>
      </x:c>
      <x:c r="H10" s="38" t="n">
        <x:v>0.1272604252</x:v>
      </x:c>
      <x:c r="I10" s="38" t="n">
        <x:v>0.1119952858</x:v>
      </x:c>
      <x:c r="J10" s="38" t="n">
        <x:v>0.1379519892</x:v>
      </x:c>
      <x:c r="K10" s="38" t="n">
        <x:v>0.013408408</x:v>
      </x:c>
      <x:c r="L10" s="38" t="n">
        <x:v>0.0771731897</x:v>
      </x:c>
      <x:c r="M10" s="38" t="n">
        <x:v>0.0471388726</x:v>
      </x:c>
      <x:c r="N10" s="38" t="n">
        <x:v>0.1069717466</x:v>
      </x:c>
      <x:c r="O10" s="38" t="n">
        <x:v>-0.1254572497</x:v>
      </x:c>
      <x:c r="P10" s="38" t="n">
        <x:v>-0.2038427411</x:v>
      </x:c>
      <x:c r="Q10" s="38" t="n">
        <x:v>0.0364106797</x:v>
      </x:c>
      <x:c r="R10" s="38" t="n">
        <x:v>0.1357678763</x:v>
      </x:c>
      <x:c r="S10" s="38" t="n">
        <x:v>0.310065228</x:v>
      </x:c>
      <x:c r="T10" s="38" t="n">
        <x:v>-0.0805743041</x:v>
      </x:c>
      <x:c r="U10" s="38" t="n">
        <x:v>-0.1660308549</x:v>
      </x:c>
      <x:c r="V10" s="38" t="n">
        <x:v>0.0716631609</x:v>
      </x:c>
      <x:c r="W10" s="38" t="n">
        <x:v>-0.0590151146</x:v>
      </x:c>
      <x:c r="X10" s="38" t="n">
        <x:v>0.3323363846</x:v>
      </x:c>
      <x:c r="Y10" s="38" t="n">
        <x:v>0.0854368658</x:v>
      </x:c>
      <x:c r="Z10" s="38" t="n">
        <x:v>0.3455788957</x:v>
      </x:c>
      <x:c r="AA10" s="38" t="n">
        <x:v>0.1208332135</x:v>
      </x:c>
      <x:c r="AB10" s="38" t="n">
        <x:v>-0.2950452218</x:v>
      </x:c>
      <x:c r="AC10" s="38" t="n">
        <x:v>0.0422102608</x:v>
      </x:c>
      <x:c r="AD10" s="38" t="n">
        <x:v>0.2243657278</x:v>
      </x:c>
      <x:c r="AE10" s="38" t="n">
        <x:v>0.1681490702</x:v>
      </x:c>
      <x:c r="AF10" s="38" t="n">
        <x:v>0.0670788545</x:v>
      </x:c>
      <x:c r="AG10" s="38" t="n">
        <x:v>-0.2361013008</x:v>
      </x:c>
      <x:c r="AH10" s="38" t="n">
        <x:v>0.1440830337</x:v>
      </x:c>
      <x:c r="AI10" s="38" t="n">
        <x:v>0.0925729252</x:v>
      </x:c>
      <x:c r="AJ10" s="38" t="n">
        <x:v>0.0827916035</x:v>
      </x:c>
      <x:c r="AK10" s="38" t="n">
        <x:v>0.1810745716</x:v>
      </x:c>
      <x:c r="AL10" s="38" t="n">
        <x:v>0.2588899959</x:v>
      </x:c>
      <x:c r="AM10" s="38" t="n">
        <x:v>-0.0188901564</x:v>
      </x:c>
      <x:c r="AN10" s="38" t="n">
        <x:v>-0.2050706629</x:v>
      </x:c>
      <x:c r="AO10" s="38" t="n">
        <x:v>0.1273936732</x:v>
      </x:c>
      <x:c r="AP10" s="38" t="n">
        <x:v>0.0018881321</x:v>
      </x:c>
      <x:c r="AQ10" s="38" t="n">
        <x:v>-0.0590965409</x:v>
      </x:c>
      <x:c r="AR10" s="38" t="n">
        <x:v>-0.1366738704</x:v>
      </x:c>
    </x:row>
    <x:row r="11" ht="19" customHeight="1">
      <x:c r="A11" s="29" t="str">
        <x:v>CMG</x:v>
      </x:c>
      <x:c r="B11" s="38" t="n">
        <x:v>0.1833967312</x:v>
      </x:c>
      <x:c r="C11" s="38" t="n">
        <x:v>-0.0358857293</x:v>
      </x:c>
      <x:c r="D11" s="38" t="n">
        <x:v>0.1158713169</x:v>
      </x:c>
      <x:c r="E11" s="38" t="n">
        <x:v>0.0161199424</x:v>
      </x:c>
      <x:c r="F11" s="38" t="n">
        <x:v>0.0687218627</x:v>
      </x:c>
      <x:c r="G11" s="38" t="n">
        <x:v>0.1219325079</x:v>
      </x:c>
      <x:c r="H11" s="38" t="n">
        <x:v>0.343943116</x:v>
      </x:c>
      <x:c r="I11" s="38" t="n">
        <x:v>0.0562380044</x:v>
      </x:c>
      <x:c r="J11" s="38" t="n">
        <x:v>-0.067752389</x:v>
      </x:c>
      <x:c r="K11" s="38" t="n">
        <x:v>-0.0314896499</x:v>
      </x:c>
      <x:c r="L11" s="38" t="n">
        <x:v>0.0343621649</x:v>
      </x:c>
      <x:c r="M11" s="38" t="n">
        <x:v>0.3259283092</x:v>
      </x:c>
      <x:c r="N11" s="38" t="n">
        <x:v>0.3247305595</x:v>
      </x:c>
      <x:c r="O11" s="38" t="n">
        <x:v>0.0697558483</x:v>
      </x:c>
      <x:c r="P11" s="38" t="n">
        <x:v>-0.3667907092</x:v>
      </x:c>
      <x:c r="Q11" s="38" t="n">
        <x:v>0.104738294</x:v>
      </x:c>
      <x:c r="R11" s="38" t="n">
        <x:v>0.2018421552</x:v>
      </x:c>
      <x:c r="S11" s="38" t="n">
        <x:v>-0.0640842022</x:v>
      </x:c>
      <x:c r="T11" s="38" t="n">
        <x:v>-0.0875331276</x:v>
      </x:c>
      <x:c r="U11" s="38" t="n">
        <x:v>-0.0053496138</x:v>
      </x:c>
      <x:c r="V11" s="38" t="n">
        <x:v>-0.2943957662</x:v>
      </x:c>
      <x:c r="W11" s="38" t="n">
        <x:v>0.0270358321</x:v>
      </x:c>
      <x:c r="X11" s="38" t="n">
        <x:v>0.0040572506</x:v>
      </x:c>
      <x:c r="Y11" s="38" t="n">
        <x:v>0.0693357602</x:v>
      </x:c>
      <x:c r="Z11" s="38" t="n">
        <x:v>-0.0438178091</x:v>
      </x:c>
      <x:c r="AA11" s="38" t="n">
        <x:v>-0.0356378472</x:v>
      </x:c>
      <x:c r="AB11" s="38" t="n">
        <x:v>-0.0308113135</x:v>
      </x:c>
      <x:c r="AC11" s="38" t="n">
        <x:v>0.0217625472</x:v>
      </x:c>
      <x:c r="AD11" s="38" t="n">
        <x:v>-0.3154721576</x:v>
      </x:c>
      <x:c r="AE11" s="38" t="n">
        <x:v>-0.1563236253</x:v>
      </x:c>
      <x:c r="AF11" s="38" t="n">
        <x:v>-0.2981356401</x:v>
      </x:c>
      <x:c r="AG11" s="38" t="n">
        <x:v>0.0751962273</x:v>
      </x:c>
      <x:c r="AH11" s="38" t="n">
        <x:v>0.0279713049</x:v>
      </x:c>
      <x:c r="AI11" s="38" t="n">
        <x:v>0.0062435534</x:v>
      </x:c>
      <x:c r="AJ11" s="38" t="n">
        <x:v>0.0307256137</x:v>
      </x:c>
      <x:c r="AK11" s="38" t="n">
        <x:v>-0.0812621158</x:v>
      </x:c>
      <x:c r="AL11" s="38" t="n">
        <x:v>-0.1211844658</x:v>
      </x:c>
      <x:c r="AM11" s="38" t="n">
        <x:v>-0.0069428814</x:v>
      </x:c>
      <x:c r="AN11" s="38" t="n">
        <x:v>-0.1036793707</x:v>
      </x:c>
      <x:c r="AO11" s="38" t="n">
        <x:v>-0.0538288744</x:v>
      </x:c>
      <x:c r="AP11" s="38" t="n">
        <x:v>0.0916809094</x:v>
      </x:c>
      <x:c r="AQ11" s="38" t="n">
        <x:v>0.1687164748</x:v>
      </x:c>
      <x:c r="AR11" s="38" t="n">
        <x:v>-0.0058918743</x:v>
      </x:c>
    </x:row>
    <x:row r="12" ht="19" customHeight="1">
      <x:c r="A12" s="29" t="str">
        <x:v>AMZN</x:v>
      </x:c>
      <x:c r="B12" s="38" t="n">
        <x:v>-0.0302095804</x:v>
      </x:c>
      <x:c r="C12" s="38" t="n">
        <x:v>0.0283569563</x:v>
      </x:c>
      <x:c r="D12" s="38" t="n">
        <x:v>0.0387837919</x:v>
      </x:c>
      <x:c r="E12" s="38" t="n">
        <x:v>0.0253596299</x:v>
      </x:c>
      <x:c r="F12" s="38" t="n">
        <x:v>-0.0629736521</x:v>
      </x:c>
      <x:c r="G12" s="38" t="n">
        <x:v>0.0502656884</x:v>
      </x:c>
      <x:c r="H12" s="38" t="n">
        <x:v>0.212947772</x:v>
      </x:c>
      <x:c r="I12" s="38" t="n">
        <x:v>0.0377089027</x:v>
      </x:c>
      <x:c r="J12" s="38" t="n">
        <x:v>0.0630930847</x:v>
      </x:c>
      <x:c r="K12" s="38" t="n">
        <x:v>-0.0389005145</x:v>
      </x:c>
      <x:c r="L12" s="38" t="n">
        <x:v>0.1284942752</x:v>
      </x:c>
      <x:c r="M12" s="38" t="n">
        <x:v>-0.029078643</x:v>
      </x:c>
      <x:c r="N12" s="38" t="n">
        <x:v>0.1491043732</x:v>
      </x:c>
      <x:c r="O12" s="38" t="n">
        <x:v>-0.191855243</x:v>
      </x:c>
      <x:c r="P12" s="38" t="n">
        <x:v>0.0231619106</x:v>
      </x:c>
      <x:c r="Q12" s="38" t="n">
        <x:v>-0.0268094174</x:v>
      </x:c>
      <x:c r="R12" s="38" t="n">
        <x:v>-0.0613193978</x:v>
      </x:c>
      <x:c r="S12" s="38" t="n">
        <x:v>-0.0422729976</x:v>
      </x:c>
      <x:c r="T12" s="38" t="n">
        <x:v>0.0671705525</x:v>
      </x:c>
      <x:c r="U12" s="38" t="n">
        <x:v>-0.219821376</x:v>
      </x:c>
      <x:c r="V12" s="38" t="n">
        <x:v>0.1867611041</x:v>
      </x:c>
      <x:c r="W12" s="38" t="n">
        <x:v>0.2590548254</x:v>
      </x:c>
      <x:c r="X12" s="38" t="n">
        <x:v>-0.1246887266</x:v>
      </x:c>
      <x:c r="Y12" s="38" t="n">
        <x:v>0.1394242176</x:v>
      </x:c>
      <x:c r="Z12" s="38" t="n">
        <x:v>-0.1329136916</x:v>
      </x:c>
      <x:c r="AA12" s="38" t="n">
        <x:v>0.1687670151</x:v>
      </x:c>
      <x:c r="AB12" s="38" t="n">
        <x:v>0.0884014361</x:v>
      </x:c>
      <x:c r="AC12" s="38" t="n">
        <x:v>-0.2962081147</x:v>
      </x:c>
      <x:c r="AD12" s="38" t="n">
        <x:v>0.2994506256</x:v>
      </x:c>
      <x:c r="AE12" s="38" t="n">
        <x:v>0.022905082</x:v>
      </x:c>
      <x:c r="AF12" s="38" t="n">
        <x:v>-0.2562387468</x:v>
      </x:c>
      <x:c r="AG12" s="38" t="n">
        <x:v>-0.1471539443</x:v>
      </x:c>
      <x:c r="AH12" s="38" t="n">
        <x:v>0.0989875101</x:v>
      </x:c>
      <x:c r="AI12" s="38" t="n">
        <x:v>-0.3211099178</x:v>
      </x:c>
      <x:c r="AJ12" s="38" t="n">
        <x:v>-0.2237990131</x:v>
      </x:c>
      <x:c r="AK12" s="38" t="n">
        <x:v>-0.2934847192</x:v>
      </x:c>
      <x:c r="AL12" s="38" t="n">
        <x:v>0.0340072779</x:v>
      </x:c>
      <x:c r="AM12" s="38" t="n">
        <x:v>0.2862009301</x:v>
      </x:c>
      <x:c r="AN12" s="38" t="n">
        <x:v>0.0314272871</x:v>
      </x:c>
      <x:c r="AO12" s="38" t="n">
        <x:v>-0.0646177619</x:v>
      </x:c>
      <x:c r="AP12" s="38" t="n">
        <x:v>-0.0433574226</x:v>
      </x:c>
      <x:c r="AQ12" s="38" t="n">
        <x:v>-0.0246727625</x:v>
      </x:c>
      <x:c r="AR12" s="38" t="n">
        <x:v>-0.072897379</x:v>
      </x:c>
    </x:row>
    <x:row r="13" ht="19" customHeight="1">
      <x:c r="A13" s="29" t="str">
        <x:v>FIX</x:v>
      </x:c>
      <x:c r="B13" s="38" t="n">
        <x:v>-0.1308459244</x:v>
      </x:c>
      <x:c r="C13" s="38" t="n">
        <x:v>0.0011081383</x:v>
      </x:c>
      <x:c r="D13" s="38" t="n">
        <x:v>-0.0414119845</x:v>
      </x:c>
      <x:c r="E13" s="38" t="n">
        <x:v>-0.0046970236</x:v>
      </x:c>
      <x:c r="F13" s="38" t="n">
        <x:v>-0.0325468274</x:v>
      </x:c>
      <x:c r="G13" s="38" t="n">
        <x:v>0.2230885259</x:v>
      </x:c>
      <x:c r="H13" s="38" t="n">
        <x:v>0.0464755295</x:v>
      </x:c>
      <x:c r="I13" s="38" t="n">
        <x:v>0.1488220035</x:v>
      </x:c>
      <x:c r="J13" s="38" t="n">
        <x:v>-0.3171490395</x:v>
      </x:c>
      <x:c r="K13" s="38" t="n">
        <x:v>0.0320593754</x:v>
      </x:c>
      <x:c r="L13" s="38" t="n">
        <x:v>-0.2712095483</x:v>
      </x:c>
      <x:c r="M13" s="38" t="n">
        <x:v>-0.2399387115</x:v>
      </x:c>
      <x:c r="N13" s="38" t="n">
        <x:v>0.0047472057</x:v>
      </x:c>
      <x:c r="O13" s="38" t="n">
        <x:v>-0.1177304743</x:v>
      </x:c>
      <x:c r="P13" s="38" t="n">
        <x:v>0.2532230074</x:v>
      </x:c>
      <x:c r="Q13" s="38" t="n">
        <x:v>0.0944101626</x:v>
      </x:c>
      <x:c r="R13" s="38" t="n">
        <x:v>0.1134003322</x:v>
      </x:c>
      <x:c r="S13" s="38" t="n">
        <x:v>-0.1231750606</x:v>
      </x:c>
      <x:c r="T13" s="38" t="n">
        <x:v>0.0490720896</x:v>
      </x:c>
      <x:c r="U13" s="38" t="n">
        <x:v>0.2757491286</x:v>
      </x:c>
      <x:c r="V13" s="38" t="n">
        <x:v>-0.2746992924</x:v>
      </x:c>
      <x:c r="W13" s="38" t="n">
        <x:v>-0.0788689095</x:v>
      </x:c>
      <x:c r="X13" s="38" t="n">
        <x:v>-0.0404160618</x:v>
      </x:c>
      <x:c r="Y13" s="38" t="n">
        <x:v>0.0964140162</x:v>
      </x:c>
      <x:c r="Z13" s="38" t="n">
        <x:v>0.3757058904</x:v>
      </x:c>
      <x:c r="AA13" s="38" t="n">
        <x:v>0.1546985037</x:v>
      </x:c>
      <x:c r="AB13" s="38" t="n">
        <x:v>-0.037268185</x:v>
      </x:c>
      <x:c r="AC13" s="38" t="n">
        <x:v>0.1589918603</x:v>
      </x:c>
      <x:c r="AD13" s="38" t="n">
        <x:v>0.11962544</x:v>
      </x:c>
      <x:c r="AE13" s="38" t="n">
        <x:v>-0.2336659409</x:v>
      </x:c>
      <x:c r="AF13" s="38" t="n">
        <x:v>-0.1460687851</x:v>
      </x:c>
      <x:c r="AG13" s="38" t="n">
        <x:v>0.0028457625</x:v>
      </x:c>
      <x:c r="AH13" s="38" t="n">
        <x:v>0.1467766373</x:v>
      </x:c>
      <x:c r="AI13" s="38" t="n">
        <x:v>-0.2036600951</x:v>
      </x:c>
      <x:c r="AJ13" s="38" t="n">
        <x:v>-0.1021947543</x:v>
      </x:c>
      <x:c r="AK13" s="38" t="n">
        <x:v>-0.068395044</x:v>
      </x:c>
      <x:c r="AL13" s="38" t="n">
        <x:v>0.1023170382</x:v>
      </x:c>
      <x:c r="AM13" s="38" t="n">
        <x:v>-0.0422852803</x:v>
      </x:c>
      <x:c r="AN13" s="38" t="n">
        <x:v>0.0077467796</x:v>
      </x:c>
      <x:c r="AO13" s="38" t="n">
        <x:v>-0.0061425479</x:v>
      </x:c>
      <x:c r="AP13" s="38" t="n">
        <x:v>0.1201401346</x:v>
      </x:c>
      <x:c r="AQ13" s="38" t="n">
        <x:v>-0.0170694308</x:v>
      </x:c>
      <x:c r="AR13" s="38" t="n">
        <x:v>-0.0058330198</x:v>
      </x:c>
    </x:row>
    <x:row r="14" ht="19" customHeight="1">
      <x:c r="A14" s="29" t="str">
        <x:v>STX</x:v>
      </x:c>
      <x:c r="B14" s="38" t="n">
        <x:v>-0.3525463922</x:v>
      </x:c>
      <x:c r="C14" s="38" t="n">
        <x:v>0.1781072098</x:v>
      </x:c>
      <x:c r="D14" s="38" t="n">
        <x:v>0.0503489698</x:v>
      </x:c>
      <x:c r="E14" s="38" t="n">
        <x:v>-0.1186395245</x:v>
      </x:c>
      <x:c r="F14" s="38" t="n">
        <x:v>-0.0178144434</x:v>
      </x:c>
      <x:c r="G14" s="38" t="n">
        <x:v>0.1649019517</x:v>
      </x:c>
      <x:c r="H14" s="38" t="n">
        <x:v>-0.0180428335</x:v>
      </x:c>
      <x:c r="I14" s="38" t="n">
        <x:v>-0.0432880948</x:v>
      </x:c>
      <x:c r="J14" s="38" t="n">
        <x:v>0.2004240923</x:v>
      </x:c>
      <x:c r="K14" s="38" t="n">
        <x:v>-0.0398585615</x:v>
      </x:c>
      <x:c r="L14" s="38" t="n">
        <x:v>0.0386974152</x:v>
      </x:c>
      <x:c r="M14" s="38" t="n">
        <x:v>-0.2015339593</x:v>
      </x:c>
      <x:c r="N14" s="38" t="n">
        <x:v>-0.0503210534</x:v>
      </x:c>
      <x:c r="O14" s="38" t="n">
        <x:v>-0.1375669799</x:v>
      </x:c>
      <x:c r="P14" s="38" t="n">
        <x:v>-0.1299875649</x:v>
      </x:c>
      <x:c r="Q14" s="38" t="n">
        <x:v>0.0439505207</x:v>
      </x:c>
      <x:c r="R14" s="38" t="n">
        <x:v>0.0700452578</x:v>
      </x:c>
      <x:c r="S14" s="38" t="n">
        <x:v>0.0791618881</x:v>
      </x:c>
      <x:c r="T14" s="38" t="n">
        <x:v>-0.2925528183</x:v>
      </x:c>
      <x:c r="U14" s="38" t="n">
        <x:v>0.0820291016</x:v>
      </x:c>
      <x:c r="V14" s="38" t="n">
        <x:v>0.149902453</x:v>
      </x:c>
      <x:c r="W14" s="38" t="n">
        <x:v>-0.0972411502</x:v>
      </x:c>
      <x:c r="X14" s="38" t="n">
        <x:v>-0.1955370141</x:v>
      </x:c>
      <x:c r="Y14" s="38" t="n">
        <x:v>0.232890666</x:v>
      </x:c>
      <x:c r="Z14" s="38" t="n">
        <x:v>-0.2496577891</x:v>
      </x:c>
      <x:c r="AA14" s="38" t="n">
        <x:v>-0.2731674438</x:v>
      </x:c>
      <x:c r="AB14" s="38" t="n">
        <x:v>0.0221365353</x:v>
      </x:c>
      <x:c r="AC14" s="38" t="n">
        <x:v>0.3438824055</x:v>
      </x:c>
      <x:c r="AD14" s="38" t="n">
        <x:v>-0.0607137881</x:v>
      </x:c>
      <x:c r="AE14" s="38" t="n">
        <x:v>0.0852310089</x:v>
      </x:c>
      <x:c r="AF14" s="38" t="n">
        <x:v>-0.1445995358</x:v>
      </x:c>
      <x:c r="AG14" s="38" t="n">
        <x:v>-0.1690404134</x:v>
      </x:c>
      <x:c r="AH14" s="38" t="n">
        <x:v>0.2115299401</x:v>
      </x:c>
      <x:c r="AI14" s="38" t="n">
        <x:v>-0.0685365974</x:v>
      </x:c>
      <x:c r="AJ14" s="38" t="n">
        <x:v>0.0196955216</x:v>
      </x:c>
      <x:c r="AK14" s="38" t="n">
        <x:v>0.0191497603</x:v>
      </x:c>
      <x:c r="AL14" s="38" t="n">
        <x:v>-0.0715098482</x:v>
      </x:c>
      <x:c r="AM14" s="38" t="n">
        <x:v>-0.1464966109</x:v>
      </x:c>
      <x:c r="AN14" s="38" t="n">
        <x:v>0.1099495632</x:v>
      </x:c>
      <x:c r="AO14" s="38" t="n">
        <x:v>-0.0793841488</x:v>
      </x:c>
      <x:c r="AP14" s="38" t="n">
        <x:v>0.0882289646</x:v>
      </x:c>
      <x:c r="AQ14" s="38" t="n">
        <x:v>0.1488314554</x:v>
      </x:c>
      <x:c r="AR14" s="38" t="n">
        <x:v>-0.0663114614</x:v>
      </x:c>
    </x:row>
    <x:row r="15" ht="19" customHeight="1">
      <x:c r="A15" s="29" t="str">
        <x:v>VLO</x:v>
      </x:c>
      <x:c r="B15" s="38" t="n">
        <x:v>0.0017922811</x:v>
      </x:c>
      <x:c r="C15" s="38" t="n">
        <x:v>-0.0620165272</x:v>
      </x:c>
      <x:c r="D15" s="38" t="n">
        <x:v>0.0514918648</x:v>
      </x:c>
      <x:c r="E15" s="38" t="n">
        <x:v>0.1311773159</x:v>
      </x:c>
      <x:c r="F15" s="38" t="n">
        <x:v>-0.1226721611</x:v>
      </x:c>
      <x:c r="G15" s="38" t="n">
        <x:v>0.1476631134</x:v>
      </x:c>
      <x:c r="H15" s="38" t="n">
        <x:v>-0.1289107519</x:v>
      </x:c>
      <x:c r="I15" s="38" t="n">
        <x:v>-0.0932699041</x:v>
      </x:c>
      <x:c r="J15" s="38" t="n">
        <x:v>-0.0111478143</x:v>
      </x:c>
      <x:c r="K15" s="38" t="n">
        <x:v>-0.2055999132</x:v>
      </x:c>
      <x:c r="L15" s="38" t="n">
        <x:v>0.0205921395</x:v>
      </x:c>
      <x:c r="M15" s="38" t="n">
        <x:v>-0.0116062949</x:v>
      </x:c>
      <x:c r="N15" s="38" t="n">
        <x:v>-0.2253749837</x:v>
      </x:c>
      <x:c r="O15" s="38" t="n">
        <x:v>-0.0145717555</x:v>
      </x:c>
      <x:c r="P15" s="38" t="n">
        <x:v>-0.0337633883</x:v>
      </x:c>
      <x:c r="Q15" s="38" t="n">
        <x:v>-0.1348639925</x:v>
      </x:c>
      <x:c r="R15" s="38" t="n">
        <x:v>-0.0510157469</x:v>
      </x:c>
      <x:c r="S15" s="38" t="n">
        <x:v>0.0429252133</x:v>
      </x:c>
      <x:c r="T15" s="38" t="n">
        <x:v>0.1713463892</x:v>
      </x:c>
      <x:c r="U15" s="38" t="n">
        <x:v>-0.0424454389</x:v>
      </x:c>
      <x:c r="V15" s="38" t="n">
        <x:v>0.1431391563</x:v>
      </x:c>
      <x:c r="W15" s="38" t="n">
        <x:v>0.3819405923</x:v>
      </x:c>
      <x:c r="X15" s="38" t="n">
        <x:v>0.3444429917</x:v>
      </x:c>
      <x:c r="Y15" s="38" t="n">
        <x:v>0.187137193</x:v>
      </x:c>
      <x:c r="Z15" s="38" t="n">
        <x:v>-0.0758909415</x:v>
      </x:c>
      <x:c r="AA15" s="38" t="n">
        <x:v>0.2299251672</x:v>
      </x:c>
      <x:c r="AB15" s="38" t="n">
        <x:v>0.1697009903</x:v>
      </x:c>
      <x:c r="AC15" s="38" t="n">
        <x:v>0.3453750714</x:v>
      </x:c>
      <x:c r="AD15" s="38" t="n">
        <x:v>-0.2838317907</x:v>
      </x:c>
      <x:c r="AE15" s="38" t="n">
        <x:v>-0.161887214</x:v>
      </x:c>
      <x:c r="AF15" s="38" t="n">
        <x:v>-0.1364640129</x:v>
      </x:c>
      <x:c r="AG15" s="38" t="n">
        <x:v>0.1435211842</x:v>
      </x:c>
      <x:c r="AH15" s="38" t="n">
        <x:v>0.1239053517</x:v>
      </x:c>
      <x:c r="AI15" s="38" t="n">
        <x:v>-0.0994669161</x:v>
      </x:c>
      <x:c r="AJ15" s="38" t="n">
        <x:v>0.0976747103</x:v>
      </x:c>
      <x:c r="AK15" s="38" t="n">
        <x:v>0.0997965794</x:v>
      </x:c>
      <x:c r="AL15" s="38" t="n">
        <x:v>0.0578404152</x:v>
      </x:c>
      <x:c r="AM15" s="38" t="n">
        <x:v>0.0605796075</x:v>
      </x:c>
      <x:c r="AN15" s="38" t="n">
        <x:v>-0.1483392275</x:v>
      </x:c>
      <x:c r="AO15" s="38" t="n">
        <x:v>0.0559348078</x:v>
      </x:c>
      <x:c r="AP15" s="38" t="n">
        <x:v>-0.1035528199</x:v>
      </x:c>
      <x:c r="AQ15" s="38" t="n">
        <x:v>-0.0632814511</x:v>
      </x:c>
      <x:c r="AR15" s="38" t="n">
        <x:v>-0.0296550086</x:v>
      </x:c>
    </x:row>
    <x:row r="16" ht="19" customHeight="1">
      <x:c r="A16" s="29" t="str">
        <x:v>CF</x:v>
      </x:c>
      <x:c r="B16" s="38" t="n">
        <x:v>0.0442111243</x:v>
      </x:c>
      <x:c r="C16" s="38" t="n">
        <x:v>-0.0630907465</x:v>
      </x:c>
      <x:c r="D16" s="38" t="n">
        <x:v>-0.0298843207</x:v>
      </x:c>
      <x:c r="E16" s="38" t="n">
        <x:v>0.2114634791</x:v>
      </x:c>
      <x:c r="F16" s="38" t="n">
        <x:v>-0.1069284293</x:v>
      </x:c>
      <x:c r="G16" s="38" t="n">
        <x:v>0.1430003828</x:v>
      </x:c>
      <x:c r="H16" s="38" t="n">
        <x:v>0.1424319934</x:v>
      </x:c>
      <x:c r="I16" s="38" t="n">
        <x:v>-0.0209583065</x:v>
      </x:c>
      <x:c r="J16" s="38" t="n">
        <x:v>-0.0635391437</x:v>
      </x:c>
      <x:c r="K16" s="38" t="n">
        <x:v>-0.1915763234</x:v>
      </x:c>
      <x:c r="L16" s="38" t="n">
        <x:v>-0.1075604822</x:v>
      </x:c>
      <x:c r="M16" s="38" t="n">
        <x:v>0.0157756977</x:v>
      </x:c>
      <x:c r="N16" s="38" t="n">
        <x:v>-0.2770475244</x:v>
      </x:c>
      <x:c r="O16" s="38" t="n">
        <x:v>-0.3027996863</x:v>
      </x:c>
      <x:c r="P16" s="38" t="n">
        <x:v>-0.098128171</x:v>
      </x:c>
      <x:c r="Q16" s="38" t="n">
        <x:v>0.2840897896</x:v>
      </x:c>
      <x:c r="R16" s="38" t="n">
        <x:v>0.0982352498</x:v>
      </x:c>
      <x:c r="S16" s="38" t="n">
        <x:v>0.2198440515</x:v>
      </x:c>
      <x:c r="T16" s="38" t="n">
        <x:v>-0.0631519948</x:v>
      </x:c>
      <x:c r="U16" s="38" t="n">
        <x:v>0.1561018023</x:v>
      </x:c>
      <x:c r="V16" s="38" t="n">
        <x:v>-0.0069533029</x:v>
      </x:c>
      <x:c r="W16" s="38" t="n">
        <x:v>0.0859135005</x:v>
      </x:c>
      <x:c r="X16" s="38" t="n">
        <x:v>0.0299439844</x:v>
      </x:c>
      <x:c r="Y16" s="38" t="n">
        <x:v>-0.1101795354</x:v>
      </x:c>
      <x:c r="Z16" s="38" t="n">
        <x:v>-0.0023892411</x:v>
      </x:c>
      <x:c r="AA16" s="38" t="n">
        <x:v>-0.0931722166</x:v>
      </x:c>
      <x:c r="AB16" s="38" t="n">
        <x:v>0.3671690696</x:v>
      </x:c>
      <x:c r="AC16" s="38" t="n">
        <x:v>-0.3248732735</x:v>
      </x:c>
      <x:c r="AD16" s="38" t="n">
        <x:v>-0.0284552461</x:v>
      </x:c>
      <x:c r="AE16" s="38" t="n">
        <x:v>-0.1787760691</x:v>
      </x:c>
      <x:c r="AF16" s="38" t="n">
        <x:v>0.2308819017</x:v>
      </x:c>
      <x:c r="AG16" s="38" t="n">
        <x:v>-0.3148202306</x:v>
      </x:c>
      <x:c r="AH16" s="38" t="n">
        <x:v>-0.0063875322</x:v>
      </x:c>
      <x:c r="AI16" s="38" t="n">
        <x:v>0.0985709851</x:v>
      </x:c>
      <x:c r="AJ16" s="38" t="n">
        <x:v>0.0561914355</x:v>
      </x:c>
      <x:c r="AK16" s="38" t="n">
        <x:v>0.0807971708</x:v>
      </x:c>
      <x:c r="AL16" s="38" t="n">
        <x:v>-0.1127538695</x:v>
      </x:c>
      <x:c r="AM16" s="38" t="n">
        <x:v>0.0079481084</x:v>
      </x:c>
      <x:c r="AN16" s="38" t="n">
        <x:v>0.0019550431</x:v>
      </x:c>
      <x:c r="AO16" s="38" t="n">
        <x:v>-0.0003995125</x:v>
      </x:c>
      <x:c r="AP16" s="38" t="n">
        <x:v>0.0533142905</x:v>
      </x:c>
      <x:c r="AQ16" s="38" t="n">
        <x:v>0.0879471154</x:v>
      </x:c>
      <x:c r="AR16" s="38" t="n">
        <x:v>0.0259855446</x:v>
      </x:c>
    </x:row>
    <x:row r="17" ht="19" customHeight="1">
      <x:c r="A17" s="29" t="str">
        <x:v>NTR</x:v>
      </x:c>
      <x:c r="B17" s="38" t="n">
        <x:v>0.0379294992</x:v>
      </x:c>
      <x:c r="C17" s="38" t="n">
        <x:v>-0.0378062504</x:v>
      </x:c>
      <x:c r="D17" s="38" t="n">
        <x:v>-0.0138713638</x:v>
      </x:c>
      <x:c r="E17" s="38" t="n">
        <x:v>0.0830752565</x:v>
      </x:c>
      <x:c r="F17" s="38" t="n">
        <x:v>0.0082718324</x:v>
      </x:c>
      <x:c r="G17" s="38" t="n">
        <x:v>0.049816428</x:v>
      </x:c>
      <x:c r="H17" s="38" t="n">
        <x:v>0.1299197061</x:v>
      </x:c>
      <x:c r="I17" s="38" t="n">
        <x:v>0.0683100629</x:v>
      </x:c>
      <x:c r="J17" s="38" t="n">
        <x:v>-0.0026878113</x:v>
      </x:c>
      <x:c r="K17" s="38" t="n">
        <x:v>-0.068764566</x:v>
      </x:c>
      <x:c r="L17" s="38" t="n">
        <x:v>-0.0277774458</x:v>
      </x:c>
      <x:c r="M17" s="38" t="n">
        <x:v>-0.0100736038</x:v>
      </x:c>
      <x:c r="N17" s="38" t="n">
        <x:v>-0.3508100265</x:v>
      </x:c>
      <x:c r="O17" s="38" t="n">
        <x:v>-0.1238080517</x:v>
      </x:c>
      <x:c r="P17" s="38" t="n">
        <x:v>-0.0865504543</x:v>
      </x:c>
      <x:c r="Q17" s="38" t="n">
        <x:v>0.1112138422</x:v>
      </x:c>
      <x:c r="R17" s="38" t="n">
        <x:v>0.0779551469</x:v>
      </x:c>
      <x:c r="S17" s="38" t="n">
        <x:v>0.1746072907</x:v>
      </x:c>
      <x:c r="T17" s="38" t="n">
        <x:v>-0.2037792411</x:v>
      </x:c>
      <x:c r="U17" s="38" t="n">
        <x:v>-0.1406631091</x:v>
      </x:c>
      <x:c r="V17" s="38" t="n">
        <x:v>-0.2103291337</x:v>
      </x:c>
      <x:c r="W17" s="38" t="n">
        <x:v>-0.0704077284</x:v>
      </x:c>
      <x:c r="X17" s="38" t="n">
        <x:v>-0.0862250539</x:v>
      </x:c>
      <x:c r="Y17" s="38" t="n">
        <x:v>-0.0974492744</x:v>
      </x:c>
      <x:c r="Z17" s="38" t="n">
        <x:v>-0.1032446916</x:v>
      </x:c>
      <x:c r="AA17" s="38" t="n">
        <x:v>0.2699306942</x:v>
      </x:c>
      <x:c r="AB17" s="38" t="n">
        <x:v>-0.1239213547</x:v>
      </x:c>
      <x:c r="AC17" s="38" t="n">
        <x:v>0.0822672878</x:v>
      </x:c>
      <x:c r="AD17" s="38" t="n">
        <x:v>-0.1740139609</x:v>
      </x:c>
      <x:c r="AE17" s="38" t="n">
        <x:v>0.412120801</x:v>
      </x:c>
      <x:c r="AF17" s="38" t="n">
        <x:v>0.2016859998</x:v>
      </x:c>
      <x:c r="AG17" s="38" t="n">
        <x:v>0.2858117979</x:v>
      </x:c>
      <x:c r="AH17" s="38" t="n">
        <x:v>-0.0646769591</x:v>
      </x:c>
      <x:c r="AI17" s="38" t="n">
        <x:v>-0.2946232457</x:v>
      </x:c>
      <x:c r="AJ17" s="38" t="n">
        <x:v>-0.0911709352</x:v>
      </x:c>
      <x:c r="AK17" s="38" t="n">
        <x:v>-0.2370776455</x:v>
      </x:c>
      <x:c r="AL17" s="38" t="n">
        <x:v>0.089307979</x:v>
      </x:c>
      <x:c r="AM17" s="38" t="n">
        <x:v>-0.037464532</x:v>
      </x:c>
      <x:c r="AN17" s="38" t="n">
        <x:v>0.0312974966</x:v>
      </x:c>
      <x:c r="AO17" s="38" t="n">
        <x:v>-0.1093234735</x:v>
      </x:c>
      <x:c r="AP17" s="38" t="n">
        <x:v>0.0641580852</x:v>
      </x:c>
      <x:c r="AQ17" s="38" t="n">
        <x:v>-0.1224407281</x:v>
      </x:c>
      <x:c r="AR17" s="38" t="n">
        <x:v>0.1140859069</x:v>
      </x:c>
    </x:row>
    <x:row r="18" ht="19" customHeight="1">
      <x:c r="A18" s="29" t="str">
        <x:v>LNN</x:v>
      </x:c>
      <x:c r="B18" s="38" t="n">
        <x:v>0.0493503104</x:v>
      </x:c>
      <x:c r="C18" s="38" t="n">
        <x:v>-0.0115483605</x:v>
      </x:c>
      <x:c r="D18" s="38" t="n">
        <x:v>-0.0543803899</x:v>
      </x:c>
      <x:c r="E18" s="38" t="n">
        <x:v>0.0600353025</x:v>
      </x:c>
      <x:c r="F18" s="38" t="n">
        <x:v>0.1049486268</x:v>
      </x:c>
      <x:c r="G18" s="38" t="n">
        <x:v>0.0656372203</x:v>
      </x:c>
      <x:c r="H18" s="38" t="n">
        <x:v>-0.104656423</x:v>
      </x:c>
      <x:c r="I18" s="38" t="n">
        <x:v>-0.034757461</x:v>
      </x:c>
      <x:c r="J18" s="38" t="n">
        <x:v>-0.0427836145</x:v>
      </x:c>
      <x:c r="K18" s="38" t="n">
        <x:v>0.0380060436</x:v>
      </x:c>
      <x:c r="L18" s="38" t="n">
        <x:v>0.041487294</x:v>
      </x:c>
      <x:c r="M18" s="38" t="n">
        <x:v>-0.0747038572</x:v>
      </x:c>
      <x:c r="N18" s="38" t="n">
        <x:v>-0.030435176</x:v>
      </x:c>
      <x:c r="O18" s="38" t="n">
        <x:v>-0.0187844245</x:v>
      </x:c>
      <x:c r="P18" s="38" t="n">
        <x:v>0.0015810761</x:v>
      </x:c>
      <x:c r="Q18" s="38" t="n">
        <x:v>0.1783673629</x:v>
      </x:c>
      <x:c r="R18" s="38" t="n">
        <x:v>0.1580491437</x:v>
      </x:c>
      <x:c r="S18" s="38" t="n">
        <x:v>-0.1464311096</x:v>
      </x:c>
      <x:c r="T18" s="38" t="n">
        <x:v>-0.278151321</x:v>
      </x:c>
      <x:c r="U18" s="38" t="n">
        <x:v>-0.1017299383</x:v>
      </x:c>
      <x:c r="V18" s="38" t="n">
        <x:v>-0.1484676709</x:v>
      </x:c>
      <x:c r="W18" s="38" t="n">
        <x:v>0.2142149973</x:v>
      </x:c>
      <x:c r="X18" s="38" t="n">
        <x:v>0.2278951411</x:v>
      </x:c>
      <x:c r="Y18" s="38" t="n">
        <x:v>-0.1056228256</x:v>
      </x:c>
      <x:c r="Z18" s="38" t="n">
        <x:v>0.0166510379</x:v>
      </x:c>
      <x:c r="AA18" s="38" t="n">
        <x:v>-0.2122920221</x:v>
      </x:c>
      <x:c r="AB18" s="38" t="n">
        <x:v>0.2446237693</x:v>
      </x:c>
      <x:c r="AC18" s="38" t="n">
        <x:v>0.113426148</x:v>
      </x:c>
      <x:c r="AD18" s="38" t="n">
        <x:v>0.4355451401</x:v>
      </x:c>
      <x:c r="AE18" s="38" t="n">
        <x:v>0.1895841862</x:v>
      </x:c>
      <x:c r="AF18" s="38" t="n">
        <x:v>-0.0823219305</x:v>
      </x:c>
      <x:c r="AG18" s="38" t="n">
        <x:v>0.3952883481</x:v>
      </x:c>
      <x:c r="AH18" s="38" t="n">
        <x:v>0.0997395108</x:v>
      </x:c>
      <x:c r="AI18" s="38" t="n">
        <x:v>0.1774505012</x:v>
      </x:c>
      <x:c r="AJ18" s="38" t="n">
        <x:v>-0.1499005027</x:v>
      </x:c>
      <x:c r="AK18" s="38" t="n">
        <x:v>0.0537766209</x:v>
      </x:c>
      <x:c r="AL18" s="38" t="n">
        <x:v>-0.2044721014</x:v>
      </x:c>
      <x:c r="AM18" s="38" t="n">
        <x:v>0.1205794071</x:v>
      </x:c>
      <x:c r="AN18" s="38" t="n">
        <x:v>-0.085438132</x:v>
      </x:c>
      <x:c r="AO18" s="38" t="n">
        <x:v>0.0485800121</x:v>
      </x:c>
      <x:c r="AP18" s="38" t="n">
        <x:v>-0.0182142969</x:v>
      </x:c>
      <x:c r="AQ18" s="38" t="n">
        <x:v>0.0627947603</x:v>
      </x:c>
      <x:c r="AR18" s="38" t="n">
        <x:v>-0.1036653108</x:v>
      </x:c>
    </x:row>
    <x:row r="19" ht="19" customHeight="1">
      <x:c r="A19" s="29" t="str">
        <x:v>WDC</x:v>
      </x:c>
      <x:c r="B19" s="38" t="n">
        <x:v>-0.4071317673</x:v>
      </x:c>
      <x:c r="C19" s="38" t="n">
        <x:v>0.293051654</x:v>
      </x:c>
      <x:c r="D19" s="38" t="n">
        <x:v>0.1110384335</x:v>
      </x:c>
      <x:c r="E19" s="38" t="n">
        <x:v>-0.1548315257</x:v>
      </x:c>
      <x:c r="F19" s="38" t="n">
        <x:v>0.0534903121</x:v>
      </x:c>
      <x:c r="G19" s="38" t="n">
        <x:v>0.1266248186</x:v>
      </x:c>
      <x:c r="H19" s="38" t="n">
        <x:v>-0.0448610778</x:v>
      </x:c>
      <x:c r="I19" s="38" t="n">
        <x:v>0.0238953791</x:v>
      </x:c>
      <x:c r="J19" s="38" t="n">
        <x:v>-0.016186954</x:v>
      </x:c>
      <x:c r="K19" s="38" t="n">
        <x:v>-0.0027246193</x:v>
      </x:c>
      <x:c r="L19" s="38" t="n">
        <x:v>-0.2111131064</x:v>
      </x:c>
      <x:c r="M19" s="38" t="n">
        <x:v>-0.18840055</x:v>
      </x:c>
      <x:c r="N19" s="38" t="n">
        <x:v>-0.017303542</x:v>
      </x:c>
      <x:c r="O19" s="38" t="n">
        <x:v>-0.0738147153</x:v>
      </x:c>
      <x:c r="P19" s="38" t="n">
        <x:v>-0.1291900484</x:v>
      </x:c>
      <x:c r="Q19" s="38" t="n">
        <x:v>-0.1457577872</x:v>
      </x:c>
      <x:c r="R19" s="38" t="n">
        <x:v>0.159179519</x:v>
      </x:c>
      <x:c r="S19" s="38" t="n">
        <x:v>-0.0876422893</x:v>
      </x:c>
      <x:c r="T19" s="38" t="n">
        <x:v>0.0755757365</x:v>
      </x:c>
      <x:c r="U19" s="38" t="n">
        <x:v>-0.0731738872</x:v>
      </x:c>
      <x:c r="V19" s="38" t="n">
        <x:v>-0.0191911575</x:v>
      </x:c>
      <x:c r="W19" s="38" t="n">
        <x:v>0.1400670738</x:v>
      </x:c>
      <x:c r="X19" s="38" t="n">
        <x:v>0.2351740003</x:v>
      </x:c>
      <x:c r="Y19" s="38" t="n">
        <x:v>-0.2266618083</x:v>
      </x:c>
      <x:c r="Z19" s="38" t="n">
        <x:v>-0.0887076677</x:v>
      </x:c>
      <x:c r="AA19" s="38" t="n">
        <x:v>-0.0880737373</x:v>
      </x:c>
      <x:c r="AB19" s="38" t="n">
        <x:v>-0.30470314</x:v>
      </x:c>
      <x:c r="AC19" s="38" t="n">
        <x:v>-0.3336728922</x:v>
      </x:c>
      <x:c r="AD19" s="38" t="n">
        <x:v>-0.184010374</x:v>
      </x:c>
      <x:c r="AE19" s="38" t="n">
        <x:v>-0.1044817911</x:v>
      </x:c>
      <x:c r="AF19" s="38" t="n">
        <x:v>0.1136428095</x:v>
      </x:c>
      <x:c r="AG19" s="38" t="n">
        <x:v>0.1552052022</x:v>
      </x:c>
      <x:c r="AH19" s="38" t="n">
        <x:v>0.0331054333</x:v>
      </x:c>
      <x:c r="AI19" s="38" t="n">
        <x:v>0.0615825554</x:v>
      </x:c>
      <x:c r="AJ19" s="38" t="n">
        <x:v>0.0301019338</x:v>
      </x:c>
      <x:c r="AK19" s="38" t="n">
        <x:v>-0.1189887043</x:v>
      </x:c>
      <x:c r="AL19" s="38" t="n">
        <x:v>-0.0836313672</x:v>
      </x:c>
      <x:c r="AM19" s="38" t="n">
        <x:v>0.1999250392</x:v>
      </x:c>
      <x:c r="AN19" s="38" t="n">
        <x:v>-0.0400039916</x:v>
      </x:c>
      <x:c r="AO19" s="38" t="n">
        <x:v>0.1209606785</x:v>
      </x:c>
      <x:c r="AP19" s="38" t="n">
        <x:v>0.0161786896</x:v>
      </x:c>
      <x:c r="AQ19" s="38" t="n">
        <x:v>0.0541632783</x:v>
      </x:c>
      <x:c r="AR19" s="38" t="n">
        <x:v>0.0887738767</x:v>
      </x:c>
    </x:row>
    <x:row r="20" ht="19" customHeight="1">
      <x:c r="A20" s="29" t="str">
        <x:v>ASND</x:v>
      </x:c>
      <x:c r="B20" s="38" t="n">
        <x:v>0.0284525013</x:v>
      </x:c>
      <x:c r="C20" s="38" t="n">
        <x:v>-0.0921437502</x:v>
      </x:c>
      <x:c r="D20" s="38" t="n">
        <x:v>-0.0836601028</x:v>
      </x:c>
      <x:c r="E20" s="38" t="n">
        <x:v>0.1872555101</x:v>
      </x:c>
      <x:c r="F20" s="38" t="n">
        <x:v>0.0300594839</x:v>
      </x:c>
      <x:c r="G20" s="38" t="n">
        <x:v>0.0395092529</x:v>
      </x:c>
      <x:c r="H20" s="38" t="n">
        <x:v>-0.309975371</x:v>
      </x:c>
      <x:c r="I20" s="38" t="n">
        <x:v>-0.3895557729</x:v>
      </x:c>
      <x:c r="J20" s="38" t="n">
        <x:v>-0.0966416194</x:v>
      </x:c>
      <x:c r="K20" s="38" t="n">
        <x:v>0.4625310531</x:v>
      </x:c>
      <x:c r="L20" s="38" t="n">
        <x:v>-0.2951175444</x:v>
      </x:c>
      <x:c r="M20" s="38" t="n">
        <x:v>0.2743808131</x:v>
      </x:c>
      <x:c r="N20" s="38" t="n">
        <x:v>-0.0743808886</x:v>
      </x:c>
      <x:c r="O20" s="38" t="n">
        <x:v>-0.1786070552</x:v>
      </x:c>
      <x:c r="P20" s="38" t="n">
        <x:v>-0.1718982391</x:v>
      </x:c>
      <x:c r="Q20" s="38" t="n">
        <x:v>-0.181385856</x:v>
      </x:c>
      <x:c r="R20" s="38" t="n">
        <x:v>0.1081731796</x:v>
      </x:c>
      <x:c r="S20" s="38" t="n">
        <x:v>0.0335994999</x:v>
      </x:c>
      <x:c r="T20" s="38" t="n">
        <x:v>-0.0552695187</x:v>
      </x:c>
      <x:c r="U20" s="38" t="n">
        <x:v>-0.1174964293</x:v>
      </x:c>
      <x:c r="V20" s="38" t="n">
        <x:v>0.0050214989</x:v>
      </x:c>
      <x:c r="W20" s="38" t="n">
        <x:v>0.0368290149</x:v>
      </x:c>
      <x:c r="X20" s="38" t="n">
        <x:v>-0.0792599401</x:v>
      </x:c>
      <x:c r="Y20" s="38" t="n">
        <x:v>0.2545172168</x:v>
      </x:c>
      <x:c r="Z20" s="38" t="n">
        <x:v>-0.0301518145</x:v>
      </x:c>
      <x:c r="AA20" s="38" t="n">
        <x:v>0.1176866874</x:v>
      </x:c>
      <x:c r="AB20" s="38" t="n">
        <x:v>-0.1045771372</x:v>
      </x:c>
      <x:c r="AC20" s="38" t="n">
        <x:v>-0.0978238648</x:v>
      </x:c>
      <x:c r="AD20" s="38" t="n">
        <x:v>0.0927385465</x:v>
      </x:c>
      <x:c r="AE20" s="38" t="n">
        <x:v>-0.0620743422</x:v>
      </x:c>
      <x:c r="AF20" s="38" t="n">
        <x:v>0.025315405</x:v>
      </x:c>
      <x:c r="AG20" s="38" t="n">
        <x:v>-0.0074576484</x:v>
      </x:c>
      <x:c r="AH20" s="38" t="n">
        <x:v>0.1311751213</x:v>
      </x:c>
      <x:c r="AI20" s="38" t="n">
        <x:v>0.0326161228</x:v>
      </x:c>
      <x:c r="AJ20" s="38" t="n">
        <x:v>-0.0279656612</x:v>
      </x:c>
      <x:c r="AK20" s="38" t="n">
        <x:v>-0.0291997274</x:v>
      </x:c>
      <x:c r="AL20" s="38" t="n">
        <x:v>-0.0191916181</x:v>
      </x:c>
      <x:c r="AM20" s="38" t="n">
        <x:v>-0.0663950422</x:v>
      </x:c>
      <x:c r="AN20" s="38" t="n">
        <x:v>0.0879743166</x:v>
      </x:c>
      <x:c r="AO20" s="38" t="n">
        <x:v>-0.0693895866</x:v>
      </x:c>
      <x:c r="AP20" s="38" t="n">
        <x:v>0.1235643137</x:v>
      </x:c>
      <x:c r="AQ20" s="38" t="n">
        <x:v>0.0870555985</x:v>
      </x:c>
      <x:c r="AR20" s="38" t="n">
        <x:v>0.0465289134</x:v>
      </x:c>
    </x:row>
    <x:row r="21" ht="19" customHeight="1">
      <x:c r="A21" s="29" t="str">
        <x:v>DOCN</x:v>
      </x:c>
      <x:c r="B21" s="38" t="n">
        <x:v>-0.1656477034</x:v>
      </x:c>
      <x:c r="C21" s="38" t="n">
        <x:v>0.4160328917</x:v>
      </x:c>
      <x:c r="D21" s="38" t="n">
        <x:v>-0.4017412012</x:v>
      </x:c>
      <x:c r="E21" s="38" t="n">
        <x:v>0.3878651197</x:v>
      </x:c>
      <x:c r="F21" s="38" t="n">
        <x:v>-0.2806263772</x:v>
      </x:c>
      <x:c r="G21" s="38" t="n">
        <x:v>0.007425511</x:v>
      </x:c>
      <x:c r="H21" s="38" t="n">
        <x:v>-0.1456383664</x:v>
      </x:c>
      <x:c r="I21" s="38" t="n">
        <x:v>0.089228461</x:v>
      </x:c>
      <x:c r="J21" s="38" t="n">
        <x:v>-0.0759414431</x:v>
      </x:c>
      <x:c r="K21" s="38" t="n">
        <x:v>-0.1119016016</x:v>
      </x:c>
      <x:c r="L21" s="38" t="n">
        <x:v>0.0030071842</x:v>
      </x:c>
      <x:c r="M21" s="38" t="n">
        <x:v>0.202825433</x:v>
      </x:c>
      <x:c r="N21" s="38" t="n">
        <x:v>0.2953863334</x:v>
      </x:c>
      <x:c r="O21" s="38" t="n">
        <x:v>0.1900244374</x:v>
      </x:c>
      <x:c r="P21" s="38" t="n">
        <x:v>0.1432343668</x:v>
      </x:c>
      <x:c r="Q21" s="38" t="n">
        <x:v>0.1897638862</x:v>
      </x:c>
      <x:c r="R21" s="38" t="n">
        <x:v>0.0022250205</x:v>
      </x:c>
      <x:c r="S21" s="38" t="n">
        <x:v>0.0664085275</x:v>
      </x:c>
      <x:c r="T21" s="38" t="n">
        <x:v>-0.0803655028</x:v>
      </x:c>
      <x:c r="U21" s="38" t="n">
        <x:v>-0.0834835358</x:v>
      </x:c>
      <x:c r="V21" s="38" t="n">
        <x:v>0.0056854555</x:v>
      </x:c>
      <x:c r="W21" s="38" t="n">
        <x:v>-0.1784722601</x:v>
      </x:c>
      <x:c r="X21" s="38" t="n">
        <x:v>0.1680207844</x:v>
      </x:c>
      <x:c r="Y21" s="38" t="n">
        <x:v>0.091106453</x:v>
      </x:c>
      <x:c r="Z21" s="38" t="n">
        <x:v>-0.0879976607</x:v>
      </x:c>
      <x:c r="AA21" s="38" t="n">
        <x:v>0.0786021363</x:v>
      </x:c>
      <x:c r="AB21" s="38" t="n">
        <x:v>0.039365479</x:v>
      </x:c>
      <x:c r="AC21" s="38" t="n">
        <x:v>-0.0545950547</x:v>
      </x:c>
      <x:c r="AD21" s="38" t="n">
        <x:v>-0.0611978874</x:v>
      </x:c>
      <x:c r="AE21" s="38" t="n">
        <x:v>0.0475270963</x:v>
      </x:c>
      <x:c r="AF21" s="38" t="n">
        <x:v>0.0724205519</x:v>
      </x:c>
      <x:c r="AG21" s="38" t="n">
        <x:v>0.0372624006</x:v>
      </x:c>
      <x:c r="AH21" s="38" t="n">
        <x:v>0.0941761506</x:v>
      </x:c>
      <x:c r="AI21" s="38" t="n">
        <x:v>-0.0472882108</x:v>
      </x:c>
      <x:c r="AJ21" s="38" t="n">
        <x:v>0.0275416383</x:v>
      </x:c>
      <x:c r="AK21" s="38" t="n">
        <x:v>-0.0458364264</x:v>
      </x:c>
      <x:c r="AL21" s="38" t="n">
        <x:v>0.030192501</x:v>
      </x:c>
      <x:c r="AM21" s="38" t="n">
        <x:v>0.0138496789</x:v>
      </x:c>
      <x:c r="AN21" s="38" t="n">
        <x:v>0.0581712835</x:v>
      </x:c>
      <x:c r="AO21" s="38" t="n">
        <x:v>0.021152196</x:v>
      </x:c>
      <x:c r="AP21" s="38" t="n">
        <x:v>-0.0331100612</x:v>
      </x:c>
      <x:c r="AQ21" s="38" t="n">
        <x:v>0.0515217619</x:v>
      </x:c>
      <x:c r="AR21" s="38" t="n">
        <x:v>-0.0184286598</x:v>
      </x:c>
    </x:row>
    <x:row r="22" ht="19" customHeight="1">
      <x:c r="A22" s="29" t="str">
        <x:v>CME</x:v>
      </x:c>
      <x:c r="B22" s="38" t="n">
        <x:v>0.009201742</x:v>
      </x:c>
      <x:c r="C22" s="38" t="n">
        <x:v>-0.0774814482</x:v>
      </x:c>
      <x:c r="D22" s="38" t="n">
        <x:v>-0.0541740709</x:v>
      </x:c>
      <x:c r="E22" s="38" t="n">
        <x:v>-0.0171048368</x:v>
      </x:c>
      <x:c r="F22" s="38" t="n">
        <x:v>-0.0649395235</x:v>
      </x:c>
      <x:c r="G22" s="38" t="n">
        <x:v>-0.0156875767</x:v>
      </x:c>
      <x:c r="H22" s="38" t="n">
        <x:v>0.0438672229</x:v>
      </x:c>
      <x:c r="I22" s="38" t="n">
        <x:v>0.1707009297</x:v>
      </x:c>
      <x:c r="J22" s="38" t="n">
        <x:v>0.0134484209</x:v>
      </x:c>
      <x:c r="K22" s="38" t="n">
        <x:v>0.110735323</x:v>
      </x:c>
      <x:c r="L22" s="38" t="n">
        <x:v>0.0668850012</x:v>
      </x:c>
      <x:c r="M22" s="38" t="n">
        <x:v>-0.0597764259</x:v>
      </x:c>
      <x:c r="N22" s="38" t="n">
        <x:v>-0.0475697768</x:v>
      </x:c>
      <x:c r="O22" s="38" t="n">
        <x:v>-0.1421713697</x:v>
      </x:c>
      <x:c r="P22" s="38" t="n">
        <x:v>-0.0439365526</x:v>
      </x:c>
      <x:c r="Q22" s="38" t="n">
        <x:v>-0.1360833854</x:v>
      </x:c>
      <x:c r="R22" s="38" t="n">
        <x:v>0.0337503404</x:v>
      </x:c>
      <x:c r="S22" s="38" t="n">
        <x:v>0.135974405</x:v>
      </x:c>
      <x:c r="T22" s="38" t="n">
        <x:v>-0.1277214166</x:v>
      </x:c>
      <x:c r="U22" s="38" t="n">
        <x:v>-0.015648492</x:v>
      </x:c>
      <x:c r="V22" s="38" t="n">
        <x:v>0.0021946104</x:v>
      </x:c>
      <x:c r="W22" s="38" t="n">
        <x:v>-0.3648035947</x:v>
      </x:c>
      <x:c r="X22" s="38" t="n">
        <x:v>-0.0850614819</x:v>
      </x:c>
      <x:c r="Y22" s="38" t="n">
        <x:v>0.1590359639</x:v>
      </x:c>
      <x:c r="Z22" s="38" t="n">
        <x:v>-0.1397599921</x:v>
      </x:c>
      <x:c r="AA22" s="38" t="n">
        <x:v>0.1149539596</x:v>
      </x:c>
      <x:c r="AB22" s="38" t="n">
        <x:v>0.0414316647</x:v>
      </x:c>
      <x:c r="AC22" s="38" t="n">
        <x:v>0.1110857484</x:v>
      </x:c>
      <x:c r="AD22" s="38" t="n">
        <x:v>0.1128874265</x:v>
      </x:c>
      <x:c r="AE22" s="38" t="n">
        <x:v>-0.2957896214</x:v>
      </x:c>
      <x:c r="AF22" s="38" t="n">
        <x:v>0.0816340323</x:v>
      </x:c>
      <x:c r="AG22" s="38" t="n">
        <x:v>0.2194002558</x:v>
      </x:c>
      <x:c r="AH22" s="38" t="n">
        <x:v>-0.2556699504</x:v>
      </x:c>
      <x:c r="AI22" s="38" t="n">
        <x:v>-0.0422217853</x:v>
      </x:c>
      <x:c r="AJ22" s="38" t="n">
        <x:v>0.2231832211</x:v>
      </x:c>
      <x:c r="AK22" s="38" t="n">
        <x:v>0.1216401519</x:v>
      </x:c>
      <x:c r="AL22" s="38" t="n">
        <x:v>-0.0656198424</x:v>
      </x:c>
      <x:c r="AM22" s="38" t="n">
        <x:v>0.5457307774</x:v>
      </x:c>
      <x:c r="AN22" s="38" t="n">
        <x:v>-0.0286315348</x:v>
      </x:c>
      <x:c r="AO22" s="38" t="n">
        <x:v>0.1597418837</x:v>
      </x:c>
      <x:c r="AP22" s="38" t="n">
        <x:v>0.0135591933</x:v>
      </x:c>
      <x:c r="AQ22" s="38" t="n">
        <x:v>0.1392750592</x:v>
      </x:c>
      <x:c r="AR22" s="38" t="n">
        <x:v>-0.0911056549</x:v>
      </x:c>
    </x:row>
    <x:row r="23" ht="19" customHeight="1">
      <x:c r="A23" s="29" t="str">
        <x:v>NET</x:v>
      </x:c>
      <x:c r="B23" s="38" t="n">
        <x:v>0.1045027363</x:v>
      </x:c>
      <x:c r="C23" s="38" t="n">
        <x:v>-0.0130119698</x:v>
      </x:c>
      <x:c r="D23" s="38" t="n">
        <x:v>-0.128830189</x:v>
      </x:c>
      <x:c r="E23" s="38" t="n">
        <x:v>0.2167029134</x:v>
      </x:c>
      <x:c r="F23" s="38" t="n">
        <x:v>-0.2239807586</x:v>
      </x:c>
      <x:c r="G23" s="38" t="n">
        <x:v>0.5239239517</x:v>
      </x:c>
      <x:c r="H23" s="38" t="n">
        <x:v>-0.0967304642</x:v>
      </x:c>
      <x:c r="I23" s="38" t="n">
        <x:v>-0.0028073902</x:v>
      </x:c>
      <x:c r="J23" s="38" t="n">
        <x:v>0.4095889645</x:v>
      </x:c>
      <x:c r="K23" s="38" t="n">
        <x:v>-0.0808997395</x:v>
      </x:c>
      <x:c r="L23" s="38" t="n">
        <x:v>0.1219169114</x:v>
      </x:c>
      <x:c r="M23" s="38" t="n">
        <x:v>0.0172456086</x:v>
      </x:c>
      <x:c r="N23" s="38" t="n">
        <x:v>-0.1156568616</x:v>
      </x:c>
      <x:c r="O23" s="38" t="n">
        <x:v>0.0136234543</x:v>
      </x:c>
      <x:c r="P23" s="38" t="n">
        <x:v>-0.1895478087</x:v>
      </x:c>
      <x:c r="Q23" s="38" t="n">
        <x:v>-0.25795252</x:v>
      </x:c>
      <x:c r="R23" s="38" t="n">
        <x:v>-0.1075319312</x:v>
      </x:c>
      <x:c r="S23" s="38" t="n">
        <x:v>-0.2446504622</x:v>
      </x:c>
      <x:c r="T23" s="38" t="n">
        <x:v>0.1361703532</x:v>
      </x:c>
      <x:c r="U23" s="38" t="n">
        <x:v>0.0050434758</x:v>
      </x:c>
      <x:c r="V23" s="38" t="n">
        <x:v>-0.1160756708</x:v>
      </x:c>
      <x:c r="W23" s="38" t="n">
        <x:v>-0.1803304377</x:v>
      </x:c>
      <x:c r="X23" s="38" t="n">
        <x:v>-0.1222408847</x:v>
      </x:c>
      <x:c r="Y23" s="38" t="n">
        <x:v>-0.1109786954</x:v>
      </x:c>
      <x:c r="Z23" s="38" t="n">
        <x:v>0.2476799801</x:v>
      </x:c>
      <x:c r="AA23" s="38" t="n">
        <x:v>-0.159844922</x:v>
      </x:c>
      <x:c r="AB23" s="38" t="n">
        <x:v>-0.0510982603</x:v>
      </x:c>
      <x:c r="AC23" s="38" t="n">
        <x:v>-0.0292020603</x:v>
      </x:c>
      <x:c r="AD23" s="38" t="n">
        <x:v>0.0580851909</x:v>
      </x:c>
      <x:c r="AE23" s="38" t="n">
        <x:v>-0.0013826017</x:v>
      </x:c>
      <x:c r="AF23" s="38" t="n">
        <x:v>0.0052824932</x:v>
      </x:c>
      <x:c r="AG23" s="38" t="n">
        <x:v>0.0237367584</x:v>
      </x:c>
      <x:c r="AH23" s="38" t="n">
        <x:v>-0.0279522597</x:v>
      </x:c>
      <x:c r="AI23" s="38" t="n">
        <x:v>-0.0237399975</x:v>
      </x:c>
      <x:c r="AJ23" s="38" t="n">
        <x:v>-0.0849091436</x:v>
      </x:c>
      <x:c r="AK23" s="38" t="n">
        <x:v>-0.0549302837</x:v>
      </x:c>
      <x:c r="AL23" s="38" t="n">
        <x:v>-0.0502429293</x:v>
      </x:c>
      <x:c r="AM23" s="38" t="n">
        <x:v>0.0133715312</x:v>
      </x:c>
      <x:c r="AN23" s="38" t="n">
        <x:v>-0.0472056622</x:v>
      </x:c>
      <x:c r="AO23" s="38" t="n">
        <x:v>-0.0322294972</x:v>
      </x:c>
      <x:c r="AP23" s="38" t="n">
        <x:v>-0.093105613</x:v>
      </x:c>
      <x:c r="AQ23" s="38" t="n">
        <x:v>0.0027652698</x:v>
      </x:c>
      <x:c r="AR23" s="38" t="n">
        <x:v>0.0452055938</x:v>
      </x:c>
    </x:row>
    <x:row r="24" ht="19" customHeight="1">
      <x:c r="A24" s="29" t="str">
        <x:v>MRNA</x:v>
      </x:c>
      <x:c r="B24" s="38" t="n">
        <x:v>0.0241619998</x:v>
      </x:c>
      <x:c r="C24" s="38" t="n">
        <x:v>0.2320216612</x:v>
      </x:c>
      <x:c r="D24" s="38" t="n">
        <x:v>0.3983886632</x:v>
      </x:c>
      <x:c r="E24" s="38" t="n">
        <x:v>0.5970401453</x:v>
      </x:c>
      <x:c r="F24" s="38" t="n">
        <x:v>0.5472959706</x:v>
      </x:c>
      <x:c r="G24" s="38" t="n">
        <x:v>-0.0665988343</x:v>
      </x:c>
      <x:c r="H24" s="38" t="n">
        <x:v>-0.0402290166</x:v>
      </x:c>
      <x:c r="I24" s="38" t="n">
        <x:v>0.2031306981</x:v>
      </x:c>
      <x:c r="J24" s="38" t="n">
        <x:v>0.1089662707</x:v>
      </x:c>
      <x:c r="K24" s="38" t="n">
        <x:v>0.0240462143</x:v>
      </x:c>
      <x:c r="L24" s="38" t="n">
        <x:v>0.0423962934</x:v>
      </x:c>
      <x:c r="M24" s="38" t="n">
        <x:v>-0.031732042</x:v>
      </x:c>
      <x:c r="N24" s="38" t="n">
        <x:v>-0.046947409</x:v>
      </x:c>
      <x:c r="O24" s="38" t="n">
        <x:v>0.0003032627</x:v>
      </x:c>
      <x:c r="P24" s="38" t="n">
        <x:v>0.0700702182</x:v>
      </x:c>
      <x:c r="Q24" s="38" t="n">
        <x:v>-0.1030816058</x:v>
      </x:c>
      <x:c r="R24" s="38" t="n">
        <x:v>-0.0303370173</x:v>
      </x:c>
      <x:c r="S24" s="38" t="n">
        <x:v>-0.0886276258</x:v>
      </x:c>
      <x:c r="T24" s="38" t="n">
        <x:v>-0.0318798819</x:v>
      </x:c>
      <x:c r="U24" s="38" t="n">
        <x:v>0.0330864176</x:v>
      </x:c>
      <x:c r="V24" s="38" t="n">
        <x:v>-0.0481944348</x:v>
      </x:c>
      <x:c r="W24" s="38" t="n">
        <x:v>-0.0304162222</x:v>
      </x:c>
      <x:c r="X24" s="38" t="n">
        <x:v>0.027815673</x:v>
      </x:c>
      <x:c r="Y24" s="38" t="n">
        <x:v>0.0286113076</x:v>
      </x:c>
      <x:c r="Z24" s="38" t="n">
        <x:v>-0.014684152</x:v>
      </x:c>
      <x:c r="AA24" s="38" t="n">
        <x:v>0.0317137222</x:v>
      </x:c>
      <x:c r="AB24" s="38" t="n">
        <x:v>-0.0068544095</x:v>
      </x:c>
      <x:c r="AC24" s="38" t="n">
        <x:v>0.0552135143</x:v>
      </x:c>
      <x:c r="AD24" s="38" t="n">
        <x:v>0.0177418009</x:v>
      </x:c>
      <x:c r="AE24" s="38" t="n">
        <x:v>-0.0671536326</x:v>
      </x:c>
      <x:c r="AF24" s="38" t="n">
        <x:v>0.0564081363</x:v>
      </x:c>
      <x:c r="AG24" s="38" t="n">
        <x:v>-0.1193708351</x:v>
      </x:c>
      <x:c r="AH24" s="38" t="n">
        <x:v>-0.0080536972</x:v>
      </x:c>
      <x:c r="AI24" s="38" t="n">
        <x:v>-0.0383894332</x:v>
      </x:c>
      <x:c r="AJ24" s="38" t="n">
        <x:v>-0.0146376332</x:v>
      </x:c>
      <x:c r="AK24" s="38" t="n">
        <x:v>0.0267360958</x:v>
      </x:c>
      <x:c r="AL24" s="38" t="n">
        <x:v>0.0002969865</x:v>
      </x:c>
      <x:c r="AM24" s="38" t="n">
        <x:v>0.016139636</x:v>
      </x:c>
      <x:c r="AN24" s="38" t="n">
        <x:v>0.0686602037</x:v>
      </x:c>
      <x:c r="AO24" s="38" t="n">
        <x:v>-0.0047304574</x:v>
      </x:c>
      <x:c r="AP24" s="38" t="n">
        <x:v>0.0024250828</x:v>
      </x:c>
      <x:c r="AQ24" s="38" t="n">
        <x:v>0.0108846289</x:v>
      </x:c>
      <x:c r="AR24" s="38" t="n">
        <x:v>-0.026052436</x:v>
      </x:c>
    </x:row>
    <x:row r="25" ht="19" customHeight="1">
      <x:c r="A25" s="29" t="str">
        <x:v>AXON</x:v>
      </x:c>
      <x:c r="B25" s="38" t="n">
        <x:v>0.1191073421</x:v>
      </x:c>
      <x:c r="C25" s="38" t="n">
        <x:v>-0.2013903637</x:v>
      </x:c>
      <x:c r="D25" s="38" t="n">
        <x:v>0.0261474445</x:v>
      </x:c>
      <x:c r="E25" s="38" t="n">
        <x:v>-0.0890841968</x:v>
      </x:c>
      <x:c r="F25" s="38" t="n">
        <x:v>0.1211315497</x:v>
      </x:c>
      <x:c r="G25" s="38" t="n">
        <x:v>0.4647322929</x:v>
      </x:c>
      <x:c r="H25" s="38" t="n">
        <x:v>-0.086510831</x:v>
      </x:c>
      <x:c r="I25" s="38" t="n">
        <x:v>0.1902596502</x:v>
      </x:c>
      <x:c r="J25" s="38" t="n">
        <x:v>-0.1078322031</x:v>
      </x:c>
      <x:c r="K25" s="38" t="n">
        <x:v>0.2615338668</x:v>
      </x:c>
      <x:c r="L25" s="38" t="n">
        <x:v>0.0862738136</x:v>
      </x:c>
      <x:c r="M25" s="38" t="n">
        <x:v>0.0375306116</x:v>
      </x:c>
      <x:c r="N25" s="38" t="n">
        <x:v>-0.1284577938</x:v>
      </x:c>
      <x:c r="O25" s="38" t="n">
        <x:v>0.2523386887</x:v>
      </x:c>
      <x:c r="P25" s="38" t="n">
        <x:v>0.1178164117</x:v>
      </x:c>
      <x:c r="Q25" s="38" t="n">
        <x:v>0.3264565779</x:v>
      </x:c>
      <x:c r="R25" s="38" t="n">
        <x:v>0.0528743467</x:v>
      </x:c>
      <x:c r="S25" s="38" t="n">
        <x:v>-0.2593427691</x:v>
      </x:c>
      <x:c r="T25" s="38" t="n">
        <x:v>-0.0667996765</x:v>
      </x:c>
      <x:c r="U25" s="38" t="n">
        <x:v>0.102154294</x:v>
      </x:c>
      <x:c r="V25" s="38" t="n">
        <x:v>0.2090104542</x:v>
      </x:c>
      <x:c r="W25" s="38" t="n">
        <x:v>-0.0298023235</x:v>
      </x:c>
      <x:c r="X25" s="38" t="n">
        <x:v>0.1023166419</x:v>
      </x:c>
      <x:c r="Y25" s="38" t="n">
        <x:v>0.1600124986</x:v>
      </x:c>
      <x:c r="Z25" s="38" t="n">
        <x:v>-0.2387104026</x:v>
      </x:c>
      <x:c r="AA25" s="38" t="n">
        <x:v>0.0210922904</x:v>
      </x:c>
      <x:c r="AB25" s="38" t="n">
        <x:v>-0.1030762071</x:v>
      </x:c>
      <x:c r="AC25" s="38" t="n">
        <x:v>-0.1398429158</x:v>
      </x:c>
      <x:c r="AD25" s="38" t="n">
        <x:v>-0.0924130341</x:v>
      </x:c>
      <x:c r="AE25" s="38" t="n">
        <x:v>0.1117871683</x:v>
      </x:c>
      <x:c r="AF25" s="38" t="n">
        <x:v>0.0568397931</x:v>
      </x:c>
      <x:c r="AG25" s="38" t="n">
        <x:v>-0.1223629462</x:v>
      </x:c>
      <x:c r="AH25" s="38" t="n">
        <x:v>0.0533852778</x:v>
      </x:c>
      <x:c r="AI25" s="38" t="n">
        <x:v>0.0359367914</x:v>
      </x:c>
      <x:c r="AJ25" s="38" t="n">
        <x:v>0.1514661612</x:v>
      </x:c>
      <x:c r="AK25" s="38" t="n">
        <x:v>-0.0656967705</x:v>
      </x:c>
      <x:c r="AL25" s="38" t="n">
        <x:v>0.0741584027</x:v>
      </x:c>
      <x:c r="AM25" s="38" t="n">
        <x:v>0.1154021048</x:v>
      </x:c>
      <x:c r="AN25" s="38" t="n">
        <x:v>0.0823101306</x:v>
      </x:c>
      <x:c r="AO25" s="38" t="n">
        <x:v>0.0811753696</x:v>
      </x:c>
      <x:c r="AP25" s="38" t="n">
        <x:v>-0.0878324512</x:v>
      </x:c>
      <x:c r="AQ25" s="38" t="n">
        <x:v>-0.0943056129</x:v>
      </x:c>
      <x:c r="AR25" s="38" t="n">
        <x:v>-0.012565191</x:v>
      </x:c>
    </x:row>
    <x:row r="26" ht="19" customHeight="1">
      <x:c r="A26" s="29" t="str">
        <x:v>NFLX</x:v>
      </x:c>
      <x:c r="B26" s="38" t="n">
        <x:v>0.082986957</x:v>
      </x:c>
      <x:c r="C26" s="38" t="n">
        <x:v>-0.1003157592</x:v>
      </x:c>
      <x:c r="D26" s="38" t="n">
        <x:v>-0.1741686648</x:v>
      </x:c>
      <x:c r="E26" s="38" t="n">
        <x:v>0.0921613857</x:v>
      </x:c>
      <x:c r="F26" s="38" t="n">
        <x:v>0.0282777098</x:v>
      </x:c>
      <x:c r="G26" s="38" t="n">
        <x:v>0.2252198265</x:v>
      </x:c>
      <x:c r="H26" s="38" t="n">
        <x:v>-0.0737408635</x:v>
      </x:c>
      <x:c r="I26" s="38" t="n">
        <x:v>0.3227406409</x:v>
      </x:c>
      <x:c r="J26" s="38" t="n">
        <x:v>-0.1045802317</x:v>
      </x:c>
      <x:c r="K26" s="38" t="n">
        <x:v>0.245611862</x:v>
      </x:c>
      <x:c r="L26" s="38" t="n">
        <x:v>-0.1414949352</x:v>
      </x:c>
      <x:c r="M26" s="38" t="n">
        <x:v>-0.1996034709</x:v>
      </x:c>
      <x:c r="N26" s="38" t="n">
        <x:v>0.3587717479</x:v>
      </x:c>
      <x:c r="O26" s="38" t="n">
        <x:v>-0.1839952479</x:v>
      </x:c>
      <x:c r="P26" s="38" t="n">
        <x:v>0.0119078066</x:v>
      </x:c>
      <x:c r="Q26" s="38" t="n">
        <x:v>-0.0839777565</x:v>
      </x:c>
      <x:c r="R26" s="38" t="n">
        <x:v>-0.2273708176</x:v>
      </x:c>
      <x:c r="S26" s="38" t="n">
        <x:v>0.2745520867</x:v>
      </x:c>
      <x:c r="T26" s="38" t="n">
        <x:v>0.1180377025</x:v>
      </x:c>
      <x:c r="U26" s="38" t="n">
        <x:v>-0.1061785265</x:v>
      </x:c>
      <x:c r="V26" s="38" t="n">
        <x:v>-0.1366179042</x:v>
      </x:c>
      <x:c r="W26" s="38" t="n">
        <x:v>0.2773617736</x:v>
      </x:c>
      <x:c r="X26" s="38" t="n">
        <x:v>-0.0896999054</x:v>
      </x:c>
      <x:c r="Y26" s="38" t="n">
        <x:v>-0.1317156692</x:v>
      </x:c>
      <x:c r="Z26" s="38" t="n">
        <x:v>-0.2229411014</x:v>
      </x:c>
      <x:c r="AA26" s="38" t="n">
        <x:v>-0.123105377</x:v>
      </x:c>
      <x:c r="AB26" s="38" t="n">
        <x:v>-0.0365128504</x:v>
      </x:c>
      <x:c r="AC26" s="38" t="n">
        <x:v>0.1814790794</x:v>
      </x:c>
      <x:c r="AD26" s="38" t="n">
        <x:v>-0.0426334735</x:v>
      </x:c>
      <x:c r="AE26" s="38" t="n">
        <x:v>0.0758748079</x:v>
      </x:c>
      <x:c r="AF26" s="38" t="n">
        <x:v>0.1092473018</x:v>
      </x:c>
      <x:c r="AG26" s="38" t="n">
        <x:v>-0.1016307342</x:v>
      </x:c>
      <x:c r="AH26" s="38" t="n">
        <x:v>-0.1090855394</x:v>
      </x:c>
      <x:c r="AI26" s="38" t="n">
        <x:v>0.0180063457</x:v>
      </x:c>
      <x:c r="AJ26" s="38" t="n">
        <x:v>0.0592155349</x:v>
      </x:c>
      <x:c r="AK26" s="38" t="n">
        <x:v>0.0342681054</x:v>
      </x:c>
      <x:c r="AL26" s="38" t="n">
        <x:v>-0.1603875043</x:v>
      </x:c>
      <x:c r="AM26" s="38" t="n">
        <x:v>-0.0687450479</x:v>
      </x:c>
      <x:c r="AN26" s="38" t="n">
        <x:v>-0.1167741496</x:v>
      </x:c>
      <x:c r="AO26" s="38" t="n">
        <x:v>-0.0856337445</x:v>
      </x:c>
      <x:c r="AP26" s="38" t="n">
        <x:v>-0.0567762381</x:v>
      </x:c>
      <x:c r="AQ26" s="38" t="n">
        <x:v>-0.0904540357</x:v>
      </x:c>
      <x:c r="AR26" s="38" t="n">
        <x:v>0.015587346</x:v>
      </x:c>
    </x:row>
    <x:row r="27" ht="19" customHeight="1">
      <x:c r="A27" s="29" t="str">
        <x:v>CMCSA</x:v>
      </x:c>
      <x:c r="B27" s="38" t="n">
        <x:v>0.0477323441</x:v>
      </x:c>
      <x:c r="C27" s="38" t="n">
        <x:v>-0.0305084617</x:v>
      </x:c>
      <x:c r="D27" s="38" t="n">
        <x:v>0.0650028277</x:v>
      </x:c>
      <x:c r="E27" s="38" t="n">
        <x:v>-0.0373873867</x:v>
      </x:c>
      <x:c r="F27" s="38" t="n">
        <x:v>0.065033463</x:v>
      </x:c>
      <x:c r="G27" s="38" t="n">
        <x:v>-0.002227996</x:v>
      </x:c>
      <x:c r="H27" s="38" t="n">
        <x:v>0.0163007453</x:v>
      </x:c>
      <x:c r="I27" s="38" t="n">
        <x:v>0.002793843</x:v>
      </x:c>
      <x:c r="J27" s="38" t="n">
        <x:v>0.0281731964</x:v>
      </x:c>
      <x:c r="K27" s="38" t="n">
        <x:v>0.076977593</x:v>
      </x:c>
      <x:c r="L27" s="38" t="n">
        <x:v>0.1684733459</x:v>
      </x:c>
      <x:c r="M27" s="38" t="n">
        <x:v>-0.0969887418</x:v>
      </x:c>
      <x:c r="N27" s="38" t="n">
        <x:v>0.1985397221</x:v>
      </x:c>
      <x:c r="O27" s="38" t="n">
        <x:v>-0.00359533</x:v>
      </x:c>
      <x:c r="P27" s="38" t="n">
        <x:v>0.038881263</x:v>
      </x:c>
      <x:c r="Q27" s="38" t="n">
        <x:v>-0.0861094329</x:v>
      </x:c>
      <x:c r="R27" s="38" t="n">
        <x:v>0.0413280559</x:v>
      </x:c>
      <x:c r="S27" s="38" t="n">
        <x:v>0.1086932583</x:v>
      </x:c>
      <x:c r="T27" s="38" t="n">
        <x:v>-0.0718615256</x:v>
      </x:c>
      <x:c r="U27" s="38" t="n">
        <x:v>0.2678712201</x:v>
      </x:c>
      <x:c r="V27" s="38" t="n">
        <x:v>0.2220299855</x:v>
      </x:c>
      <x:c r="W27" s="38" t="n">
        <x:v>-0.1128825541</x:v>
      </x:c>
      <x:c r="X27" s="38" t="n">
        <x:v>-0.0923145031</x:v>
      </x:c>
      <x:c r="Y27" s="38" t="n">
        <x:v>0.124388212</x:v>
      </x:c>
      <x:c r="Z27" s="38" t="n">
        <x:v>0.1097331753</x:v>
      </x:c>
      <x:c r="AA27" s="38" t="n">
        <x:v>0.1799575414</x:v>
      </x:c>
      <x:c r="AB27" s="38" t="n">
        <x:v>0.0863554107</x:v>
      </x:c>
      <x:c r="AC27" s="38" t="n">
        <x:v>-0.1523325114</x:v>
      </x:c>
      <x:c r="AD27" s="38" t="n">
        <x:v>-0.1196223911</x:v>
      </x:c>
      <x:c r="AE27" s="38" t="n">
        <x:v>0.0094907355</x:v>
      </x:c>
      <x:c r="AF27" s="38" t="n">
        <x:v>0.2871520863</x:v>
      </x:c>
      <x:c r="AG27" s="38" t="n">
        <x:v>0.2158432407</x:v>
      </x:c>
      <x:c r="AH27" s="38" t="n">
        <x:v>0.4040934042</x:v>
      </x:c>
      <x:c r="AI27" s="38" t="n">
        <x:v>-0.0450476617</x:v>
      </x:c>
      <x:c r="AJ27" s="38" t="n">
        <x:v>-0.1682067918</x:v>
      </x:c>
      <x:c r="AK27" s="38" t="n">
        <x:v>0.0304937557</x:v>
      </x:c>
      <x:c r="AL27" s="38" t="n">
        <x:v>-0.341282616</x:v>
      </x:c>
      <x:c r="AM27" s="38" t="n">
        <x:v>-0.0468774982</x:v>
      </x:c>
      <x:c r="AN27" s="38" t="n">
        <x:v>-0.342548788</x:v>
      </x:c>
      <x:c r="AO27" s="38" t="n">
        <x:v>-0.0776910953</x:v>
      </x:c>
      <x:c r="AP27" s="38" t="n">
        <x:v>-0.1710526407</x:v>
      </x:c>
      <x:c r="AQ27" s="38" t="n">
        <x:v>-0.007554768</x:v>
      </x:c>
      <x:c r="AR27" s="38" t="n">
        <x:v>0.1813216937</x:v>
      </x:c>
    </x:row>
    <x:row r="28" ht="19" customHeight="1">
      <x:c r="A28" s="29" t="str">
        <x:v>MU</x:v>
      </x:c>
      <x:c r="B28" s="38" t="n">
        <x:v>-0.3807100148</x:v>
      </x:c>
      <x:c r="C28" s="38" t="n">
        <x:v>0.2135653944</x:v>
      </x:c>
      <x:c r="D28" s="38" t="n">
        <x:v>0.0803113011</x:v>
      </x:c>
      <x:c r="E28" s="38" t="n">
        <x:v>-0.211511249</x:v>
      </x:c>
      <x:c r="F28" s="38" t="n">
        <x:v>0.2381431912</x:v>
      </x:c>
      <x:c r="G28" s="38" t="n">
        <x:v>0.2843568587</x:v>
      </x:c>
      <x:c r="H28" s="38" t="n">
        <x:v>0.0427864052</x:v>
      </x:c>
      <x:c r="I28" s="38" t="n">
        <x:v>-0.0972253183</x:v>
      </x:c>
      <x:c r="J28" s="38" t="n">
        <x:v>-0.0267296035</x:v>
      </x:c>
      <x:c r="K28" s="38" t="n">
        <x:v>0.1035444843</x:v>
      </x:c>
      <x:c r="L28" s="38" t="n">
        <x:v>0.0463664985</x:v>
      </x:c>
      <x:c r="M28" s="38" t="n">
        <x:v>0.3534621296</x:v>
      </x:c>
      <x:c r="N28" s="38" t="n">
        <x:v>0.0374650314</x:v>
      </x:c>
      <x:c r="O28" s="38" t="n">
        <x:v>-0.003326171</x:v>
      </x:c>
      <x:c r="P28" s="38" t="n">
        <x:v>-0.1399877577</x:v>
      </x:c>
      <x:c r="Q28" s="38" t="n">
        <x:v>0.1705700565</x:v>
      </x:c>
      <x:c r="R28" s="38" t="n">
        <x:v>-0.3831975166</x:v>
      </x:c>
      <x:c r="S28" s="38" t="n">
        <x:v>0.0690007554</x:v>
      </x:c>
      <x:c r="T28" s="38" t="n">
        <x:v>0.0662198694</x:v>
      </x:c>
      <x:c r="U28" s="38" t="n">
        <x:v>0.0538993791</x:v>
      </x:c>
      <x:c r="V28" s="38" t="n">
        <x:v>-0.0077101708</x:v>
      </x:c>
      <x:c r="W28" s="38" t="n">
        <x:v>0.0205097219</x:v>
      </x:c>
      <x:c r="X28" s="38" t="n">
        <x:v>-0.1162370876</x:v>
      </x:c>
      <x:c r="Y28" s="38" t="n">
        <x:v>-0.1007794281</x:v>
      </x:c>
      <x:c r="Z28" s="38" t="n">
        <x:v>0.1019710763</x:v>
      </x:c>
      <x:c r="AA28" s="38" t="n">
        <x:v>0.263517193</x:v>
      </x:c>
      <x:c r="AB28" s="38" t="n">
        <x:v>0.2695835179</x:v>
      </x:c>
      <x:c r="AC28" s="38" t="n">
        <x:v>0.0795447191</x:v>
      </x:c>
      <x:c r="AD28" s="38" t="n">
        <x:v>0.1083847153</x:v>
      </x:c>
      <x:c r="AE28" s="38" t="n">
        <x:v>-0.028004568</x:v>
      </x:c>
      <x:c r="AF28" s="38" t="n">
        <x:v>0.0588902159</x:v>
      </x:c>
      <x:c r="AG28" s="38" t="n">
        <x:v>0.1192839926</x:v>
      </x:c>
      <x:c r="AH28" s="38" t="n">
        <x:v>-0.1699963699</x:v>
      </x:c>
      <x:c r="AI28" s="38" t="n">
        <x:v>0.053803138</x:v>
      </x:c>
      <x:c r="AJ28" s="38" t="n">
        <x:v>-0.0218652944</x:v>
      </x:c>
      <x:c r="AK28" s="38" t="n">
        <x:v>0.0773124684</x:v>
      </x:c>
      <x:c r="AL28" s="38" t="n">
        <x:v>0.0133786028</x:v>
      </x:c>
      <x:c r="AM28" s="38" t="n">
        <x:v>-0.0241774984</x:v>
      </x:c>
      <x:c r="AN28" s="38" t="n">
        <x:v>0.0304602009</x:v>
      </x:c>
      <x:c r="AO28" s="38" t="n">
        <x:v>0.014134851</x:v>
      </x:c>
      <x:c r="AP28" s="38" t="n">
        <x:v>-0.048435654</x:v>
      </x:c>
      <x:c r="AQ28" s="38" t="n">
        <x:v>-0.0742498085</x:v>
      </x:c>
      <x:c r="AR28" s="38" t="n">
        <x:v>0.0259431135</x:v>
      </x:c>
    </x:row>
    <x:row r="29" ht="19" customHeight="1">
      <x:c r="A29" s="29" t="str">
        <x:v>NEM</x:v>
      </x:c>
      <x:c r="B29" s="38" t="n">
        <x:v>-0.081758495</x:v>
      </x:c>
      <x:c r="C29" s="38" t="n">
        <x:v>0.0134495068</x:v>
      </x:c>
      <x:c r="D29" s="38" t="n">
        <x:v>0.0529038907</x:v>
      </x:c>
      <x:c r="E29" s="38" t="n">
        <x:v>-0.229493514</x:v>
      </x:c>
      <x:c r="F29" s="38" t="n">
        <x:v>-0.0489892948</x:v>
      </x:c>
      <x:c r="G29" s="38" t="n">
        <x:v>-0.0980189634</x:v>
      </x:c>
      <x:c r="H29" s="38" t="n">
        <x:v>-0.2136445251</x:v>
      </x:c>
      <x:c r="I29" s="38" t="n">
        <x:v>0.3924884419</x:v>
      </x:c>
      <x:c r="J29" s="38" t="n">
        <x:v>0.2790587927</x:v>
      </x:c>
      <x:c r="K29" s="38" t="n">
        <x:v>0.1274035861</x:v>
      </x:c>
      <x:c r="L29" s="38" t="n">
        <x:v>-0.1029129704</x:v>
      </x:c>
      <x:c r="M29" s="38" t="n">
        <x:v>0.3209820685</x:v>
      </x:c>
      <x:c r="N29" s="38" t="n">
        <x:v>-0.0962562662</x:v>
      </x:c>
      <x:c r="O29" s="38" t="n">
        <x:v>-0.115881965</x:v>
      </x:c>
      <x:c r="P29" s="38" t="n">
        <x:v>0.2418125956</x:v>
      </x:c>
      <x:c r="Q29" s="38" t="n">
        <x:v>-0.0375826994</x:v>
      </x:c>
      <x:c r="R29" s="38" t="n">
        <x:v>0.3223435385</x:v>
      </x:c>
      <x:c r="S29" s="38" t="n">
        <x:v>-0.1190613154</x:v>
      </x:c>
      <x:c r="T29" s="38" t="n">
        <x:v>0.018816755</x:v>
      </x:c>
      <x:c r="U29" s="38" t="n">
        <x:v>-0.2828525722</x:v>
      </x:c>
      <x:c r="V29" s="38" t="n">
        <x:v>-0.1189601702</x:v>
      </x:c>
      <x:c r="W29" s="38" t="n">
        <x:v>-0.0194858663</x:v>
      </x:c>
      <x:c r="X29" s="38" t="n">
        <x:v>-0.0994832551</x:v>
      </x:c>
      <x:c r="Y29" s="38" t="n">
        <x:v>-0.1490579518</x:v>
      </x:c>
      <x:c r="Z29" s="38" t="n">
        <x:v>0.0428750431</x:v>
      </x:c>
      <x:c r="AA29" s="38" t="n">
        <x:v>0.0872804358</x:v>
      </x:c>
      <x:c r="AB29" s="38" t="n">
        <x:v>0.2694916172</x:v>
      </x:c>
      <x:c r="AC29" s="38" t="n">
        <x:v>0.0212250842</x:v>
      </x:c>
      <x:c r="AD29" s="38" t="n">
        <x:v>-0.1362344105</x:v>
      </x:c>
      <x:c r="AE29" s="38" t="n">
        <x:v>-0.0263818565</x:v>
      </x:c>
      <x:c r="AF29" s="38" t="n">
        <x:v>-0.0370301217</x:v>
      </x:c>
      <x:c r="AG29" s="38" t="n">
        <x:v>-0.1363494555</x:v>
      </x:c>
      <x:c r="AH29" s="38" t="n">
        <x:v>0.1653938598</x:v>
      </x:c>
      <x:c r="AI29" s="38" t="n">
        <x:v>-0.0446305448</x:v>
      </x:c>
      <x:c r="AJ29" s="38" t="n">
        <x:v>0.0310789306</x:v>
      </x:c>
      <x:c r="AK29" s="38" t="n">
        <x:v>0.102353901</x:v>
      </x:c>
      <x:c r="AL29" s="38" t="n">
        <x:v>-0.0552935628</x:v>
      </x:c>
      <x:c r="AM29" s="38" t="n">
        <x:v>-0.004027906</x:v>
      </x:c>
      <x:c r="AN29" s="38" t="n">
        <x:v>-0.0867317608</x:v>
      </x:c>
      <x:c r="AO29" s="38" t="n">
        <x:v>-0.0840135701</x:v>
      </x:c>
      <x:c r="AP29" s="38" t="n">
        <x:v>-0.0798469985</x:v>
      </x:c>
      <x:c r="AQ29" s="38" t="n">
        <x:v>-0.0471030628</x:v>
      </x:c>
      <x:c r="AR29" s="38" t="n">
        <x:v>-0.0422921279</x:v>
      </x:c>
    </x:row>
    <x:row r="30" ht="19" customHeight="1">
      <x:c r="A30" s="29" t="str">
        <x:v>PGR</x:v>
      </x:c>
      <x:c r="B30" s="38" t="n">
        <x:v>-0.0103615814</x:v>
      </x:c>
      <x:c r="C30" s="38" t="n">
        <x:v>-0.0539453006</x:v>
      </x:c>
      <x:c r="D30" s="38" t="n">
        <x:v>-0.0156508032</x:v>
      </x:c>
      <x:c r="E30" s="38" t="n">
        <x:v>-0.0467838457</x:v>
      </x:c>
      <x:c r="F30" s="38" t="n">
        <x:v>0.0042096748</x:v>
      </x:c>
      <x:c r="G30" s="38" t="n">
        <x:v>0.0323180589</x:v>
      </x:c>
      <x:c r="H30" s="38" t="n">
        <x:v>-0.0043516489</x:v>
      </x:c>
      <x:c r="I30" s="38" t="n">
        <x:v>0.0020470917</x:v>
      </x:c>
      <x:c r="J30" s="38" t="n">
        <x:v>-0.0412972512</x:v>
      </x:c>
      <x:c r="K30" s="38" t="n">
        <x:v>0.0571214835</x:v>
      </x:c>
      <x:c r="L30" s="38" t="n">
        <x:v>0.0434263427</x:v>
      </x:c>
      <x:c r="M30" s="38" t="n">
        <x:v>-0.0607280622</x:v>
      </x:c>
      <x:c r="N30" s="38" t="n">
        <x:v>0.1324689045</x:v>
      </x:c>
      <x:c r="O30" s="38" t="n">
        <x:v>0.12103259</x:v>
      </x:c>
      <x:c r="P30" s="38" t="n">
        <x:v>-0.1320600141</x:v>
      </x:c>
      <x:c r="Q30" s="38" t="n">
        <x:v>0.0221444337</x:v>
      </x:c>
      <x:c r="R30" s="38" t="n">
        <x:v>0.1858476934</x:v>
      </x:c>
      <x:c r="S30" s="38" t="n">
        <x:v>-0.1035760626</x:v>
      </x:c>
      <x:c r="T30" s="38" t="n">
        <x:v>-0.2666794056</x:v>
      </x:c>
      <x:c r="U30" s="38" t="n">
        <x:v>-0.2425322539</x:v>
      </x:c>
      <x:c r="V30" s="38" t="n">
        <x:v>0.2311308911</x:v>
      </x:c>
      <x:c r="W30" s="38" t="n">
        <x:v>0.0383846518</x:v>
      </x:c>
      <x:c r="X30" s="38" t="n">
        <x:v>0.1476152732</x:v>
      </x:c>
      <x:c r="Y30" s="38" t="n">
        <x:v>-0.0436599857</x:v>
      </x:c>
      <x:c r="Z30" s="38" t="n">
        <x:v>0.0892242825</x:v>
      </x:c>
      <x:c r="AA30" s="38" t="n">
        <x:v>-0.1093163117</x:v>
      </x:c>
      <x:c r="AB30" s="38" t="n">
        <x:v>0.0857720704</x:v>
      </x:c>
      <x:c r="AC30" s="38" t="n">
        <x:v>0.1878619272</x:v>
      </x:c>
      <x:c r="AD30" s="38" t="n">
        <x:v>-0.0018468073</x:v>
      </x:c>
      <x:c r="AE30" s="38" t="n">
        <x:v>-0.4075882715</x:v>
      </x:c>
      <x:c r="AF30" s="38" t="n">
        <x:v>0.3130917032</x:v>
      </x:c>
      <x:c r="AG30" s="38" t="n">
        <x:v>-0.0757741141</x:v>
      </x:c>
      <x:c r="AH30" s="38" t="n">
        <x:v>-0.2787105623</x:v>
      </x:c>
      <x:c r="AI30" s="38" t="n">
        <x:v>-0.1903838776</x:v>
      </x:c>
      <x:c r="AJ30" s="38" t="n">
        <x:v>-0.3253598842</x:v>
      </x:c>
      <x:c r="AK30" s="38" t="n">
        <x:v>-0.0611357248</x:v>
      </x:c>
      <x:c r="AL30" s="38" t="n">
        <x:v>0.1485155912</x:v>
      </x:c>
      <x:c r="AM30" s="38" t="n">
        <x:v>-0.0884373062</x:v>
      </x:c>
      <x:c r="AN30" s="38" t="n">
        <x:v>0.06050904</x:v>
      </x:c>
      <x:c r="AO30" s="38" t="n">
        <x:v>-0.1795454496</x:v>
      </x:c>
      <x:c r="AP30" s="38" t="n">
        <x:v>-0.0651275232</x:v>
      </x:c>
      <x:c r="AQ30" s="38" t="n">
        <x:v>-0.0952139781</x:v>
      </x:c>
      <x:c r="AR30" s="38" t="n">
        <x:v>0.2095964488</x:v>
      </x:c>
    </x:row>
    <x:row r="31" ht="19" customHeight="1">
      <x:c r="A31" s="29" t="str">
        <x:v>ORKA</x:v>
      </x:c>
      <x:c r="B31" s="38" t="n">
        <x:v>0.0218147245</x:v>
      </x:c>
      <x:c r="C31" s="38" t="n">
        <x:v>0.0500494953</x:v>
      </x:c>
      <x:c r="D31" s="38" t="n">
        <x:v>0.6881168181</x:v>
      </x:c>
      <x:c r="E31" s="38" t="n">
        <x:v>0.0251095118</x:v>
      </x:c>
      <x:c r="F31" s="38" t="n">
        <x:v>-0.5230440796</x:v>
      </x:c>
      <x:c r="G31" s="38" t="n">
        <x:v>0.0449480288</x:v>
      </x:c>
      <x:c r="H31" s="38" t="n">
        <x:v>-0.1618591823</x:v>
      </x:c>
      <x:c r="I31" s="38" t="n">
        <x:v>0.1530499727</x:v>
      </x:c>
      <x:c r="J31" s="38" t="n">
        <x:v>-0.2089280302</x:v>
      </x:c>
      <x:c r="K31" s="38" t="n">
        <x:v>0.0861423229</x:v>
      </x:c>
      <x:c r="L31" s="38" t="n">
        <x:v>-0.0738813402</x:v>
      </x:c>
      <x:c r="M31" s="38" t="n">
        <x:v>0.0608389159</x:v>
      </x:c>
      <x:c r="N31" s="38" t="n">
        <x:v>0.04538042</x:v>
      </x:c>
      <x:c r="O31" s="38" t="n">
        <x:v>0.1126230107</x:v>
      </x:c>
      <x:c r="P31" s="38" t="n">
        <x:v>-0.0816997526</x:v>
      </x:c>
      <x:c r="Q31" s="38" t="n">
        <x:v>-0.0396813725</x:v>
      </x:c>
      <x:c r="R31" s="38" t="n">
        <x:v>-0.0591011656</x:v>
      </x:c>
      <x:c r="S31" s="38" t="n">
        <x:v>0.1516078729</x:v>
      </x:c>
      <x:c r="T31" s="38" t="n">
        <x:v>0.0049699197</x:v>
      </x:c>
      <x:c r="U31" s="38" t="n">
        <x:v>0.0252474675</x:v>
      </x:c>
      <x:c r="V31" s="38" t="n">
        <x:v>-0.0090854522</x:v>
      </x:c>
      <x:c r="W31" s="38" t="n">
        <x:v>-0.081841102</x:v>
      </x:c>
      <x:c r="X31" s="38" t="n">
        <x:v>0.0529442316</x:v>
      </x:c>
      <x:c r="Y31" s="38" t="n">
        <x:v>0.0583714726</x:v>
      </x:c>
      <x:c r="Z31" s="38" t="n">
        <x:v>0.0034210137</x:v>
      </x:c>
      <x:c r="AA31" s="38" t="n">
        <x:v>-0.1019532407</x:v>
      </x:c>
      <x:c r="AB31" s="38" t="n">
        <x:v>0.0883143982</x:v>
      </x:c>
      <x:c r="AC31" s="38" t="n">
        <x:v>-0.0303151574</x:v>
      </x:c>
      <x:c r="AD31" s="38" t="n">
        <x:v>0.1180265901</x:v>
      </x:c>
      <x:c r="AE31" s="38" t="n">
        <x:v>0.1459108033</x:v>
      </x:c>
      <x:c r="AF31" s="38" t="n">
        <x:v>0.0231851707</x:v>
      </x:c>
      <x:c r="AG31" s="38" t="n">
        <x:v>0.0423709338</x:v>
      </x:c>
      <x:c r="AH31" s="38" t="n">
        <x:v>-0.0783218721</x:v>
      </x:c>
      <x:c r="AI31" s="38" t="n">
        <x:v>-0.0123305306</x:v>
      </x:c>
      <x:c r="AJ31" s="38" t="n">
        <x:v>-0.0814420667</x:v>
      </x:c>
      <x:c r="AK31" s="38" t="n">
        <x:v>-0.0369271175</x:v>
      </x:c>
      <x:c r="AL31" s="38" t="n">
        <x:v>0.0136137888</x:v>
      </x:c>
      <x:c r="AM31" s="38" t="n">
        <x:v>-0.0441928037</x:v>
      </x:c>
      <x:c r="AN31" s="38" t="n">
        <x:v>0.0126256694</x:v>
      </x:c>
      <x:c r="AO31" s="38" t="n">
        <x:v>0.0109370508</x:v>
      </x:c>
      <x:c r="AP31" s="38" t="n">
        <x:v>-0.0081352481</x:v>
      </x:c>
      <x:c r="AQ31" s="38" t="n">
        <x:v>0.029313587</x:v>
      </x:c>
      <x:c r="AR31" s="38" t="n">
        <x:v>-0.0027558896</x:v>
      </x:c>
    </x:row>
    <x:row r="32" ht="19" customHeight="1">
      <x:c r="A32" s="29" t="str">
        <x:v>UPST</x:v>
      </x:c>
      <x:c r="B32" s="38" t="n">
        <x:v>0.5691433129</x:v>
      </x:c>
      <x:c r="C32" s="38" t="n">
        <x:v>0.6979876009</x:v>
      </x:c>
      <x:c r="D32" s="38" t="n">
        <x:v>-0.053509762</x:v>
      </x:c>
      <x:c r="E32" s="38" t="n">
        <x:v>-0.2692999829</x:v>
      </x:c>
      <x:c r="F32" s="38" t="n">
        <x:v>-0.0116005897</x:v>
      </x:c>
      <x:c r="G32" s="38" t="n">
        <x:v>0.0757998712</x:v>
      </x:c>
      <x:c r="H32" s="38" t="n">
        <x:v>0.0319815237</x:v>
      </x:c>
      <x:c r="I32" s="38" t="n">
        <x:v>-0.0208880618</x:v>
      </x:c>
      <x:c r="J32" s="38" t="n">
        <x:v>-0.0822255922</x:v>
      </x:c>
      <x:c r="K32" s="38" t="n">
        <x:v>0.1514468666</x:v>
      </x:c>
      <x:c r="L32" s="38" t="n">
        <x:v>0.0827579606</x:v>
      </x:c>
      <x:c r="M32" s="38" t="n">
        <x:v>-0.0310672537</x:v>
      </x:c>
      <x:c r="N32" s="38" t="n">
        <x:v>-0.1455884552</x:v>
      </x:c>
      <x:c r="O32" s="38" t="n">
        <x:v>-0.1390877804</x:v>
      </x:c>
      <x:c r="P32" s="38" t="n">
        <x:v>0.0168668918</x:v>
      </x:c>
      <x:c r="Q32" s="38" t="n">
        <x:v>-0.0657805521</x:v>
      </x:c>
      <x:c r="R32" s="38" t="n">
        <x:v>0.0141675054</x:v>
      </x:c>
      <x:c r="S32" s="38" t="n">
        <x:v>0.0152504129</x:v>
      </x:c>
      <x:c r="T32" s="38" t="n">
        <x:v>-0.0078726222</x:v>
      </x:c>
      <x:c r="U32" s="38" t="n">
        <x:v>0.0441200844</x:v>
      </x:c>
      <x:c r="V32" s="38" t="n">
        <x:v>0.0244733892</x:v>
      </x:c>
      <x:c r="W32" s="38" t="n">
        <x:v>0.0699205703</x:v>
      </x:c>
      <x:c r="X32" s="38" t="n">
        <x:v>0.0223100944</x:v>
      </x:c>
      <x:c r="Y32" s="38" t="n">
        <x:v>0.0326903332</x:v>
      </x:c>
      <x:c r="Z32" s="38" t="n">
        <x:v>0.0198864271</x:v>
      </x:c>
      <x:c r="AA32" s="38" t="n">
        <x:v>-0.0066487242</x:v>
      </x:c>
      <x:c r="AB32" s="38" t="n">
        <x:v>0.0216353099</x:v>
      </x:c>
      <x:c r="AC32" s="38" t="n">
        <x:v>0.0638715432</x:v>
      </x:c>
      <x:c r="AD32" s="38" t="n">
        <x:v>0.000856429</x:v>
      </x:c>
      <x:c r="AE32" s="38" t="n">
        <x:v>-0.0260176084</x:v>
      </x:c>
      <x:c r="AF32" s="38" t="n">
        <x:v>0.0259442487</x:v>
      </x:c>
      <x:c r="AG32" s="38" t="n">
        <x:v>-0.0508808279</x:v>
      </x:c>
      <x:c r="AH32" s="38" t="n">
        <x:v>-0.0050259409</x:v>
      </x:c>
      <x:c r="AI32" s="38" t="n">
        <x:v>0.0014919658</x:v>
      </x:c>
      <x:c r="AJ32" s="38" t="n">
        <x:v>0.0181801781</x:v>
      </x:c>
      <x:c r="AK32" s="38" t="n">
        <x:v>-0.0031002817</x:v>
      </x:c>
      <x:c r="AL32" s="38" t="n">
        <x:v>0.0432230242</x:v>
      </x:c>
      <x:c r="AM32" s="38" t="n">
        <x:v>0.0079776834</x:v>
      </x:c>
      <x:c r="AN32" s="38" t="n">
        <x:v>0.0033398928</x:v>
      </x:c>
      <x:c r="AO32" s="38" t="n">
        <x:v>-0.004767381</x:v>
      </x:c>
      <x:c r="AP32" s="38" t="n">
        <x:v>0.0336805924</x:v>
      </x:c>
      <x:c r="AQ32" s="38" t="n">
        <x:v>-0.0022277708</x:v>
      </x:c>
      <x:c r="AR32" s="38" t="n">
        <x:v>0.0400513591</x:v>
      </x:c>
    </x:row>
    <x:row r="33" ht="19" customHeight="1">
      <x:c r="A33" s="29" t="str">
        <x:v>PG</x:v>
      </x:c>
      <x:c r="B33" s="38" t="n">
        <x:v>-0.025555131</x:v>
      </x:c>
      <x:c r="C33" s="38" t="n">
        <x:v>-0.0026158029</x:v>
      </x:c>
      <x:c r="D33" s="38" t="n">
        <x:v>0.0090181977</x:v>
      </x:c>
      <x:c r="E33" s="38" t="n">
        <x:v>-0.0396165931</x:v>
      </x:c>
      <x:c r="F33" s="38" t="n">
        <x:v>0.0806642633</x:v>
      </x:c>
      <x:c r="G33" s="38" t="n">
        <x:v>0.0326505735</x:v>
      </x:c>
      <x:c r="H33" s="38" t="n">
        <x:v>0.0372900495</x:v>
      </x:c>
      <x:c r="I33" s="38" t="n">
        <x:v>0.0107334238</x:v>
      </x:c>
      <x:c r="J33" s="38" t="n">
        <x:v>-0.0250815693</x:v>
      </x:c>
      <x:c r="K33" s="38" t="n">
        <x:v>-0.0136594423</x:v>
      </x:c>
      <x:c r="L33" s="38" t="n">
        <x:v>0.0418676906</x:v>
      </x:c>
      <x:c r="M33" s="38" t="n">
        <x:v>-0.0677959562</x:v>
      </x:c>
      <x:c r="N33" s="38" t="n">
        <x:v>0.0629256502</x:v>
      </x:c>
      <x:c r="O33" s="38" t="n">
        <x:v>0.0260339554</x:v>
      </x:c>
      <x:c r="P33" s="38" t="n">
        <x:v>-0.0411071214</x:v>
      </x:c>
      <x:c r="Q33" s="38" t="n">
        <x:v>-0.1419029114</x:v>
      </x:c>
      <x:c r="R33" s="38" t="n">
        <x:v>0.075911687</x:v>
      </x:c>
      <x:c r="S33" s="38" t="n">
        <x:v>0.0061838659</x:v>
      </x:c>
      <x:c r="T33" s="38" t="n">
        <x:v>0.041609608</x:v>
      </x:c>
      <x:c r="U33" s="38" t="n">
        <x:v>-0.0750448687</x:v>
      </x:c>
      <x:c r="V33" s="38" t="n">
        <x:v>0.082251552</x:v>
      </x:c>
      <x:c r="W33" s="38" t="n">
        <x:v>-0.0508562301</x:v>
      </x:c>
      <x:c r="X33" s="38" t="n">
        <x:v>0.1539039849</x:v>
      </x:c>
      <x:c r="Y33" s="38" t="n">
        <x:v>0.0781508661</x:v>
      </x:c>
      <x:c r="Z33" s="38" t="n">
        <x:v>0.1678225874</x:v>
      </x:c>
      <x:c r="AA33" s="38" t="n">
        <x:v>-0.0781108365</x:v>
      </x:c>
      <x:c r="AB33" s="38" t="n">
        <x:v>0.2190237477</x:v>
      </x:c>
      <x:c r="AC33" s="38" t="n">
        <x:v>-0.116186243</x:v>
      </x:c>
      <x:c r="AD33" s="38" t="n">
        <x:v>0.1377723722</x:v>
      </x:c>
      <x:c r="AE33" s="38" t="n">
        <x:v>-0.0070833051</x:v>
      </x:c>
      <x:c r="AF33" s="38" t="n">
        <x:v>0.0603156501</x:v>
      </x:c>
      <x:c r="AG33" s="38" t="n">
        <x:v>0.1559871868</x:v>
      </x:c>
      <x:c r="AH33" s="38" t="n">
        <x:v>-0.0254912975</x:v>
      </x:c>
      <x:c r="AI33" s="38" t="n">
        <x:v>-0.1652632805</x:v>
      </x:c>
      <x:c r="AJ33" s="38" t="n">
        <x:v>0.6483419064</x:v>
      </x:c>
      <x:c r="AK33" s="38" t="n">
        <x:v>-0.2901482433</x:v>
      </x:c>
      <x:c r="AL33" s="38" t="n">
        <x:v>-0.135038942</x:v>
      </x:c>
      <x:c r="AM33" s="38" t="n">
        <x:v>-0.2309392819</x:v>
      </x:c>
      <x:c r="AN33" s="38" t="n">
        <x:v>0.114286024</x:v>
      </x:c>
      <x:c r="AO33" s="38" t="n">
        <x:v>-0.3060526178</x:v>
      </x:c>
      <x:c r="AP33" s="38" t="n">
        <x:v>0.094615767</x:v>
      </x:c>
      <x:c r="AQ33" s="38" t="n">
        <x:v>-0.1550388265</x:v>
      </x:c>
      <x:c r="AR33" s="38" t="n">
        <x:v>-0.1270936089</x:v>
      </x:c>
    </x:row>
    <x:row r="34" ht="19" customHeight="1">
      <x:c r="A34" s="29" t="str">
        <x:v>F</x:v>
      </x:c>
      <x:c r="B34" s="38" t="n">
        <x:v>-0.1059663056</x:v>
      </x:c>
      <x:c r="C34" s="38" t="n">
        <x:v>-0.017089743</x:v>
      </x:c>
      <x:c r="D34" s="38" t="n">
        <x:v>-0.0706156161</x:v>
      </x:c>
      <x:c r="E34" s="38" t="n">
        <x:v>-0.0136067777</x:v>
      </x:c>
      <x:c r="F34" s="38" t="n">
        <x:v>0.034119424</x:v>
      </x:c>
      <x:c r="G34" s="38" t="n">
        <x:v>0.0257274679</x:v>
      </x:c>
      <x:c r="H34" s="38" t="n">
        <x:v>0.1426954028</x:v>
      </x:c>
      <x:c r="I34" s="38" t="n">
        <x:v>-0.0975769086</x:v>
      </x:c>
      <x:c r="J34" s="38" t="n">
        <x:v>0.0192310993</x:v>
      </x:c>
      <x:c r="K34" s="38" t="n">
        <x:v>0.3566785838</x:v>
      </x:c>
      <x:c r="L34" s="38" t="n">
        <x:v>0.1929468215</x:v>
      </x:c>
      <x:c r="M34" s="38" t="n">
        <x:v>-0.0582998427</x:v>
      </x:c>
      <x:c r="N34" s="38" t="n">
        <x:v>-0.2507951346</x:v>
      </x:c>
      <x:c r="O34" s="38" t="n">
        <x:v>0.4210016873</x:v>
      </x:c>
      <x:c r="P34" s="38" t="n">
        <x:v>0.1420727556</x:v>
      </x:c>
      <x:c r="Q34" s="38" t="n">
        <x:v>-0.1696582017</x:v>
      </x:c>
      <x:c r="R34" s="38" t="n">
        <x:v>-0.1177183155</x:v>
      </x:c>
      <x:c r="S34" s="38" t="n">
        <x:v>0.4100575196</x:v>
      </x:c>
      <x:c r="T34" s="38" t="n">
        <x:v>-0.087917944</x:v>
      </x:c>
      <x:c r="U34" s="38" t="n">
        <x:v>-0.0532421153</x:v>
      </x:c>
      <x:c r="V34" s="38" t="n">
        <x:v>-0.276520756</x:v>
      </x:c>
      <x:c r="W34" s="38" t="n">
        <x:v>-0.0321460341</x:v>
      </x:c>
      <x:c r="X34" s="38" t="n">
        <x:v>0.1777752581</x:v>
      </x:c>
      <x:c r="Y34" s="38" t="n">
        <x:v>-0.1042013934</x:v>
      </x:c>
      <x:c r="Z34" s="38" t="n">
        <x:v>0.0197791954</x:v>
      </x:c>
      <x:c r="AA34" s="38" t="n">
        <x:v>-0.1562281641</x:v>
      </x:c>
      <x:c r="AB34" s="38" t="n">
        <x:v>0.1245468003</x:v>
      </x:c>
      <x:c r="AC34" s="38" t="n">
        <x:v>-0.0992124935</x:v>
      </x:c>
      <x:c r="AD34" s="38" t="n">
        <x:v>-0.0705195209</x:v>
      </x:c>
      <x:c r="AE34" s="38" t="n">
        <x:v>-0.1340071878</x:v>
      </x:c>
      <x:c r="AF34" s="38" t="n">
        <x:v>-0.1494541988</x:v>
      </x:c>
      <x:c r="AG34" s="38" t="n">
        <x:v>-0.1313242788</x:v>
      </x:c>
      <x:c r="AH34" s="38" t="n">
        <x:v>0.157986387</x:v>
      </x:c>
      <x:c r="AI34" s="38" t="n">
        <x:v>-0.1386050349</x:v>
      </x:c>
      <x:c r="AJ34" s="38" t="n">
        <x:v>-0.1035192169</x:v>
      </x:c>
      <x:c r="AK34" s="38" t="n">
        <x:v>-0.0825723744</x:v>
      </x:c>
      <x:c r="AL34" s="38" t="n">
        <x:v>-0.0111329722</x:v>
      </x:c>
      <x:c r="AM34" s="38" t="n">
        <x:v>0.0677239889</x:v>
      </x:c>
      <x:c r="AN34" s="38" t="n">
        <x:v>-0.0318248849</x:v>
      </x:c>
      <x:c r="AO34" s="38" t="n">
        <x:v>-0.0050685166</x:v>
      </x:c>
      <x:c r="AP34" s="38" t="n">
        <x:v>0.0116186089</x:v>
      </x:c>
      <x:c r="AQ34" s="38" t="n">
        <x:v>0.0217160586</x:v>
      </x:c>
      <x:c r="AR34" s="38" t="n">
        <x:v>-0.031873208</x:v>
      </x:c>
    </x:row>
    <x:row r="35" ht="19" customHeight="1">
      <x:c r="A35" s="29" t="str">
        <x:v>HPE</x:v>
      </x:c>
      <x:c r="B35" s="38" t="n">
        <x:v>0.003360862</x:v>
      </x:c>
      <x:c r="C35" s="38" t="n">
        <x:v>0.0301103938</x:v>
      </x:c>
      <x:c r="D35" s="38" t="n">
        <x:v>-0.0235673156</x:v>
      </x:c>
      <x:c r="E35" s="38" t="n">
        <x:v>-0.0068966182</x:v>
      </x:c>
      <x:c r="F35" s="38" t="n">
        <x:v>0.1113249069</x:v>
      </x:c>
      <x:c r="G35" s="38" t="n">
        <x:v>0.1422010709</x:v>
      </x:c>
      <x:c r="H35" s="38" t="n">
        <x:v>-0.3707654798</x:v>
      </x:c>
      <x:c r="I35" s="38" t="n">
        <x:v>0.088000139</x:v>
      </x:c>
      <x:c r="J35" s="38" t="n">
        <x:v>-0.0021888772</x:v>
      </x:c>
      <x:c r="K35" s="38" t="n">
        <x:v>-0.2006395174</x:v>
      </x:c>
      <x:c r="L35" s="38" t="n">
        <x:v>0.2211982308</x:v>
      </x:c>
      <x:c r="M35" s="38" t="n">
        <x:v>0.0721615162</x:v>
      </x:c>
      <x:c r="N35" s="38" t="n">
        <x:v>-0.0511560147</x:v>
      </x:c>
      <x:c r="O35" s="38" t="n">
        <x:v>0.2065784499</x:v>
      </x:c>
      <x:c r="P35" s="38" t="n">
        <x:v>0.0615316712</x:v>
      </x:c>
      <x:c r="Q35" s="38" t="n">
        <x:v>0.0672895878</x:v>
      </x:c>
      <x:c r="R35" s="38" t="n">
        <x:v>0.3469137926</x:v>
      </x:c>
      <x:c r="S35" s="38" t="n">
        <x:v>0.3821977514</x:v>
      </x:c>
      <x:c r="T35" s="38" t="n">
        <x:v>0.0988032938</x:v>
      </x:c>
      <x:c r="U35" s="38" t="n">
        <x:v>0.1240211068</x:v>
      </x:c>
      <x:c r="V35" s="38" t="n">
        <x:v>0.1098126716</x:v>
      </x:c>
      <x:c r="W35" s="38" t="n">
        <x:v>0.212801123</x:v>
      </x:c>
      <x:c r="X35" s="38" t="n">
        <x:v>-0.2631769308</x:v>
      </x:c>
      <x:c r="Y35" s="38" t="n">
        <x:v>-0.037156662</x:v>
      </x:c>
      <x:c r="Z35" s="38" t="n">
        <x:v>0.0286505147</x:v>
      </x:c>
      <x:c r="AA35" s="38" t="n">
        <x:v>0.0371319111</x:v>
      </x:c>
      <x:c r="AB35" s="38" t="n">
        <x:v>-0.1940627573</x:v>
      </x:c>
      <x:c r="AC35" s="38" t="n">
        <x:v>-0.0978918587</x:v>
      </x:c>
      <x:c r="AD35" s="38" t="n">
        <x:v>0.1355164385</x:v>
      </x:c>
      <x:c r="AE35" s="38" t="n">
        <x:v>-0.102607427</x:v>
      </x:c>
      <x:c r="AF35" s="38" t="n">
        <x:v>-0.1651713427</x:v>
      </x:c>
      <x:c r="AG35" s="38" t="n">
        <x:v>0.1040720154</x:v>
      </x:c>
      <x:c r="AH35" s="38" t="n">
        <x:v>-0.2284022079</x:v>
      </x:c>
      <x:c r="AI35" s="38" t="n">
        <x:v>-0.0387271212</x:v>
      </x:c>
      <x:c r="AJ35" s="38" t="n">
        <x:v>-0.0236762252</x:v>
      </x:c>
      <x:c r="AK35" s="38" t="n">
        <x:v>0.0393705079</x:v>
      </x:c>
      <x:c r="AL35" s="38" t="n">
        <x:v>-0.0252216534</x:v>
      </x:c>
      <x:c r="AM35" s="38" t="n">
        <x:v>-0.0329587109</x:v>
      </x:c>
      <x:c r="AN35" s="38" t="n">
        <x:v>-0.0828758931</x:v>
      </x:c>
      <x:c r="AO35" s="38" t="n">
        <x:v>-0.1285605557</x:v>
      </x:c>
      <x:c r="AP35" s="38" t="n">
        <x:v>0.2136322895</x:v>
      </x:c>
      <x:c r="AQ35" s="38" t="n">
        <x:v>0.0935949337</x:v>
      </x:c>
      <x:c r="AR35" s="38" t="n">
        <x:v>0.0367949944</x:v>
      </x:c>
    </x:row>
    <x:row r="36" ht="19" customHeight="1">
      <x:c r="A36" s="29" t="str">
        <x:v>BA</x:v>
      </x:c>
      <x:c r="B36" s="38" t="n">
        <x:v>0.0528390658</x:v>
      </x:c>
      <x:c r="C36" s="38" t="n">
        <x:v>-0.0437694465</x:v>
      </x:c>
      <x:c r="D36" s="38" t="n">
        <x:v>0.0440672343</x:v>
      </x:c>
      <x:c r="E36" s="38" t="n">
        <x:v>0.0091282404</x:v>
      </x:c>
      <x:c r="F36" s="38" t="n">
        <x:v>0.088814343</x:v>
      </x:c>
      <x:c r="G36" s="38" t="n">
        <x:v>-0.0247505738</x:v>
      </x:c>
      <x:c r="H36" s="38" t="n">
        <x:v>-0.1437181156</x:v>
      </x:c>
      <x:c r="I36" s="38" t="n">
        <x:v>-0.0956374718</x:v>
      </x:c>
      <x:c r="J36" s="38" t="n">
        <x:v>0.1502922744</x:v>
      </x:c>
      <x:c r="K36" s="38" t="n">
        <x:v>0.2151917111</x:v>
      </x:c>
      <x:c r="L36" s="38" t="n">
        <x:v>0.1404087412</x:v>
      </x:c>
      <x:c r="M36" s="38" t="n">
        <x:v>-0.158449777</x:v>
      </x:c>
      <x:c r="N36" s="38" t="n">
        <x:v>0.0845159044</x:v>
      </x:c>
      <x:c r="O36" s="38" t="n">
        <x:v>-0.2825844216</x:v>
      </x:c>
      <x:c r="P36" s="38" t="n">
        <x:v>-0.0099403188</x:v>
      </x:c>
      <x:c r="Q36" s="38" t="n">
        <x:v>0.3690530669</x:v>
      </x:c>
      <x:c r="R36" s="38" t="n">
        <x:v>0.051257683</x:v>
      </x:c>
      <x:c r="S36" s="38" t="n">
        <x:v>0.1067392163</x:v>
      </x:c>
      <x:c r="T36" s="38" t="n">
        <x:v>0.4862109773</x:v>
      </x:c>
      <x:c r="U36" s="38" t="n">
        <x:v>-0.0763711143</x:v>
      </x:c>
      <x:c r="V36" s="38" t="n">
        <x:v>0.0798547469</x:v>
      </x:c>
      <x:c r="W36" s="38" t="n">
        <x:v>-0.3387668166</x:v>
      </x:c>
      <x:c r="X36" s="38" t="n">
        <x:v>0.2670953164</x:v>
      </x:c>
      <x:c r="Y36" s="38" t="n">
        <x:v>-0.0641898842</x:v>
      </x:c>
      <x:c r="Z36" s="38" t="n">
        <x:v>-0.0354103668</x:v>
      </x:c>
      <x:c r="AA36" s="38" t="n">
        <x:v>-0.081558241</x:v>
      </x:c>
      <x:c r="AB36" s="38" t="n">
        <x:v>0.1074700647</x:v>
      </x:c>
      <x:c r="AC36" s="38" t="n">
        <x:v>0.0097859058</x:v>
      </x:c>
      <x:c r="AD36" s="38" t="n">
        <x:v>-0.1322559372</x:v>
      </x:c>
      <x:c r="AE36" s="38" t="n">
        <x:v>-0.0048705536</x:v>
      </x:c>
      <x:c r="AF36" s="38" t="n">
        <x:v>-0.15431099</x:v>
      </x:c>
      <x:c r="AG36" s="38" t="n">
        <x:v>0.1449700616</x:v>
      </x:c>
      <x:c r="AH36" s="38" t="n">
        <x:v>-0.0553698424</x:v>
      </x:c>
      <x:c r="AI36" s="38" t="n">
        <x:v>-0.0921778772</x:v>
      </x:c>
      <x:c r="AJ36" s="38" t="n">
        <x:v>-0.1658232607</x:v>
      </x:c>
      <x:c r="AK36" s="38" t="n">
        <x:v>-0.0834415285</x:v>
      </x:c>
      <x:c r="AL36" s="38" t="n">
        <x:v>0.042955677</x:v>
      </x:c>
      <x:c r="AM36" s="38" t="n">
        <x:v>-0.0736515133</x:v>
      </x:c>
      <x:c r="AN36" s="38" t="n">
        <x:v>0.039927098</x:v>
      </x:c>
      <x:c r="AO36" s="38" t="n">
        <x:v>-0.0125621488</x:v>
      </x:c>
      <x:c r="AP36" s="38" t="n">
        <x:v>0.0926531399</x:v>
      </x:c>
      <x:c r="AQ36" s="38" t="n">
        <x:v>0.1371903736</x:v>
      </x:c>
      <x:c r="AR36" s="38" t="n">
        <x:v>0.0274588809</x:v>
      </x:c>
    </x:row>
    <x:row r="37" ht="19" customHeight="1">
      <x:c r="A37" s="29" t="str">
        <x:v>HII</x:v>
      </x:c>
      <x:c r="B37" s="38" t="n">
        <x:v>-0.0342831393</x:v>
      </x:c>
      <x:c r="C37" s="38" t="n">
        <x:v>-0.0213680332</x:v>
      </x:c>
      <x:c r="D37" s="38" t="n">
        <x:v>-0.0358188224</x:v>
      </x:c>
      <x:c r="E37" s="38" t="n">
        <x:v>-0.0689808288</x:v>
      </x:c>
      <x:c r="F37" s="38" t="n">
        <x:v>-0.0707858643</x:v>
      </x:c>
      <x:c r="G37" s="38" t="n">
        <x:v>-0.0283138311</x:v>
      </x:c>
      <x:c r="H37" s="38" t="n">
        <x:v>0.1120600666</x:v>
      </x:c>
      <x:c r="I37" s="38" t="n">
        <x:v>0.0819150409</x:v>
      </x:c>
      <x:c r="J37" s="38" t="n">
        <x:v>0.4118668565</x:v>
      </x:c>
      <x:c r="K37" s="38" t="n">
        <x:v>0.0790037056</x:v>
      </x:c>
      <x:c r="L37" s="38" t="n">
        <x:v>-0.1331585801</x:v>
      </x:c>
      <x:c r="M37" s="38" t="n">
        <x:v>0.1858823666</x:v>
      </x:c>
      <x:c r="N37" s="38" t="n">
        <x:v>0.023449623</x:v>
      </x:c>
      <x:c r="O37" s="38" t="n">
        <x:v>-0.1121123529</x:v>
      </x:c>
      <x:c r="P37" s="38" t="n">
        <x:v>0.2199893916</x:v>
      </x:c>
      <x:c r="Q37" s="38" t="n">
        <x:v>-0.0976093589</x:v>
      </x:c>
      <x:c r="R37" s="38" t="n">
        <x:v>-0.0423405387</x:v>
      </x:c>
      <x:c r="S37" s="38" t="n">
        <x:v>-0.0112254902</x:v>
      </x:c>
      <x:c r="T37" s="38" t="n">
        <x:v>-0.1193349689</x:v>
      </x:c>
      <x:c r="U37" s="38" t="n">
        <x:v>0.4538380742</x:v>
      </x:c>
      <x:c r="V37" s="38" t="n">
        <x:v>-0.0786886375</x:v>
      </x:c>
      <x:c r="W37" s="38" t="n">
        <x:v>0.101759338</x:v>
      </x:c>
      <x:c r="X37" s="38" t="n">
        <x:v>0.3731717893</x:v>
      </x:c>
      <x:c r="Y37" s="38" t="n">
        <x:v>0.1839110194</x:v>
      </x:c>
      <x:c r="Z37" s="38" t="n">
        <x:v>-0.2120707629</x:v>
      </x:c>
      <x:c r="AA37" s="38" t="n">
        <x:v>0.0330116823</x:v>
      </x:c>
      <x:c r="AB37" s="38" t="n">
        <x:v>-0.0635369049</x:v>
      </x:c>
      <x:c r="AC37" s="38" t="n">
        <x:v>-0.07725594</x:v>
      </x:c>
      <x:c r="AD37" s="38" t="n">
        <x:v>0.1138059701</x:v>
      </x:c>
      <x:c r="AE37" s="38" t="n">
        <x:v>-0.0115568628</x:v>
      </x:c>
      <x:c r="AF37" s="38" t="n">
        <x:v>0.0063385526</x:v>
      </x:c>
      <x:c r="AG37" s="38" t="n">
        <x:v>0.0639707563</x:v>
      </x:c>
      <x:c r="AH37" s="38" t="n">
        <x:v>-0.3028273771</x:v>
      </x:c>
      <x:c r="AI37" s="38" t="n">
        <x:v>-0.003409731</x:v>
      </x:c>
      <x:c r="AJ37" s="38" t="n">
        <x:v>-0.1170393577</x:v>
      </x:c>
      <x:c r="AK37" s="38" t="n">
        <x:v>-0.0749458492</x:v>
      </x:c>
      <x:c r="AL37" s="38" t="n">
        <x:v>0.037856024</x:v>
      </x:c>
      <x:c r="AM37" s="38" t="n">
        <x:v>-0.1498308907</x:v>
      </x:c>
      <x:c r="AN37" s="38" t="n">
        <x:v>-0.1162248573</x:v>
      </x:c>
      <x:c r="AO37" s="38" t="n">
        <x:v>-0.1607353539</x:v>
      </x:c>
      <x:c r="AP37" s="38" t="n">
        <x:v>0.0895914283</x:v>
      </x:c>
      <x:c r="AQ37" s="38" t="n">
        <x:v>0.0267061734</x:v>
      </x:c>
      <x:c r="AR37" s="38" t="n">
        <x:v>0.0022913463</x:v>
      </x:c>
    </x:row>
    <x:row r="38" ht="19" customHeight="1">
      <x:c r="A38" s="29" t="str">
        <x:v>AMD</x:v>
      </x:c>
      <x:c r="B38" s="38" t="n">
        <x:v>-0.121420076</x:v>
      </x:c>
      <x:c r="C38" s="38" t="n">
        <x:v>0.0501413781</x:v>
      </x:c>
      <x:c r="D38" s="38" t="n">
        <x:v>0.1476085712</x:v>
      </x:c>
      <x:c r="E38" s="38" t="n">
        <x:v>0.2168157009</x:v>
      </x:c>
      <x:c r="F38" s="38" t="n">
        <x:v>-0.2081345592</x:v>
      </x:c>
      <x:c r="G38" s="38" t="n">
        <x:v>0.1520646512</x:v>
      </x:c>
      <x:c r="H38" s="38" t="n">
        <x:v>0.3797233019</x:v>
      </x:c>
      <x:c r="I38" s="38" t="n">
        <x:v>-0.3424471971</x:v>
      </x:c>
      <x:c r="J38" s="38" t="n">
        <x:v>-0.0023390571</x:v>
      </x:c>
      <x:c r="K38" s="38" t="n">
        <x:v>0.2347330148</x:v>
      </x:c>
      <x:c r="L38" s="38" t="n">
        <x:v>0.2159754137</x:v>
      </x:c>
      <x:c r="M38" s="38" t="n">
        <x:v>0.0437776838</x:v>
      </x:c>
      <x:c r="N38" s="38" t="n">
        <x:v>0.0882576924</x:v>
      </x:c>
      <x:c r="O38" s="38" t="n">
        <x:v>-0.102644972</x:v>
      </x:c>
      <x:c r="P38" s="38" t="n">
        <x:v>0.4025292194</x:v>
      </x:c>
      <x:c r="Q38" s="38" t="n">
        <x:v>-0.009297607</x:v>
      </x:c>
      <x:c r="R38" s="38" t="n">
        <x:v>0.3041502819</x:v>
      </x:c>
      <x:c r="S38" s="38" t="n">
        <x:v>-0.0713077383</x:v>
      </x:c>
      <x:c r="T38" s="38" t="n">
        <x:v>0.0677594748</x:v>
      </x:c>
      <x:c r="U38" s="38" t="n">
        <x:v>-0.0473307886</x:v>
      </x:c>
      <x:c r="V38" s="38" t="n">
        <x:v>0.0852060543</x:v>
      </x:c>
      <x:c r="W38" s="38" t="n">
        <x:v>0.0941101324</x:v>
      </x:c>
      <x:c r="X38" s="38" t="n">
        <x:v>-0.1516325835</x:v>
      </x:c>
      <x:c r="Y38" s="38" t="n">
        <x:v>-0.198241943</x:v>
      </x:c>
      <x:c r="Z38" s="38" t="n">
        <x:v>-0.0452647406</x:v>
      </x:c>
      <x:c r="AA38" s="38" t="n">
        <x:v>-0.0084099859</x:v>
      </x:c>
      <x:c r="AB38" s="38" t="n">
        <x:v>-0.0890317615</x:v>
      </x:c>
      <x:c r="AC38" s="38" t="n">
        <x:v>0.1271513656</x:v>
      </x:c>
      <x:c r="AD38" s="38" t="n">
        <x:v>-0.0337951377</x:v>
      </x:c>
      <x:c r="AE38" s="38" t="n">
        <x:v>0.0280313844</x:v>
      </x:c>
      <x:c r="AF38" s="38" t="n">
        <x:v>0.0837146064</x:v>
      </x:c>
      <x:c r="AG38" s="38" t="n">
        <x:v>0.0684795344</x:v>
      </x:c>
      <x:c r="AH38" s="38" t="n">
        <x:v>-0.0981337723</x:v>
      </x:c>
      <x:c r="AI38" s="38" t="n">
        <x:v>0.0706644888</x:v>
      </x:c>
      <x:c r="AJ38" s="38" t="n">
        <x:v>0.1374702864</x:v>
      </x:c>
      <x:c r="AK38" s="38" t="n">
        <x:v>0.1557354414</x:v>
      </x:c>
      <x:c r="AL38" s="38" t="n">
        <x:v>0.0372827599</x:v>
      </x:c>
      <x:c r="AM38" s="38" t="n">
        <x:v>-0.0269203649</x:v>
      </x:c>
      <x:c r="AN38" s="38" t="n">
        <x:v>-0.0765869432</x:v>
      </x:c>
      <x:c r="AO38" s="38" t="n">
        <x:v>-0.0005418704</x:v>
      </x:c>
      <x:c r="AP38" s="38" t="n">
        <x:v>0.0501155135</x:v>
      </x:c>
      <x:c r="AQ38" s="38" t="n">
        <x:v>-0.0884785193</x:v>
      </x:c>
      <x:c r="AR38" s="38" t="n">
        <x:v>-0.0562642673</x:v>
      </x:c>
    </x:row>
    <x:row r="39" ht="19" customHeight="1">
      <x:c r="A39" s="29" t="str">
        <x:v>LLY</x:v>
      </x:c>
      <x:c r="B39" s="38" t="n">
        <x:v>-0.025228929</x:v>
      </x:c>
      <x:c r="C39" s="38" t="n">
        <x:v>-0.0006724535</x:v>
      </x:c>
      <x:c r="D39" s="38" t="n">
        <x:v>-0.096122435</x:v>
      </x:c>
      <x:c r="E39" s="38" t="n">
        <x:v>-0.041204009</x:v>
      </x:c>
      <x:c r="F39" s="38" t="n">
        <x:v>0.0592298793</x:v>
      </x:c>
      <x:c r="G39" s="38" t="n">
        <x:v>0.0173259318</x:v>
      </x:c>
      <x:c r="H39" s="38" t="n">
        <x:v>0.1173799625</x:v>
      </x:c>
      <x:c r="I39" s="38" t="n">
        <x:v>0.0270099594</x:v>
      </x:c>
      <x:c r="J39" s="38" t="n">
        <x:v>-0.0864117241</x:v>
      </x:c>
      <x:c r="K39" s="38" t="n">
        <x:v>-0.0327485984</x:v>
      </x:c>
      <x:c r="L39" s="38" t="n">
        <x:v>-0.0127660224</x:v>
      </x:c>
      <x:c r="M39" s="38" t="n">
        <x:v>0.0459447214</x:v>
      </x:c>
      <x:c r="N39" s="38" t="n">
        <x:v>0.0586118445</x:v>
      </x:c>
      <x:c r="O39" s="38" t="n">
        <x:v>0.1531641062</x:v>
      </x:c>
      <x:c r="P39" s="38" t="n">
        <x:v>-0.2590042792</x:v>
      </x:c>
      <x:c r="Q39" s="38" t="n">
        <x:v>-0.2557668634</x:v>
      </x:c>
      <x:c r="R39" s="38" t="n">
        <x:v>0.3866028235</x:v>
      </x:c>
      <x:c r="S39" s="38" t="n">
        <x:v>0.0284003239</x:v>
      </x:c>
      <x:c r="T39" s="38" t="n">
        <x:v>0.3787004181</x:v>
      </x:c>
      <x:c r="U39" s="38" t="n">
        <x:v>0.2777690134</x:v>
      </x:c>
      <x:c r="V39" s="38" t="n">
        <x:v>-0.0938422171</x:v>
      </x:c>
      <x:c r="W39" s="38" t="n">
        <x:v>-0.0666676219</x:v>
      </x:c>
      <x:c r="X39" s="38" t="n">
        <x:v>0.0576199175</x:v>
      </x:c>
      <x:c r="Y39" s="38" t="n">
        <x:v>-0.0801943989</x:v>
      </x:c>
      <x:c r="Z39" s="38" t="n">
        <x:v>-0.2948449769</x:v>
      </x:c>
      <x:c r="AA39" s="38" t="n">
        <x:v>0.0490743837</x:v>
      </x:c>
      <x:c r="AB39" s="38" t="n">
        <x:v>0.172873551</x:v>
      </x:c>
      <x:c r="AC39" s="38" t="n">
        <x:v>0.1151113955</x:v>
      </x:c>
      <x:c r="AD39" s="38" t="n">
        <x:v>0.20159605</x:v>
      </x:c>
      <x:c r="AE39" s="38" t="n">
        <x:v>0.1332357163</x:v>
      </x:c>
      <x:c r="AF39" s="38" t="n">
        <x:v>0.1909246034</x:v>
      </x:c>
      <x:c r="AG39" s="38" t="n">
        <x:v>-0.0535242163</x:v>
      </x:c>
      <x:c r="AH39" s="38" t="n">
        <x:v>0.1437024216</x:v>
      </x:c>
      <x:c r="AI39" s="38" t="n">
        <x:v>-0.0491375117</x:v>
      </x:c>
      <x:c r="AJ39" s="38" t="n">
        <x:v>-0.1400086596</x:v>
      </x:c>
      <x:c r="AK39" s="38" t="n">
        <x:v>0.119330613</x:v>
      </x:c>
      <x:c r="AL39" s="38" t="n">
        <x:v>0.1142088861</x:v>
      </x:c>
      <x:c r="AM39" s="38" t="n">
        <x:v>0.0569004139</x:v>
      </x:c>
      <x:c r="AN39" s="38" t="n">
        <x:v>0.2726384839</x:v>
      </x:c>
      <x:c r="AO39" s="38" t="n">
        <x:v>-0.0381206443</x:v>
      </x:c>
      <x:c r="AP39" s="38" t="n">
        <x:v>-0.0950677245</x:v>
      </x:c>
      <x:c r="AQ39" s="38" t="n">
        <x:v>-0.1015454427</x:v>
      </x:c>
      <x:c r="AR39" s="38" t="n">
        <x:v>-0.0869001976</x:v>
      </x:c>
    </x:row>
    <x:row r="40" ht="19" customHeight="1">
      <x:c r="A40" s="29" t="str">
        <x:v>WELL</x:v>
      </x:c>
      <x:c r="B40" s="38" t="n">
        <x:v>-0.0239843428</x:v>
      </x:c>
      <x:c r="C40" s="38" t="n">
        <x:v>0.0161604984</x:v>
      </x:c>
      <x:c r="D40" s="38" t="n">
        <x:v>-0.0024414472</x:v>
      </x:c>
      <x:c r="E40" s="38" t="n">
        <x:v>-0.0149697708</x:v>
      </x:c>
      <x:c r="F40" s="38" t="n">
        <x:v>-0.0494562026</x:v>
      </x:c>
      <x:c r="G40" s="38" t="n">
        <x:v>0.084974081</x:v>
      </x:c>
      <x:c r="H40" s="38" t="n">
        <x:v>0.0371419698</x:v>
      </x:c>
      <x:c r="I40" s="38" t="n">
        <x:v>0.0116703779</x:v>
      </x:c>
      <x:c r="J40" s="38" t="n">
        <x:v>-0.0983790622</x:v>
      </x:c>
      <x:c r="K40" s="38" t="n">
        <x:v>-0.038399305</x:v>
      </x:c>
      <x:c r="L40" s="38" t="n">
        <x:v>0.0256742421</x:v>
      </x:c>
      <x:c r="M40" s="38" t="n">
        <x:v>-0.2526870468</x:v>
      </x:c>
      <x:c r="N40" s="38" t="n">
        <x:v>-0.0578690803</x:v>
      </x:c>
      <x:c r="O40" s="38" t="n">
        <x:v>0.150769674</x:v>
      </x:c>
      <x:c r="P40" s="38" t="n">
        <x:v>-0.0320703152</x:v>
      </x:c>
      <x:c r="Q40" s="38" t="n">
        <x:v>-0.1009332592</x:v>
      </x:c>
      <x:c r="R40" s="38" t="n">
        <x:v>-0.0490484062</x:v>
      </x:c>
      <x:c r="S40" s="38" t="n">
        <x:v>-0.1712626944</x:v>
      </x:c>
      <x:c r="T40" s="38" t="n">
        <x:v>0.0124275469</x:v>
      </x:c>
      <x:c r="U40" s="38" t="n">
        <x:v>-0.1916281238</x:v>
      </x:c>
      <x:c r="V40" s="38" t="n">
        <x:v>0.0098864755</x:v>
      </x:c>
      <x:c r="W40" s="38" t="n">
        <x:v>-0.1737392891</x:v>
      </x:c>
      <x:c r="X40" s="38" t="n">
        <x:v>0.1018117196</x:v>
      </x:c>
      <x:c r="Y40" s="38" t="n">
        <x:v>-0.0761127334</x:v>
      </x:c>
      <x:c r="Z40" s="38" t="n">
        <x:v>-0.1543070658</x:v>
      </x:c>
      <x:c r="AA40" s="38" t="n">
        <x:v>0.4298235706</x:v>
      </x:c>
      <x:c r="AB40" s="38" t="n">
        <x:v>0.0797025618</x:v>
      </x:c>
      <x:c r="AC40" s="38" t="n">
        <x:v>-0.0001759754</x:v>
      </x:c>
      <x:c r="AD40" s="38" t="n">
        <x:v>0.0419081573</x:v>
      </x:c>
      <x:c r="AE40" s="38" t="n">
        <x:v>0.0540902631</x:v>
      </x:c>
      <x:c r="AF40" s="38" t="n">
        <x:v>-0.0391468372</x:v>
      </x:c>
      <x:c r="AG40" s="38" t="n">
        <x:v>-0.1870081879</x:v>
      </x:c>
      <x:c r="AH40" s="38" t="n">
        <x:v>-0.0530763232</x:v>
      </x:c>
      <x:c r="AI40" s="38" t="n">
        <x:v>0.3392525397</x:v>
      </x:c>
      <x:c r="AJ40" s="38" t="n">
        <x:v>-0.0861182063</x:v>
      </x:c>
      <x:c r="AK40" s="38" t="n">
        <x:v>0.0644593315</x:v>
      </x:c>
      <x:c r="AL40" s="38" t="n">
        <x:v>-0.0918769735</x:v>
      </x:c>
      <x:c r="AM40" s="38" t="n">
        <x:v>-0.0389060745</x:v>
      </x:c>
      <x:c r="AN40" s="38" t="n">
        <x:v>-0.1965158474</x:v>
      </x:c>
      <x:c r="AO40" s="38" t="n">
        <x:v>-0.4059892747</x:v>
      </x:c>
      <x:c r="AP40" s="38" t="n">
        <x:v>0.3435042439</x:v>
      </x:c>
      <x:c r="AQ40" s="38" t="n">
        <x:v>0.2028582976</x:v>
      </x:c>
      <x:c r="AR40" s="38" t="n">
        <x:v>-0.0401433502</x:v>
      </x:c>
    </x:row>
    <x:row r="41" ht="19" customHeight="1">
      <x:c r="A41" s="29" t="str">
        <x:v>NOK</x:v>
      </x:c>
      <x:c r="B41" s="38" t="n">
        <x:v>-0.2400031995</x:v>
      </x:c>
      <x:c r="C41" s="38" t="n">
        <x:v>-0.0112384172</x:v>
      </x:c>
      <x:c r="D41" s="38" t="n">
        <x:v>-0.1775411782</x:v>
      </x:c>
      <x:c r="E41" s="38" t="n">
        <x:v>0.1103920557</x:v>
      </x:c>
      <x:c r="F41" s="38" t="n">
        <x:v>-0.0961496456</x:v>
      </x:c>
      <x:c r="G41" s="38" t="n">
        <x:v>-0.1980458999</x:v>
      </x:c>
      <x:c r="H41" s="38" t="n">
        <x:v>0.0315627972</x:v>
      </x:c>
      <x:c r="I41" s="38" t="n">
        <x:v>0.3404087294</x:v>
      </x:c>
      <x:c r="J41" s="38" t="n">
        <x:v>-0.3108477611</x:v>
      </x:c>
      <x:c r="K41" s="38" t="n">
        <x:v>0.2191607084</x:v>
      </x:c>
      <x:c r="L41" s="38" t="n">
        <x:v>0.4581340382</x:v>
      </x:c>
      <x:c r="M41" s="38" t="n">
        <x:v>0.1281461905</x:v>
      </x:c>
      <x:c r="N41" s="38" t="n">
        <x:v>-0.2170756409</x:v>
      </x:c>
      <x:c r="O41" s="38" t="n">
        <x:v>-0.2474506908</x:v>
      </x:c>
      <x:c r="P41" s="38" t="n">
        <x:v>-0.1680282194</x:v>
      </x:c>
      <x:c r="Q41" s="38" t="n">
        <x:v>-0.1291822548</x:v>
      </x:c>
      <x:c r="R41" s="38" t="n">
        <x:v>-0.0125656083</x:v>
      </x:c>
      <x:c r="S41" s="38" t="n">
        <x:v>-0.1427258639</x:v>
      </x:c>
      <x:c r="T41" s="38" t="n">
        <x:v>0.0384185961</x:v>
      </x:c>
      <x:c r="U41" s="38" t="n">
        <x:v>0.1518827012</x:v>
      </x:c>
      <x:c r="V41" s="38" t="n">
        <x:v>0.0967245308</x:v>
      </x:c>
      <x:c r="W41" s="38" t="n">
        <x:v>0.1074914708</x:v>
      </x:c>
      <x:c r="X41" s="38" t="n">
        <x:v>0.0416896805</x:v>
      </x:c>
      <x:c r="Y41" s="38" t="n">
        <x:v>0.0689925261</x:v>
      </x:c>
      <x:c r="Z41" s="38" t="n">
        <x:v>0.1645003616</x:v>
      </x:c>
      <x:c r="AA41" s="38" t="n">
        <x:v>-0.1223496416</x:v>
      </x:c>
      <x:c r="AB41" s="38" t="n">
        <x:v>-0.0447762347</x:v>
      </x:c>
      <x:c r="AC41" s="38" t="n">
        <x:v>0.0078655255</x:v>
      </x:c>
      <x:c r="AD41" s="38" t="n">
        <x:v>-0.1033614095</x:v>
      </x:c>
      <x:c r="AE41" s="38" t="n">
        <x:v>0.0899427911</x:v>
      </x:c>
      <x:c r="AF41" s="38" t="n">
        <x:v>-0.0886180136</x:v>
      </x:c>
      <x:c r="AG41" s="38" t="n">
        <x:v>0.009570551</x:v>
      </x:c>
      <x:c r="AH41" s="38" t="n">
        <x:v>-0.0609382572</x:v>
      </x:c>
      <x:c r="AI41" s="38" t="n">
        <x:v>0.1757794172</x:v>
      </x:c>
      <x:c r="AJ41" s="38" t="n">
        <x:v>-0.0670217571</x:v>
      </x:c>
      <x:c r="AK41" s="38" t="n">
        <x:v>-0.0617636432</x:v>
      </x:c>
      <x:c r="AL41" s="38" t="n">
        <x:v>0.0198314408</x:v>
      </x:c>
      <x:c r="AM41" s="38" t="n">
        <x:v>-0.0123190645</x:v>
      </x:c>
      <x:c r="AN41" s="38" t="n">
        <x:v>0.0354610807</x:v>
      </x:c>
      <x:c r="AO41" s="38" t="n">
        <x:v>-0.1193165956</x:v>
      </x:c>
      <x:c r="AP41" s="38" t="n">
        <x:v>0.0181244613</x:v>
      </x:c>
      <x:c r="AQ41" s="38" t="n">
        <x:v>0.0057061671</x:v>
      </x:c>
      <x:c r="AR41" s="38" t="n">
        <x:v>0.0798015113</x:v>
      </x:c>
    </x:row>
    <x:row r="42" ht="19" customHeight="1">
      <x:c r="A42" s="29" t="str">
        <x:v>MSFT</x:v>
      </x:c>
      <x:c r="B42" s="38" t="n">
        <x:v>0.0907251767</x:v>
      </x:c>
      <x:c r="C42" s="38" t="n">
        <x:v>-0.0959322845</x:v>
      </x:c>
      <x:c r="D42" s="38" t="n">
        <x:v>0.0520791543</x:v>
      </x:c>
      <x:c r="E42" s="38" t="n">
        <x:v>-0.0528128883</x:v>
      </x:c>
      <x:c r="F42" s="38" t="n">
        <x:v>-0.0775091481</x:v>
      </x:c>
      <x:c r="G42" s="38" t="n">
        <x:v>0.0991659934</x:v>
      </x:c>
      <x:c r="H42" s="38" t="n">
        <x:v>0.1029964279</x:v>
      </x:c>
      <x:c r="I42" s="38" t="n">
        <x:v>0.1835699149</x:v>
      </x:c>
      <x:c r="J42" s="38" t="n">
        <x:v>0.1650708247</x:v>
      </x:c>
      <x:c r="K42" s="38" t="n">
        <x:v>-0.0297648632</x:v>
      </x:c>
      <x:c r="L42" s="38" t="n">
        <x:v>0.1308028764</x:v>
      </x:c>
      <x:c r="M42" s="38" t="n">
        <x:v>-0.0373157487</x:v>
      </x:c>
      <x:c r="N42" s="38" t="n">
        <x:v>0.0664944144</x:v>
      </x:c>
      <x:c r="O42" s="38" t="n">
        <x:v>-0.0467143955</x:v>
      </x:c>
      <x:c r="P42" s="38" t="n">
        <x:v>0.1339344353</x:v>
      </x:c>
      <x:c r="Q42" s="38" t="n">
        <x:v>-0.0410478862</x:v>
      </x:c>
      <x:c r="R42" s="38" t="n">
        <x:v>-0.1084232506</x:v>
      </x:c>
      <x:c r="S42" s="38" t="n">
        <x:v>0.1217366374</x:v>
      </x:c>
      <x:c r="T42" s="38" t="n">
        <x:v>-0.0489642423</x:v>
      </x:c>
      <x:c r="U42" s="38" t="n">
        <x:v>-0.1196696813</x:v>
      </x:c>
      <x:c r="V42" s="38" t="n">
        <x:v>-0.0207797876</x:v>
      </x:c>
      <x:c r="W42" s="38" t="n">
        <x:v>0.1520737485</x:v>
      </x:c>
      <x:c r="X42" s="38" t="n">
        <x:v>0.0159498686</x:v>
      </x:c>
      <x:c r="Y42" s="38" t="n">
        <x:v>0.0170206746</x:v>
      </x:c>
      <x:c r="Z42" s="38" t="n">
        <x:v>0.0412114407</x:v>
      </x:c>
      <x:c r="AA42" s="38" t="n">
        <x:v>0.1486563475</x:v>
      </x:c>
      <x:c r="AB42" s="38" t="n">
        <x:v>-0.0756987262</x:v>
      </x:c>
      <x:c r="AC42" s="38" t="n">
        <x:v>-0.0621635584</x:v>
      </x:c>
      <x:c r="AD42" s="38" t="n">
        <x:v>-0.0276198087</x:v>
      </x:c>
      <x:c r="AE42" s="38" t="n">
        <x:v>-0.1931771536</x:v>
      </x:c>
      <x:c r="AF42" s="38" t="n">
        <x:v>0.1186791796</x:v>
      </x:c>
      <x:c r="AG42" s="38" t="n">
        <x:v>0.2584844859</x:v>
      </x:c>
      <x:c r="AH42" s="38" t="n">
        <x:v>0.250759494</x:v>
      </x:c>
      <x:c r="AI42" s="38" t="n">
        <x:v>0.2500781176</x:v>
      </x:c>
      <x:c r="AJ42" s="38" t="n">
        <x:v>-0.0616115724</x:v>
      </x:c>
      <x:c r="AK42" s="38" t="n">
        <x:v>0.0831701816</x:v>
      </x:c>
      <x:c r="AL42" s="38" t="n">
        <x:v>0.0382235924</x:v>
      </x:c>
      <x:c r="AM42" s="38" t="n">
        <x:v>-0.1409221944</x:v>
      </x:c>
      <x:c r="AN42" s="38" t="n">
        <x:v>0.6446275117</x:v>
      </x:c>
      <x:c r="AO42" s="38" t="n">
        <x:v>0.014989329</x:v>
      </x:c>
      <x:c r="AP42" s="38" t="n">
        <x:v>0.1209399685</x:v>
      </x:c>
      <x:c r="AQ42" s="38" t="n">
        <x:v>0.190029619</x:v>
      </x:c>
      <x:c r="AR42" s="38" t="n">
        <x:v>0.0180738526</x:v>
      </x:c>
    </x:row>
    <x:row r="43" ht="19" customHeight="1">
      <x:c r="A43" s="29" t="str">
        <x:v>GOOGL</x:v>
      </x:c>
      <x:c r="B43" s="38" t="n">
        <x:v>-0.0973166517</x:v>
      </x:c>
      <x:c r="C43" s="38" t="n">
        <x:v>0.0595744266</x:v>
      </x:c>
      <x:c r="D43" s="38" t="n">
        <x:v>0.0275218957</x:v>
      </x:c>
      <x:c r="E43" s="38" t="n">
        <x:v>-0.063960288</x:v>
      </x:c>
      <x:c r="F43" s="38" t="n">
        <x:v>0.0020909437</x:v>
      </x:c>
      <x:c r="G43" s="38" t="n">
        <x:v>-0.0407847122</x:v>
      </x:c>
      <x:c r="H43" s="38" t="n">
        <x:v>0.1055214393</x:v>
      </x:c>
      <x:c r="I43" s="38" t="n">
        <x:v>0.0160657172</x:v>
      </x:c>
      <x:c r="J43" s="38" t="n">
        <x:v>-0.0131078015</x:v>
      </x:c>
      <x:c r="K43" s="38" t="n">
        <x:v>-0.0913782905</x:v>
      </x:c>
      <x:c r="L43" s="38" t="n">
        <x:v>0.1303219375</x:v>
      </x:c>
      <x:c r="M43" s="38" t="n">
        <x:v>-0.0054427249</x:v>
      </x:c>
      <x:c r="N43" s="38" t="n">
        <x:v>-0.174982787</x:v>
      </x:c>
      <x:c r="O43" s="38" t="n">
        <x:v>0.0558004731</x:v>
      </x:c>
      <x:c r="P43" s="38" t="n">
        <x:v>0.0478178295</x:v>
      </x:c>
      <x:c r="Q43" s="38" t="n">
        <x:v>0.1667243763</x:v>
      </x:c>
      <x:c r="R43" s="38" t="n">
        <x:v>-0.0086611451</x:v>
      </x:c>
      <x:c r="S43" s="38" t="n">
        <x:v>-0.0587834026</x:v>
      </x:c>
      <x:c r="T43" s="38" t="n">
        <x:v>0.3113890889</x:v>
      </x:c>
      <x:c r="U43" s="38" t="n">
        <x:v>-0.280509736</x:v>
      </x:c>
      <x:c r="V43" s="38" t="n">
        <x:v>-0.3569940817</x:v>
      </x:c>
      <x:c r="W43" s="38" t="n">
        <x:v>0.0417978123</x:v>
      </x:c>
      <x:c r="X43" s="38" t="n">
        <x:v>-0.0927444698</x:v>
      </x:c>
      <x:c r="Y43" s="38" t="n">
        <x:v>0.5169101706</x:v>
      </x:c>
      <x:c r="Z43" s="38" t="n">
        <x:v>-0.1471740317</x:v>
      </x:c>
      <x:c r="AA43" s="38" t="n">
        <x:v>-0.1466853231</x:v>
      </x:c>
      <x:c r="AB43" s="38" t="n">
        <x:v>-0.1207874311</x:v>
      </x:c>
      <x:c r="AC43" s="38" t="n">
        <x:v>-0.0295331322</x:v>
      </x:c>
      <x:c r="AD43" s="38" t="n">
        <x:v>0.1863688081</x:v>
      </x:c>
      <x:c r="AE43" s="38" t="n">
        <x:v>-0.1523463784</x:v>
      </x:c>
      <x:c r="AF43" s="38" t="n">
        <x:v>0.2860715161</x:v>
      </x:c>
      <x:c r="AG43" s="38" t="n">
        <x:v>0.034599243</x:v>
      </x:c>
      <x:c r="AH43" s="38" t="n">
        <x:v>0.011867169</x:v>
      </x:c>
      <x:c r="AI43" s="38" t="n">
        <x:v>0.0746501733</x:v>
      </x:c>
      <x:c r="AJ43" s="38" t="n">
        <x:v>-0.0082835955</x:v>
      </x:c>
      <x:c r="AK43" s="38" t="n">
        <x:v>0.0289870926</x:v>
      </x:c>
      <x:c r="AL43" s="38" t="n">
        <x:v>-0.0430228464</x:v>
      </x:c>
      <x:c r="AM43" s="38" t="n">
        <x:v>-0.1657112399</x:v>
      </x:c>
      <x:c r="AN43" s="38" t="n">
        <x:v>-0.1902458288</x:v>
      </x:c>
      <x:c r="AO43" s="38" t="n">
        <x:v>-0.0278646113</x:v>
      </x:c>
      <x:c r="AP43" s="38" t="n">
        <x:v>-0.1181341757</x:v>
      </x:c>
      <x:c r="AQ43" s="38" t="n">
        <x:v>0.0151759014</x:v>
      </x:c>
      <x:c r="AR43" s="38" t="n">
        <x:v>0.0940542633</x:v>
      </x:c>
    </x:row>
    <x:row r="44" ht="19" customHeight="1">
      <x:c r="A44" s="29" t="str">
        <x:v>COST</x:v>
      </x:c>
      <x:c r="B44" s="38" t="n">
        <x:v>-0.0033816487</x:v>
      </x:c>
      <x:c r="C44" s="38" t="n">
        <x:v>0.0120924748</x:v>
      </x:c>
      <x:c r="D44" s="38" t="n">
        <x:v>-0.0500168279</x:v>
      </x:c>
      <x:c r="E44" s="38" t="n">
        <x:v>0.0556948294</x:v>
      </x:c>
      <x:c r="F44" s="38" t="n">
        <x:v>0.0622892363</x:v>
      </x:c>
      <x:c r="G44" s="38" t="n">
        <x:v>0.068619647</x:v>
      </x:c>
      <x:c r="H44" s="38" t="n">
        <x:v>0.0208771552</x:v>
      </x:c>
      <x:c r="I44" s="38" t="n">
        <x:v>0.1046541465</x:v>
      </x:c>
      <x:c r="J44" s="38" t="n">
        <x:v>-0.0269591837</x:v>
      </x:c>
      <x:c r="K44" s="38" t="n">
        <x:v>0.0365164967</x:v>
      </x:c>
      <x:c r="L44" s="38" t="n">
        <x:v>-0.0326662604</x:v>
      </x:c>
      <x:c r="M44" s="38" t="n">
        <x:v>-0.1591566893</x:v>
      </x:c>
      <x:c r="N44" s="38" t="n">
        <x:v>0.0517980311</x:v>
      </x:c>
      <x:c r="O44" s="38" t="n">
        <x:v>-0.0243938557</x:v>
      </x:c>
      <x:c r="P44" s="38" t="n">
        <x:v>-0.0599873522</x:v>
      </x:c>
      <x:c r="Q44" s="38" t="n">
        <x:v>-0.1565582316</x:v>
      </x:c>
      <x:c r="R44" s="38" t="n">
        <x:v>0.0060551159</x:v>
      </x:c>
      <x:c r="S44" s="38" t="n">
        <x:v>-0.0265719016</x:v>
      </x:c>
      <x:c r="T44" s="38" t="n">
        <x:v>-0.1138655583</x:v>
      </x:c>
      <x:c r="U44" s="38" t="n">
        <x:v>-0.0493355132</x:v>
      </x:c>
      <x:c r="V44" s="38" t="n">
        <x:v>0.0190058571</x:v>
      </x:c>
      <x:c r="W44" s="38" t="n">
        <x:v>-0.0511152392</x:v>
      </x:c>
      <x:c r="X44" s="38" t="n">
        <x:v>-0.1648334316</x:v>
      </x:c>
      <x:c r="Y44" s="38" t="n">
        <x:v>0.0447804877</x:v>
      </x:c>
      <x:c r="Z44" s="38" t="n">
        <x:v>-0.1642695649</x:v>
      </x:c>
      <x:c r="AA44" s="38" t="n">
        <x:v>-0.0821946203</x:v>
      </x:c>
      <x:c r="AB44" s="38" t="n">
        <x:v>0.2849097087</x:v>
      </x:c>
      <x:c r="AC44" s="38" t="n">
        <x:v>-0.3129040171</x:v>
      </x:c>
      <x:c r="AD44" s="38" t="n">
        <x:v>-0.0416088733</x:v>
      </x:c>
      <x:c r="AE44" s="38" t="n">
        <x:v>-0.0256568051</x:v>
      </x:c>
      <x:c r="AF44" s="38" t="n">
        <x:v>-0.1460039822</x:v>
      </x:c>
      <x:c r="AG44" s="38" t="n">
        <x:v>0.2691273263</x:v>
      </x:c>
      <x:c r="AH44" s="38" t="n">
        <x:v>0.0275326012</x:v>
      </x:c>
      <x:c r="AI44" s="38" t="n">
        <x:v>0.0501512789</x:v>
      </x:c>
      <x:c r="AJ44" s="38" t="n">
        <x:v>0.0327700117</x:v>
      </x:c>
      <x:c r="AK44" s="38" t="n">
        <x:v>0.1929480165</x:v>
      </x:c>
      <x:c r="AL44" s="38" t="n">
        <x:v>0.6099716987</x:v>
      </x:c>
      <x:c r="AM44" s="38" t="n">
        <x:v>-0.2547389218</x:v>
      </x:c>
      <x:c r="AN44" s="38" t="n">
        <x:v>-0.2244623062</x:v>
      </x:c>
      <x:c r="AO44" s="38" t="n">
        <x:v>0.1301797815</x:v>
      </x:c>
      <x:c r="AP44" s="38" t="n">
        <x:v>0.0573367702</x:v>
      </x:c>
      <x:c r="AQ44" s="38" t="n">
        <x:v>-0.0447416283</x:v>
      </x:c>
      <x:c r="AR44" s="38" t="n">
        <x:v>0.0775443747</x:v>
      </x:c>
    </x:row>
    <x:row r="45" ht="19" customHeight="1">
      <x:c r="A45" s="29" t="str">
        <x:v>HD</x:v>
      </x:c>
      <x:c r="B45" s="38" t="n">
        <x:v>-0.0336551604</x:v>
      </x:c>
      <x:c r="C45" s="38" t="n">
        <x:v>0.0037342948</x:v>
      </x:c>
      <x:c r="D45" s="38" t="n">
        <x:v>0.006484057</x:v>
      </x:c>
      <x:c r="E45" s="38" t="n">
        <x:v>-0.049667658</x:v>
      </x:c>
      <x:c r="F45" s="38" t="n">
        <x:v>0.1205271099</x:v>
      </x:c>
      <x:c r="G45" s="38" t="n">
        <x:v>0.0951654265</x:v>
      </x:c>
      <x:c r="H45" s="38" t="n">
        <x:v>-0.0146238575</x:v>
      </x:c>
      <x:c r="I45" s="38" t="n">
        <x:v>-0.1083510381</x:v>
      </x:c>
      <x:c r="J45" s="38" t="n">
        <x:v>0.0436254899</x:v>
      </x:c>
      <x:c r="K45" s="38" t="n">
        <x:v>-0.0628883443</x:v>
      </x:c>
      <x:c r="L45" s="38" t="n">
        <x:v>-0.0933620979</x:v>
      </x:c>
      <x:c r="M45" s="38" t="n">
        <x:v>-0.085621445</x:v>
      </x:c>
      <x:c r="N45" s="38" t="n">
        <x:v>0.151897562</x:v>
      </x:c>
      <x:c r="O45" s="38" t="n">
        <x:v>0.0315547845</x:v>
      </x:c>
      <x:c r="P45" s="38" t="n">
        <x:v>0.1589632036</x:v>
      </x:c>
      <x:c r="Q45" s="38" t="n">
        <x:v>-0.1024216646</x:v>
      </x:c>
      <x:c r="R45" s="38" t="n">
        <x:v>0.1157433996</x:v>
      </x:c>
      <x:c r="S45" s="38" t="n">
        <x:v>0.1001855386</x:v>
      </x:c>
      <x:c r="T45" s="38" t="n">
        <x:v>0.0407010906</x:v>
      </x:c>
      <x:c r="U45" s="38" t="n">
        <x:v>-0.0358728693</x:v>
      </x:c>
      <x:c r="V45" s="38" t="n">
        <x:v>-0.078754871</x:v>
      </x:c>
      <x:c r="W45" s="38" t="n">
        <x:v>0.0749716066</x:v>
      </x:c>
      <x:c r="X45" s="38" t="n">
        <x:v>-0.0406352848</x:v>
      </x:c>
      <x:c r="Y45" s="38" t="n">
        <x:v>0.3862578588</x:v>
      </x:c>
      <x:c r="Z45" s="38" t="n">
        <x:v>0.3039253521</x:v>
      </x:c>
      <x:c r="AA45" s="38" t="n">
        <x:v>-0.1392261638</x:v>
      </x:c>
      <x:c r="AB45" s="38" t="n">
        <x:v>0.2453022363</x:v>
      </x:c>
      <x:c r="AC45" s="38" t="n">
        <x:v>-0.0411263586</x:v>
      </x:c>
      <x:c r="AD45" s="38" t="n">
        <x:v>-0.3170034696</x:v>
      </x:c>
      <x:c r="AE45" s="38" t="n">
        <x:v>0.3266028751</x:v>
      </x:c>
      <x:c r="AF45" s="38" t="n">
        <x:v>0.0886223072</x:v>
      </x:c>
      <x:c r="AG45" s="38" t="n">
        <x:v>-0.0278572583</x:v>
      </x:c>
      <x:c r="AH45" s="38" t="n">
        <x:v>-0.206408967</x:v>
      </x:c>
      <x:c r="AI45" s="38" t="n">
        <x:v>0.2344545054</x:v>
      </x:c>
      <x:c r="AJ45" s="38" t="n">
        <x:v>-0.1190771566</x:v>
      </x:c>
      <x:c r="AK45" s="38" t="n">
        <x:v>-0.0458685012</x:v>
      </x:c>
      <x:c r="AL45" s="38" t="n">
        <x:v>0.1220143295</x:v>
      </x:c>
      <x:c r="AM45" s="38" t="n">
        <x:v>0.3657433192</x:v>
      </x:c>
      <x:c r="AN45" s="38" t="n">
        <x:v>0.1171946777</x:v>
      </x:c>
      <x:c r="AO45" s="38" t="n">
        <x:v>-0.1515694474</x:v>
      </x:c>
      <x:c r="AP45" s="38" t="n">
        <x:v>0.0358886516</x:v>
      </x:c>
      <x:c r="AQ45" s="38" t="n">
        <x:v>0.0029142494</x:v>
      </x:c>
      <x:c r="AR45" s="38" t="n">
        <x:v>0.0100277191</x:v>
      </x:c>
    </x:row>
    <x:row r="46" ht="19" customHeight="1">
      <x:c r="A46" s="29" t="str">
        <x:v>KO</x:v>
      </x:c>
      <x:c r="B46" s="38" t="n">
        <x:v>-0.0199057737</x:v>
      </x:c>
      <x:c r="C46" s="38" t="n">
        <x:v>0.001692611</x:v>
      </x:c>
      <x:c r="D46" s="38" t="n">
        <x:v>-0.0295962185</x:v>
      </x:c>
      <x:c r="E46" s="38" t="n">
        <x:v>0.006288727</x:v>
      </x:c>
      <x:c r="F46" s="38" t="n">
        <x:v>-0.0335046922</x:v>
      </x:c>
      <x:c r="G46" s="38" t="n">
        <x:v>0.0014037137</x:v>
      </x:c>
      <x:c r="H46" s="38" t="n">
        <x:v>-0.0016837</x:v>
      </x:c>
      <x:c r="I46" s="38" t="n">
        <x:v>0.0436981376</x:v>
      </x:c>
      <x:c r="J46" s="38" t="n">
        <x:v>0.0782879306</x:v>
      </x:c>
      <x:c r="K46" s="38" t="n">
        <x:v>0.002306687</x:v>
      </x:c>
      <x:c r="L46" s="38" t="n">
        <x:v>0.0782789535</x:v>
      </x:c>
      <x:c r="M46" s="38" t="n">
        <x:v>-0.040282946</x:v>
      </x:c>
      <x:c r="N46" s="38" t="n">
        <x:v>0.0476287008</x:v>
      </x:c>
      <x:c r="O46" s="38" t="n">
        <x:v>0.0378658355</x:v>
      </x:c>
      <x:c r="P46" s="38" t="n">
        <x:v>-0.039227752</x:v>
      </x:c>
      <x:c r="Q46" s="38" t="n">
        <x:v>-0.07807417</x:v>
      </x:c>
      <x:c r="R46" s="38" t="n">
        <x:v>0.081058726</x:v>
      </x:c>
      <x:c r="S46" s="38" t="n">
        <x:v>-0.027212408</x:v>
      </x:c>
      <x:c r="T46" s="38" t="n">
        <x:v>0.0086297413</x:v>
      </x:c>
      <x:c r="U46" s="38" t="n">
        <x:v>-0.0542272246</x:v>
      </x:c>
      <x:c r="V46" s="38" t="n">
        <x:v>-0.0140215757</x:v>
      </x:c>
      <x:c r="W46" s="38" t="n">
        <x:v>-0.0208952968</x:v>
      </x:c>
      <x:c r="X46" s="38" t="n">
        <x:v>0.0225148433</x:v>
      </x:c>
      <x:c r="Y46" s="38" t="n">
        <x:v>0.1377575715</x:v>
      </x:c>
      <x:c r="Z46" s="38" t="n">
        <x:v>-0.0194190343</x:v>
      </x:c>
      <x:c r="AA46" s="38" t="n">
        <x:v>0.0803975359</x:v>
      </x:c>
      <x:c r="AB46" s="38" t="n">
        <x:v>0.1411102325</x:v>
      </x:c>
      <x:c r="AC46" s="38" t="n">
        <x:v>0.0136892648</x:v>
      </x:c>
      <x:c r="AD46" s="38" t="n">
        <x:v>-0.0060830307</x:v>
      </x:c>
      <x:c r="AE46" s="38" t="n">
        <x:v>0.0219756455</x:v>
      </x:c>
      <x:c r="AF46" s="38" t="n">
        <x:v>-0.0302870998</x:v>
      </x:c>
      <x:c r="AG46" s="38" t="n">
        <x:v>-0.0934617912</x:v>
      </x:c>
      <x:c r="AH46" s="38" t="n">
        <x:v>-0.081350071</x:v>
      </x:c>
      <x:c r="AI46" s="38" t="n">
        <x:v>0.0591321754</x:v>
      </x:c>
      <x:c r="AJ46" s="38" t="n">
        <x:v>-0.0896306447</x:v>
      </x:c>
      <x:c r="AK46" s="38" t="n">
        <x:v>-0.0803065752</x:v>
      </x:c>
      <x:c r="AL46" s="38" t="n">
        <x:v>-0.2872642671</x:v>
      </x:c>
      <x:c r="AM46" s="38" t="n">
        <x:v>-0.1077258328</x:v>
      </x:c>
      <x:c r="AN46" s="38" t="n">
        <x:v>0.0368603649</x:v>
      </x:c>
      <x:c r="AO46" s="38" t="n">
        <x:v>0.5375101165</x:v>
      </x:c>
      <x:c r="AP46" s="38" t="n">
        <x:v>0.504032531</x:v>
      </x:c>
      <x:c r="AQ46" s="38" t="n">
        <x:v>-0.4519169401</x:v>
      </x:c>
      <x:c r="AR46" s="38" t="n">
        <x:v>0.1886655912</x:v>
      </x:c>
    </x:row>
    <x:row r="47" ht="19" customHeight="1">
      <x:c r="A47" s="29" t="str">
        <x:v>JNJ</x:v>
      </x:c>
      <x:c r="B47" s="38" t="n">
        <x:v>-0.0086701151</x:v>
      </x:c>
      <x:c r="C47" s="38" t="n">
        <x:v>0.034910689</x:v>
      </x:c>
      <x:c r="D47" s="38" t="n">
        <x:v>0.0233122548</x:v>
      </x:c>
      <x:c r="E47" s="38" t="n">
        <x:v>0.0371639888</x:v>
      </x:c>
      <x:c r="F47" s="38" t="n">
        <x:v>-0.0195144418</x:v>
      </x:c>
      <x:c r="G47" s="38" t="n">
        <x:v>0.0101866861</x:v>
      </x:c>
      <x:c r="H47" s="38" t="n">
        <x:v>-0.0614162005</x:v>
      </x:c>
      <x:c r="I47" s="38" t="n">
        <x:v>-0.0584606799</x:v>
      </x:c>
      <x:c r="J47" s="38" t="n">
        <x:v>0.0304784501</x:v>
      </x:c>
      <x:c r="K47" s="38" t="n">
        <x:v>-0.005861763</x:v>
      </x:c>
      <x:c r="L47" s="38" t="n">
        <x:v>0.0286891368</x:v>
      </x:c>
      <x:c r="M47" s="38" t="n">
        <x:v>-0.1390067014</x:v>
      </x:c>
      <x:c r="N47" s="38" t="n">
        <x:v>-0.0091151136</x:v>
      </x:c>
      <x:c r="O47" s="38" t="n">
        <x:v>-0.075127133</x:v>
      </x:c>
      <x:c r="P47" s="38" t="n">
        <x:v>-0.0115160083</x:v>
      </x:c>
      <x:c r="Q47" s="38" t="n">
        <x:v>0.0002386907</x:v>
      </x:c>
      <x:c r="R47" s="38" t="n">
        <x:v>0.1834611855</x:v>
      </x:c>
      <x:c r="S47" s="38" t="n">
        <x:v>0.1605037278</x:v>
      </x:c>
      <x:c r="T47" s="38" t="n">
        <x:v>-0.1001307654</x:v>
      </x:c>
      <x:c r="U47" s="38" t="n">
        <x:v>0.0254302043</x:v>
      </x:c>
      <x:c r="V47" s="38" t="n">
        <x:v>-0.0812683856</x:v>
      </x:c>
      <x:c r="W47" s="38" t="n">
        <x:v>-0.1124466135</x:v>
      </x:c>
      <x:c r="X47" s="38" t="n">
        <x:v>-0.0581934929</x:v>
      </x:c>
      <x:c r="Y47" s="38" t="n">
        <x:v>-0.0016761885</x:v>
      </x:c>
      <x:c r="Z47" s="38" t="n">
        <x:v>-0.0704632428</x:v>
      </x:c>
      <x:c r="AA47" s="38" t="n">
        <x:v>0.2159674619</x:v>
      </x:c>
      <x:c r="AB47" s="38" t="n">
        <x:v>0.011959082</x:v>
      </x:c>
      <x:c r="AC47" s="38" t="n">
        <x:v>0.0291438763</x:v>
      </x:c>
      <x:c r="AD47" s="38" t="n">
        <x:v>0.0080365562</x:v>
      </x:c>
      <x:c r="AE47" s="38" t="n">
        <x:v>-0.1576376034</x:v>
      </x:c>
      <x:c r="AF47" s="38" t="n">
        <x:v>-0.2087637401</x:v>
      </x:c>
      <x:c r="AG47" s="38" t="n">
        <x:v>-0.035517266</x:v>
      </x:c>
      <x:c r="AH47" s="38" t="n">
        <x:v>-0.1054196279</x:v>
      </x:c>
      <x:c r="AI47" s="38" t="n">
        <x:v>0.4683172733</x:v>
      </x:c>
      <x:c r="AJ47" s="38" t="n">
        <x:v>-0.0317846204</x:v>
      </x:c>
      <x:c r="AK47" s="38" t="n">
        <x:v>-0.4181948072</x:v>
      </x:c>
      <x:c r="AL47" s="38" t="n">
        <x:v>0.0027087602</x:v>
      </x:c>
      <x:c r="AM47" s="38" t="n">
        <x:v>-0.1411351644</x:v>
      </x:c>
      <x:c r="AN47" s="38" t="n">
        <x:v>0.0381546159</x:v>
      </x:c>
      <x:c r="AO47" s="38" t="n">
        <x:v>0.0577419067</x:v>
      </x:c>
      <x:c r="AP47" s="38" t="n">
        <x:v>-0.5037971597</x:v>
      </x:c>
      <x:c r="AQ47" s="38" t="n">
        <x:v>-0.2363887346</x:v>
      </x:c>
      <x:c r="AR47" s="38" t="n">
        <x:v>-0.0794437292</x:v>
      </x:c>
    </x:row>
    <x:row r="48" ht="19" customHeight="1">
      <x:c r="A48" s="29" t="str">
        <x:v>BRK-B</x:v>
      </x:c>
      <x:c r="B48" s="38" t="n">
        <x:v>-0.0208574737</x:v>
      </x:c>
      <x:c r="C48" s="38" t="n">
        <x:v>-0.0220837668</x:v>
      </x:c>
      <x:c r="D48" s="38" t="n">
        <x:v>-0.0652787102</x:v>
      </x:c>
      <x:c r="E48" s="38" t="n">
        <x:v>-0.0304883171</x:v>
      </x:c>
      <x:c r="F48" s="38" t="n">
        <x:v>0.0299922632</x:v>
      </x:c>
      <x:c r="G48" s="38" t="n">
        <x:v>0.0146348719</x:v>
      </x:c>
      <x:c r="H48" s="38" t="n">
        <x:v>0.0139334844</x:v>
      </x:c>
      <x:c r="I48" s="38" t="n">
        <x:v>0.0331956003</x:v>
      </x:c>
      <x:c r="J48" s="38" t="n">
        <x:v>-0.0225496683</x:v>
      </x:c>
      <x:c r="K48" s="38" t="n">
        <x:v>0.0831632278</x:v>
      </x:c>
      <x:c r="L48" s="38" t="n">
        <x:v>0.0411398484</x:v>
      </x:c>
      <x:c r="M48" s="38" t="n">
        <x:v>-0.0669331021</x:v>
      </x:c>
      <x:c r="N48" s="38" t="n">
        <x:v>-0.0000808286</x:v>
      </x:c>
      <x:c r="O48" s="38" t="n">
        <x:v>0.0787936639</x:v>
      </x:c>
      <x:c r="P48" s="38" t="n">
        <x:v>0.0017388785</x:v>
      </x:c>
      <x:c r="Q48" s="38" t="n">
        <x:v>-0.1139370766</x:v>
      </x:c>
      <x:c r="R48" s="38" t="n">
        <x:v>0.0974880749</x:v>
      </x:c>
      <x:c r="S48" s="38" t="n">
        <x:v>-0.0757620129</x:v>
      </x:c>
      <x:c r="T48" s="38" t="n">
        <x:v>0.0294582713</x:v>
      </x:c>
      <x:c r="U48" s="38" t="n">
        <x:v>-0.0159235539</x:v>
      </x:c>
      <x:c r="V48" s="38" t="n">
        <x:v>0.0389953117</x:v>
      </x:c>
      <x:c r="W48" s="38" t="n">
        <x:v>0.1346999826</x:v>
      </x:c>
      <x:c r="X48" s="38" t="n">
        <x:v>-0.0523271145</x:v>
      </x:c>
      <x:c r="Y48" s="38" t="n">
        <x:v>0.0200255323</x:v>
      </x:c>
      <x:c r="Z48" s="38" t="n">
        <x:v>0.0972973657</x:v>
      </x:c>
      <x:c r="AA48" s="38" t="n">
        <x:v>0.145417052</x:v>
      </x:c>
      <x:c r="AB48" s="38" t="n">
        <x:v>0.1341390358</x:v>
      </x:c>
      <x:c r="AC48" s="38" t="n">
        <x:v>0.0231777882</x:v>
      </x:c>
      <x:c r="AD48" s="38" t="n">
        <x:v>-0.0576557263</x:v>
      </x:c>
      <x:c r="AE48" s="38" t="n">
        <x:v>0.1290932065</x:v>
      </x:c>
      <x:c r="AF48" s="38" t="n">
        <x:v>0.1954267468</x:v>
      </x:c>
      <x:c r="AG48" s="38" t="n">
        <x:v>-0.0718267384</x:v>
      </x:c>
      <x:c r="AH48" s="38" t="n">
        <x:v>-0.2062837148</x:v>
      </x:c>
      <x:c r="AI48" s="38" t="n">
        <x:v>-0.1264020323</x:v>
      </x:c>
      <x:c r="AJ48" s="38" t="n">
        <x:v>-0.0218156962</x:v>
      </x:c>
      <x:c r="AK48" s="38" t="n">
        <x:v>-0.2248015026</x:v>
      </x:c>
      <x:c r="AL48" s="38" t="n">
        <x:v>-0.0397129417</x:v>
      </x:c>
      <x:c r="AM48" s="38" t="n">
        <x:v>-0.2750505131</x:v>
      </x:c>
      <x:c r="AN48" s="38" t="n">
        <x:v>-0.0623345117</x:v>
      </x:c>
      <x:c r="AO48" s="38" t="n">
        <x:v>0.4297880706</x:v>
      </x:c>
      <x:c r="AP48" s="38" t="n">
        <x:v>-0.0837779581</x:v>
      </x:c>
      <x:c r="AQ48" s="38" t="n">
        <x:v>0.5769362898</x:v>
      </x:c>
      <x:c r="AR48" s="38" t="n">
        <x:v>-0.3029594298</x:v>
      </x:c>
    </x:row>
  </x:sheetData>
  <x:pageMargins left="0.7" right="0.7" top="0.75" bottom="0.75" header="0.3" footer="0.3"/>
</x:worksheet>
</file>

<file path=xl/worksheets/sheet9.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Principal component scores</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date</x:v>
      </x:c>
      <x:c r="B5" s="35" t="str">
        <x:v>PC1</x:v>
      </x:c>
      <x:c r="C5" s="35" t="str">
        <x:v>PC2</x:v>
      </x:c>
      <x:c r="D5" s="35" t="str">
        <x:v>PC3</x:v>
      </x:c>
      <x:c r="E5" s="35" t="str">
        <x:v>PC4</x:v>
      </x:c>
      <x:c r="F5" s="35" t="str">
        <x:v>PC5</x:v>
      </x:c>
      <x:c r="G5" s="35" t="str">
        <x:v>PC6</x:v>
      </x:c>
      <x:c r="H5" s="35" t="str">
        <x:v>PC7</x:v>
      </x:c>
      <x:c r="I5" s="35" t="str">
        <x:v>PC8</x:v>
      </x:c>
      <x:c r="J5" s="35" t="str">
        <x:v>PC9</x:v>
      </x:c>
      <x:c r="K5" s="35" t="str">
        <x:v>PC10</x:v>
      </x:c>
      <x:c r="L5" s="35" t="str">
        <x:v>PC11</x:v>
      </x:c>
      <x:c r="M5" s="35" t="str">
        <x:v>PC12</x:v>
      </x:c>
      <x:c r="N5" s="35" t="str">
        <x:v>PC13</x:v>
      </x:c>
      <x:c r="O5" s="35" t="str">
        <x:v>PC14</x:v>
      </x:c>
      <x:c r="P5" s="35" t="str">
        <x:v>PC15</x:v>
      </x:c>
      <x:c r="Q5" s="35" t="str">
        <x:v>PC16</x:v>
      </x:c>
      <x:c r="R5" s="35" t="str">
        <x:v>PC17</x:v>
      </x:c>
      <x:c r="S5" s="35" t="str">
        <x:v>PC18</x:v>
      </x:c>
      <x:c r="T5" s="35" t="str">
        <x:v>PC19</x:v>
      </x:c>
      <x:c r="U5" s="35" t="str">
        <x:v>PC20</x:v>
      </x:c>
      <x:c r="V5" s="35" t="str">
        <x:v>PC21</x:v>
      </x:c>
      <x:c r="W5" s="35" t="str">
        <x:v>PC22</x:v>
      </x:c>
      <x:c r="X5" s="35" t="str">
        <x:v>PC23</x:v>
      </x:c>
      <x:c r="Y5" s="35" t="str">
        <x:v>PC24</x:v>
      </x:c>
      <x:c r="Z5" s="35" t="str">
        <x:v>PC25</x:v>
      </x:c>
      <x:c r="AA5" s="35" t="str">
        <x:v>PC26</x:v>
      </x:c>
      <x:c r="AB5" s="35" t="str">
        <x:v>PC27</x:v>
      </x:c>
      <x:c r="AC5" s="35" t="str">
        <x:v>PC28</x:v>
      </x:c>
      <x:c r="AD5" s="35" t="str">
        <x:v>PC29</x:v>
      </x:c>
      <x:c r="AE5" s="35" t="str">
        <x:v>PC30</x:v>
      </x:c>
      <x:c r="AF5" s="35" t="str">
        <x:v>PC31</x:v>
      </x:c>
      <x:c r="AG5" s="35" t="str">
        <x:v>PC32</x:v>
      </x:c>
      <x:c r="AH5" s="35" t="str">
        <x:v>PC33</x:v>
      </x:c>
      <x:c r="AI5" s="35" t="str">
        <x:v>PC34</x:v>
      </x:c>
      <x:c r="AJ5" s="35" t="str">
        <x:v>PC35</x:v>
      </x:c>
      <x:c r="AK5" s="35" t="str">
        <x:v>PC36</x:v>
      </x:c>
      <x:c r="AL5" s="35" t="str">
        <x:v>PC37</x:v>
      </x:c>
      <x:c r="AM5" s="35" t="str">
        <x:v>PC38</x:v>
      </x:c>
      <x:c r="AN5" s="35" t="str">
        <x:v>PC39</x:v>
      </x:c>
      <x:c r="AO5" s="35" t="str">
        <x:v>PC40</x:v>
      </x:c>
      <x:c r="AP5" s="35" t="str">
        <x:v>PC41</x:v>
      </x:c>
      <x:c r="AQ5" s="35" t="str">
        <x:v>PC42</x:v>
      </x:c>
      <x:c r="AR5" s="35" t="str">
        <x:v>PC43</x:v>
      </x:c>
    </x:row>
    <x:row r="6" ht="19" customHeight="1">
      <x:c r="A6" s="39" t="d">
        <x:v>2021-04-26T00:00:00.000Z</x:v>
      </x:c>
      <x:c r="B6" s="38" t="n">
        <x:v>-0.1681047698</x:v>
      </x:c>
      <x:c r="C6" s="38" t="n">
        <x:v>-0.0886398303</x:v>
      </x:c>
      <x:c r="D6" s="38" t="n">
        <x:v>0.0244391862</x:v>
      </x:c>
      <x:c r="E6" s="38" t="n">
        <x:v>0.2019270741</x:v>
      </x:c>
      <x:c r="F6" s="38" t="n">
        <x:v>0.087975668</x:v>
      </x:c>
      <x:c r="G6" s="38" t="n">
        <x:v>-0.0634633994</x:v>
      </x:c>
      <x:c r="H6" s="38" t="n">
        <x:v>-0.0459239712</x:v>
      </x:c>
      <x:c r="I6" s="38" t="n">
        <x:v>0.0261419292</x:v>
      </x:c>
      <x:c r="J6" s="38" t="n">
        <x:v>0.0646774732</x:v>
      </x:c>
      <x:c r="K6" s="38" t="n">
        <x:v>-0.075143912</x:v>
      </x:c>
      <x:c r="L6" s="38" t="n">
        <x:v>0.0269353731</x:v>
      </x:c>
      <x:c r="M6" s="38" t="n">
        <x:v>0.0062427278</x:v>
      </x:c>
      <x:c r="N6" s="38" t="n">
        <x:v>-0.0094047341</x:v>
      </x:c>
      <x:c r="O6" s="38" t="n">
        <x:v>-0.0072937322</x:v>
      </x:c>
      <x:c r="P6" s="38" t="n">
        <x:v>-0.0513904143</x:v>
      </x:c>
      <x:c r="Q6" s="38" t="n">
        <x:v>-0.012877104</x:v>
      </x:c>
      <x:c r="R6" s="38" t="n">
        <x:v>-0.022976932</x:v>
      </x:c>
      <x:c r="S6" s="38" t="n">
        <x:v>-0.1128150824</x:v>
      </x:c>
      <x:c r="T6" s="38" t="n">
        <x:v>-0.0658342261</x:v>
      </x:c>
      <x:c r="U6" s="38" t="n">
        <x:v>0.0608331252</x:v>
      </x:c>
      <x:c r="V6" s="38" t="n">
        <x:v>0.014199675</x:v>
      </x:c>
      <x:c r="W6" s="38" t="n">
        <x:v>0.0175397798</x:v>
      </x:c>
      <x:c r="X6" s="38" t="n">
        <x:v>-0.0622547449</x:v>
      </x:c>
      <x:c r="Y6" s="38" t="n">
        <x:v>0.0774776683</x:v>
      </x:c>
      <x:c r="Z6" s="38" t="n">
        <x:v>0.0325921734</x:v>
      </x:c>
      <x:c r="AA6" s="38" t="n">
        <x:v>-0.0425718496</x:v>
      </x:c>
      <x:c r="AB6" s="38" t="n">
        <x:v>-0.053741366</x:v>
      </x:c>
      <x:c r="AC6" s="38" t="n">
        <x:v>-0.0179479137</x:v>
      </x:c>
      <x:c r="AD6" s="38" t="n">
        <x:v>-0.00641577</x:v>
      </x:c>
      <x:c r="AE6" s="38" t="n">
        <x:v>-0.0206344602</x:v>
      </x:c>
      <x:c r="AF6" s="38" t="n">
        <x:v>0.0078467688</x:v>
      </x:c>
      <x:c r="AG6" s="38" t="n">
        <x:v>-0.0246397632</x:v>
      </x:c>
      <x:c r="AH6" s="38" t="n">
        <x:v>0.0142501755</x:v>
      </x:c>
      <x:c r="AI6" s="38" t="n">
        <x:v>-0.0227898223</x:v>
      </x:c>
      <x:c r="AJ6" s="38" t="n">
        <x:v>-0.0143291934</x:v>
      </x:c>
      <x:c r="AK6" s="38" t="n">
        <x:v>0.0001016556</x:v>
      </x:c>
      <x:c r="AL6" s="38" t="n">
        <x:v>-0.0129878275</x:v>
      </x:c>
      <x:c r="AM6" s="38" t="n">
        <x:v>-0.0088615841</x:v>
      </x:c>
      <x:c r="AN6" s="38" t="n">
        <x:v>0.0232788105</x:v>
      </x:c>
      <x:c r="AO6" s="38" t="n">
        <x:v>-0.00446391</x:v>
      </x:c>
      <x:c r="AP6" s="38" t="n">
        <x:v>0.0075211548</x:v>
      </x:c>
      <x:c r="AQ6" s="38" t="n">
        <x:v>0.0202248009</x:v>
      </x:c>
      <x:c r="AR6" s="38" t="n">
        <x:v>-0.0170705612</x:v>
      </x:c>
    </x:row>
    <x:row r="7" ht="19" customHeight="1">
      <x:c r="A7" s="39" t="d">
        <x:v>2021-05-24T00:00:00.000Z</x:v>
      </x:c>
      <x:c r="B7" s="38" t="n">
        <x:v>0.056366202</x:v>
      </x:c>
      <x:c r="C7" s="38" t="n">
        <x:v>0.1463868085</x:v>
      </x:c>
      <x:c r="D7" s="38" t="n">
        <x:v>-0.0192035931</x:v>
      </x:c>
      <x:c r="E7" s="38" t="n">
        <x:v>-0.043599629</x:v>
      </x:c>
      <x:c r="F7" s="38" t="n">
        <x:v>-0.0362926332</x:v>
      </x:c>
      <x:c r="G7" s="38" t="n">
        <x:v>-0.0977178057</x:v>
      </x:c>
      <x:c r="H7" s="38" t="n">
        <x:v>0.0718679386</x:v>
      </x:c>
      <x:c r="I7" s="38" t="n">
        <x:v>0.0732502947</x:v>
      </x:c>
      <x:c r="J7" s="38" t="n">
        <x:v>0.0584558577</x:v>
      </x:c>
      <x:c r="K7" s="38" t="n">
        <x:v>0.0897036227</x:v>
      </x:c>
      <x:c r="L7" s="38" t="n">
        <x:v>0.0128983011</x:v>
      </x:c>
      <x:c r="M7" s="38" t="n">
        <x:v>-0.0541973605</x:v>
      </x:c>
      <x:c r="N7" s="38" t="n">
        <x:v>-0.1247705015</x:v>
      </x:c>
      <x:c r="O7" s="38" t="n">
        <x:v>0.0301827612</x:v>
      </x:c>
      <x:c r="P7" s="38" t="n">
        <x:v>0.0038717374</x:v>
      </x:c>
      <x:c r="Q7" s="38" t="n">
        <x:v>-0.0505780025</x:v>
      </x:c>
      <x:c r="R7" s="38" t="n">
        <x:v>-0.0076119415</x:v>
      </x:c>
      <x:c r="S7" s="38" t="n">
        <x:v>0.0758100118</x:v>
      </x:c>
      <x:c r="T7" s="38" t="n">
        <x:v>0.0291172331</x:v>
      </x:c>
      <x:c r="U7" s="38" t="n">
        <x:v>-0.0016599647</x:v>
      </x:c>
      <x:c r="V7" s="38" t="n">
        <x:v>-0.0016779752</x:v>
      </x:c>
      <x:c r="W7" s="38" t="n">
        <x:v>0.0048162731</x:v>
      </x:c>
      <x:c r="X7" s="38" t="n">
        <x:v>0.0039874993</x:v>
      </x:c>
      <x:c r="Y7" s="38" t="n">
        <x:v>-0.0213027877</x:v>
      </x:c>
      <x:c r="Z7" s="38" t="n">
        <x:v>0.0194495551</x:v>
      </x:c>
      <x:c r="AA7" s="38" t="n">
        <x:v>-0.0542607803</x:v>
      </x:c>
      <x:c r="AB7" s="38" t="n">
        <x:v>0.0451807358</x:v>
      </x:c>
      <x:c r="AC7" s="38" t="n">
        <x:v>0.019549368</x:v>
      </x:c>
      <x:c r="AD7" s="38" t="n">
        <x:v>-0.0375841952</x:v>
      </x:c>
      <x:c r="AE7" s="38" t="n">
        <x:v>-0.0080470875</x:v>
      </x:c>
      <x:c r="AF7" s="38" t="n">
        <x:v>-0.0346914929</x:v>
      </x:c>
      <x:c r="AG7" s="38" t="n">
        <x:v>0.0174128512</x:v>
      </x:c>
      <x:c r="AH7" s="38" t="n">
        <x:v>0.0251907314</x:v>
      </x:c>
      <x:c r="AI7" s="38" t="n">
        <x:v>-0.0098029136</x:v>
      </x:c>
      <x:c r="AJ7" s="38" t="n">
        <x:v>0.0096376411</x:v>
      </x:c>
      <x:c r="AK7" s="38" t="n">
        <x:v>-0.0151899949</x:v>
      </x:c>
      <x:c r="AL7" s="38" t="n">
        <x:v>-0.0103473035</x:v>
      </x:c>
      <x:c r="AM7" s="38" t="n">
        <x:v>0.0266721639</x:v>
      </x:c>
      <x:c r="AN7" s="38" t="n">
        <x:v>-0.019125471</x:v>
      </x:c>
      <x:c r="AO7" s="38" t="n">
        <x:v>0.003831915</x:v>
      </x:c>
      <x:c r="AP7" s="38" t="n">
        <x:v>-0.0064805529</x:v>
      </x:c>
      <x:c r="AQ7" s="38" t="n">
        <x:v>0.0020709397</x:v>
      </x:c>
      <x:c r="AR7" s="38" t="n">
        <x:v>-0.0063682464</x:v>
      </x:c>
    </x:row>
    <x:row r="8" ht="19" customHeight="1">
      <x:c r="A8" s="39" t="d">
        <x:v>2021-06-21T00:00:00.000Z</x:v>
      </x:c>
      <x:c r="B8" s="38" t="n">
        <x:v>0.1635392088</x:v>
      </x:c>
      <x:c r="C8" s="38" t="n">
        <x:v>-0.1224608795</x:v>
      </x:c>
      <x:c r="D8" s="38" t="n">
        <x:v>-0.0432246456</x:v>
      </x:c>
      <x:c r="E8" s="38" t="n">
        <x:v>0.1548469656</x:v>
      </x:c>
      <x:c r="F8" s="38" t="n">
        <x:v>0.1055938374</x:v>
      </x:c>
      <x:c r="G8" s="38" t="n">
        <x:v>0.074801694</x:v>
      </x:c>
      <x:c r="H8" s="38" t="n">
        <x:v>0.0522561475</x:v>
      </x:c>
      <x:c r="I8" s="38" t="n">
        <x:v>0.0443170163</x:v>
      </x:c>
      <x:c r="J8" s="38" t="n">
        <x:v>-0.0032069896</x:v>
      </x:c>
      <x:c r="K8" s="38" t="n">
        <x:v>0.0336728945</x:v>
      </x:c>
      <x:c r="L8" s="38" t="n">
        <x:v>0.0341877955</x:v>
      </x:c>
      <x:c r="M8" s="38" t="n">
        <x:v>0.0694547894</x:v>
      </x:c>
      <x:c r="N8" s="38" t="n">
        <x:v>0.0401969044</x:v>
      </x:c>
      <x:c r="O8" s="38" t="n">
        <x:v>0.0795094295</x:v>
      </x:c>
      <x:c r="P8" s="38" t="n">
        <x:v>0.0287118686</x:v>
      </x:c>
      <x:c r="Q8" s="38" t="n">
        <x:v>-0.0268301607</x:v>
      </x:c>
      <x:c r="R8" s="38" t="n">
        <x:v>0.000744214</x:v>
      </x:c>
      <x:c r="S8" s="38" t="n">
        <x:v>-0.0528082203</x:v>
      </x:c>
      <x:c r="T8" s="38" t="n">
        <x:v>0.0058084978</x:v>
      </x:c>
      <x:c r="U8" s="38" t="n">
        <x:v>-0.0269358089</x:v>
      </x:c>
      <x:c r="V8" s="38" t="n">
        <x:v>-0.0024961492</x:v>
      </x:c>
      <x:c r="W8" s="38" t="n">
        <x:v>-0.093398047</x:v>
      </x:c>
      <x:c r="X8" s="38" t="n">
        <x:v>0.0908743407</x:v>
      </x:c>
      <x:c r="Y8" s="38" t="n">
        <x:v>-0.0021863666</x:v>
      </x:c>
      <x:c r="Z8" s="38" t="n">
        <x:v>-0.0598594304</x:v>
      </x:c>
      <x:c r="AA8" s="38" t="n">
        <x:v>-0.0209035296</x:v>
      </x:c>
      <x:c r="AB8" s="38" t="n">
        <x:v>-0.009406799</x:v>
      </x:c>
      <x:c r="AC8" s="38" t="n">
        <x:v>-0.0512594172</x:v>
      </x:c>
      <x:c r="AD8" s="38" t="n">
        <x:v>-0.0060309102</x:v>
      </x:c>
      <x:c r="AE8" s="38" t="n">
        <x:v>0.0743768902</x:v>
      </x:c>
      <x:c r="AF8" s="38" t="n">
        <x:v>0.0258415211</x:v>
      </x:c>
      <x:c r="AG8" s="38" t="n">
        <x:v>0.0009243056</x:v>
      </x:c>
      <x:c r="AH8" s="38" t="n">
        <x:v>-0.0004050476</x:v>
      </x:c>
      <x:c r="AI8" s="38" t="n">
        <x:v>0.0249773221</x:v>
      </x:c>
      <x:c r="AJ8" s="38" t="n">
        <x:v>-0.0124567515</x:v>
      </x:c>
      <x:c r="AK8" s="38" t="n">
        <x:v>-0.0284048297</x:v>
      </x:c>
      <x:c r="AL8" s="38" t="n">
        <x:v>0.0074169227</x:v>
      </x:c>
      <x:c r="AM8" s="38" t="n">
        <x:v>0.0107694142</x:v>
      </x:c>
      <x:c r="AN8" s="38" t="n">
        <x:v>0.0216278156</x:v>
      </x:c>
      <x:c r="AO8" s="38" t="n">
        <x:v>-0.0146531623</x:v>
      </x:c>
      <x:c r="AP8" s="38" t="n">
        <x:v>-0.0059220698</x:v>
      </x:c>
      <x:c r="AQ8" s="38" t="n">
        <x:v>-0.0014288963</x:v>
      </x:c>
      <x:c r="AR8" s="38" t="n">
        <x:v>0.0137026406</x:v>
      </x:c>
    </x:row>
    <x:row r="9" ht="19" customHeight="1">
      <x:c r="A9" s="39" t="d">
        <x:v>2021-07-19T00:00:00.000Z</x:v>
      </x:c>
      <x:c r="B9" s="38" t="n">
        <x:v>0.1537644449</x:v>
      </x:c>
      <x:c r="C9" s="38" t="n">
        <x:v>0.0881440392</x:v>
      </x:c>
      <x:c r="D9" s="38" t="n">
        <x:v>-0.0097169045</x:v>
      </x:c>
      <x:c r="E9" s="38" t="n">
        <x:v>0.2290130069</x:v>
      </x:c>
      <x:c r="F9" s="38" t="n">
        <x:v>0.207669852</x:v>
      </x:c>
      <x:c r="G9" s="38" t="n">
        <x:v>-0.0315151886</x:v>
      </x:c>
      <x:c r="H9" s="38" t="n">
        <x:v>0.1373923961</x:v>
      </x:c>
      <x:c r="I9" s="38" t="n">
        <x:v>0.1817443419</x:v>
      </x:c>
      <x:c r="J9" s="38" t="n">
        <x:v>0.1386686024</x:v>
      </x:c>
      <x:c r="K9" s="38" t="n">
        <x:v>-0.0762004527</x:v>
      </x:c>
      <x:c r="L9" s="38" t="n">
        <x:v>0.0938063764</x:v>
      </x:c>
      <x:c r="M9" s="38" t="n">
        <x:v>-0.0000857661</x:v>
      </x:c>
      <x:c r="N9" s="38" t="n">
        <x:v>0.001142461</x:v>
      </x:c>
      <x:c r="O9" s="38" t="n">
        <x:v>0.0449997066</x:v>
      </x:c>
      <x:c r="P9" s="38" t="n">
        <x:v>0.0111419808</x:v>
      </x:c>
      <x:c r="Q9" s="38" t="n">
        <x:v>0.0041023117</x:v>
      </x:c>
      <x:c r="R9" s="38" t="n">
        <x:v>0.0488054282</x:v>
      </x:c>
      <x:c r="S9" s="38" t="n">
        <x:v>-0.0654059755</x:v>
      </x:c>
      <x:c r="T9" s="38" t="n">
        <x:v>-0.0501169086</x:v>
      </x:c>
      <x:c r="U9" s="38" t="n">
        <x:v>-0.0053477707</x:v>
      </x:c>
      <x:c r="V9" s="38" t="n">
        <x:v>0.0200885168</x:v>
      </x:c>
      <x:c r="W9" s="38" t="n">
        <x:v>-0.048960398</x:v>
      </x:c>
      <x:c r="X9" s="38" t="n">
        <x:v>-0.0420129727</x:v>
      </x:c>
      <x:c r="Y9" s="38" t="n">
        <x:v>0.0394886432</x:v>
      </x:c>
      <x:c r="Z9" s="38" t="n">
        <x:v>0.0461519187</x:v>
      </x:c>
      <x:c r="AA9" s="38" t="n">
        <x:v>0.0013788796</x:v>
      </x:c>
      <x:c r="AB9" s="38" t="n">
        <x:v>0.0346102663</x:v>
      </x:c>
      <x:c r="AC9" s="38" t="n">
        <x:v>-0.033316295</x:v>
      </x:c>
      <x:c r="AD9" s="38" t="n">
        <x:v>-0.0467870537</x:v>
      </x:c>
      <x:c r="AE9" s="38" t="n">
        <x:v>0.0267063205</x:v>
      </x:c>
      <x:c r="AF9" s="38" t="n">
        <x:v>0.0350845174</x:v>
      </x:c>
      <x:c r="AG9" s="38" t="n">
        <x:v>-0.028058141</x:v>
      </x:c>
      <x:c r="AH9" s="38" t="n">
        <x:v>0.014583319</x:v>
      </x:c>
      <x:c r="AI9" s="38" t="n">
        <x:v>0.0475106828</x:v>
      </x:c>
      <x:c r="AJ9" s="38" t="n">
        <x:v>0.0036579579</x:v>
      </x:c>
      <x:c r="AK9" s="38" t="n">
        <x:v>-0.0051647025</x:v>
      </x:c>
      <x:c r="AL9" s="38" t="n">
        <x:v>-0.0302985267</x:v>
      </x:c>
      <x:c r="AM9" s="38" t="n">
        <x:v>0.0088044903</x:v>
      </x:c>
      <x:c r="AN9" s="38" t="n">
        <x:v>-0.0116978208</x:v>
      </x:c>
      <x:c r="AO9" s="38" t="n">
        <x:v>-0.0096272515</x:v>
      </x:c>
      <x:c r="AP9" s="38" t="n">
        <x:v>-0.0027764122</x:v>
      </x:c>
      <x:c r="AQ9" s="38" t="n">
        <x:v>-0.0094030225</x:v>
      </x:c>
      <x:c r="AR9" s="38" t="n">
        <x:v>0.0185696593</x:v>
      </x:c>
    </x:row>
    <x:row r="10" ht="19" customHeight="1">
      <x:c r="A10" s="39" t="d">
        <x:v>2021-08-16T00:00:00.000Z</x:v>
      </x:c>
      <x:c r="B10" s="38" t="n">
        <x:v>0.1908274686</x:v>
      </x:c>
      <x:c r="C10" s="38" t="n">
        <x:v>0.2866489635</x:v>
      </x:c>
      <x:c r="D10" s="38" t="n">
        <x:v>0.0311559792</x:v>
      </x:c>
      <x:c r="E10" s="38" t="n">
        <x:v>-0.0057022167</x:v>
      </x:c>
      <x:c r="F10" s="38" t="n">
        <x:v>-0.0076918809</x:v>
      </x:c>
      <x:c r="G10" s="38" t="n">
        <x:v>0.0546449149</x:v>
      </x:c>
      <x:c r="H10" s="38" t="n">
        <x:v>0.0302789157</x:v>
      </x:c>
      <x:c r="I10" s="38" t="n">
        <x:v>0.028670392</x:v>
      </x:c>
      <x:c r="J10" s="38" t="n">
        <x:v>0.0354044044</x:v>
      </x:c>
      <x:c r="K10" s="38" t="n">
        <x:v>0.1115362868</x:v>
      </x:c>
      <x:c r="L10" s="38" t="n">
        <x:v>0.0565842934</x:v>
      </x:c>
      <x:c r="M10" s="38" t="n">
        <x:v>-0.0373840142</x:v>
      </x:c>
      <x:c r="N10" s="38" t="n">
        <x:v>-0.0155702013</x:v>
      </x:c>
      <x:c r="O10" s="38" t="n">
        <x:v>-0.0404692374</x:v>
      </x:c>
      <x:c r="P10" s="38" t="n">
        <x:v>0.0025394254</x:v>
      </x:c>
      <x:c r="Q10" s="38" t="n">
        <x:v>-0.0506504116</x:v>
      </x:c>
      <x:c r="R10" s="38" t="n">
        <x:v>0.0687864905</x:v>
      </x:c>
      <x:c r="S10" s="38" t="n">
        <x:v>-0.0233519915</x:v>
      </x:c>
      <x:c r="T10" s="38" t="n">
        <x:v>0.0020770882</x:v>
      </x:c>
      <x:c r="U10" s="38" t="n">
        <x:v>0.0492015459</x:v>
      </x:c>
      <x:c r="V10" s="38" t="n">
        <x:v>-0.0320747303</x:v>
      </x:c>
      <x:c r="W10" s="38" t="n">
        <x:v>0.0475141071</x:v>
      </x:c>
      <x:c r="X10" s="38" t="n">
        <x:v>0.0126059575</x:v>
      </x:c>
      <x:c r="Y10" s="38" t="n">
        <x:v>0.0800021718</x:v>
      </x:c>
      <x:c r="Z10" s="38" t="n">
        <x:v>0.0131737701</x:v>
      </x:c>
      <x:c r="AA10" s="38" t="n">
        <x:v>-0.0607230918</x:v>
      </x:c>
      <x:c r="AB10" s="38" t="n">
        <x:v>-0.0216356166</x:v>
      </x:c>
      <x:c r="AC10" s="38" t="n">
        <x:v>0.0505404522</x:v>
      </x:c>
      <x:c r="AD10" s="38" t="n">
        <x:v>-0.0086117109</x:v>
      </x:c>
      <x:c r="AE10" s="38" t="n">
        <x:v>0.0076119771</x:v>
      </x:c>
      <x:c r="AF10" s="38" t="n">
        <x:v>0.0426204249</x:v>
      </x:c>
      <x:c r="AG10" s="38" t="n">
        <x:v>0.0417416322</x:v>
      </x:c>
      <x:c r="AH10" s="38" t="n">
        <x:v>0.0272648757</x:v>
      </x:c>
      <x:c r="AI10" s="38" t="n">
        <x:v>0.0234536108</x:v>
      </x:c>
      <x:c r="AJ10" s="38" t="n">
        <x:v>0.0178634617</x:v>
      </x:c>
      <x:c r="AK10" s="38" t="n">
        <x:v>0.0390281513</x:v>
      </x:c>
      <x:c r="AL10" s="38" t="n">
        <x:v>0.0188913413</x:v>
      </x:c>
      <x:c r="AM10" s="38" t="n">
        <x:v>-0.0660288784</x:v>
      </x:c>
      <x:c r="AN10" s="38" t="n">
        <x:v>-0.0206876113</x:v>
      </x:c>
      <x:c r="AO10" s="38" t="n">
        <x:v>-0.0364708727</x:v>
      </x:c>
      <x:c r="AP10" s="38" t="n">
        <x:v>0.0015406217</x:v>
      </x:c>
      <x:c r="AQ10" s="38" t="n">
        <x:v>-0.0079943415</x:v>
      </x:c>
      <x:c r="AR10" s="38" t="n">
        <x:v>-0.0025785756</x:v>
      </x:c>
    </x:row>
    <x:row r="11" ht="19" customHeight="1">
      <x:c r="A11" s="39" t="d">
        <x:v>2021-09-13T00:00:00.000Z</x:v>
      </x:c>
      <x:c r="B11" s="38" t="n">
        <x:v>0.2534906601</x:v>
      </x:c>
      <x:c r="C11" s="38" t="n">
        <x:v>0.2897548135</x:v>
      </x:c>
      <x:c r="D11" s="38" t="n">
        <x:v>-0.0842445082</x:v>
      </x:c>
      <x:c r="E11" s="38" t="n">
        <x:v>0.1557183752</x:v>
      </x:c>
      <x:c r="F11" s="38" t="n">
        <x:v>-0.047542196</x:v>
      </x:c>
      <x:c r="G11" s="38" t="n">
        <x:v>-0.0642997309</x:v>
      </x:c>
      <x:c r="H11" s="38" t="n">
        <x:v>-0.0818751238</x:v>
      </x:c>
      <x:c r="I11" s="38" t="n">
        <x:v>-0.1151953553</x:v>
      </x:c>
      <x:c r="J11" s="38" t="n">
        <x:v>-0.0897952898</x:v>
      </x:c>
      <x:c r="K11" s="38" t="n">
        <x:v>0.0601007669</x:v>
      </x:c>
      <x:c r="L11" s="38" t="n">
        <x:v>-0.0591513623</x:v>
      </x:c>
      <x:c r="M11" s="38" t="n">
        <x:v>0.1504865323</x:v>
      </x:c>
      <x:c r="N11" s="38" t="n">
        <x:v>0.0531793966</x:v>
      </x:c>
      <x:c r="O11" s="38" t="n">
        <x:v>-0.0310497566</x:v>
      </x:c>
      <x:c r="P11" s="38" t="n">
        <x:v>0.026185915</x:v>
      </x:c>
      <x:c r="Q11" s="38" t="n">
        <x:v>0.0097264882</x:v>
      </x:c>
      <x:c r="R11" s="38" t="n">
        <x:v>-0.1552880873</x:v>
      </x:c>
      <x:c r="S11" s="38" t="n">
        <x:v>0.085173338</x:v>
      </x:c>
      <x:c r="T11" s="38" t="n">
        <x:v>-0.0158173062</x:v>
      </x:c>
      <x:c r="U11" s="38" t="n">
        <x:v>-0.1111019619</x:v>
      </x:c>
      <x:c r="V11" s="38" t="n">
        <x:v>-0.0239339292</x:v>
      </x:c>
      <x:c r="W11" s="38" t="n">
        <x:v>0.0202932086</x:v>
      </x:c>
      <x:c r="X11" s="38" t="n">
        <x:v>0.0309455779</x:v>
      </x:c>
      <x:c r="Y11" s="38" t="n">
        <x:v>0.0185254255</x:v>
      </x:c>
      <x:c r="Z11" s="38" t="n">
        <x:v>0.00568847</x:v>
      </x:c>
      <x:c r="AA11" s="38" t="n">
        <x:v>0.0312429098</x:v>
      </x:c>
      <x:c r="AB11" s="38" t="n">
        <x:v>-0.0324457432</x:v>
      </x:c>
      <x:c r="AC11" s="38" t="n">
        <x:v>-0.038551917</x:v>
      </x:c>
      <x:c r="AD11" s="38" t="n">
        <x:v>-0.0118118576</x:v>
      </x:c>
      <x:c r="AE11" s="38" t="n">
        <x:v>0.0304018629</x:v>
      </x:c>
      <x:c r="AF11" s="38" t="n">
        <x:v>0.0676438487</x:v>
      </x:c>
      <x:c r="AG11" s="38" t="n">
        <x:v>-0.0510828693</x:v>
      </x:c>
      <x:c r="AH11" s="38" t="n">
        <x:v>0.0128696894</x:v>
      </x:c>
      <x:c r="AI11" s="38" t="n">
        <x:v>-0.0273320788</x:v>
      </x:c>
      <x:c r="AJ11" s="38" t="n">
        <x:v>0.0347423155</x:v>
      </x:c>
      <x:c r="AK11" s="38" t="n">
        <x:v>-0.0168954535</x:v>
      </x:c>
      <x:c r="AL11" s="38" t="n">
        <x:v>0.018777992</x:v>
      </x:c>
      <x:c r="AM11" s="38" t="n">
        <x:v>0.0008892566</x:v>
      </x:c>
      <x:c r="AN11" s="38" t="n">
        <x:v>0.0095099717</x:v>
      </x:c>
      <x:c r="AO11" s="38" t="n">
        <x:v>-0.0145288427</x:v>
      </x:c>
      <x:c r="AP11" s="38" t="n">
        <x:v>0.025414438</x:v>
      </x:c>
      <x:c r="AQ11" s="38" t="n">
        <x:v>0.012761068</x:v>
      </x:c>
      <x:c r="AR11" s="38" t="n">
        <x:v>-0.0119904212</x:v>
      </x:c>
    </x:row>
    <x:row r="12" ht="19" customHeight="1">
      <x:c r="A12" s="39" t="d">
        <x:v>2021-10-11T00:00:00.000Z</x:v>
      </x:c>
      <x:c r="B12" s="38" t="n">
        <x:v>0.1729458717</x:v>
      </x:c>
      <x:c r="C12" s="38" t="n">
        <x:v>-0.0012263021</x:v>
      </x:c>
      <x:c r="D12" s="38" t="n">
        <x:v>-0.2376355968</x:v>
      </x:c>
      <x:c r="E12" s="38" t="n">
        <x:v>-0.0384986609</x:v>
      </x:c>
      <x:c r="F12" s="38" t="n">
        <x:v>-0.0295526599</x:v>
      </x:c>
      <x:c r="G12" s="38" t="n">
        <x:v>0.0303943028</x:v>
      </x:c>
      <x:c r="H12" s="38" t="n">
        <x:v>0.1265222051</x:v>
      </x:c>
      <x:c r="I12" s="38" t="n">
        <x:v>-0.0282445777</x:v>
      </x:c>
      <x:c r="J12" s="38" t="n">
        <x:v>0.0160760304</x:v>
      </x:c>
      <x:c r="K12" s="38" t="n">
        <x:v>0.1000599223</x:v>
      </x:c>
      <x:c r="L12" s="38" t="n">
        <x:v>0.0012791784</x:v>
      </x:c>
      <x:c r="M12" s="38" t="n">
        <x:v>-0.060804353</x:v>
      </x:c>
      <x:c r="N12" s="38" t="n">
        <x:v>-0.0426323889</x:v>
      </x:c>
      <x:c r="O12" s="38" t="n">
        <x:v>-0.0096723882</x:v>
      </x:c>
      <x:c r="P12" s="38" t="n">
        <x:v>0.0885558337</x:v>
      </x:c>
      <x:c r="Q12" s="38" t="n">
        <x:v>-0.0276648405</x:v>
      </x:c>
      <x:c r="R12" s="38" t="n">
        <x:v>0.0019634435</x:v>
      </x:c>
      <x:c r="S12" s="38" t="n">
        <x:v>0.0141913248</x:v>
      </x:c>
      <x:c r="T12" s="38" t="n">
        <x:v>0.0827348151</x:v>
      </x:c>
      <x:c r="U12" s="38" t="n">
        <x:v>0.0291979695</x:v>
      </x:c>
      <x:c r="V12" s="38" t="n">
        <x:v>-0.0429719801</x:v>
      </x:c>
      <x:c r="W12" s="38" t="n">
        <x:v>0.0136521246</x:v>
      </x:c>
      <x:c r="X12" s="38" t="n">
        <x:v>-0.0316340332</x:v>
      </x:c>
      <x:c r="Y12" s="38" t="n">
        <x:v>-0.0137964294</x:v>
      </x:c>
      <x:c r="Z12" s="38" t="n">
        <x:v>0.0138849301</x:v>
      </x:c>
      <x:c r="AA12" s="38" t="n">
        <x:v>-0.0370108317</x:v>
      </x:c>
      <x:c r="AB12" s="38" t="n">
        <x:v>-0.0116975187</x:v>
      </x:c>
      <x:c r="AC12" s="38" t="n">
        <x:v>0.0835723126</x:v>
      </x:c>
      <x:c r="AD12" s="38" t="n">
        <x:v>0.0295355386</x:v>
      </x:c>
      <x:c r="AE12" s="38" t="n">
        <x:v>-0.0159498882</x:v>
      </x:c>
      <x:c r="AF12" s="38" t="n">
        <x:v>-0.0171406541</x:v>
      </x:c>
      <x:c r="AG12" s="38" t="n">
        <x:v>0.0420994251</x:v>
      </x:c>
      <x:c r="AH12" s="38" t="n">
        <x:v>-0.0036462121</x:v>
      </x:c>
      <x:c r="AI12" s="38" t="n">
        <x:v>0.0026877356</x:v>
      </x:c>
      <x:c r="AJ12" s="38" t="n">
        <x:v>0.0257077854</x:v>
      </x:c>
      <x:c r="AK12" s="38" t="n">
        <x:v>-0.0434277597</x:v>
      </x:c>
      <x:c r="AL12" s="38" t="n">
        <x:v>0.0011658106</x:v>
      </x:c>
      <x:c r="AM12" s="38" t="n">
        <x:v>0.037002629</x:v>
      </x:c>
      <x:c r="AN12" s="38" t="n">
        <x:v>0.0181748295</x:v>
      </x:c>
      <x:c r="AO12" s="38" t="n">
        <x:v>-0.022200782</x:v>
      </x:c>
      <x:c r="AP12" s="38" t="n">
        <x:v>-0.0025183214</x:v>
      </x:c>
      <x:c r="AQ12" s="38" t="n">
        <x:v>0.0045227443</x:v>
      </x:c>
      <x:c r="AR12" s="38" t="n">
        <x:v>0.0159964888</x:v>
      </x:c>
    </x:row>
    <x:row r="13" ht="19" customHeight="1">
      <x:c r="A13" s="39" t="d">
        <x:v>2021-11-08T00:00:00.000Z</x:v>
      </x:c>
      <x:c r="B13" s="38" t="n">
        <x:v>-0.2639646669</x:v>
      </x:c>
      <x:c r="C13" s="38" t="n">
        <x:v>-0.1062170366</x:v>
      </x:c>
      <x:c r="D13" s="38" t="n">
        <x:v>-0.2045072072</x:v>
      </x:c>
      <x:c r="E13" s="38" t="n">
        <x:v>-0.0036619328</x:v>
      </x:c>
      <x:c r="F13" s="38" t="n">
        <x:v>-0.1395676774</x:v>
      </x:c>
      <x:c r="G13" s="38" t="n">
        <x:v>0.067929216</x:v>
      </x:c>
      <x:c r="H13" s="38" t="n">
        <x:v>0.0601923564</x:v>
      </x:c>
      <x:c r="I13" s="38" t="n">
        <x:v>-0.0969572085</x:v>
      </x:c>
      <x:c r="J13" s="38" t="n">
        <x:v>0.029168357</x:v>
      </x:c>
      <x:c r="K13" s="38" t="n">
        <x:v>-0.0051048846</x:v>
      </x:c>
      <x:c r="L13" s="38" t="n">
        <x:v>0.0124596403</x:v>
      </x:c>
      <x:c r="M13" s="38" t="n">
        <x:v>-0.0542221609</x:v>
      </x:c>
      <x:c r="N13" s="38" t="n">
        <x:v>0.153765956</x:v>
      </x:c>
      <x:c r="O13" s="38" t="n">
        <x:v>0.0410797909</x:v>
      </x:c>
      <x:c r="P13" s="38" t="n">
        <x:v>0.0876181056</x:v>
      </x:c>
      <x:c r="Q13" s="38" t="n">
        <x:v>0.0171988791</x:v>
      </x:c>
      <x:c r="R13" s="38" t="n">
        <x:v>-0.0194338248</x:v>
      </x:c>
      <x:c r="S13" s="38" t="n">
        <x:v>0.0422536385</x:v>
      </x:c>
      <x:c r="T13" s="38" t="n">
        <x:v>-0.0141288687</x:v>
      </x:c>
      <x:c r="U13" s="38" t="n">
        <x:v>-0.0532312607</x:v>
      </x:c>
      <x:c r="V13" s="38" t="n">
        <x:v>-0.1021891098</x:v>
      </x:c>
      <x:c r="W13" s="38" t="n">
        <x:v>-0.0868140366</x:v>
      </x:c>
      <x:c r="X13" s="38" t="n">
        <x:v>-0.0716782245</x:v>
      </x:c>
      <x:c r="Y13" s="38" t="n">
        <x:v>-0.0619567059</x:v>
      </x:c>
      <x:c r="Z13" s="38" t="n">
        <x:v>-0.0234400685</x:v>
      </x:c>
      <x:c r="AA13" s="38" t="n">
        <x:v>-0.0368533259</x:v>
      </x:c>
      <x:c r="AB13" s="38" t="n">
        <x:v>0.1130581513</x:v>
      </x:c>
      <x:c r="AC13" s="38" t="n">
        <x:v>0.0303473585</x:v>
      </x:c>
      <x:c r="AD13" s="38" t="n">
        <x:v>-0.0550684432</x:v>
      </x:c>
      <x:c r="AE13" s="38" t="n">
        <x:v>-0.0749840287</x:v>
      </x:c>
      <x:c r="AF13" s="38" t="n">
        <x:v>0.0172719536</x:v>
      </x:c>
      <x:c r="AG13" s="38" t="n">
        <x:v>0.0213676299</x:v>
      </x:c>
      <x:c r="AH13" s="38" t="n">
        <x:v>0.0844282948</x:v>
      </x:c>
      <x:c r="AI13" s="38" t="n">
        <x:v>-0.0282162762</x:v>
      </x:c>
      <x:c r="AJ13" s="38" t="n">
        <x:v>0.0062616576</x:v>
      </x:c>
      <x:c r="AK13" s="38" t="n">
        <x:v>0.0186599768</x:v>
      </x:c>
      <x:c r="AL13" s="38" t="n">
        <x:v>-0.0069919945</x:v>
      </x:c>
      <x:c r="AM13" s="38" t="n">
        <x:v>-0.0162004952</x:v>
      </x:c>
      <x:c r="AN13" s="38" t="n">
        <x:v>0.0080291577</x:v>
      </x:c>
      <x:c r="AO13" s="38" t="n">
        <x:v>-0.0030810484</x:v>
      </x:c>
      <x:c r="AP13" s="38" t="n">
        <x:v>0.0138149105</x:v>
      </x:c>
      <x:c r="AQ13" s="38" t="n">
        <x:v>0.0174629183</x:v>
      </x:c>
      <x:c r="AR13" s="38" t="n">
        <x:v>-0.0045363132</x:v>
      </x:c>
    </x:row>
    <x:row r="14" ht="19" customHeight="1">
      <x:c r="A14" s="39" t="d">
        <x:v>2021-12-06T00:00:00.000Z</x:v>
      </x:c>
      <x:c r="B14" s="38" t="n">
        <x:v>-0.0810467564</x:v>
      </x:c>
      <x:c r="C14" s="38" t="n">
        <x:v>-0.2854440003</x:v>
      </x:c>
      <x:c r="D14" s="38" t="n">
        <x:v>0.1180641189</x:v>
      </x:c>
      <x:c r="E14" s="38" t="n">
        <x:v>-0.088376912</x:v>
      </x:c>
      <x:c r="F14" s="38" t="n">
        <x:v>0.3319909763</x:v>
      </x:c>
      <x:c r="G14" s="38" t="n">
        <x:v>-0.2920870038</x:v>
      </x:c>
      <x:c r="H14" s="38" t="n">
        <x:v>0.0798957545</x:v>
      </x:c>
      <x:c r="I14" s="38" t="n">
        <x:v>-0.0096690937</x:v>
      </x:c>
      <x:c r="J14" s="38" t="n">
        <x:v>-0.0045515259</x:v>
      </x:c>
      <x:c r="K14" s="38" t="n">
        <x:v>-0.0602445188</x:v>
      </x:c>
      <x:c r="L14" s="38" t="n">
        <x:v>-0.0054902175</x:v>
      </x:c>
      <x:c r="M14" s="38" t="n">
        <x:v>-0.0630182404</x:v>
      </x:c>
      <x:c r="N14" s="38" t="n">
        <x:v>-0.0736490973</x:v>
      </x:c>
      <x:c r="O14" s="38" t="n">
        <x:v>-0.0068096891</x:v>
      </x:c>
      <x:c r="P14" s="38" t="n">
        <x:v>0.0494302476</x:v>
      </x:c>
      <x:c r="Q14" s="38" t="n">
        <x:v>-0.0352048875</x:v>
      </x:c>
      <x:c r="R14" s="38" t="n">
        <x:v>-0.0632442297</x:v>
      </x:c>
      <x:c r="S14" s="38" t="n">
        <x:v>0.099191582</x:v>
      </x:c>
      <x:c r="T14" s="38" t="n">
        <x:v>-0.059322415</x:v>
      </x:c>
      <x:c r="U14" s="38" t="n">
        <x:v>-0.0152493886</x:v>
      </x:c>
      <x:c r="V14" s="38" t="n">
        <x:v>-0.0533317589</x:v>
      </x:c>
      <x:c r="W14" s="38" t="n">
        <x:v>0.028668952</x:v>
      </x:c>
      <x:c r="X14" s="38" t="n">
        <x:v>-0.0135862696</x:v>
      </x:c>
      <x:c r="Y14" s="38" t="n">
        <x:v>-0.0041513353</x:v>
      </x:c>
      <x:c r="Z14" s="38" t="n">
        <x:v>0.0581261231</x:v>
      </x:c>
      <x:c r="AA14" s="38" t="n">
        <x:v>0.0133091039</x:v>
      </x:c>
      <x:c r="AB14" s="38" t="n">
        <x:v>0.0579855563</x:v>
      </x:c>
      <x:c r="AC14" s="38" t="n">
        <x:v>-0.0267726579</x:v>
      </x:c>
      <x:c r="AD14" s="38" t="n">
        <x:v>-0.0247660292</x:v>
      </x:c>
      <x:c r="AE14" s="38" t="n">
        <x:v>0.0174776767</x:v>
      </x:c>
      <x:c r="AF14" s="38" t="n">
        <x:v>-0.0052859918</x:v>
      </x:c>
      <x:c r="AG14" s="38" t="n">
        <x:v>0.0135723963</x:v>
      </x:c>
      <x:c r="AH14" s="38" t="n">
        <x:v>-0.0660171991</x:v>
      </x:c>
      <x:c r="AI14" s="38" t="n">
        <x:v>0.0023307175</x:v>
      </x:c>
      <x:c r="AJ14" s="38" t="n">
        <x:v>-0.0088484568</x:v>
      </x:c>
      <x:c r="AK14" s="38" t="n">
        <x:v>0.0101972127</x:v>
      </x:c>
      <x:c r="AL14" s="38" t="n">
        <x:v>0.043086408</x:v>
      </x:c>
      <x:c r="AM14" s="38" t="n">
        <x:v>0.0065687772</x:v>
      </x:c>
      <x:c r="AN14" s="38" t="n">
        <x:v>-0.0101184978</x:v>
      </x:c>
      <x:c r="AO14" s="38" t="n">
        <x:v>-0.0161972684</x:v>
      </x:c>
      <x:c r="AP14" s="38" t="n">
        <x:v>0.0065309934</x:v>
      </x:c>
      <x:c r="AQ14" s="38" t="n">
        <x:v>-0.0200380557</x:v>
      </x:c>
      <x:c r="AR14" s="38" t="n">
        <x:v>-0.0181534386</x:v>
      </x:c>
    </x:row>
    <x:row r="15" ht="19" customHeight="1">
      <x:c r="A15" s="39" t="d">
        <x:v>2022-01-03T00:00:00.000Z</x:v>
      </x:c>
      <x:c r="B15" s="38" t="n">
        <x:v>-0.2524864528</x:v>
      </x:c>
      <x:c r="C15" s="38" t="n">
        <x:v>-0.1254527013</x:v>
      </x:c>
      <x:c r="D15" s="38" t="n">
        <x:v>0.0403624411</x:v>
      </x:c>
      <x:c r="E15" s="38" t="n">
        <x:v>-0.1961383243</x:v>
      </x:c>
      <x:c r="F15" s="38" t="n">
        <x:v>-0.0120598305</x:v>
      </x:c>
      <x:c r="G15" s="38" t="n">
        <x:v>-0.0649527704</x:v>
      </x:c>
      <x:c r="H15" s="38" t="n">
        <x:v>0.0567610518</x:v>
      </x:c>
      <x:c r="I15" s="38" t="n">
        <x:v>-0.0560470886</x:v>
      </x:c>
      <x:c r="J15" s="38" t="n">
        <x:v>-0.0455129114</x:v>
      </x:c>
      <x:c r="K15" s="38" t="n">
        <x:v>-0.0859428287</x:v>
      </x:c>
      <x:c r="L15" s="38" t="n">
        <x:v>0.0984414726</x:v>
      </x:c>
      <x:c r="M15" s="38" t="n">
        <x:v>0.0055123574</x:v>
      </x:c>
      <x:c r="N15" s="38" t="n">
        <x:v>-0.0017720111</x:v>
      </x:c>
      <x:c r="O15" s="38" t="n">
        <x:v>0.0333236253</x:v>
      </x:c>
      <x:c r="P15" s="38" t="n">
        <x:v>0.0313016395</x:v>
      </x:c>
      <x:c r="Q15" s="38" t="n">
        <x:v>0.0354263771</x:v>
      </x:c>
      <x:c r="R15" s="38" t="n">
        <x:v>0.0427712172</x:v>
      </x:c>
      <x:c r="S15" s="38" t="n">
        <x:v>0.0929726739</x:v>
      </x:c>
      <x:c r="T15" s="38" t="n">
        <x:v>0.0131045023</x:v>
      </x:c>
      <x:c r="U15" s="38" t="n">
        <x:v>0.0342855578</x:v>
      </x:c>
      <x:c r="V15" s="38" t="n">
        <x:v>0.0519379935</x:v>
      </x:c>
      <x:c r="W15" s="38" t="n">
        <x:v>0.0203213731</x:v>
      </x:c>
      <x:c r="X15" s="38" t="n">
        <x:v>0.0527588229</x:v>
      </x:c>
      <x:c r="Y15" s="38" t="n">
        <x:v>-0.0719751133</x:v>
      </x:c>
      <x:c r="Z15" s="38" t="n">
        <x:v>-0.0473975189</x:v>
      </x:c>
      <x:c r="AA15" s="38" t="n">
        <x:v>-0.0026432906</x:v>
      </x:c>
      <x:c r="AB15" s="38" t="n">
        <x:v>-0.0092551776</x:v>
      </x:c>
      <x:c r="AC15" s="38" t="n">
        <x:v>-0.0186976581</x:v>
      </x:c>
      <x:c r="AD15" s="38" t="n">
        <x:v>-0.0442569152</x:v>
      </x:c>
      <x:c r="AE15" s="38" t="n">
        <x:v>-0.0548583179</x:v>
      </x:c>
      <x:c r="AF15" s="38" t="n">
        <x:v>0.0026231553</x:v>
      </x:c>
      <x:c r="AG15" s="38" t="n">
        <x:v>-0.0682634279</x:v>
      </x:c>
      <x:c r="AH15" s="38" t="n">
        <x:v>-0.0471495774</x:v>
      </x:c>
      <x:c r="AI15" s="38" t="n">
        <x:v>-0.0318893587</x:v>
      </x:c>
      <x:c r="AJ15" s="38" t="n">
        <x:v>0.0060214877</x:v>
      </x:c>
      <x:c r="AK15" s="38" t="n">
        <x:v>0.012847582</x:v>
      </x:c>
      <x:c r="AL15" s="38" t="n">
        <x:v>-0.0147328283</x:v>
      </x:c>
      <x:c r="AM15" s="38" t="n">
        <x:v>-0.0251620979</x:v>
      </x:c>
      <x:c r="AN15" s="38" t="n">
        <x:v>-0.0210386619</x:v>
      </x:c>
      <x:c r="AO15" s="38" t="n">
        <x:v>0.025243773</x:v>
      </x:c>
      <x:c r="AP15" s="38" t="n">
        <x:v>-0.0113290318</x:v>
      </x:c>
      <x:c r="AQ15" s="38" t="n">
        <x:v>0.0112638001</x:v>
      </x:c>
      <x:c r="AR15" s="38" t="n">
        <x:v>0.0067715472</x:v>
      </x:c>
    </x:row>
    <x:row r="16" ht="19" customHeight="1">
      <x:c r="A16" s="39" t="d">
        <x:v>2022-01-31T00:00:00.000Z</x:v>
      </x:c>
      <x:c r="B16" s="38" t="n">
        <x:v>0.1147481905</x:v>
      </x:c>
      <x:c r="C16" s="38" t="n">
        <x:v>-0.1948677809</x:v>
      </x:c>
      <x:c r="D16" s="38" t="n">
        <x:v>-0.0025445149</x:v>
      </x:c>
      <x:c r="E16" s="38" t="n">
        <x:v>-0.1522518</x:v>
      </x:c>
      <x:c r="F16" s="38" t="n">
        <x:v>-0.0048370233</x:v>
      </x:c>
      <x:c r="G16" s="38" t="n">
        <x:v>-0.1298355673</x:v>
      </x:c>
      <x:c r="H16" s="38" t="n">
        <x:v>0.0278257053</x:v>
      </x:c>
      <x:c r="I16" s="38" t="n">
        <x:v>-0.1130774108</x:v>
      </x:c>
      <x:c r="J16" s="38" t="n">
        <x:v>0.068170588</x:v>
      </x:c>
      <x:c r="K16" s="38" t="n">
        <x:v>-0.1065234417</x:v>
      </x:c>
      <x:c r="L16" s="38" t="n">
        <x:v>-0.028643833</x:v>
      </x:c>
      <x:c r="M16" s="38" t="n">
        <x:v>0.0282355083</x:v>
      </x:c>
      <x:c r="N16" s="38" t="n">
        <x:v>-0.0781654693</x:v>
      </x:c>
      <x:c r="O16" s="38" t="n">
        <x:v>-0.0810639125</x:v>
      </x:c>
      <x:c r="P16" s="38" t="n">
        <x:v>-0.0203003621</x:v>
      </x:c>
      <x:c r="Q16" s="38" t="n">
        <x:v>0.0772647753</x:v>
      </x:c>
      <x:c r="R16" s="38" t="n">
        <x:v>0.0181168048</x:v>
      </x:c>
      <x:c r="S16" s="38" t="n">
        <x:v>-0.1335986737</x:v>
      </x:c>
      <x:c r="T16" s="38" t="n">
        <x:v>-0.0190839659</x:v>
      </x:c>
      <x:c r="U16" s="38" t="n">
        <x:v>-0.0441043683</x:v>
      </x:c>
      <x:c r="V16" s="38" t="n">
        <x:v>0.0405579393</x:v>
      </x:c>
      <x:c r="W16" s="38" t="n">
        <x:v>-0.0506167179</x:v>
      </x:c>
      <x:c r="X16" s="38" t="n">
        <x:v>-0.122877456</x:v>
      </x:c>
      <x:c r="Y16" s="38" t="n">
        <x:v>0.0798108753</x:v>
      </x:c>
      <x:c r="Z16" s="38" t="n">
        <x:v>0.0097475871</x:v>
      </x:c>
      <x:c r="AA16" s="38" t="n">
        <x:v>-0.0276142984</x:v>
      </x:c>
      <x:c r="AB16" s="38" t="n">
        <x:v>-0.0627556563</x:v>
      </x:c>
      <x:c r="AC16" s="38" t="n">
        <x:v>-0.0083111655</x:v>
      </x:c>
      <x:c r="AD16" s="38" t="n">
        <x:v>0.0114031719</x:v>
      </x:c>
      <x:c r="AE16" s="38" t="n">
        <x:v>0.0011858763</x:v>
      </x:c>
      <x:c r="AF16" s="38" t="n">
        <x:v>0.0106185605</x:v>
      </x:c>
      <x:c r="AG16" s="38" t="n">
        <x:v>0.0305181272</x:v>
      </x:c>
      <x:c r="AH16" s="38" t="n">
        <x:v>0.0104931873</x:v>
      </x:c>
      <x:c r="AI16" s="38" t="n">
        <x:v>-0.0383920925</x:v>
      </x:c>
      <x:c r="AJ16" s="38" t="n">
        <x:v>0.0508142897</x:v>
      </x:c>
      <x:c r="AK16" s="38" t="n">
        <x:v>-0.0054288459</x:v>
      </x:c>
      <x:c r="AL16" s="38" t="n">
        <x:v>0.0015690038</x:v>
      </x:c>
      <x:c r="AM16" s="38" t="n">
        <x:v>0.0000678976</x:v>
      </x:c>
      <x:c r="AN16" s="38" t="n">
        <x:v>-0.0018643236</x:v>
      </x:c>
      <x:c r="AO16" s="38" t="n">
        <x:v>0.0135422036</x:v>
      </x:c>
      <x:c r="AP16" s="38" t="n">
        <x:v>-0.0268803299</x:v>
      </x:c>
      <x:c r="AQ16" s="38" t="n">
        <x:v>0.0013698553</x:v>
      </x:c>
      <x:c r="AR16" s="38" t="n">
        <x:v>-0.0016981847</x:v>
      </x:c>
    </x:row>
    <x:row r="17" ht="19" customHeight="1">
      <x:c r="A17" s="39" t="d">
        <x:v>2022-02-28T00:00:00.000Z</x:v>
      </x:c>
      <x:c r="B17" s="38" t="n">
        <x:v>0.4691272918</x:v>
      </x:c>
      <x:c r="C17" s="38" t="n">
        <x:v>0.1483491506</x:v>
      </x:c>
      <x:c r="D17" s="38" t="n">
        <x:v>-0.2384357684</x:v>
      </x:c>
      <x:c r="E17" s="38" t="n">
        <x:v>-0.1407126906</x:v>
      </x:c>
      <x:c r="F17" s="38" t="n">
        <x:v>0.0659121971</x:v>
      </x:c>
      <x:c r="G17" s="38" t="n">
        <x:v>0.0170112636</x:v>
      </x:c>
      <x:c r="H17" s="38" t="n">
        <x:v>0.1813440125</x:v>
      </x:c>
      <x:c r="I17" s="38" t="n">
        <x:v>0.0203058863</x:v>
      </x:c>
      <x:c r="J17" s="38" t="n">
        <x:v>0.0635372713</x:v>
      </x:c>
      <x:c r="K17" s="38" t="n">
        <x:v>0.0089059326</x:v>
      </x:c>
      <x:c r="L17" s="38" t="n">
        <x:v>0.0280878596</x:v>
      </x:c>
      <x:c r="M17" s="38" t="n">
        <x:v>-0.0272432322</x:v>
      </x:c>
      <x:c r="N17" s="38" t="n">
        <x:v>-0.0788501914</x:v>
      </x:c>
      <x:c r="O17" s="38" t="n">
        <x:v>-0.0266675602</x:v>
      </x:c>
      <x:c r="P17" s="38" t="n">
        <x:v>0.0855893487</x:v>
      </x:c>
      <x:c r="Q17" s="38" t="n">
        <x:v>0.0595768861</x:v>
      </x:c>
      <x:c r="R17" s="38" t="n">
        <x:v>0.1227811482</x:v>
      </x:c>
      <x:c r="S17" s="38" t="n">
        <x:v>-0.0161406283</x:v>
      </x:c>
      <x:c r="T17" s="38" t="n">
        <x:v>-0.0526885219</x:v>
      </x:c>
      <x:c r="U17" s="38" t="n">
        <x:v>-0.0101033457</x:v>
      </x:c>
      <x:c r="V17" s="38" t="n">
        <x:v>0.0381198619</x:v>
      </x:c>
      <x:c r="W17" s="38" t="n">
        <x:v>0.0903304689</x:v>
      </x:c>
      <x:c r="X17" s="38" t="n">
        <x:v>-0.0113024263</x:v>
      </x:c>
      <x:c r="Y17" s="38" t="n">
        <x:v>-0.0856674344</x:v>
      </x:c>
      <x:c r="Z17" s="38" t="n">
        <x:v>0.0510310314</x:v>
      </x:c>
      <x:c r="AA17" s="38" t="n">
        <x:v>0.0657048541</x:v>
      </x:c>
      <x:c r="AB17" s="38" t="n">
        <x:v>0.0158253451</x:v>
      </x:c>
      <x:c r="AC17" s="38" t="n">
        <x:v>0.009832025</x:v>
      </x:c>
      <x:c r="AD17" s="38" t="n">
        <x:v>0.1234263819</x:v>
      </x:c>
      <x:c r="AE17" s="38" t="n">
        <x:v>0.0735843629</x:v>
      </x:c>
      <x:c r="AF17" s="38" t="n">
        <x:v>0.026857045</x:v>
      </x:c>
      <x:c r="AG17" s="38" t="n">
        <x:v>-0.0087860213</x:v>
      </x:c>
      <x:c r="AH17" s="38" t="n">
        <x:v>0.0098744707</x:v>
      </x:c>
      <x:c r="AI17" s="38" t="n">
        <x:v>0.001874922</x:v>
      </x:c>
      <x:c r="AJ17" s="38" t="n">
        <x:v>0.0034520933</x:v>
      </x:c>
      <x:c r="AK17" s="38" t="n">
        <x:v>0.0413276201</x:v>
      </x:c>
      <x:c r="AL17" s="38" t="n">
        <x:v>0.018836127</x:v>
      </x:c>
      <x:c r="AM17" s="38" t="n">
        <x:v>-0.0136348806</x:v>
      </x:c>
      <x:c r="AN17" s="38" t="n">
        <x:v>-0.009309039</x:v>
      </x:c>
      <x:c r="AO17" s="38" t="n">
        <x:v>0.0265800036</x:v>
      </x:c>
      <x:c r="AP17" s="38" t="n">
        <x:v>0.0125486695</x:v>
      </x:c>
      <x:c r="AQ17" s="38" t="n">
        <x:v>-0.0014430639</x:v>
      </x:c>
      <x:c r="AR17" s="38" t="n">
        <x:v>-0.0061272325</x:v>
      </x:c>
    </x:row>
    <x:row r="18" ht="19" customHeight="1">
      <x:c r="A18" s="39" t="d">
        <x:v>2022-03-28T00:00:00.000Z</x:v>
      </x:c>
      <x:c r="B18" s="38" t="n">
        <x:v>0.1122368563</x:v>
      </x:c>
      <x:c r="C18" s="38" t="n">
        <x:v>-0.2294969116</x:v>
      </x:c>
      <x:c r="D18" s="38" t="n">
        <x:v>-0.0915969539</x:v>
      </x:c>
      <x:c r="E18" s="38" t="n">
        <x:v>0.2645934461</x:v>
      </x:c>
      <x:c r="F18" s="38" t="n">
        <x:v>0.0260102132</x:v>
      </x:c>
      <x:c r="G18" s="38" t="n">
        <x:v>-0.1514180107</x:v>
      </x:c>
      <x:c r="H18" s="38" t="n">
        <x:v>-0.055800242</x:v>
      </x:c>
      <x:c r="I18" s="38" t="n">
        <x:v>0.0734657534</x:v>
      </x:c>
      <x:c r="J18" s="38" t="n">
        <x:v>-0.0387820927</x:v>
      </x:c>
      <x:c r="K18" s="38" t="n">
        <x:v>-0.0827941241</x:v>
      </x:c>
      <x:c r="L18" s="38" t="n">
        <x:v>-0.0043220869</x:v>
      </x:c>
      <x:c r="M18" s="38" t="n">
        <x:v>0.0472596295</x:v>
      </x:c>
      <x:c r="N18" s="38" t="n">
        <x:v>0.0062028566</x:v>
      </x:c>
      <x:c r="O18" s="38" t="n">
        <x:v>0.0575959643</x:v>
      </x:c>
      <x:c r="P18" s="38" t="n">
        <x:v>-0.0884313737</x:v>
      </x:c>
      <x:c r="Q18" s="38" t="n">
        <x:v>-0.0102988445</x:v>
      </x:c>
      <x:c r="R18" s="38" t="n">
        <x:v>0.0501553136</x:v>
      </x:c>
      <x:c r="S18" s="38" t="n">
        <x:v>-0.1266375767</x:v>
      </x:c>
      <x:c r="T18" s="38" t="n">
        <x:v>0.0085781373</x:v>
      </x:c>
      <x:c r="U18" s="38" t="n">
        <x:v>-0.0614844754</x:v>
      </x:c>
      <x:c r="V18" s="38" t="n">
        <x:v>0.0501720241</x:v>
      </x:c>
      <x:c r="W18" s="38" t="n">
        <x:v>0.0169892465</x:v>
      </x:c>
      <x:c r="X18" s="38" t="n">
        <x:v>0.0516175775</x:v>
      </x:c>
      <x:c r="Y18" s="38" t="n">
        <x:v>-0.0471024686</x:v>
      </x:c>
      <x:c r="Z18" s="38" t="n">
        <x:v>0.0009341121</x:v>
      </x:c>
      <x:c r="AA18" s="38" t="n">
        <x:v>0.0764804225</x:v>
      </x:c>
      <x:c r="AB18" s="38" t="n">
        <x:v>0.0811683286</x:v>
      </x:c>
      <x:c r="AC18" s="38" t="n">
        <x:v>-0.0374906108</x:v>
      </x:c>
      <x:c r="AD18" s="38" t="n">
        <x:v>0.0195986361</x:v>
      </x:c>
      <x:c r="AE18" s="38" t="n">
        <x:v>0.011656824</x:v>
      </x:c>
      <x:c r="AF18" s="38" t="n">
        <x:v>-0.0035242149</x:v>
      </x:c>
      <x:c r="AG18" s="38" t="n">
        <x:v>0.0441179703</x:v>
      </x:c>
      <x:c r="AH18" s="38" t="n">
        <x:v>0.0212604982</x:v>
      </x:c>
      <x:c r="AI18" s="38" t="n">
        <x:v>0.0164050003</x:v>
      </x:c>
      <x:c r="AJ18" s="38" t="n">
        <x:v>-0.0321824826</x:v>
      </x:c>
      <x:c r="AK18" s="38" t="n">
        <x:v>-0.0203715188</x:v>
      </x:c>
      <x:c r="AL18" s="38" t="n">
        <x:v>-0.0071498703</x:v>
      </x:c>
      <x:c r="AM18" s="38" t="n">
        <x:v>-0.0044423247</x:v>
      </x:c>
      <x:c r="AN18" s="38" t="n">
        <x:v>-0.0170113411</x:v>
      </x:c>
      <x:c r="AO18" s="38" t="n">
        <x:v>0.0074539934</x:v>
      </x:c>
      <x:c r="AP18" s="38" t="n">
        <x:v>-0.0419440426</x:v>
      </x:c>
      <x:c r="AQ18" s="38" t="n">
        <x:v>-0.0036883185</x:v>
      </x:c>
      <x:c r="AR18" s="38" t="n">
        <x:v>-0.0203943926</x:v>
      </x:c>
    </x:row>
    <x:row r="19" ht="19" customHeight="1">
      <x:c r="A19" s="39" t="d">
        <x:v>2022-04-25T00:00:00.000Z</x:v>
      </x:c>
      <x:c r="B19" s="38" t="n">
        <x:v>-0.0478311454</x:v>
      </x:c>
      <x:c r="C19" s="38" t="n">
        <x:v>0.0030810729</x:v>
      </x:c>
      <x:c r="D19" s="38" t="n">
        <x:v>0.1705764646</x:v>
      </x:c>
      <x:c r="E19" s="38" t="n">
        <x:v>-0.298091016</x:v>
      </x:c>
      <x:c r="F19" s="38" t="n">
        <x:v>-0.0022490141</x:v>
      </x:c>
      <x:c r="G19" s="38" t="n">
        <x:v>-0.1497157637</x:v>
      </x:c>
      <x:c r="H19" s="38" t="n">
        <x:v>0.092532374</x:v>
      </x:c>
      <x:c r="I19" s="38" t="n">
        <x:v>-0.1271290109</x:v>
      </x:c>
      <x:c r="J19" s="38" t="n">
        <x:v>-0.0311934537</x:v>
      </x:c>
      <x:c r="K19" s="38" t="n">
        <x:v>-0.2288141091</x:v>
      </x:c>
      <x:c r="L19" s="38" t="n">
        <x:v>0.0174193828</x:v>
      </x:c>
      <x:c r="M19" s="38" t="n">
        <x:v>0.017311927</x:v>
      </x:c>
      <x:c r="N19" s="38" t="n">
        <x:v>-0.1437173618</x:v>
      </x:c>
      <x:c r="O19" s="38" t="n">
        <x:v>0.0318193639</x:v>
      </x:c>
      <x:c r="P19" s="38" t="n">
        <x:v>0.0566151891</x:v>
      </x:c>
      <x:c r="Q19" s="38" t="n">
        <x:v>-0.1194282337</x:v>
      </x:c>
      <x:c r="R19" s="38" t="n">
        <x:v>0.0848342324</x:v>
      </x:c>
      <x:c r="S19" s="38" t="n">
        <x:v>-0.0090685686</x:v>
      </x:c>
      <x:c r="T19" s="38" t="n">
        <x:v>-0.0203955261</x:v>
      </x:c>
      <x:c r="U19" s="38" t="n">
        <x:v>0.0713126438</x:v>
      </x:c>
      <x:c r="V19" s="38" t="n">
        <x:v>0.0115342547</x:v>
      </x:c>
      <x:c r="W19" s="38" t="n">
        <x:v>0.0067095595</x:v>
      </x:c>
      <x:c r="X19" s="38" t="n">
        <x:v>0.1262870043</x:v>
      </x:c>
      <x:c r="Y19" s="38" t="n">
        <x:v>0.0498701299</x:v>
      </x:c>
      <x:c r="Z19" s="38" t="n">
        <x:v>0.081433415</x:v>
      </x:c>
      <x:c r="AA19" s="38" t="n">
        <x:v>-0.006264234</x:v>
      </x:c>
      <x:c r="AB19" s="38" t="n">
        <x:v>-0.0155171917</x:v>
      </x:c>
      <x:c r="AC19" s="38" t="n">
        <x:v>-0.0286248303</x:v>
      </x:c>
      <x:c r="AD19" s="38" t="n">
        <x:v>-0.0596209245</x:v>
      </x:c>
      <x:c r="AE19" s="38" t="n">
        <x:v>-0.014891899</x:v>
      </x:c>
      <x:c r="AF19" s="38" t="n">
        <x:v>-0.0862134777</x:v>
      </x:c>
      <x:c r="AG19" s="38" t="n">
        <x:v>0.0502486278</x:v>
      </x:c>
      <x:c r="AH19" s="38" t="n">
        <x:v>0.0080514648</x:v>
      </x:c>
      <x:c r="AI19" s="38" t="n">
        <x:v>0.0482802821</x:v>
      </x:c>
      <x:c r="AJ19" s="38" t="n">
        <x:v>0.0051107449</x:v>
      </x:c>
      <x:c r="AK19" s="38" t="n">
        <x:v>0.0157281671</x:v>
      </x:c>
      <x:c r="AL19" s="38" t="n">
        <x:v>0.0092088369</x:v>
      </x:c>
      <x:c r="AM19" s="38" t="n">
        <x:v>-0.002369561</x:v>
      </x:c>
      <x:c r="AN19" s="38" t="n">
        <x:v>0.0222761591</x:v>
      </x:c>
      <x:c r="AO19" s="38" t="n">
        <x:v>-0.0003770676</x:v>
      </x:c>
      <x:c r="AP19" s="38" t="n">
        <x:v>0.0267206558</x:v>
      </x:c>
      <x:c r="AQ19" s="38" t="n">
        <x:v>0.0047924277</x:v>
      </x:c>
      <x:c r="AR19" s="38" t="n">
        <x:v>0.0018300536</x:v>
      </x:c>
    </x:row>
    <x:row r="20" ht="19" customHeight="1">
      <x:c r="A20" s="39" t="d">
        <x:v>2022-05-23T00:00:00.000Z</x:v>
      </x:c>
      <x:c r="B20" s="38" t="n">
        <x:v>-0.3156893422</x:v>
      </x:c>
      <x:c r="C20" s="38" t="n">
        <x:v>-0.1572788745</x:v>
      </x:c>
      <x:c r="D20" s="38" t="n">
        <x:v>0.0324995655</x:v>
      </x:c>
      <x:c r="E20" s="38" t="n">
        <x:v>0.0744146342</x:v>
      </x:c>
      <x:c r="F20" s="38" t="n">
        <x:v>0.0354926514</x:v>
      </x:c>
      <x:c r="G20" s="38" t="n">
        <x:v>-0.2291336547</x:v>
      </x:c>
      <x:c r="H20" s="38" t="n">
        <x:v>0.0954770746</x:v>
      </x:c>
      <x:c r="I20" s="38" t="n">
        <x:v>-0.0971210665</x:v>
      </x:c>
      <x:c r="J20" s="38" t="n">
        <x:v>-0.1159658768</x:v>
      </x:c>
      <x:c r="K20" s="38" t="n">
        <x:v>-0.1176072584</x:v>
      </x:c>
      <x:c r="L20" s="38" t="n">
        <x:v>-0.0899032508</x:v>
      </x:c>
      <x:c r="M20" s="38" t="n">
        <x:v>0.0082781989</x:v>
      </x:c>
      <x:c r="N20" s="38" t="n">
        <x:v>0.2139786631</x:v>
      </x:c>
      <x:c r="O20" s="38" t="n">
        <x:v>0.120340065</x:v>
      </x:c>
      <x:c r="P20" s="38" t="n">
        <x:v>0.0890626803</x:v>
      </x:c>
      <x:c r="Q20" s="38" t="n">
        <x:v>0.0663247943</x:v>
      </x:c>
      <x:c r="R20" s="38" t="n">
        <x:v>0.0719373999</x:v>
      </x:c>
      <x:c r="S20" s="38" t="n">
        <x:v>-0.0185075098</x:v>
      </x:c>
      <x:c r="T20" s="38" t="n">
        <x:v>-0.1082111739</x:v>
      </x:c>
      <x:c r="U20" s="38" t="n">
        <x:v>0.0020953375</x:v>
      </x:c>
      <x:c r="V20" s="38" t="n">
        <x:v>0.0282877624</x:v>
      </x:c>
      <x:c r="W20" s="38" t="n">
        <x:v>0.0956624991</x:v>
      </x:c>
      <x:c r="X20" s="38" t="n">
        <x:v>0.0412402133</x:v>
      </x:c>
      <x:c r="Y20" s="38" t="n">
        <x:v>-0.0372865098</x:v>
      </x:c>
      <x:c r="Z20" s="38" t="n">
        <x:v>-0.0663536903</x:v>
      </x:c>
      <x:c r="AA20" s="38" t="n">
        <x:v>0.0213177692</x:v>
      </x:c>
      <x:c r="AB20" s="38" t="n">
        <x:v>-0.0845096982</x:v>
      </x:c>
      <x:c r="AC20" s="38" t="n">
        <x:v>0.0279269604</x:v>
      </x:c>
      <x:c r="AD20" s="38" t="n">
        <x:v>-0.0691962487</x:v>
      </x:c>
      <x:c r="AE20" s="38" t="n">
        <x:v>0.0333292852</x:v>
      </x:c>
      <x:c r="AF20" s="38" t="n">
        <x:v>0.0525601421</x:v>
      </x:c>
      <x:c r="AG20" s="38" t="n">
        <x:v>-0.0212335687</x:v>
      </x:c>
      <x:c r="AH20" s="38" t="n">
        <x:v>0.0454274706</x:v>
      </x:c>
      <x:c r="AI20" s="38" t="n">
        <x:v>0.0151019636</x:v>
      </x:c>
      <x:c r="AJ20" s="38" t="n">
        <x:v>-0.0191295439</x:v>
      </x:c>
      <x:c r="AK20" s="38" t="n">
        <x:v>0.0010542482</x:v>
      </x:c>
      <x:c r="AL20" s="38" t="n">
        <x:v>-0.0145104068</x:v>
      </x:c>
      <x:c r="AM20" s="38" t="n">
        <x:v>0.0231968359</x:v>
      </x:c>
      <x:c r="AN20" s="38" t="n">
        <x:v>0.0179179243</x:v>
      </x:c>
      <x:c r="AO20" s="38" t="n">
        <x:v>-0.0012259298</x:v>
      </x:c>
      <x:c r="AP20" s="38" t="n">
        <x:v>0.0088380347</x:v>
      </x:c>
      <x:c r="AQ20" s="38" t="n">
        <x:v>-0.0276510297</x:v>
      </x:c>
      <x:c r="AR20" s="38" t="n">
        <x:v>0.0033689372</x:v>
      </x:c>
    </x:row>
    <x:row r="21" ht="19" customHeight="1">
      <x:c r="A21" s="39" t="d">
        <x:v>2022-06-20T00:00:00.000Z</x:v>
      </x:c>
      <x:c r="B21" s="38" t="n">
        <x:v>0.1739651008</x:v>
      </x:c>
      <x:c r="C21" s="38" t="n">
        <x:v>-0.0278671239</x:v>
      </x:c>
      <x:c r="D21" s="38" t="n">
        <x:v>-0.0519816924</x:v>
      </x:c>
      <x:c r="E21" s="38" t="n">
        <x:v>0.0828168678</x:v>
      </x:c>
      <x:c r="F21" s="38" t="n">
        <x:v>-0.045961913</x:v>
      </x:c>
      <x:c r="G21" s="38" t="n">
        <x:v>-0.1128425804</x:v>
      </x:c>
      <x:c r="H21" s="38" t="n">
        <x:v>-0.1490786213</x:v>
      </x:c>
      <x:c r="I21" s="38" t="n">
        <x:v>0.0524577324</x:v>
      </x:c>
      <x:c r="J21" s="38" t="n">
        <x:v>0.006912586</x:v>
      </x:c>
      <x:c r="K21" s="38" t="n">
        <x:v>-0.0043803188</x:v>
      </x:c>
      <x:c r="L21" s="38" t="n">
        <x:v>0.1110334381</x:v>
      </x:c>
      <x:c r="M21" s="38" t="n">
        <x:v>0.0381392523</x:v>
      </x:c>
      <x:c r="N21" s="38" t="n">
        <x:v>0.0780719821</x:v>
      </x:c>
      <x:c r="O21" s="38" t="n">
        <x:v>-0.0793404038</x:v>
      </x:c>
      <x:c r="P21" s="38" t="n">
        <x:v>0.0538297027</x:v>
      </x:c>
      <x:c r="Q21" s="38" t="n">
        <x:v>0.0226900814</x:v>
      </x:c>
      <x:c r="R21" s="38" t="n">
        <x:v>-0.0238685733</x:v>
      </x:c>
      <x:c r="S21" s="38" t="n">
        <x:v>0.0716220856</x:v>
      </x:c>
      <x:c r="T21" s="38" t="n">
        <x:v>0.0654386108</x:v>
      </x:c>
      <x:c r="U21" s="38" t="n">
        <x:v>-0.0268147091</x:v>
      </x:c>
      <x:c r="V21" s="38" t="n">
        <x:v>-0.0196737182</x:v>
      </x:c>
      <x:c r="W21" s="38" t="n">
        <x:v>-0.0856035296</x:v>
      </x:c>
      <x:c r="X21" s="38" t="n">
        <x:v>0.0416974307</x:v>
      </x:c>
      <x:c r="Y21" s="38" t="n">
        <x:v>0.0926414152</x:v>
      </x:c>
      <x:c r="Z21" s="38" t="n">
        <x:v>-0.0441600015</x:v>
      </x:c>
      <x:c r="AA21" s="38" t="n">
        <x:v>-0.0356079501</x:v>
      </x:c>
      <x:c r="AB21" s="38" t="n">
        <x:v>0.0472490891</x:v>
      </x:c>
      <x:c r="AC21" s="38" t="n">
        <x:v>-0.0139966347</x:v>
      </x:c>
      <x:c r="AD21" s="38" t="n">
        <x:v>0.0627834007</x:v>
      </x:c>
      <x:c r="AE21" s="38" t="n">
        <x:v>-0.0540288163</x:v>
      </x:c>
      <x:c r="AF21" s="38" t="n">
        <x:v>0.0255823184</x:v>
      </x:c>
      <x:c r="AG21" s="38" t="n">
        <x:v>-0.0291917668</x:v>
      </x:c>
      <x:c r="AH21" s="38" t="n">
        <x:v>0.0213543028</x:v>
      </x:c>
      <x:c r="AI21" s="38" t="n">
        <x:v>0.0057353764</x:v>
      </x:c>
      <x:c r="AJ21" s="38" t="n">
        <x:v>0.0152742689</x:v>
      </x:c>
      <x:c r="AK21" s="38" t="n">
        <x:v>0.0350847959</x:v>
      </x:c>
      <x:c r="AL21" s="38" t="n">
        <x:v>0.0480648696</x:v>
      </x:c>
      <x:c r="AM21" s="38" t="n">
        <x:v>0.0130122333</x:v>
      </x:c>
      <x:c r="AN21" s="38" t="n">
        <x:v>-0.000019846</x:v>
      </x:c>
      <x:c r="AO21" s="38" t="n">
        <x:v>-0.0113717208</x:v>
      </x:c>
      <x:c r="AP21" s="38" t="n">
        <x:v>-0.0051810062</x:v>
      </x:c>
      <x:c r="AQ21" s="38" t="n">
        <x:v>-0.0183307075</x:v>
      </x:c>
      <x:c r="AR21" s="38" t="n">
        <x:v>0.0130891577</x:v>
      </x:c>
    </x:row>
    <x:row r="22" ht="19" customHeight="1">
      <x:c r="A22" s="39" t="d">
        <x:v>2022-07-18T00:00:00.000Z</x:v>
      </x:c>
      <x:c r="B22" s="38" t="n">
        <x:v>-0.0218490982</x:v>
      </x:c>
      <x:c r="C22" s="38" t="n">
        <x:v>-0.3321641286</x:v>
      </x:c>
      <x:c r="D22" s="38" t="n">
        <x:v>0.0723130968</x:v>
      </x:c>
      <x:c r="E22" s="38" t="n">
        <x:v>0.1735043037</x:v>
      </x:c>
      <x:c r="F22" s="38" t="n">
        <x:v>0.2490390446</x:v>
      </x:c>
      <x:c r="G22" s="38" t="n">
        <x:v>-0.0452737095</x:v>
      </x:c>
      <x:c r="H22" s="38" t="n">
        <x:v>0.0078701766</x:v>
      </x:c>
      <x:c r="I22" s="38" t="n">
        <x:v>-0.0513732352</x:v>
      </x:c>
      <x:c r="J22" s="38" t="n">
        <x:v>-0.0921422606</x:v>
      </x:c>
      <x:c r="K22" s="38" t="n">
        <x:v>0.0632590575</x:v>
      </x:c>
      <x:c r="L22" s="38" t="n">
        <x:v>0.09945651</x:v>
      </x:c>
      <x:c r="M22" s="38" t="n">
        <x:v>-0.1604085639</x:v>
      </x:c>
      <x:c r="N22" s="38" t="n">
        <x:v>0.1677328486</x:v>
      </x:c>
      <x:c r="O22" s="38" t="n">
        <x:v>-0.055454983</x:v>
      </x:c>
      <x:c r="P22" s="38" t="n">
        <x:v>0.0354030911</x:v>
      </x:c>
      <x:c r="Q22" s="38" t="n">
        <x:v>0.0008190192</x:v>
      </x:c>
      <x:c r="R22" s="38" t="n">
        <x:v>-0.1427091412</x:v>
      </x:c>
      <x:c r="S22" s="38" t="n">
        <x:v>0.0190246568</x:v>
      </x:c>
      <x:c r="T22" s="38" t="n">
        <x:v>0.0644214112</x:v>
      </x:c>
      <x:c r="U22" s="38" t="n">
        <x:v>0.1049595753</x:v>
      </x:c>
      <x:c r="V22" s="38" t="n">
        <x:v>-0.0499857055</x:v>
      </x:c>
      <x:c r="W22" s="38" t="n">
        <x:v>0.03355807</x:v>
      </x:c>
      <x:c r="X22" s="38" t="n">
        <x:v>0.0419982076</x:v>
      </x:c>
      <x:c r="Y22" s="38" t="n">
        <x:v>-0.0321640136</x:v>
      </x:c>
      <x:c r="Z22" s="38" t="n">
        <x:v>0.0478326427</x:v>
      </x:c>
      <x:c r="AA22" s="38" t="n">
        <x:v>-0.0148665976</x:v>
      </x:c>
      <x:c r="AB22" s="38" t="n">
        <x:v>0.0047927555</x:v>
      </x:c>
      <x:c r="AC22" s="38" t="n">
        <x:v>0.0299136607</x:v>
      </x:c>
      <x:c r="AD22" s="38" t="n">
        <x:v>0.0293523227</x:v>
      </x:c>
      <x:c r="AE22" s="38" t="n">
        <x:v>0.0431744271</x:v>
      </x:c>
      <x:c r="AF22" s="38" t="n">
        <x:v>0.018372208</x:v>
      </x:c>
      <x:c r="AG22" s="38" t="n">
        <x:v>0.0061855794</x:v>
      </x:c>
      <x:c r="AH22" s="38" t="n">
        <x:v>0.0274714212</x:v>
      </x:c>
      <x:c r="AI22" s="38" t="n">
        <x:v>-0.0258572852</x:v>
      </x:c>
      <x:c r="AJ22" s="38" t="n">
        <x:v>-0.0133422447</x:v>
      </x:c>
      <x:c r="AK22" s="38" t="n">
        <x:v>0.0267615574</x:v>
      </x:c>
      <x:c r="AL22" s="38" t="n">
        <x:v>0.0194166401</x:v>
      </x:c>
      <x:c r="AM22" s="38" t="n">
        <x:v>0.0142716856</x:v>
      </x:c>
      <x:c r="AN22" s="38" t="n">
        <x:v>-0.0182637787</x:v>
      </x:c>
      <x:c r="AO22" s="38" t="n">
        <x:v>0.0241326354</x:v>
      </x:c>
      <x:c r="AP22" s="38" t="n">
        <x:v>-0.0078101515</x:v>
      </x:c>
      <x:c r="AQ22" s="38" t="n">
        <x:v>0.0175253228</x:v>
      </x:c>
      <x:c r="AR22" s="38" t="n">
        <x:v>-0.0168533858</x:v>
      </x:c>
    </x:row>
    <x:row r="23" ht="19" customHeight="1">
      <x:c r="A23" s="39" t="d">
        <x:v>2022-08-15T00:00:00.000Z</x:v>
      </x:c>
      <x:c r="B23" s="38" t="n">
        <x:v>0.1972760668</x:v>
      </x:c>
      <x:c r="C23" s="38" t="n">
        <x:v>-0.1253461603</x:v>
      </x:c>
      <x:c r="D23" s="38" t="n">
        <x:v>-0.117637318</x:v>
      </x:c>
      <x:c r="E23" s="38" t="n">
        <x:v>0.0482933028</x:v>
      </x:c>
      <x:c r="F23" s="38" t="n">
        <x:v>-0.0619671575</x:v>
      </x:c>
      <x:c r="G23" s="38" t="n">
        <x:v>0.0969115625</x:v>
      </x:c>
      <x:c r="H23" s="38" t="n">
        <x:v>0.214972199</x:v>
      </x:c>
      <x:c r="I23" s="38" t="n">
        <x:v>-0.0115325554</x:v>
      </x:c>
      <x:c r="J23" s="38" t="n">
        <x:v>0.1008685424</x:v>
      </x:c>
      <x:c r="K23" s="38" t="n">
        <x:v>0.1027331319</x:v>
      </x:c>
      <x:c r="L23" s="38" t="n">
        <x:v>-0.0387738075</x:v>
      </x:c>
      <x:c r="M23" s="38" t="n">
        <x:v>0.0064326616</x:v>
      </x:c>
      <x:c r="N23" s="38" t="n">
        <x:v>-0.0387933118</x:v>
      </x:c>
      <x:c r="O23" s="38" t="n">
        <x:v>0.1080588126</x:v>
      </x:c>
      <x:c r="P23" s="38" t="n">
        <x:v>-0.1005630598</x:v>
      </x:c>
      <x:c r="Q23" s="38" t="n">
        <x:v>0.1258449871</x:v>
      </x:c>
      <x:c r="R23" s="38" t="n">
        <x:v>0.0314427036</x:v>
      </x:c>
      <x:c r="S23" s="38" t="n">
        <x:v>0.0496227536</x:v>
      </x:c>
      <x:c r="T23" s="38" t="n">
        <x:v>-0.0723863675</x:v>
      </x:c>
      <x:c r="U23" s="38" t="n">
        <x:v>-0.0359604543</x:v>
      </x:c>
      <x:c r="V23" s="38" t="n">
        <x:v>-0.0977968912</x:v>
      </x:c>
      <x:c r="W23" s="38" t="n">
        <x:v>0.1022438208</x:v>
      </x:c>
      <x:c r="X23" s="38" t="n">
        <x:v>0.0927360157</x:v>
      </x:c>
      <x:c r="Y23" s="38" t="n">
        <x:v>0.0511157071</x:v>
      </x:c>
      <x:c r="Z23" s="38" t="n">
        <x:v>0.0273283274</x:v>
      </x:c>
      <x:c r="AA23" s="38" t="n">
        <x:v>-0.0807313846</x:v>
      </x:c>
      <x:c r="AB23" s="38" t="n">
        <x:v>0.0006559375</x:v>
      </x:c>
      <x:c r="AC23" s="38" t="n">
        <x:v>-0.0117718595</x:v>
      </x:c>
      <x:c r="AD23" s="38" t="n">
        <x:v>0.0503126947</x:v>
      </x:c>
      <x:c r="AE23" s="38" t="n">
        <x:v>-0.0040825971</x:v>
      </x:c>
      <x:c r="AF23" s="38" t="n">
        <x:v>-0.0120577484</x:v>
      </x:c>
      <x:c r="AG23" s="38" t="n">
        <x:v>0.0371649888</x:v>
      </x:c>
      <x:c r="AH23" s="38" t="n">
        <x:v>-0.0254073964</x:v>
      </x:c>
      <x:c r="AI23" s="38" t="n">
        <x:v>-0.0282804103</x:v>
      </x:c>
      <x:c r="AJ23" s="38" t="n">
        <x:v>-0.0237075764</x:v>
      </x:c>
      <x:c r="AK23" s="38" t="n">
        <x:v>-0.0437503758</x:v>
      </x:c>
      <x:c r="AL23" s="38" t="n">
        <x:v>0.0123729943</x:v>
      </x:c>
      <x:c r="AM23" s="38" t="n">
        <x:v>-0.023790497</x:v>
      </x:c>
      <x:c r="AN23" s="38" t="n">
        <x:v>0.0082601636</x:v>
      </x:c>
      <x:c r="AO23" s="38" t="n">
        <x:v>-0.0099162516</x:v>
      </x:c>
      <x:c r="AP23" s="38" t="n">
        <x:v>-0.0012560335</x:v>
      </x:c>
      <x:c r="AQ23" s="38" t="n">
        <x:v>-0.0033118619</x:v>
      </x:c>
      <x:c r="AR23" s="38" t="n">
        <x:v>0.0019163154</x:v>
      </x:c>
    </x:row>
    <x:row r="24" ht="19" customHeight="1">
      <x:c r="A24" s="39" t="d">
        <x:v>2022-09-12T00:00:00.000Z</x:v>
      </x:c>
      <x:c r="B24" s="38" t="n">
        <x:v>-0.0448298066</x:v>
      </x:c>
      <x:c r="C24" s="38" t="n">
        <x:v>-0.0180196322</x:v>
      </x:c>
      <x:c r="D24" s="38" t="n">
        <x:v>-0.1500971933</x:v>
      </x:c>
      <x:c r="E24" s="38" t="n">
        <x:v>0.0300472631</x:v>
      </x:c>
      <x:c r="F24" s="38" t="n">
        <x:v>0.0550563876</x:v>
      </x:c>
      <x:c r="G24" s="38" t="n">
        <x:v>-0.1038663239</x:v>
      </x:c>
      <x:c r="H24" s="38" t="n">
        <x:v>-0.0106480963</x:v>
      </x:c>
      <x:c r="I24" s="38" t="n">
        <x:v>0.0054358569</x:v>
      </x:c>
      <x:c r="J24" s="38" t="n">
        <x:v>-0.10552986</x:v>
      </x:c>
      <x:c r="K24" s="38" t="n">
        <x:v>0.0982659301</x:v>
      </x:c>
      <x:c r="L24" s="38" t="n">
        <x:v>-0.1306147876</x:v>
      </x:c>
      <x:c r="M24" s="38" t="n">
        <x:v>0.1510196751</x:v>
      </x:c>
      <x:c r="N24" s="38" t="n">
        <x:v>0.1176503789</x:v>
      </x:c>
      <x:c r="O24" s="38" t="n">
        <x:v>0.0202212644</x:v>
      </x:c>
      <x:c r="P24" s="38" t="n">
        <x:v>0.0056492089</x:v>
      </x:c>
      <x:c r="Q24" s="38" t="n">
        <x:v>0.0361850291</x:v>
      </x:c>
      <x:c r="R24" s="38" t="n">
        <x:v>-0.0227232546</x:v>
      </x:c>
      <x:c r="S24" s="38" t="n">
        <x:v>0.0355010549</x:v>
      </x:c>
      <x:c r="T24" s="38" t="n">
        <x:v>-0.0228417207</x:v>
      </x:c>
      <x:c r="U24" s="38" t="n">
        <x:v>-0.0251754291</x:v>
      </x:c>
      <x:c r="V24" s="38" t="n">
        <x:v>0.0417821627</x:v>
      </x:c>
      <x:c r="W24" s="38" t="n">
        <x:v>-0.0388418763</x:v>
      </x:c>
      <x:c r="X24" s="38" t="n">
        <x:v>-0.0180654323</x:v>
      </x:c>
      <x:c r="Y24" s="38" t="n">
        <x:v>-0.0341568758</x:v>
      </x:c>
      <x:c r="Z24" s="38" t="n">
        <x:v>-0.0050031885</x:v>
      </x:c>
      <x:c r="AA24" s="38" t="n">
        <x:v>0.0153317945</x:v>
      </x:c>
      <x:c r="AB24" s="38" t="n">
        <x:v>-0.0438983152</x:v>
      </x:c>
      <x:c r="AC24" s="38" t="n">
        <x:v>0.050496234</x:v>
      </x:c>
      <x:c r="AD24" s="38" t="n">
        <x:v>0.0197206769</x:v>
      </x:c>
      <x:c r="AE24" s="38" t="n">
        <x:v>0.0026014364</x:v>
      </x:c>
      <x:c r="AF24" s="38" t="n">
        <x:v>-0.0437014641</x:v>
      </x:c>
      <x:c r="AG24" s="38" t="n">
        <x:v>-0.0247239524</x:v>
      </x:c>
      <x:c r="AH24" s="38" t="n">
        <x:v>0.0276076846</x:v>
      </x:c>
      <x:c r="AI24" s="38" t="n">
        <x:v>0.0173753313</x:v>
      </x:c>
      <x:c r="AJ24" s="38" t="n">
        <x:v>0.031488256</x:v>
      </x:c>
      <x:c r="AK24" s="38" t="n">
        <x:v>0.0026137979</x:v>
      </x:c>
      <x:c r="AL24" s="38" t="n">
        <x:v>-0.0311130293</x:v>
      </x:c>
      <x:c r="AM24" s="38" t="n">
        <x:v>-0.0340076019</x:v>
      </x:c>
      <x:c r="AN24" s="38" t="n">
        <x:v>-0.0065105693</x:v>
      </x:c>
      <x:c r="AO24" s="38" t="n">
        <x:v>-0.0337285795</x:v>
      </x:c>
      <x:c r="AP24" s="38" t="n">
        <x:v>-0.0128580026</x:v>
      </x:c>
      <x:c r="AQ24" s="38" t="n">
        <x:v>-0.0253574701</x:v>
      </x:c>
      <x:c r="AR24" s="38" t="n">
        <x:v>-0.0072707467</x:v>
      </x:c>
    </x:row>
    <x:row r="25" ht="19" customHeight="1">
      <x:c r="A25" s="39" t="d">
        <x:v>2022-10-10T00:00:00.000Z</x:v>
      </x:c>
      <x:c r="B25" s="38" t="n">
        <x:v>0.0844442813</x:v>
      </x:c>
      <x:c r="C25" s="38" t="n">
        <x:v>0.0113074076</x:v>
      </x:c>
      <x:c r="D25" s="38" t="n">
        <x:v>-0.0092027312</x:v>
      </x:c>
      <x:c r="E25" s="38" t="n">
        <x:v>-0.1027583522</x:v>
      </x:c>
      <x:c r="F25" s="38" t="n">
        <x:v>0.0891109579</x:v>
      </x:c>
      <x:c r="G25" s="38" t="n">
        <x:v>-0.0290914601</x:v>
      </x:c>
      <x:c r="H25" s="38" t="n">
        <x:v>0.0068246766</x:v>
      </x:c>
      <x:c r="I25" s="38" t="n">
        <x:v>0.1063622415</x:v>
      </x:c>
      <x:c r="J25" s="38" t="n">
        <x:v>-0.0088754808</x:v>
      </x:c>
      <x:c r="K25" s="38" t="n">
        <x:v>0.0528293356</x:v>
      </x:c>
      <x:c r="L25" s="38" t="n">
        <x:v>-0.1204867492</x:v>
      </x:c>
      <x:c r="M25" s="38" t="n">
        <x:v>-0.0009611376</x:v>
      </x:c>
      <x:c r="N25" s="38" t="n">
        <x:v>-0.0563086441</x:v>
      </x:c>
      <x:c r="O25" s="38" t="n">
        <x:v>-0.1014074483</x:v>
      </x:c>
      <x:c r="P25" s="38" t="n">
        <x:v>-0.0165761061</x:v>
      </x:c>
      <x:c r="Q25" s="38" t="n">
        <x:v>0.1002956863</x:v>
      </x:c>
      <x:c r="R25" s="38" t="n">
        <x:v>-0.0390806569</x:v>
      </x:c>
      <x:c r="S25" s="38" t="n">
        <x:v>0.0341463624</x:v>
      </x:c>
      <x:c r="T25" s="38" t="n">
        <x:v>0.057180954</x:v>
      </x:c>
      <x:c r="U25" s="38" t="n">
        <x:v>-0.0609549961</x:v>
      </x:c>
      <x:c r="V25" s="38" t="n">
        <x:v>-0.1011099493</x:v>
      </x:c>
      <x:c r="W25" s="38" t="n">
        <x:v>0.1933773729</x:v>
      </x:c>
      <x:c r="X25" s="38" t="n">
        <x:v>-0.0312650128</x:v>
      </x:c>
      <x:c r="Y25" s="38" t="n">
        <x:v>0.0656230824</x:v>
      </x:c>
      <x:c r="Z25" s="38" t="n">
        <x:v>0.0388336098</x:v>
      </x:c>
      <x:c r="AA25" s="38" t="n">
        <x:v>0.0114341228</x:v>
      </x:c>
      <x:c r="AB25" s="38" t="n">
        <x:v>0.0372500177</x:v>
      </x:c>
      <x:c r="AC25" s="38" t="n">
        <x:v>0.0145832873</x:v>
      </x:c>
      <x:c r="AD25" s="38" t="n">
        <x:v>-0.0711675489</x:v>
      </x:c>
      <x:c r="AE25" s="38" t="n">
        <x:v>0.0347995341</x:v>
      </x:c>
      <x:c r="AF25" s="38" t="n">
        <x:v>0.0088790462</x:v>
      </x:c>
      <x:c r="AG25" s="38" t="n">
        <x:v>-0.0598564027</x:v>
      </x:c>
      <x:c r="AH25" s="38" t="n">
        <x:v>0.0293608994</x:v>
      </x:c>
      <x:c r="AI25" s="38" t="n">
        <x:v>0.0217974183</x:v>
      </x:c>
      <x:c r="AJ25" s="38" t="n">
        <x:v>-0.0310584251</x:v>
      </x:c>
      <x:c r="AK25" s="38" t="n">
        <x:v>0.0121211645</x:v>
      </x:c>
      <x:c r="AL25" s="38" t="n">
        <x:v>0.0043239343</x:v>
      </x:c>
      <x:c r="AM25" s="38" t="n">
        <x:v>0.0106754075</x:v>
      </x:c>
      <x:c r="AN25" s="38" t="n">
        <x:v>0.0084809941</x:v>
      </x:c>
      <x:c r="AO25" s="38" t="n">
        <x:v>-0.0152225696</x:v>
      </x:c>
      <x:c r="AP25" s="38" t="n">
        <x:v>-0.030568341</x:v>
      </x:c>
      <x:c r="AQ25" s="38" t="n">
        <x:v>0.0199305169</x:v>
      </x:c>
      <x:c r="AR25" s="38" t="n">
        <x:v>0.0017677064</x:v>
      </x:c>
    </x:row>
    <x:row r="26" ht="19" customHeight="1">
      <x:c r="A26" s="39" t="d">
        <x:v>2022-11-07T00:00:00.000Z</x:v>
      </x:c>
      <x:c r="B26" s="38" t="n">
        <x:v>0.0501095265</x:v>
      </x:c>
      <x:c r="C26" s="38" t="n">
        <x:v>-0.2425129596</x:v>
      </x:c>
      <x:c r="D26" s="38" t="n">
        <x:v>0.0524723838</x:v>
      </x:c>
      <x:c r="E26" s="38" t="n">
        <x:v>0.1226611883</x:v>
      </x:c>
      <x:c r="F26" s="38" t="n">
        <x:v>0.1989263035</x:v>
      </x:c>
      <x:c r="G26" s="38" t="n">
        <x:v>0.0734471581</x:v>
      </x:c>
      <x:c r="H26" s="38" t="n">
        <x:v>-0.0556754192</x:v>
      </x:c>
      <x:c r="I26" s="38" t="n">
        <x:v>-0.0830694366</x:v>
      </x:c>
      <x:c r="J26" s="38" t="n">
        <x:v>0.0315916823</x:v>
      </x:c>
      <x:c r="K26" s="38" t="n">
        <x:v>0.1542395546</x:v>
      </x:c>
      <x:c r="L26" s="38" t="n">
        <x:v>-0.0452694197</x:v>
      </x:c>
      <x:c r="M26" s="38" t="n">
        <x:v>-0.1235182195</x:v>
      </x:c>
      <x:c r="N26" s="38" t="n">
        <x:v>-0.0129859497</x:v>
      </x:c>
      <x:c r="O26" s="38" t="n">
        <x:v>0.1137710773</x:v>
      </x:c>
      <x:c r="P26" s="38" t="n">
        <x:v>0.0153098045</x:v>
      </x:c>
      <x:c r="Q26" s="38" t="n">
        <x:v>0.0057987057</x:v>
      </x:c>
      <x:c r="R26" s="38" t="n">
        <x:v>-0.1215565895</x:v>
      </x:c>
      <x:c r="S26" s="38" t="n">
        <x:v>-0.1618409592</x:v>
      </x:c>
      <x:c r="T26" s="38" t="n">
        <x:v>0.0844374432</x:v>
      </x:c>
      <x:c r="U26" s="38" t="n">
        <x:v>0.0355658141</x:v>
      </x:c>
      <x:c r="V26" s="38" t="n">
        <x:v>0.0267696345</x:v>
      </x:c>
      <x:c r="W26" s="38" t="n">
        <x:v>-0.0146669636</x:v>
      </x:c>
      <x:c r="X26" s="38" t="n">
        <x:v>-0.0523365491</x:v>
      </x:c>
      <x:c r="Y26" s="38" t="n">
        <x:v>-0.0535688946</x:v>
      </x:c>
      <x:c r="Z26" s="38" t="n">
        <x:v>-0.0215644665</x:v>
      </x:c>
      <x:c r="AA26" s="38" t="n">
        <x:v>-0.0587169444</x:v>
      </x:c>
      <x:c r="AB26" s="38" t="n">
        <x:v>-0.0372781575</x:v>
      </x:c>
      <x:c r="AC26" s="38" t="n">
        <x:v>-0.0403784178</x:v>
      </x:c>
      <x:c r="AD26" s="38" t="n">
        <x:v>-0.0177072706</x:v>
      </x:c>
      <x:c r="AE26" s="38" t="n">
        <x:v>-0.0152938992</x:v>
      </x:c>
      <x:c r="AF26" s="38" t="n">
        <x:v>-0.004878663</x:v>
      </x:c>
      <x:c r="AG26" s="38" t="n">
        <x:v>0.0238032821</x:v>
      </x:c>
      <x:c r="AH26" s="38" t="n">
        <x:v>-0.0058827875</x:v>
      </x:c>
      <x:c r="AI26" s="38" t="n">
        <x:v>0.0356215428</x:v>
      </x:c>
      <x:c r="AJ26" s="38" t="n">
        <x:v>0.0074920701</x:v>
      </x:c>
      <x:c r="AK26" s="38" t="n">
        <x:v>0.0200512175</x:v>
      </x:c>
      <x:c r="AL26" s="38" t="n">
        <x:v>-0.0140298806</x:v>
      </x:c>
      <x:c r="AM26" s="38" t="n">
        <x:v>-0.0162313605</x:v>
      </x:c>
      <x:c r="AN26" s="38" t="n">
        <x:v>-0.0120600307</x:v>
      </x:c>
      <x:c r="AO26" s="38" t="n">
        <x:v>-0.0085606564</x:v>
      </x:c>
      <x:c r="AP26" s="38" t="n">
        <x:v>0.003371288</x:v>
      </x:c>
      <x:c r="AQ26" s="38" t="n">
        <x:v>-0.0091793294</x:v>
      </x:c>
      <x:c r="AR26" s="38" t="n">
        <x:v>-0.0139784426</x:v>
      </x:c>
    </x:row>
    <x:row r="27" ht="19" customHeight="1">
      <x:c r="A27" s="39" t="d">
        <x:v>2022-12-05T00:00:00.000Z</x:v>
      </x:c>
      <x:c r="B27" s="38" t="n">
        <x:v>0.0278253316</x:v>
      </x:c>
      <x:c r="C27" s="38" t="n">
        <x:v>-0.10694443</x:v>
      </x:c>
      <x:c r="D27" s="38" t="n">
        <x:v>0.0501715068</x:v>
      </x:c>
      <x:c r="E27" s="38" t="n">
        <x:v>0.1005552331</x:v>
      </x:c>
      <x:c r="F27" s="38" t="n">
        <x:v>-0.0294946453</x:v>
      </x:c>
      <x:c r="G27" s="38" t="n">
        <x:v>-0.1043784112</x:v>
      </x:c>
      <x:c r="H27" s="38" t="n">
        <x:v>-0.081050023</x:v>
      </x:c>
      <x:c r="I27" s="38" t="n">
        <x:v>0.1048613842</x:v>
      </x:c>
      <x:c r="J27" s="38" t="n">
        <x:v>-0.022660747</x:v>
      </x:c>
      <x:c r="K27" s="38" t="n">
        <x:v>-0.1443748079</x:v>
      </x:c>
      <x:c r="L27" s="38" t="n">
        <x:v>0.0699111807</x:v>
      </x:c>
      <x:c r="M27" s="38" t="n">
        <x:v>-0.0346437232</x:v>
      </x:c>
      <x:c r="N27" s="38" t="n">
        <x:v>0.0542232514</x:v>
      </x:c>
      <x:c r="O27" s="38" t="n">
        <x:v>0.0012284868</x:v>
      </x:c>
      <x:c r="P27" s="38" t="n">
        <x:v>-0.022264074</x:v>
      </x:c>
      <x:c r="Q27" s="38" t="n">
        <x:v>0.0203841269</x:v>
      </x:c>
      <x:c r="R27" s="38" t="n">
        <x:v>-0.0032960917</x:v>
      </x:c>
      <x:c r="S27" s="38" t="n">
        <x:v>0.1023585633</x:v>
      </x:c>
      <x:c r="T27" s="38" t="n">
        <x:v>0.0115166425</x:v>
      </x:c>
      <x:c r="U27" s="38" t="n">
        <x:v>0.0813422322</x:v>
      </x:c>
      <x:c r="V27" s="38" t="n">
        <x:v>0.0051394625</x:v>
      </x:c>
      <x:c r="W27" s="38" t="n">
        <x:v>-0.0239256036</x:v>
      </x:c>
      <x:c r="X27" s="38" t="n">
        <x:v>0.0002423181</x:v>
      </x:c>
      <x:c r="Y27" s="38" t="n">
        <x:v>-0.0224874387</x:v>
      </x:c>
      <x:c r="Z27" s="38" t="n">
        <x:v>0.1195442352</x:v>
      </x:c>
      <x:c r="AA27" s="38" t="n">
        <x:v>-0.0743699194</x:v>
      </x:c>
      <x:c r="AB27" s="38" t="n">
        <x:v>-0.0540397991</x:v>
      </x:c>
      <x:c r="AC27" s="38" t="n">
        <x:v>0.029098963</x:v>
      </x:c>
      <x:c r="AD27" s="38" t="n">
        <x:v>-0.0031577991</x:v>
      </x:c>
      <x:c r="AE27" s="38" t="n">
        <x:v>0.0226923652</x:v>
      </x:c>
      <x:c r="AF27" s="38" t="n">
        <x:v>0.0340725873</x:v>
      </x:c>
      <x:c r="AG27" s="38" t="n">
        <x:v>0.0045399391</x:v>
      </x:c>
      <x:c r="AH27" s="38" t="n">
        <x:v>-0.0512764759</x:v>
      </x:c>
      <x:c r="AI27" s="38" t="n">
        <x:v>-0.0263208564</x:v>
      </x:c>
      <x:c r="AJ27" s="38" t="n">
        <x:v>0.0108850031</x:v>
      </x:c>
      <x:c r="AK27" s="38" t="n">
        <x:v>0.0282266425</x:v>
      </x:c>
      <x:c r="AL27" s="38" t="n">
        <x:v>-0.0566701443</x:v>
      </x:c>
      <x:c r="AM27" s="38" t="n">
        <x:v>0.0185718284</x:v>
      </x:c>
      <x:c r="AN27" s="38" t="n">
        <x:v>-0.0141104477</x:v>
      </x:c>
      <x:c r="AO27" s="38" t="n">
        <x:v>-0.0016110184</x:v>
      </x:c>
      <x:c r="AP27" s="38" t="n">
        <x:v>-0.0069773508</x:v>
      </x:c>
      <x:c r="AQ27" s="38" t="n">
        <x:v>-0.0043488489</x:v>
      </x:c>
      <x:c r="AR27" s="38" t="n">
        <x:v>0.0137999004</x:v>
      </x:c>
    </x:row>
    <x:row r="28" ht="19" customHeight="1">
      <x:c r="A28" s="39" t="d">
        <x:v>2023-01-02T00:00:00.000Z</x:v>
      </x:c>
      <x:c r="B28" s="38" t="n">
        <x:v>-0.1268732066</x:v>
      </x:c>
      <x:c r="C28" s="38" t="n">
        <x:v>-0.1767421852</x:v>
      </x:c>
      <x:c r="D28" s="38" t="n">
        <x:v>0.1848725561</x:v>
      </x:c>
      <x:c r="E28" s="38" t="n">
        <x:v>-0.0326739605</x:v>
      </x:c>
      <x:c r="F28" s="38" t="n">
        <x:v>-0.0407903923</x:v>
      </x:c>
      <x:c r="G28" s="38" t="n">
        <x:v>-0.1983919339</x:v>
      </x:c>
      <x:c r="H28" s="38" t="n">
        <x:v>-0.0978043725</x:v>
      </x:c>
      <x:c r="I28" s="38" t="n">
        <x:v>-0.0166199073</x:v>
      </x:c>
      <x:c r="J28" s="38" t="n">
        <x:v>0.0408301433</x:v>
      </x:c>
      <x:c r="K28" s="38" t="n">
        <x:v>0.0594255376</x:v>
      </x:c>
      <x:c r="L28" s="38" t="n">
        <x:v>-0.031045174</x:v>
      </x:c>
      <x:c r="M28" s="38" t="n">
        <x:v>0.027504359</x:v>
      </x:c>
      <x:c r="N28" s="38" t="n">
        <x:v>0.0542559747</x:v>
      </x:c>
      <x:c r="O28" s="38" t="n">
        <x:v>0.0618775147</x:v>
      </x:c>
      <x:c r="P28" s="38" t="n">
        <x:v>-0.0581384234</x:v>
      </x:c>
      <x:c r="Q28" s="38" t="n">
        <x:v>0.0188018728</x:v>
      </x:c>
      <x:c r="R28" s="38" t="n">
        <x:v>0.0165210007</x:v>
      </x:c>
      <x:c r="S28" s="38" t="n">
        <x:v>0.0600330954</x:v>
      </x:c>
      <x:c r="T28" s="38" t="n">
        <x:v>0.1143707333</x:v>
      </x:c>
      <x:c r="U28" s="38" t="n">
        <x:v>-0.0477847529</x:v>
      </x:c>
      <x:c r="V28" s="38" t="n">
        <x:v>0.1475112625</x:v>
      </x:c>
      <x:c r="W28" s="38" t="n">
        <x:v>0.0185746226</x:v>
      </x:c>
      <x:c r="X28" s="38" t="n">
        <x:v>-0.0905452709</x:v>
      </x:c>
      <x:c r="Y28" s="38" t="n">
        <x:v>-0.0111332117</x:v>
      </x:c>
      <x:c r="Z28" s="38" t="n">
        <x:v>-0.0224537276</x:v>
      </x:c>
      <x:c r="AA28" s="38" t="n">
        <x:v>0.01216688</x:v>
      </x:c>
      <x:c r="AB28" s="38" t="n">
        <x:v>-0.0673034434</x:v>
      </x:c>
      <x:c r="AC28" s="38" t="n">
        <x:v>0.0428381427</x:v>
      </x:c>
      <x:c r="AD28" s="38" t="n">
        <x:v>-0.0224983104</x:v>
      </x:c>
      <x:c r="AE28" s="38" t="n">
        <x:v>0.049102231</x:v>
      </x:c>
      <x:c r="AF28" s="38" t="n">
        <x:v>-0.0460241315</x:v>
      </x:c>
      <x:c r="AG28" s="38" t="n">
        <x:v>0.0220172314</x:v>
      </x:c>
      <x:c r="AH28" s="38" t="n">
        <x:v>-0.0087960781</x:v>
      </x:c>
      <x:c r="AI28" s="38" t="n">
        <x:v>-0.0012726751</x:v>
      </x:c>
      <x:c r="AJ28" s="38" t="n">
        <x:v>0.0243325814</x:v>
      </x:c>
      <x:c r="AK28" s="38" t="n">
        <x:v>-0.0410459589</x:v>
      </x:c>
      <x:c r="AL28" s="38" t="n">
        <x:v>0.0532077642</x:v>
      </x:c>
      <x:c r="AM28" s="38" t="n">
        <x:v>-0.0029841586</x:v>
      </x:c>
      <x:c r="AN28" s="38" t="n">
        <x:v>-0.0296537215</x:v>
      </x:c>
      <x:c r="AO28" s="38" t="n">
        <x:v>-0.0062887362</x:v>
      </x:c>
      <x:c r="AP28" s="38" t="n">
        <x:v>0.0058539564</x:v>
      </x:c>
      <x:c r="AQ28" s="38" t="n">
        <x:v>0.0109009624</x:v>
      </x:c>
      <x:c r="AR28" s="38" t="n">
        <x:v>0.0120901925</x:v>
      </x:c>
    </x:row>
    <x:row r="29" ht="19" customHeight="1">
      <x:c r="A29" s="39" t="d">
        <x:v>2023-01-30T00:00:00.000Z</x:v>
      </x:c>
      <x:c r="B29" s="38" t="n">
        <x:v>0.2849966992</x:v>
      </x:c>
      <x:c r="C29" s="38" t="n">
        <x:v>0.3143060947</x:v>
      </x:c>
      <x:c r="D29" s="38" t="n">
        <x:v>0.0283565749</x:v>
      </x:c>
      <x:c r="E29" s="38" t="n">
        <x:v>-0.0456797037</x:v>
      </x:c>
      <x:c r="F29" s="38" t="n">
        <x:v>-0.1291639113</x:v>
      </x:c>
      <x:c r="G29" s="38" t="n">
        <x:v>0.1725707852</x:v>
      </x:c>
      <x:c r="H29" s="38" t="n">
        <x:v>0.1029186598</x:v>
      </x:c>
      <x:c r="I29" s="38" t="n">
        <x:v>-0.0308559449</x:v>
      </x:c>
      <x:c r="J29" s="38" t="n">
        <x:v>0.0510889331</x:v>
      </x:c>
      <x:c r="K29" s="38" t="n">
        <x:v>-0.0586755082</x:v>
      </x:c>
      <x:c r="L29" s="38" t="n">
        <x:v>0.0576497437</x:v>
      </x:c>
      <x:c r="M29" s="38" t="n">
        <x:v>0.0001572962</x:v>
      </x:c>
      <x:c r="N29" s="38" t="n">
        <x:v>-0.0170388166</x:v>
      </x:c>
      <x:c r="O29" s="38" t="n">
        <x:v>0.0129688713</x:v>
      </x:c>
      <x:c r="P29" s="38" t="n">
        <x:v>-0.0377583542</x:v>
      </x:c>
      <x:c r="Q29" s="38" t="n">
        <x:v>-0.0321970029</x:v>
      </x:c>
      <x:c r="R29" s="38" t="n">
        <x:v>-0.0781416969</x:v>
      </x:c>
      <x:c r="S29" s="38" t="n">
        <x:v>-0.0651590928</x:v>
      </x:c>
      <x:c r="T29" s="38" t="n">
        <x:v>-0.0346220031</x:v>
      </x:c>
      <x:c r="U29" s="38" t="n">
        <x:v>-0.0468526452</x:v>
      </x:c>
      <x:c r="V29" s="38" t="n">
        <x:v>-0.0242265431</x:v>
      </x:c>
      <x:c r="W29" s="38" t="n">
        <x:v>0.0130698636</x:v>
      </x:c>
      <x:c r="X29" s="38" t="n">
        <x:v>-0.0043811467</x:v>
      </x:c>
      <x:c r="Y29" s="38" t="n">
        <x:v>-0.0229525532</x:v>
      </x:c>
      <x:c r="Z29" s="38" t="n">
        <x:v>-0.0481326468</x:v>
      </x:c>
      <x:c r="AA29" s="38" t="n">
        <x:v>0.0055740187</x:v>
      </x:c>
      <x:c r="AB29" s="38" t="n">
        <x:v>-0.0611643302</x:v>
      </x:c>
      <x:c r="AC29" s="38" t="n">
        <x:v>0.03367091</x:v>
      </x:c>
      <x:c r="AD29" s="38" t="n">
        <x:v>-0.0183791336</x:v>
      </x:c>
      <x:c r="AE29" s="38" t="n">
        <x:v>0.0093670319</x:v>
      </x:c>
      <x:c r="AF29" s="38" t="n">
        <x:v>0.03176186</x:v>
      </x:c>
      <x:c r="AG29" s="38" t="n">
        <x:v>0.0127725636</x:v>
      </x:c>
      <x:c r="AH29" s="38" t="n">
        <x:v>-0.0308941507</x:v>
      </x:c>
      <x:c r="AI29" s="38" t="n">
        <x:v>-0.02394098</x:v>
      </x:c>
      <x:c r="AJ29" s="38" t="n">
        <x:v>-0.0091878584</x:v>
      </x:c>
      <x:c r="AK29" s="38" t="n">
        <x:v>0.0112429539</x:v>
      </x:c>
      <x:c r="AL29" s="38" t="n">
        <x:v>0.0183798104</x:v>
      </x:c>
      <x:c r="AM29" s="38" t="n">
        <x:v>0.0159858198</x:v>
      </x:c>
      <x:c r="AN29" s="38" t="n">
        <x:v>-0.0147765221</x:v>
      </x:c>
      <x:c r="AO29" s="38" t="n">
        <x:v>-0.0102476581</x:v>
      </x:c>
      <x:c r="AP29" s="38" t="n">
        <x:v>0.0230254667</x:v>
      </x:c>
      <x:c r="AQ29" s="38" t="n">
        <x:v>-0.0150241781</x:v>
      </x:c>
      <x:c r="AR29" s="38" t="n">
        <x:v>-0.0020052582</x:v>
      </x:c>
    </x:row>
    <x:row r="30" ht="19" customHeight="1">
      <x:c r="A30" s="39" t="d">
        <x:v>2023-02-27T00:00:00.000Z</x:v>
      </x:c>
      <x:c r="B30" s="38" t="n">
        <x:v>0.1551544485</x:v>
      </x:c>
      <x:c r="C30" s="38" t="n">
        <x:v>-0.3066588154</x:v>
      </x:c>
      <x:c r="D30" s="38" t="n">
        <x:v>-0.3187081573</x:v>
      </x:c>
      <x:c r="E30" s="38" t="n">
        <x:v>0.0471790486</x:v>
      </x:c>
      <x:c r="F30" s="38" t="n">
        <x:v>-0.1851574096</x:v>
      </x:c>
      <x:c r="G30" s="38" t="n">
        <x:v>-0.1150300369</x:v>
      </x:c>
      <x:c r="H30" s="38" t="n">
        <x:v>0.042874703</x:v>
      </x:c>
      <x:c r="I30" s="38" t="n">
        <x:v>-0.0143445831</x:v>
      </x:c>
      <x:c r="J30" s="38" t="n">
        <x:v>-0.0018303712</x:v>
      </x:c>
      <x:c r="K30" s="38" t="n">
        <x:v>0.0386025705</x:v>
      </x:c>
      <x:c r="L30" s="38" t="n">
        <x:v>-0.0371898206</x:v>
      </x:c>
      <x:c r="M30" s="38" t="n">
        <x:v>-0.0967946669</x:v>
      </x:c>
      <x:c r="N30" s="38" t="n">
        <x:v>-0.0308960474</x:v>
      </x:c>
      <x:c r="O30" s="38" t="n">
        <x:v>0.1396779753</x:v>
      </x:c>
      <x:c r="P30" s="38" t="n">
        <x:v>0.0355183834</x:v>
      </x:c>
      <x:c r="Q30" s="38" t="n">
        <x:v>0.144102705</x:v>
      </x:c>
      <x:c r="R30" s="38" t="n">
        <x:v>-0.0210429909</x:v>
      </x:c>
      <x:c r="S30" s="38" t="n">
        <x:v>-0.0658855336</x:v>
      </x:c>
      <x:c r="T30" s="38" t="n">
        <x:v>-0.0617458258</x:v>
      </x:c>
      <x:c r="U30" s="38" t="n">
        <x:v>0.0147730337</x:v>
      </x:c>
      <x:c r="V30" s="38" t="n">
        <x:v>0.0962378964</x:v>
      </x:c>
      <x:c r="W30" s="38" t="n">
        <x:v>-0.0807155619</x:v>
      </x:c>
      <x:c r="X30" s="38" t="n">
        <x:v>0.1033950111</x:v>
      </x:c>
      <x:c r="Y30" s="38" t="n">
        <x:v>0.0273430721</x:v>
      </x:c>
      <x:c r="Z30" s="38" t="n">
        <x:v>0.0802003635</x:v>
      </x:c>
      <x:c r="AA30" s="38" t="n">
        <x:v>0.0973332363</x:v>
      </x:c>
      <x:c r="AB30" s="38" t="n">
        <x:v>0.0618641331</x:v>
      </x:c>
      <x:c r="AC30" s="38" t="n">
        <x:v>0.0102792676</x:v>
      </x:c>
      <x:c r="AD30" s="38" t="n">
        <x:v>-0.0099087771</x:v>
      </x:c>
      <x:c r="AE30" s="38" t="n">
        <x:v>-0.0120822946</x:v>
      </x:c>
      <x:c r="AF30" s="38" t="n">
        <x:v>-0.0160638425</x:v>
      </x:c>
      <x:c r="AG30" s="38" t="n">
        <x:v>0.0026382265</x:v>
      </x:c>
      <x:c r="AH30" s="38" t="n">
        <x:v>0.0390572709</x:v>
      </x:c>
      <x:c r="AI30" s="38" t="n">
        <x:v>-0.0338528839</x:v>
      </x:c>
      <x:c r="AJ30" s="38" t="n">
        <x:v>0.0312879856</x:v>
      </x:c>
      <x:c r="AK30" s="38" t="n">
        <x:v>-0.0087243492</x:v>
      </x:c>
      <x:c r="AL30" s="38" t="n">
        <x:v>0.0062358285</x:v>
      </x:c>
      <x:c r="AM30" s="38" t="n">
        <x:v>0.0190018341</x:v>
      </x:c>
      <x:c r="AN30" s="38" t="n">
        <x:v>0.0033599693</x:v>
      </x:c>
      <x:c r="AO30" s="38" t="n">
        <x:v>-0.00955613</x:v>
      </x:c>
      <x:c r="AP30" s="38" t="n">
        <x:v>0.0088909363</x:v>
      </x:c>
      <x:c r="AQ30" s="38" t="n">
        <x:v>-0.0004174432</x:v>
      </x:c>
      <x:c r="AR30" s="38" t="n">
        <x:v>-0.0060469931</x:v>
      </x:c>
    </x:row>
    <x:row r="31" ht="19" customHeight="1">
      <x:c r="A31" s="39" t="d">
        <x:v>2023-03-27T00:00:00.000Z</x:v>
      </x:c>
      <x:c r="B31" s="38" t="n">
        <x:v>0.2068781917</x:v>
      </x:c>
      <x:c r="C31" s="38" t="n">
        <x:v>0.1579457682</x:v>
      </x:c>
      <x:c r="D31" s="38" t="n">
        <x:v>0.0872215104</x:v>
      </x:c>
      <x:c r="E31" s="38" t="n">
        <x:v>-0.0410627867</x:v>
      </x:c>
      <x:c r="F31" s="38" t="n">
        <x:v>0.0354779524</x:v>
      </x:c>
      <x:c r="G31" s="38" t="n">
        <x:v>-0.0274480454</x:v>
      </x:c>
      <x:c r="H31" s="38" t="n">
        <x:v>0.0092662449</x:v>
      </x:c>
      <x:c r="I31" s="38" t="n">
        <x:v>0.0642952491</x:v>
      </x:c>
      <x:c r="J31" s="38" t="n">
        <x:v>0.0612440646</x:v>
      </x:c>
      <x:c r="K31" s="38" t="n">
        <x:v>-0.0856991885</x:v>
      </x:c>
      <x:c r="L31" s="38" t="n">
        <x:v>0.0939821621</x:v>
      </x:c>
      <x:c r="M31" s="38" t="n">
        <x:v>0.1303626453</x:v>
      </x:c>
      <x:c r="N31" s="38" t="n">
        <x:v>0.005827498</x:v>
      </x:c>
      <x:c r="O31" s="38" t="n">
        <x:v>0.0920468789</x:v>
      </x:c>
      <x:c r="P31" s="38" t="n">
        <x:v>-0.0071543671</x:v>
      </x:c>
      <x:c r="Q31" s="38" t="n">
        <x:v>-0.0834410827</x:v>
      </x:c>
      <x:c r="R31" s="38" t="n">
        <x:v>0.0616711606</x:v>
      </x:c>
      <x:c r="S31" s="38" t="n">
        <x:v>0.0051626196</x:v>
      </x:c>
      <x:c r="T31" s="38" t="n">
        <x:v>0.1022923468</x:v>
      </x:c>
      <x:c r="U31" s="38" t="n">
        <x:v>-0.1252155847</x:v>
      </x:c>
      <x:c r="V31" s="38" t="n">
        <x:v>0.0298964797</x:v>
      </x:c>
      <x:c r="W31" s="38" t="n">
        <x:v>0.0041975887</x:v>
      </x:c>
      <x:c r="X31" s="38" t="n">
        <x:v>-0.0797190072</x:v>
      </x:c>
      <x:c r="Y31" s="38" t="n">
        <x:v>-0.035431223</x:v>
      </x:c>
      <x:c r="Z31" s="38" t="n">
        <x:v>-0.0026785244</x:v>
      </x:c>
      <x:c r="AA31" s="38" t="n">
        <x:v>0.0156170691</x:v>
      </x:c>
      <x:c r="AB31" s="38" t="n">
        <x:v>-0.0125707819</x:v>
      </x:c>
      <x:c r="AC31" s="38" t="n">
        <x:v>0.0368417955</x:v>
      </x:c>
      <x:c r="AD31" s="38" t="n">
        <x:v>-0.0169830299</x:v>
      </x:c>
      <x:c r="AE31" s="38" t="n">
        <x:v>-0.025363116</x:v>
      </x:c>
      <x:c r="AF31" s="38" t="n">
        <x:v>-0.0134418588</x:v>
      </x:c>
      <x:c r="AG31" s="38" t="n">
        <x:v>0.0124515731</x:v>
      </x:c>
      <x:c r="AH31" s="38" t="n">
        <x:v>-0.0053156996</x:v>
      </x:c>
      <x:c r="AI31" s="38" t="n">
        <x:v>-0.0158386873</x:v>
      </x:c>
      <x:c r="AJ31" s="38" t="n">
        <x:v>0.0067237915</x:v>
      </x:c>
      <x:c r="AK31" s="38" t="n">
        <x:v>0.0303699596</x:v>
      </x:c>
      <x:c r="AL31" s="38" t="n">
        <x:v>0.0069700494</x:v>
      </x:c>
      <x:c r="AM31" s="38" t="n">
        <x:v>0.0065861992</x:v>
      </x:c>
      <x:c r="AN31" s="38" t="n">
        <x:v>0.021126417</x:v>
      </x:c>
      <x:c r="AO31" s="38" t="n">
        <x:v>0.0143440596</x:v>
      </x:c>
      <x:c r="AP31" s="38" t="n">
        <x:v>-0.0131365175</x:v>
      </x:c>
      <x:c r="AQ31" s="38" t="n">
        <x:v>-0.0045170492</x:v>
      </x:c>
      <x:c r="AR31" s="38" t="n">
        <x:v>-0.0107861593</x:v>
      </x:c>
    </x:row>
    <x:row r="32" ht="19" customHeight="1">
      <x:c r="A32" s="39" t="d">
        <x:v>2023-04-24T00:00:00.000Z</x:v>
      </x:c>
      <x:c r="B32" s="38" t="n">
        <x:v>0.0823220676</x:v>
      </x:c>
      <x:c r="C32" s="38" t="n">
        <x:v>0.1845965915</x:v>
      </x:c>
      <x:c r="D32" s="38" t="n">
        <x:v>0.1833945678</x:v>
      </x:c>
      <x:c r="E32" s="38" t="n">
        <x:v>-0.4066367255</x:v>
      </x:c>
      <x:c r="F32" s="38" t="n">
        <x:v>-0.0006659307</x:v>
      </x:c>
      <x:c r="G32" s="38" t="n">
        <x:v>0.0120964152</x:v>
      </x:c>
      <x:c r="H32" s="38" t="n">
        <x:v>0.4093603674</x:v>
      </x:c>
      <x:c r="I32" s="38" t="n">
        <x:v>0.0703869733</x:v>
      </x:c>
      <x:c r="J32" s="38" t="n">
        <x:v>0.0687465732</x:v>
      </x:c>
      <x:c r="K32" s="38" t="n">
        <x:v>-0.1282699699</x:v>
      </x:c>
      <x:c r="L32" s="38" t="n">
        <x:v>0.0957060283</x:v>
      </x:c>
      <x:c r="M32" s="38" t="n">
        <x:v>-0.0775198902</x:v>
      </x:c>
      <x:c r="N32" s="38" t="n">
        <x:v>0.1563079429</x:v>
      </x:c>
      <x:c r="O32" s="38" t="n">
        <x:v>0.0416778553</x:v>
      </x:c>
      <x:c r="P32" s="38" t="n">
        <x:v>0.0145129135</x:v>
      </x:c>
      <x:c r="Q32" s="38" t="n">
        <x:v>0.0554768933</x:v>
      </x:c>
      <x:c r="R32" s="38" t="n">
        <x:v>-0.0360005585</x:v>
      </x:c>
      <x:c r="S32" s="38" t="n">
        <x:v>-0.0147479984</x:v>
      </x:c>
      <x:c r="T32" s="38" t="n">
        <x:v>0.1125581387</x:v>
      </x:c>
      <x:c r="U32" s="38" t="n">
        <x:v>0.0422044661</x:v>
      </x:c>
      <x:c r="V32" s="38" t="n">
        <x:v>-0.0751265346</x:v>
      </x:c>
      <x:c r="W32" s="38" t="n">
        <x:v>-0.0717809611</x:v>
      </x:c>
      <x:c r="X32" s="38" t="n">
        <x:v>-0.1143694804</x:v>
      </x:c>
      <x:c r="Y32" s="38" t="n">
        <x:v>-0.0293694933</x:v>
      </x:c>
      <x:c r="Z32" s="38" t="n">
        <x:v>0.0210695297</x:v>
      </x:c>
      <x:c r="AA32" s="38" t="n">
        <x:v>0.0136623398</x:v>
      </x:c>
      <x:c r="AB32" s="38" t="n">
        <x:v>0.0176481855</x:v>
      </x:c>
      <x:c r="AC32" s="38" t="n">
        <x:v>-0.0798019685</x:v>
      </x:c>
      <x:c r="AD32" s="38" t="n">
        <x:v>-0.028413723</x:v>
      </x:c>
      <x:c r="AE32" s="38" t="n">
        <x:v>-0.0066819401</x:v>
      </x:c>
      <x:c r="AF32" s="38" t="n">
        <x:v>0.0225841676</x:v>
      </x:c>
      <x:c r="AG32" s="38" t="n">
        <x:v>-0.0394479877</x:v>
      </x:c>
      <x:c r="AH32" s="38" t="n">
        <x:v>0.0060641807</x:v>
      </x:c>
      <x:c r="AI32" s="38" t="n">
        <x:v>0.0422424964</x:v>
      </x:c>
      <x:c r="AJ32" s="38" t="n">
        <x:v>0.0287275322</x:v>
      </x:c>
      <x:c r="AK32" s="38" t="n">
        <x:v>-0.0329272187</x:v>
      </x:c>
      <x:c r="AL32" s="38" t="n">
        <x:v>0.0177147291</x:v>
      </x:c>
      <x:c r="AM32" s="38" t="n">
        <x:v>-0.0219878167</x:v>
      </x:c>
      <x:c r="AN32" s="38" t="n">
        <x:v>-0.0021392966</x:v>
      </x:c>
      <x:c r="AO32" s="38" t="n">
        <x:v>0.0118317778</x:v>
      </x:c>
      <x:c r="AP32" s="38" t="n">
        <x:v>-0.0064925575</x:v>
      </x:c>
      <x:c r="AQ32" s="38" t="n">
        <x:v>0.0002573337</x:v>
      </x:c>
      <x:c r="AR32" s="38" t="n">
        <x:v>-0.0006211445</x:v>
      </x:c>
    </x:row>
    <x:row r="33" ht="19" customHeight="1">
      <x:c r="A33" s="39" t="d">
        <x:v>2023-05-22T00:00:00.000Z</x:v>
      </x:c>
      <x:c r="B33" s="38" t="n">
        <x:v>0.3221698936</x:v>
      </x:c>
      <x:c r="C33" s="38" t="n">
        <x:v>-0.0593630938</x:v>
      </x:c>
      <x:c r="D33" s="38" t="n">
        <x:v>-0.085906671</x:v>
      </x:c>
      <x:c r="E33" s="38" t="n">
        <x:v>0.0725103892</x:v>
      </x:c>
      <x:c r="F33" s="38" t="n">
        <x:v>-0.0451773666</x:v>
      </x:c>
      <x:c r="G33" s="38" t="n">
        <x:v>-0.1332264691</x:v>
      </x:c>
      <x:c r="H33" s="38" t="n">
        <x:v>-0.1663664818</x:v>
      </x:c>
      <x:c r="I33" s="38" t="n">
        <x:v>-0.1701905208</x:v>
      </x:c>
      <x:c r="J33" s="38" t="n">
        <x:v>-0.0746327881</x:v>
      </x:c>
      <x:c r="K33" s="38" t="n">
        <x:v>0.1129228686</x:v>
      </x:c>
      <x:c r="L33" s="38" t="n">
        <x:v>-0.1370430953</x:v>
      </x:c>
      <x:c r="M33" s="38" t="n">
        <x:v>0.0611767829</x:v>
      </x:c>
      <x:c r="N33" s="38" t="n">
        <x:v>0.0951426608</x:v>
      </x:c>
      <x:c r="O33" s="38" t="n">
        <x:v>0.0911178277</x:v>
      </x:c>
      <x:c r="P33" s="38" t="n">
        <x:v>0.0016167507</x:v>
      </x:c>
      <x:c r="Q33" s="38" t="n">
        <x:v>-0.1579263412</x:v>
      </x:c>
      <x:c r="R33" s="38" t="n">
        <x:v>-0.0282018661</x:v>
      </x:c>
      <x:c r="S33" s="38" t="n">
        <x:v>0.0392479693</x:v>
      </x:c>
      <x:c r="T33" s="38" t="n">
        <x:v>0.1066825098</x:v>
      </x:c>
      <x:c r="U33" s="38" t="n">
        <x:v>0.051242482</x:v>
      </x:c>
      <x:c r="V33" s="38" t="n">
        <x:v>0.0371379412</x:v>
      </x:c>
      <x:c r="W33" s="38" t="n">
        <x:v>0.077126585</x:v>
      </x:c>
      <x:c r="X33" s="38" t="n">
        <x:v>0.0372861334</x:v>
      </x:c>
      <x:c r="Y33" s="38" t="n">
        <x:v>-0.0130002368</x:v>
      </x:c>
      <x:c r="Z33" s="38" t="n">
        <x:v>-0.0848730924</x:v>
      </x:c>
      <x:c r="AA33" s="38" t="n">
        <x:v>0.0182676036</x:v>
      </x:c>
      <x:c r="AB33" s="38" t="n">
        <x:v>0.0695222114</x:v>
      </x:c>
      <x:c r="AC33" s="38" t="n">
        <x:v>-0.0095600421</x:v>
      </x:c>
      <x:c r="AD33" s="38" t="n">
        <x:v>0.0199700934</x:v>
      </x:c>
      <x:c r="AE33" s="38" t="n">
        <x:v>-0.0390726292</x:v>
      </x:c>
      <x:c r="AF33" s="38" t="n">
        <x:v>-0.0018529326</x:v>
      </x:c>
      <x:c r="AG33" s="38" t="n">
        <x:v>-0.0173761271</x:v>
      </x:c>
      <x:c r="AH33" s="38" t="n">
        <x:v>-0.0505326796</x:v>
      </x:c>
      <x:c r="AI33" s="38" t="n">
        <x:v>0.0485258768</x:v>
      </x:c>
      <x:c r="AJ33" s="38" t="n">
        <x:v>0.019217807</x:v>
      </x:c>
      <x:c r="AK33" s="38" t="n">
        <x:v>-0.0039639358</x:v>
      </x:c>
      <x:c r="AL33" s="38" t="n">
        <x:v>-0.0256599249</x:v>
      </x:c>
      <x:c r="AM33" s="38" t="n">
        <x:v>-0.0120092485</x:v>
      </x:c>
      <x:c r="AN33" s="38" t="n">
        <x:v>-0.0176594137</x:v>
      </x:c>
      <x:c r="AO33" s="38" t="n">
        <x:v>-0.0026762351</x:v>
      </x:c>
      <x:c r="AP33" s="38" t="n">
        <x:v>0.0030223348</x:v>
      </x:c>
      <x:c r="AQ33" s="38" t="n">
        <x:v>0.0071392739</x:v>
      </x:c>
      <x:c r="AR33" s="38" t="n">
        <x:v>-0.0011877694</x:v>
      </x:c>
    </x:row>
    <x:row r="34" ht="19" customHeight="1">
      <x:c r="A34" s="39" t="d">
        <x:v>2023-06-19T00:00:00.000Z</x:v>
      </x:c>
      <x:c r="B34" s="38" t="n">
        <x:v>0.2741657294</x:v>
      </x:c>
      <x:c r="C34" s="38" t="n">
        <x:v>0.1199388234</x:v>
      </x:c>
      <x:c r="D34" s="38" t="n">
        <x:v>-0.2961682907</x:v>
      </x:c>
      <x:c r="E34" s="38" t="n">
        <x:v>-0.043431958</x:v>
      </x:c>
      <x:c r="F34" s="38" t="n">
        <x:v>-0.0281191522</x:v>
      </x:c>
      <x:c r="G34" s="38" t="n">
        <x:v>-0.0995155424</x:v>
      </x:c>
      <x:c r="H34" s="38" t="n">
        <x:v>0.0099937652</x:v>
      </x:c>
      <x:c r="I34" s="38" t="n">
        <x:v>0.0135395948</x:v>
      </x:c>
      <x:c r="J34" s="38" t="n">
        <x:v>-0.0098046134</x:v>
      </x:c>
      <x:c r="K34" s="38" t="n">
        <x:v>-0.0308308289</x:v>
      </x:c>
      <x:c r="L34" s="38" t="n">
        <x:v>0.0228224138</x:v>
      </x:c>
      <x:c r="M34" s="38" t="n">
        <x:v>-0.1103905568</x:v>
      </x:c>
      <x:c r="N34" s="38" t="n">
        <x:v>0.0082582744</x:v>
      </x:c>
      <x:c r="O34" s="38" t="n">
        <x:v>0.0282976827</x:v>
      </x:c>
      <x:c r="P34" s="38" t="n">
        <x:v>-0.0133521331</x:v>
      </x:c>
      <x:c r="Q34" s="38" t="n">
        <x:v>-0.0325322074</x:v>
      </x:c>
      <x:c r="R34" s="38" t="n">
        <x:v>-0.023287147</x:v>
      </x:c>
      <x:c r="S34" s="38" t="n">
        <x:v>0.1161334251</x:v>
      </x:c>
      <x:c r="T34" s="38" t="n">
        <x:v>-0.0128240403</x:v>
      </x:c>
      <x:c r="U34" s="38" t="n">
        <x:v>0.0422232603</x:v>
      </x:c>
      <x:c r="V34" s="38" t="n">
        <x:v>0.0938931102</x:v>
      </x:c>
      <x:c r="W34" s="38" t="n">
        <x:v>0.0346640941</x:v>
      </x:c>
      <x:c r="X34" s="38" t="n">
        <x:v>-0.0278102597</x:v>
      </x:c>
      <x:c r="Y34" s="38" t="n">
        <x:v>-0.0313779653</x:v>
      </x:c>
      <x:c r="Z34" s="38" t="n">
        <x:v>0.0110035879</x:v>
      </x:c>
      <x:c r="AA34" s="38" t="n">
        <x:v>0.013324393</x:v>
      </x:c>
      <x:c r="AB34" s="38" t="n">
        <x:v>0.0661084759</x:v>
      </x:c>
      <x:c r="AC34" s="38" t="n">
        <x:v>-0.0027921919</x:v>
      </x:c>
      <x:c r="AD34" s="38" t="n">
        <x:v>0.0531935593</x:v>
      </x:c>
      <x:c r="AE34" s="38" t="n">
        <x:v>-0.029480358</x:v>
      </x:c>
      <x:c r="AF34" s="38" t="n">
        <x:v>-0.0079799808</x:v>
      </x:c>
      <x:c r="AG34" s="38" t="n">
        <x:v>-0.035244284</x:v>
      </x:c>
      <x:c r="AH34" s="38" t="n">
        <x:v>-0.0110204076</x:v>
      </x:c>
      <x:c r="AI34" s="38" t="n">
        <x:v>-0.0004244691</x:v>
      </x:c>
      <x:c r="AJ34" s="38" t="n">
        <x:v>0.022068303</x:v>
      </x:c>
      <x:c r="AK34" s="38" t="n">
        <x:v>-0.0197232279</x:v>
      </x:c>
      <x:c r="AL34" s="38" t="n">
        <x:v>-0.0091434353</x:v>
      </x:c>
      <x:c r="AM34" s="38" t="n">
        <x:v>-0.0021052621</x:v>
      </x:c>
      <x:c r="AN34" s="38" t="n">
        <x:v>0.0229580172</x:v>
      </x:c>
      <x:c r="AO34" s="38" t="n">
        <x:v>-0.0000595114</x:v>
      </x:c>
      <x:c r="AP34" s="38" t="n">
        <x:v>-0.0040407637</x:v>
      </x:c>
      <x:c r="AQ34" s="38" t="n">
        <x:v>-0.0156848447</x:v>
      </x:c>
      <x:c r="AR34" s="38" t="n">
        <x:v>0.0145971404</x:v>
      </x:c>
    </x:row>
    <x:row r="35" ht="19" customHeight="1">
      <x:c r="A35" s="39" t="d">
        <x:v>2023-07-17T00:00:00.000Z</x:v>
      </x:c>
      <x:c r="B35" s="38" t="n">
        <x:v>0.2374965287</x:v>
      </x:c>
      <x:c r="C35" s="38" t="n">
        <x:v>0.2991087878</x:v>
      </x:c>
      <x:c r="D35" s="38" t="n">
        <x:v>-0.0224275622</x:v>
      </x:c>
      <x:c r="E35" s="38" t="n">
        <x:v>0.0001296192</x:v>
      </x:c>
      <x:c r="F35" s="38" t="n">
        <x:v>-0.0259002447</x:v>
      </x:c>
      <x:c r="G35" s="38" t="n">
        <x:v>-0.1490767965</x:v>
      </x:c>
      <x:c r="H35" s="38" t="n">
        <x:v>0.0004221418</x:v>
      </x:c>
      <x:c r="I35" s="38" t="n">
        <x:v>0.006071913</x:v>
      </x:c>
      <x:c r="J35" s="38" t="n">
        <x:v>-0.0385304424</x:v>
      </x:c>
      <x:c r="K35" s="38" t="n">
        <x:v>-0.0976823288</x:v>
      </x:c>
      <x:c r="L35" s="38" t="n">
        <x:v>-0.1124232351</x:v>
      </x:c>
      <x:c r="M35" s="38" t="n">
        <x:v>0.0719330726</x:v>
      </x:c>
      <x:c r="N35" s="38" t="n">
        <x:v>-0.0317515575</x:v>
      </x:c>
      <x:c r="O35" s="38" t="n">
        <x:v>-0.0512109179</x:v>
      </x:c>
      <x:c r="P35" s="38" t="n">
        <x:v>0.0208559592</x:v>
      </x:c>
      <x:c r="Q35" s="38" t="n">
        <x:v>-0.0266239349</x:v>
      </x:c>
      <x:c r="R35" s="38" t="n">
        <x:v>-0.0831530017</x:v>
      </x:c>
      <x:c r="S35" s="38" t="n">
        <x:v>0.0658632622</x:v>
      </x:c>
      <x:c r="T35" s="38" t="n">
        <x:v>-0.0580212603</x:v>
      </x:c>
      <x:c r="U35" s="38" t="n">
        <x:v>0.0721540564</x:v>
      </x:c>
      <x:c r="V35" s="38" t="n">
        <x:v>-0.0522881848</x:v>
      </x:c>
      <x:c r="W35" s="38" t="n">
        <x:v>-0.0558662014</x:v>
      </x:c>
      <x:c r="X35" s="38" t="n">
        <x:v>0.0356098295</x:v>
      </x:c>
      <x:c r="Y35" s="38" t="n">
        <x:v>-0.0053743952</x:v>
      </x:c>
      <x:c r="Z35" s="38" t="n">
        <x:v>-0.0194752018</x:v>
      </x:c>
      <x:c r="AA35" s="38" t="n">
        <x:v>0.0272739449</x:v>
      </x:c>
      <x:c r="AB35" s="38" t="n">
        <x:v>0.0516336653</x:v>
      </x:c>
      <x:c r="AC35" s="38" t="n">
        <x:v>-0.0298994502</x:v>
      </x:c>
      <x:c r="AD35" s="38" t="n">
        <x:v>-0.0497573765</x:v>
      </x:c>
      <x:c r="AE35" s="38" t="n">
        <x:v>0.0554972013</x:v>
      </x:c>
      <x:c r="AF35" s="38" t="n">
        <x:v>0.0087842822</x:v>
      </x:c>
      <x:c r="AG35" s="38" t="n">
        <x:v>0.0619027123</x:v>
      </x:c>
      <x:c r="AH35" s="38" t="n">
        <x:v>-0.0157947095</x:v>
      </x:c>
      <x:c r="AI35" s="38" t="n">
        <x:v>-0.0134715605</x:v>
      </x:c>
      <x:c r="AJ35" s="38" t="n">
        <x:v>0.0019954369</x:v>
      </x:c>
      <x:c r="AK35" s="38" t="n">
        <x:v>-0.0112919172</x:v>
      </x:c>
      <x:c r="AL35" s="38" t="n">
        <x:v>-0.0158310389</x:v>
      </x:c>
      <x:c r="AM35" s="38" t="n">
        <x:v>-0.0074936375</x:v>
      </x:c>
      <x:c r="AN35" s="38" t="n">
        <x:v>-0.0319610247</x:v>
      </x:c>
      <x:c r="AO35" s="38" t="n">
        <x:v>-0.0123908441</x:v>
      </x:c>
      <x:c r="AP35" s="38" t="n">
        <x:v>0.0081817587</x:v>
      </x:c>
      <x:c r="AQ35" s="38" t="n">
        <x:v>0.0315226868</x:v>
      </x:c>
      <x:c r="AR35" s="38" t="n">
        <x:v>0.0017061635</x:v>
      </x:c>
    </x:row>
    <x:row r="36" ht="19" customHeight="1">
      <x:c r="A36" s="39" t="d">
        <x:v>2023-08-14T00:00:00.000Z</x:v>
      </x:c>
      <x:c r="B36" s="38" t="n">
        <x:v>-0.349842691</x:v>
      </x:c>
      <x:c r="C36" s="38" t="n">
        <x:v>-0.3798361779</x:v>
      </x:c>
      <x:c r="D36" s="38" t="n">
        <x:v>0.1131364554</x:v>
      </x:c>
      <x:c r="E36" s="38" t="n">
        <x:v>-0.2549137353</x:v>
      </x:c>
      <x:c r="F36" s="38" t="n">
        <x:v>0.1218182073</x:v>
      </x:c>
      <x:c r="G36" s="38" t="n">
        <x:v>0.1691126067</x:v>
      </x:c>
      <x:c r="H36" s="38" t="n">
        <x:v>0.0360807283</x:v>
      </x:c>
      <x:c r="I36" s="38" t="n">
        <x:v>-0.0644774963</x:v>
      </x:c>
      <x:c r="J36" s="38" t="n">
        <x:v>-0.0421842039</x:v>
      </x:c>
      <x:c r="K36" s="38" t="n">
        <x:v>0.0471751605</x:v>
      </x:c>
      <x:c r="L36" s="38" t="n">
        <x:v>0.0629605666</x:v>
      </x:c>
      <x:c r="M36" s="38" t="n">
        <x:v>-0.1593868297</x:v>
      </x:c>
      <x:c r="N36" s="38" t="n">
        <x:v>0.0486541946</x:v>
      </x:c>
      <x:c r="O36" s="38" t="n">
        <x:v>-0.1424124004</x:v>
      </x:c>
      <x:c r="P36" s="38" t="n">
        <x:v>-0.0303750155</x:v>
      </x:c>
      <x:c r="Q36" s="38" t="n">
        <x:v>-0.0040283873</x:v>
      </x:c>
      <x:c r="R36" s="38" t="n">
        <x:v>0.1992320029</x:v>
      </x:c>
      <x:c r="S36" s="38" t="n">
        <x:v>0.0297486869</x:v>
      </x:c>
      <x:c r="T36" s="38" t="n">
        <x:v>0.0638081856</x:v>
      </x:c>
      <x:c r="U36" s="38" t="n">
        <x:v>-0.0532839388</x:v>
      </x:c>
      <x:c r="V36" s="38" t="n">
        <x:v>0.0969591737</x:v>
      </x:c>
      <x:c r="W36" s="38" t="n">
        <x:v>-0.0145928886</x:v>
      </x:c>
      <x:c r="X36" s="38" t="n">
        <x:v>-0.0176912239</x:v>
      </x:c>
      <x:c r="Y36" s="38" t="n">
        <x:v>0.0856945002</x:v>
      </x:c>
      <x:c r="Z36" s="38" t="n">
        <x:v>-0.1106310811</x:v>
      </x:c>
      <x:c r="AA36" s="38" t="n">
        <x:v>-0.0198450126</x:v>
      </x:c>
      <x:c r="AB36" s="38" t="n">
        <x:v>0.0348254992</x:v>
      </x:c>
      <x:c r="AC36" s="38" t="n">
        <x:v>0.0413683735</x:v>
      </x:c>
      <x:c r="AD36" s="38" t="n">
        <x:v>0.0305676262</x:v>
      </x:c>
      <x:c r="AE36" s="38" t="n">
        <x:v>0.0231717636</x:v>
      </x:c>
      <x:c r="AF36" s="38" t="n">
        <x:v>0.0321313235</x:v>
      </x:c>
      <x:c r="AG36" s="38" t="n">
        <x:v>0.0264225273</x:v>
      </x:c>
      <x:c r="AH36" s="38" t="n">
        <x:v>0.0198039256</x:v>
      </x:c>
      <x:c r="AI36" s="38" t="n">
        <x:v>0.0021444384</x:v>
      </x:c>
      <x:c r="AJ36" s="38" t="n">
        <x:v>-0.0406348443</x:v>
      </x:c>
      <x:c r="AK36" s="38" t="n">
        <x:v>-0.0198779876</x:v>
      </x:c>
      <x:c r="AL36" s="38" t="n">
        <x:v>-0.0116968526</x:v>
      </x:c>
      <x:c r="AM36" s="38" t="n">
        <x:v>0.0127153605</x:v>
      </x:c>
      <x:c r="AN36" s="38" t="n">
        <x:v>-0.0264266876</x:v>
      </x:c>
      <x:c r="AO36" s="38" t="n">
        <x:v>-0.0123897284</x:v>
      </x:c>
      <x:c r="AP36" s="38" t="n">
        <x:v>0.0199056635</x:v>
      </x:c>
      <x:c r="AQ36" s="38" t="n">
        <x:v>0.0088671886</x:v>
      </x:c>
      <x:c r="AR36" s="38" t="n">
        <x:v>-0.0049781004</x:v>
      </x:c>
    </x:row>
    <x:row r="37" ht="19" customHeight="1">
      <x:c r="A37" s="39" t="d">
        <x:v>2023-09-11T00:00:00.000Z</x:v>
      </x:c>
      <x:c r="B37" s="38" t="n">
        <x:v>0.0422021758</x:v>
      </x:c>
      <x:c r="C37" s="38" t="n">
        <x:v>-0.1682285542</x:v>
      </x:c>
      <x:c r="D37" s="38" t="n">
        <x:v>0.1464656216</x:v>
      </x:c>
      <x:c r="E37" s="38" t="n">
        <x:v>-0.0373100126</x:v>
      </x:c>
      <x:c r="F37" s="38" t="n">
        <x:v>0.2253632235</x:v>
      </x:c>
      <x:c r="G37" s="38" t="n">
        <x:v>-0.0272337863</x:v>
      </x:c>
      <x:c r="H37" s="38" t="n">
        <x:v>0.0570684467</x:v>
      </x:c>
      <x:c r="I37" s="38" t="n">
        <x:v>-0.0089202782</x:v>
      </x:c>
      <x:c r="J37" s="38" t="n">
        <x:v>-0.0489404143</x:v>
      </x:c>
      <x:c r="K37" s="38" t="n">
        <x:v>0.0781780562</x:v>
      </x:c>
      <x:c r="L37" s="38" t="n">
        <x:v>-0.053724194</x:v>
      </x:c>
      <x:c r="M37" s="38" t="n">
        <x:v>0.0423298692</x:v>
      </x:c>
      <x:c r="N37" s="38" t="n">
        <x:v>-0.1338156469</x:v>
      </x:c>
      <x:c r="O37" s="38" t="n">
        <x:v>-0.0203595848</x:v>
      </x:c>
      <x:c r="P37" s="38" t="n">
        <x:v>-0.0294028922</x:v>
      </x:c>
      <x:c r="Q37" s="38" t="n">
        <x:v>-0.1486859954</x:v>
      </x:c>
      <x:c r="R37" s="38" t="n">
        <x:v>0.011734887</x:v>
      </x:c>
      <x:c r="S37" s="38" t="n">
        <x:v>-0.0672189942</x:v>
      </x:c>
      <x:c r="T37" s="38" t="n">
        <x:v>0.0721731411</x:v>
      </x:c>
      <x:c r="U37" s="38" t="n">
        <x:v>-0.0133948848</x:v>
      </x:c>
      <x:c r="V37" s="38" t="n">
        <x:v>-0.0198455274</x:v>
      </x:c>
      <x:c r="W37" s="38" t="n">
        <x:v>0.0864755566</x:v>
      </x:c>
      <x:c r="X37" s="38" t="n">
        <x:v>-0.0476030852</x:v>
      </x:c>
      <x:c r="Y37" s="38" t="n">
        <x:v>-0.0092041663</x:v>
      </x:c>
      <x:c r="Z37" s="38" t="n">
        <x:v>0.0065972084</x:v>
      </x:c>
      <x:c r="AA37" s="38" t="n">
        <x:v>0.0680808874</x:v>
      </x:c>
      <x:c r="AB37" s="38" t="n">
        <x:v>-0.0195004703</x:v>
      </x:c>
      <x:c r="AC37" s="38" t="n">
        <x:v>-0.0159534627</x:v>
      </x:c>
      <x:c r="AD37" s="38" t="n">
        <x:v>0.0355942109</x:v>
      </x:c>
      <x:c r="AE37" s="38" t="n">
        <x:v>-0.0827854889</x:v>
      </x:c>
      <x:c r="AF37" s="38" t="n">
        <x:v>0.0544969217</x:v>
      </x:c>
      <x:c r="AG37" s="38" t="n">
        <x:v>-0.0204672538</x:v>
      </x:c>
      <x:c r="AH37" s="38" t="n">
        <x:v>-0.0228128221</x:v>
      </x:c>
      <x:c r="AI37" s="38" t="n">
        <x:v>-0.0177554085</x:v>
      </x:c>
      <x:c r="AJ37" s="38" t="n">
        <x:v>-0.0122431793</x:v>
      </x:c>
      <x:c r="AK37" s="38" t="n">
        <x:v>0.0075236851</x:v>
      </x:c>
      <x:c r="AL37" s="38" t="n">
        <x:v>-0.0085359466</x:v>
      </x:c>
      <x:c r="AM37" s="38" t="n">
        <x:v>0.0019942576</x:v>
      </x:c>
      <x:c r="AN37" s="38" t="n">
        <x:v>0.0477291097</x:v>
      </x:c>
      <x:c r="AO37" s="38" t="n">
        <x:v>-0.0162758619</x:v>
      </x:c>
      <x:c r="AP37" s="38" t="n">
        <x:v>0.0107605604</x:v>
      </x:c>
      <x:c r="AQ37" s="38" t="n">
        <x:v>0.0089355062</x:v>
      </x:c>
      <x:c r="AR37" s="38" t="n">
        <x:v>-0.0043514539</x:v>
      </x:c>
    </x:row>
    <x:row r="38" ht="19" customHeight="1">
      <x:c r="A38" s="39" t="d">
        <x:v>2023-10-09T00:00:00.000Z</x:v>
      </x:c>
      <x:c r="B38" s="38" t="n">
        <x:v>-0.0580751093</x:v>
      </x:c>
      <x:c r="C38" s="38" t="n">
        <x:v>-0.0686860646</x:v>
      </x:c>
      <x:c r="D38" s="38" t="n">
        <x:v>0.0133836687</x:v>
      </x:c>
      <x:c r="E38" s="38" t="n">
        <x:v>-0.0839744161</x:v>
      </x:c>
      <x:c r="F38" s="38" t="n">
        <x:v>0.0998467159</x:v>
      </x:c>
      <x:c r="G38" s="38" t="n">
        <x:v>0.0039934504</x:v>
      </x:c>
      <x:c r="H38" s="38" t="n">
        <x:v>0.094836046</x:v>
      </x:c>
      <x:c r="I38" s="38" t="n">
        <x:v>0.0328889364</x:v>
      </x:c>
      <x:c r="J38" s="38" t="n">
        <x:v>0.1606779414</x:v>
      </x:c>
      <x:c r="K38" s="38" t="n">
        <x:v>0.0206740961</x:v>
      </x:c>
      <x:c r="L38" s="38" t="n">
        <x:v>-0.0809620732</x:v>
      </x:c>
      <x:c r="M38" s="38" t="n">
        <x:v>-0.0865722522</x:v>
      </x:c>
      <x:c r="N38" s="38" t="n">
        <x:v>-0.0208159313</x:v>
      </x:c>
      <x:c r="O38" s="38" t="n">
        <x:v>0.1188110598</x:v>
      </x:c>
      <x:c r="P38" s="38" t="n">
        <x:v>-0.017153381</x:v>
      </x:c>
      <x:c r="Q38" s="38" t="n">
        <x:v>0.0383307332</x:v>
      </x:c>
      <x:c r="R38" s="38" t="n">
        <x:v>0.0508658732</x:v>
      </x:c>
      <x:c r="S38" s="38" t="n">
        <x:v>-0.0237258538</x:v>
      </x:c>
      <x:c r="T38" s="38" t="n">
        <x:v>-0.1338837847</x:v>
      </x:c>
      <x:c r="U38" s="38" t="n">
        <x:v>-0.043816182</x:v>
      </x:c>
      <x:c r="V38" s="38" t="n">
        <x:v>0.1198826397</x:v>
      </x:c>
      <x:c r="W38" s="38" t="n">
        <x:v>-0.0843809698</x:v>
      </x:c>
      <x:c r="X38" s="38" t="n">
        <x:v>0.0402806148</x:v>
      </x:c>
      <x:c r="Y38" s="38" t="n">
        <x:v>-0.0562524283</x:v>
      </x:c>
      <x:c r="Z38" s="38" t="n">
        <x:v>-0.0583139049</x:v>
      </x:c>
      <x:c r="AA38" s="38" t="n">
        <x:v>-0.0636593951</x:v>
      </x:c>
      <x:c r="AB38" s="38" t="n">
        <x:v>-0.0113980257</x:v>
      </x:c>
      <x:c r="AC38" s="38" t="n">
        <x:v>-0.050801213</x:v>
      </x:c>
      <x:c r="AD38" s="38" t="n">
        <x:v>0.0280339704</x:v>
      </x:c>
      <x:c r="AE38" s="38" t="n">
        <x:v>-0.0580193787</x:v>
      </x:c>
      <x:c r="AF38" s="38" t="n">
        <x:v>0.0189580318</x:v>
      </x:c>
      <x:c r="AG38" s="38" t="n">
        <x:v>-0.0116021163</x:v>
      </x:c>
      <x:c r="AH38" s="38" t="n">
        <x:v>-0.0393262784</x:v>
      </x:c>
      <x:c r="AI38" s="38" t="n">
        <x:v>0.0039469599</x:v>
      </x:c>
      <x:c r="AJ38" s="38" t="n">
        <x:v>-0.0036886438</x:v>
      </x:c>
      <x:c r="AK38" s="38" t="n">
        <x:v>0.0473525499</x:v>
      </x:c>
      <x:c r="AL38" s="38" t="n">
        <x:v>0.0221933068</x:v>
      </x:c>
      <x:c r="AM38" s="38" t="n">
        <x:v>0.0140348368</x:v>
      </x:c>
      <x:c r="AN38" s="38" t="n">
        <x:v>-0.0089814672</x:v>
      </x:c>
      <x:c r="AO38" s="38" t="n">
        <x:v>-0.0246039755</x:v>
      </x:c>
      <x:c r="AP38" s="38" t="n">
        <x:v>0.002746423</x:v>
      </x:c>
      <x:c r="AQ38" s="38" t="n">
        <x:v>0.0165519338</x:v>
      </x:c>
      <x:c r="AR38" s="38" t="n">
        <x:v>-0.0116063362</x:v>
      </x:c>
    </x:row>
    <x:row r="39" ht="19" customHeight="1">
      <x:c r="A39" s="39" t="d">
        <x:v>2023-11-06T00:00:00.000Z</x:v>
      </x:c>
      <x:c r="B39" s="38" t="n">
        <x:v>0.1032262808</x:v>
      </x:c>
      <x:c r="C39" s="38" t="n">
        <x:v>-0.2822285275</x:v>
      </x:c>
      <x:c r="D39" s="38" t="n">
        <x:v>-0.1941856897</x:v>
      </x:c>
      <x:c r="E39" s="38" t="n">
        <x:v>-0.0530902875</x:v>
      </x:c>
      <x:c r="F39" s="38" t="n">
        <x:v>-0.2417625273</x:v>
      </x:c>
      <x:c r="G39" s="38" t="n">
        <x:v>0.1143710126</x:v>
      </x:c>
      <x:c r="H39" s="38" t="n">
        <x:v>0.0661416387</x:v>
      </x:c>
      <x:c r="I39" s="38" t="n">
        <x:v>-0.0791940616</x:v>
      </x:c>
      <x:c r="J39" s="38" t="n">
        <x:v>-0.0558800265</x:v>
      </x:c>
      <x:c r="K39" s="38" t="n">
        <x:v>-0.181971797</x:v>
      </x:c>
      <x:c r="L39" s="38" t="n">
        <x:v>0.0117721056</x:v>
      </x:c>
      <x:c r="M39" s="38" t="n">
        <x:v>-0.0018065117</x:v>
      </x:c>
      <x:c r="N39" s="38" t="n">
        <x:v>0.2831849789</x:v>
      </x:c>
      <x:c r="O39" s="38" t="n">
        <x:v>-0.1194322248</x:v>
      </x:c>
      <x:c r="P39" s="38" t="n">
        <x:v>-0.0664000271</x:v>
      </x:c>
      <x:c r="Q39" s="38" t="n">
        <x:v>0.0578748664</x:v>
      </x:c>
      <x:c r="R39" s="38" t="n">
        <x:v>-0.0933064937</x:v>
      </x:c>
      <x:c r="S39" s="38" t="n">
        <x:v>-0.0810903564</x:v>
      </x:c>
      <x:c r="T39" s="38" t="n">
        <x:v>0.0362411502</x:v>
      </x:c>
      <x:c r="U39" s="38" t="n">
        <x:v>0.0170179509</x:v>
      </x:c>
      <x:c r="V39" s="38" t="n">
        <x:v>-0.0444500983</x:v>
      </x:c>
      <x:c r="W39" s="38" t="n">
        <x:v>0.0491641659</x:v>
      </x:c>
      <x:c r="X39" s="38" t="n">
        <x:v>0.0542604615</x:v>
      </x:c>
      <x:c r="Y39" s="38" t="n">
        <x:v>0.0161951442</x:v>
      </x:c>
      <x:c r="Z39" s="38" t="n">
        <x:v>-0.0120256744</x:v>
      </x:c>
      <x:c r="AA39" s="38" t="n">
        <x:v>-0.0000784192</x:v>
      </x:c>
      <x:c r="AB39" s="38" t="n">
        <x:v>-0.0036993679</x:v>
      </x:c>
      <x:c r="AC39" s="38" t="n">
        <x:v>0.0079804575</x:v>
      </x:c>
      <x:c r="AD39" s="38" t="n">
        <x:v>0.0552963162</x:v>
      </x:c>
      <x:c r="AE39" s="38" t="n">
        <x:v>0.0125580845</x:v>
      </x:c>
      <x:c r="AF39" s="38" t="n">
        <x:v>-0.0278869583</x:v>
      </x:c>
      <x:c r="AG39" s="38" t="n">
        <x:v>0.0408983106</x:v>
      </x:c>
      <x:c r="AH39" s="38" t="n">
        <x:v>-0.0274484723</x:v>
      </x:c>
      <x:c r="AI39" s="38" t="n">
        <x:v>0.0038550359</x:v>
      </x:c>
      <x:c r="AJ39" s="38" t="n">
        <x:v>0.0120473394</x:v>
      </x:c>
      <x:c r="AK39" s="38" t="n">
        <x:v>0.0188065414</x:v>
      </x:c>
      <x:c r="AL39" s="38" t="n">
        <x:v>-0.0193840815</x:v>
      </x:c>
      <x:c r="AM39" s="38" t="n">
        <x:v>-0.0147585899</x:v>
      </x:c>
      <x:c r="AN39" s="38" t="n">
        <x:v>0.0175951205</x:v>
      </x:c>
      <x:c r="AO39" s="38" t="n">
        <x:v>0.0239586416</x:v>
      </x:c>
      <x:c r="AP39" s="38" t="n">
        <x:v>0.018059013</x:v>
      </x:c>
      <x:c r="AQ39" s="38" t="n">
        <x:v>-0.0013273955</x:v>
      </x:c>
      <x:c r="AR39" s="38" t="n">
        <x:v>0.0079898785</x:v>
      </x:c>
    </x:row>
    <x:row r="40" ht="19" customHeight="1">
      <x:c r="A40" s="39" t="d">
        <x:v>2023-12-04T00:00:00.000Z</x:v>
      </x:c>
      <x:c r="B40" s="38" t="n">
        <x:v>0.3255064183</x:v>
      </x:c>
      <x:c r="C40" s="38" t="n">
        <x:v>0.3088874845</x:v>
      </x:c>
      <x:c r="D40" s="38" t="n">
        <x:v>-0.1292463496</x:v>
      </x:c>
      <x:c r="E40" s="38" t="n">
        <x:v>0.1238772538</x:v>
      </x:c>
      <x:c r="F40" s="38" t="n">
        <x:v>-0.00844556</x:v>
      </x:c>
      <x:c r="G40" s="38" t="n">
        <x:v>-0.0417119736</x:v>
      </x:c>
      <x:c r="H40" s="38" t="n">
        <x:v>-0.0942472687</x:v>
      </x:c>
      <x:c r="I40" s="38" t="n">
        <x:v>-0.0822143353</x:v>
      </x:c>
      <x:c r="J40" s="38" t="n">
        <x:v>0.0943157263</x:v>
      </x:c>
      <x:c r="K40" s="38" t="n">
        <x:v>0.1145589809</x:v>
      </x:c>
      <x:c r="L40" s="38" t="n">
        <x:v>-0.0953085653</x:v>
      </x:c>
      <x:c r="M40" s="38" t="n">
        <x:v>0.0888390555</x:v>
      </x:c>
      <x:c r="N40" s="38" t="n">
        <x:v>0.0176572415</x:v>
      </x:c>
      <x:c r="O40" s="38" t="n">
        <x:v>0.0073528575</x:v>
      </x:c>
      <x:c r="P40" s="38" t="n">
        <x:v>0.0807747731</x:v>
      </x:c>
      <x:c r="Q40" s="38" t="n">
        <x:v>0.0114676295</x:v>
      </x:c>
      <x:c r="R40" s="38" t="n">
        <x:v>-0.0137841973</x:v>
      </x:c>
      <x:c r="S40" s="38" t="n">
        <x:v>0.0390970897</x:v>
      </x:c>
      <x:c r="T40" s="38" t="n">
        <x:v>0.0852636406</x:v>
      </x:c>
      <x:c r="U40" s="38" t="n">
        <x:v>0.0150955395</x:v>
      </x:c>
      <x:c r="V40" s="38" t="n">
        <x:v>0.0851917136</x:v>
      </x:c>
      <x:c r="W40" s="38" t="n">
        <x:v>-0.0868907931</x:v>
      </x:c>
      <x:c r="X40" s="38" t="n">
        <x:v>0.0444823281</x:v>
      </x:c>
      <x:c r="Y40" s="38" t="n">
        <x:v>0.0636296656</x:v>
      </x:c>
      <x:c r="Z40" s="38" t="n">
        <x:v>0.0323985311</x:v>
      </x:c>
      <x:c r="AA40" s="38" t="n">
        <x:v>-0.049413434</x:v>
      </x:c>
      <x:c r="AB40" s="38" t="n">
        <x:v>-0.0383191124</x:v>
      </x:c>
      <x:c r="AC40" s="38" t="n">
        <x:v>0.0339556931</x:v>
      </x:c>
      <x:c r="AD40" s="38" t="n">
        <x:v>-0.0673571008</x:v>
      </x:c>
      <x:c r="AE40" s="38" t="n">
        <x:v>-0.0160392948</x:v>
      </x:c>
      <x:c r="AF40" s="38" t="n">
        <x:v>-0.0429722953</x:v>
      </x:c>
      <x:c r="AG40" s="38" t="n">
        <x:v>-0.0068044253</x:v>
      </x:c>
      <x:c r="AH40" s="38" t="n">
        <x:v>0.012546764</x:v>
      </x:c>
      <x:c r="AI40" s="38" t="n">
        <x:v>-0.0008212965</x:v>
      </x:c>
      <x:c r="AJ40" s="38" t="n">
        <x:v>-0.0457608769</x:v>
      </x:c>
      <x:c r="AK40" s="38" t="n">
        <x:v>0.0039625134</x:v>
      </x:c>
      <x:c r="AL40" s="38" t="n">
        <x:v>0.039416722</x:v>
      </x:c>
      <x:c r="AM40" s="38" t="n">
        <x:v>-0.0073268013</x:v>
      </x:c>
      <x:c r="AN40" s="38" t="n">
        <x:v>0.0173396002</x:v>
      </x:c>
      <x:c r="AO40" s="38" t="n">
        <x:v>0.0461883273</x:v>
      </x:c>
      <x:c r="AP40" s="38" t="n">
        <x:v>-0.0021371267</x:v>
      </x:c>
      <x:c r="AQ40" s="38" t="n">
        <x:v>-0.0095834374</x:v>
      </x:c>
      <x:c r="AR40" s="38" t="n">
        <x:v>-0.0173107255</x:v>
      </x:c>
    </x:row>
    <x:row r="41" ht="19" customHeight="1">
      <x:c r="A41" s="39" t="d">
        <x:v>2024-01-01T00:00:00.000Z</x:v>
      </x:c>
      <x:c r="B41" s="38" t="n">
        <x:v>-0.1662102286</x:v>
      </x:c>
      <x:c r="C41" s="38" t="n">
        <x:v>0.0569636966</x:v>
      </x:c>
      <x:c r="D41" s="38" t="n">
        <x:v>-0.0776069939</x:v>
      </x:c>
      <x:c r="E41" s="38" t="n">
        <x:v>0.304585837</x:v>
      </x:c>
      <x:c r="F41" s="38" t="n">
        <x:v>0.2011988623</x:v>
      </x:c>
      <x:c r="G41" s="38" t="n">
        <x:v>0.0314843574</x:v>
      </x:c>
      <x:c r="H41" s="38" t="n">
        <x:v>-0.0663003581</x:v>
      </x:c>
      <x:c r="I41" s="38" t="n">
        <x:v>-0.0637133952</x:v>
      </x:c>
      <x:c r="J41" s="38" t="n">
        <x:v>-0.0304659818</x:v>
      </x:c>
      <x:c r="K41" s="38" t="n">
        <x:v>0.0479126888</x:v>
      </x:c>
      <x:c r="L41" s="38" t="n">
        <x:v>0.0577545133</x:v>
      </x:c>
      <x:c r="M41" s="38" t="n">
        <x:v>0.1218416842</x:v>
      </x:c>
      <x:c r="N41" s="38" t="n">
        <x:v>0.0485586423</x:v>
      </x:c>
      <x:c r="O41" s="38" t="n">
        <x:v>-0.0241930004</x:v>
      </x:c>
      <x:c r="P41" s="38" t="n">
        <x:v>0.0878448802</x:v>
      </x:c>
      <x:c r="Q41" s="38" t="n">
        <x:v>-0.0141424564</x:v>
      </x:c>
      <x:c r="R41" s="38" t="n">
        <x:v>-0.0094031549</x:v>
      </x:c>
      <x:c r="S41" s="38" t="n">
        <x:v>-0.0187002762</x:v>
      </x:c>
      <x:c r="T41" s="38" t="n">
        <x:v>-0.0590630991</x:v>
      </x:c>
      <x:c r="U41" s="38" t="n">
        <x:v>-0.0071703688</x:v>
      </x:c>
      <x:c r="V41" s="38" t="n">
        <x:v>0.0138641629</x:v>
      </x:c>
      <x:c r="W41" s="38" t="n">
        <x:v>0.0728031933</x:v>
      </x:c>
      <x:c r="X41" s="38" t="n">
        <x:v>-0.0195250394</x:v>
      </x:c>
      <x:c r="Y41" s="38" t="n">
        <x:v>0.0161798986</x:v>
      </x:c>
      <x:c r="Z41" s="38" t="n">
        <x:v>-0.0051124232</x:v>
      </x:c>
      <x:c r="AA41" s="38" t="n">
        <x:v>-0.0719475637</x:v>
      </x:c>
      <x:c r="AB41" s="38" t="n">
        <x:v>-0.0228129454</x:v>
      </x:c>
      <x:c r="AC41" s="38" t="n">
        <x:v>-0.0566569849</x:v>
      </x:c>
      <x:c r="AD41" s="38" t="n">
        <x:v>0.0076558663</x:v>
      </x:c>
      <x:c r="AE41" s="38" t="n">
        <x:v>0.0125979455</x:v>
      </x:c>
      <x:c r="AF41" s="38" t="n">
        <x:v>-0.007729191</x:v>
      </x:c>
      <x:c r="AG41" s="38" t="n">
        <x:v>0.0489264816</x:v>
      </x:c>
      <x:c r="AH41" s="38" t="n">
        <x:v>0.0166953441</x:v>
      </x:c>
      <x:c r="AI41" s="38" t="n">
        <x:v>0.0300613479</x:v>
      </x:c>
      <x:c r="AJ41" s="38" t="n">
        <x:v>0.0285568198</x:v>
      </x:c>
      <x:c r="AK41" s="38" t="n">
        <x:v>0.0339023147</x:v>
      </x:c>
      <x:c r="AL41" s="38" t="n">
        <x:v>0.0178612516</x:v>
      </x:c>
      <x:c r="AM41" s="38" t="n">
        <x:v>-0.0022730289</x:v>
      </x:c>
      <x:c r="AN41" s="38" t="n">
        <x:v>-0.0014467873</x:v>
      </x:c>
      <x:c r="AO41" s="38" t="n">
        <x:v>0.0230229474</x:v>
      </x:c>
      <x:c r="AP41" s="38" t="n">
        <x:v>-0.0051421177</x:v>
      </x:c>
      <x:c r="AQ41" s="38" t="n">
        <x:v>0.0142195983</x:v>
      </x:c>
      <x:c r="AR41" s="38" t="n">
        <x:v>0.0245703455</x:v>
      </x:c>
    </x:row>
    <x:row r="42" ht="19" customHeight="1">
      <x:c r="A42" s="39" t="d">
        <x:v>2024-01-29T00:00:00.000Z</x:v>
      </x:c>
      <x:c r="B42" s="38" t="n">
        <x:v>0.0514431438</x:v>
      </x:c>
      <x:c r="C42" s="38" t="n">
        <x:v>-0.1172967488</x:v>
      </x:c>
      <x:c r="D42" s="38" t="n">
        <x:v>0.0046971391</x:v>
      </x:c>
      <x:c r="E42" s="38" t="n">
        <x:v>0.0025552415</x:v>
      </x:c>
      <x:c r="F42" s="38" t="n">
        <x:v>-0.0947250006</x:v>
      </x:c>
      <x:c r="G42" s="38" t="n">
        <x:v>0.1897519401</x:v>
      </x:c>
      <x:c r="H42" s="38" t="n">
        <x:v>0.2429637293</x:v>
      </x:c>
      <x:c r="I42" s="38" t="n">
        <x:v>0.0077890688</x:v>
      </x:c>
      <x:c r="J42" s="38" t="n">
        <x:v>-0.0428334973</x:v>
      </x:c>
      <x:c r="K42" s="38" t="n">
        <x:v>0.1102862172</x:v>
      </x:c>
      <x:c r="L42" s="38" t="n">
        <x:v>-0.1214515854</x:v>
      </x:c>
      <x:c r="M42" s="38" t="n">
        <x:v>-0.0820026906</x:v>
      </x:c>
      <x:c r="N42" s="38" t="n">
        <x:v>0.0975746837</x:v>
      </x:c>
      <x:c r="O42" s="38" t="n">
        <x:v>-0.0400565316</x:v>
      </x:c>
      <x:c r="P42" s="38" t="n">
        <x:v>0.0038465831</x:v>
      </x:c>
      <x:c r="Q42" s="38" t="n">
        <x:v>-0.1961862343</x:v>
      </x:c>
      <x:c r="R42" s="38" t="n">
        <x:v>0.0135561522</x:v>
      </x:c>
      <x:c r="S42" s="38" t="n">
        <x:v>-0.0439598308</x:v>
      </x:c>
      <x:c r="T42" s="38" t="n">
        <x:v>-0.0970203985</x:v>
      </x:c>
      <x:c r="U42" s="38" t="n">
        <x:v>-0.0402598268</x:v>
      </x:c>
      <x:c r="V42" s="38" t="n">
        <x:v>0.0364299745</x:v>
      </x:c>
      <x:c r="W42" s="38" t="n">
        <x:v>0.1115886837</x:v>
      </x:c>
      <x:c r="X42" s="38" t="n">
        <x:v>0.0610463838</x:v>
      </x:c>
      <x:c r="Y42" s="38" t="n">
        <x:v>0.082401819</x:v>
      </x:c>
      <x:c r="Z42" s="38" t="n">
        <x:v>0.013328558</x:v>
      </x:c>
      <x:c r="AA42" s="38" t="n">
        <x:v>-0.0353933822</x:v>
      </x:c>
      <x:c r="AB42" s="38" t="n">
        <x:v>-0.0040784597</x:v>
      </x:c>
      <x:c r="AC42" s="38" t="n">
        <x:v>-0.0151701961</x:v>
      </x:c>
      <x:c r="AD42" s="38" t="n">
        <x:v>-0.0491215542</x:v>
      </x:c>
      <x:c r="AE42" s="38" t="n">
        <x:v>-0.0656977821</x:v>
      </x:c>
      <x:c r="AF42" s="38" t="n">
        <x:v>0.0250405047</x:v>
      </x:c>
      <x:c r="AG42" s="38" t="n">
        <x:v>-0.0063282131</x:v>
      </x:c>
      <x:c r="AH42" s="38" t="n">
        <x:v>0.0012568903</x:v>
      </x:c>
      <x:c r="AI42" s="38" t="n">
        <x:v>-0.0314134526</x:v>
      </x:c>
      <x:c r="AJ42" s="38" t="n">
        <x:v>0.0259498308</x:v>
      </x:c>
      <x:c r="AK42" s="38" t="n">
        <x:v>-0.0401966144</x:v>
      </x:c>
      <x:c r="AL42" s="38" t="n">
        <x:v>0.0040455975</x:v>
      </x:c>
      <x:c r="AM42" s="38" t="n">
        <x:v>0.0098743835</x:v>
      </x:c>
      <x:c r="AN42" s="38" t="n">
        <x:v>-0.0211042625</x:v>
      </x:c>
      <x:c r="AO42" s="38" t="n">
        <x:v>0.0269223266</x:v>
      </x:c>
      <x:c r="AP42" s="38" t="n">
        <x:v>-0.0054609402</x:v>
      </x:c>
      <x:c r="AQ42" s="38" t="n">
        <x:v>-0.0123494959</x:v>
      </x:c>
      <x:c r="AR42" s="38" t="n">
        <x:v>0.0042109748</x:v>
      </x:c>
    </x:row>
    <x:row r="43" ht="19" customHeight="1">
      <x:c r="A43" s="39" t="d">
        <x:v>2024-02-26T00:00:00.000Z</x:v>
      </x:c>
      <x:c r="B43" s="38" t="n">
        <x:v>-0.2712685119</x:v>
      </x:c>
      <x:c r="C43" s="38" t="n">
        <x:v>-0.2337715171</x:v>
      </x:c>
      <x:c r="D43" s="38" t="n">
        <x:v>-0.0855748153</x:v>
      </x:c>
      <x:c r="E43" s="38" t="n">
        <x:v>0.0852153581</x:v>
      </x:c>
      <x:c r="F43" s="38" t="n">
        <x:v>0.0380756969</x:v>
      </x:c>
      <x:c r="G43" s="38" t="n">
        <x:v>0.2923692547</x:v>
      </x:c>
      <x:c r="H43" s="38" t="n">
        <x:v>0.1973864316</x:v>
      </x:c>
      <x:c r="I43" s="38" t="n">
        <x:v>0.0581494378</x:v>
      </x:c>
      <x:c r="J43" s="38" t="n">
        <x:v>-0.0377816362</x:v>
      </x:c>
      <x:c r="K43" s="38" t="n">
        <x:v>0.0390170947</x:v>
      </x:c>
      <x:c r="L43" s="38" t="n">
        <x:v>-0.2211604741</x:v>
      </x:c>
      <x:c r="M43" s="38" t="n">
        <x:v>-0.0051195442</x:v>
      </x:c>
      <x:c r="N43" s="38" t="n">
        <x:v>0.0792059938</x:v>
      </x:c>
      <x:c r="O43" s="38" t="n">
        <x:v>0.0166378354</x:v>
      </x:c>
      <x:c r="P43" s="38" t="n">
        <x:v>-0.0235865772</x:v>
      </x:c>
      <x:c r="Q43" s="38" t="n">
        <x:v>-0.0553926699</x:v>
      </x:c>
      <x:c r="R43" s="38" t="n">
        <x:v>0.0534752487</x:v>
      </x:c>
      <x:c r="S43" s="38" t="n">
        <x:v>0.0292941691</x:v>
      </x:c>
      <x:c r="T43" s="38" t="n">
        <x:v>-0.0355924716</x:v>
      </x:c>
      <x:c r="U43" s="38" t="n">
        <x:v>0.0661061251</x:v>
      </x:c>
      <x:c r="V43" s="38" t="n">
        <x:v>-0.011232025</x:v>
      </x:c>
      <x:c r="W43" s="38" t="n">
        <x:v>-0.108650753</x:v>
      </x:c>
      <x:c r="X43" s="38" t="n">
        <x:v>0.0409233773</x:v>
      </x:c>
      <x:c r="Y43" s="38" t="n">
        <x:v>0.0277770104</x:v>
      </x:c>
      <x:c r="Z43" s="38" t="n">
        <x:v>0.0116270956</x:v>
      </x:c>
      <x:c r="AA43" s="38" t="n">
        <x:v>0.0577679207</x:v>
      </x:c>
      <x:c r="AB43" s="38" t="n">
        <x:v>-0.0489662796</x:v>
      </x:c>
      <x:c r="AC43" s="38" t="n">
        <x:v>0.0227556018</x:v>
      </x:c>
      <x:c r="AD43" s="38" t="n">
        <x:v>0.0182247394</x:v>
      </x:c>
      <x:c r="AE43" s="38" t="n">
        <x:v>0.020238757</x:v>
      </x:c>
      <x:c r="AF43" s="38" t="n">
        <x:v>-0.046462641</x:v>
      </x:c>
      <x:c r="AG43" s="38" t="n">
        <x:v>-0.0567047426</x:v>
      </x:c>
      <x:c r="AH43" s="38" t="n">
        <x:v>-0.0306415134</x:v>
      </x:c>
      <x:c r="AI43" s="38" t="n">
        <x:v>-0.0159774936</x:v>
      </x:c>
      <x:c r="AJ43" s="38" t="n">
        <x:v>-0.007513429</x:v>
      </x:c>
      <x:c r="AK43" s="38" t="n">
        <x:v>0.0178067049</x:v>
      </x:c>
      <x:c r="AL43" s="38" t="n">
        <x:v>0.0397565383</x:v>
      </x:c>
      <x:c r="AM43" s="38" t="n">
        <x:v>-0.0230914617</x:v>
      </x:c>
      <x:c r="AN43" s="38" t="n">
        <x:v>0.0107451617</x:v>
      </x:c>
      <x:c r="AO43" s="38" t="n">
        <x:v>-0.009387722</x:v>
      </x:c>
      <x:c r="AP43" s="38" t="n">
        <x:v>-0.0351936357</x:v>
      </x:c>
      <x:c r="AQ43" s="38" t="n">
        <x:v>0.0240465546</x:v>
      </x:c>
      <x:c r="AR43" s="38" t="n">
        <x:v>0.0158465384</x:v>
      </x:c>
    </x:row>
    <x:row r="44" ht="19" customHeight="1">
      <x:c r="A44" s="39" t="d">
        <x:v>2024-03-25T00:00:00.000Z</x:v>
      </x:c>
      <x:c r="B44" s="38" t="n">
        <x:v>-0.0221497297</x:v>
      </x:c>
      <x:c r="C44" s="38" t="n">
        <x:v>0.0498371796</x:v>
      </x:c>
      <x:c r="D44" s="38" t="n">
        <x:v>0.0200189765</x:v>
      </x:c>
      <x:c r="E44" s="38" t="n">
        <x:v>-0.0670348522</x:v>
      </x:c>
      <x:c r="F44" s="38" t="n">
        <x:v>0.1774619205</x:v>
      </x:c>
      <x:c r="G44" s="38" t="n">
        <x:v>0.0499693284</x:v>
      </x:c>
      <x:c r="H44" s="38" t="n">
        <x:v>0.0503963579</x:v>
      </x:c>
      <x:c r="I44" s="38" t="n">
        <x:v>0.0548161798</x:v>
      </x:c>
      <x:c r="J44" s="38" t="n">
        <x:v>-0.019411697</x:v>
      </x:c>
      <x:c r="K44" s="38" t="n">
        <x:v>-0.0862037425</x:v>
      </x:c>
      <x:c r="L44" s="38" t="n">
        <x:v>0.0758201576</x:v>
      </x:c>
      <x:c r="M44" s="38" t="n">
        <x:v>0.211439805</x:v>
      </x:c>
      <x:c r="N44" s="38" t="n">
        <x:v>-0.0018145651</x:v>
      </x:c>
      <x:c r="O44" s="38" t="n">
        <x:v>0.0497406447</x:v>
      </x:c>
      <x:c r="P44" s="38" t="n">
        <x:v>-0.0127121446</x:v>
      </x:c>
      <x:c r="Q44" s="38" t="n">
        <x:v>-0.0109285496</x:v>
      </x:c>
      <x:c r="R44" s="38" t="n">
        <x:v>-0.0017293576</x:v>
      </x:c>
      <x:c r="S44" s="38" t="n">
        <x:v>0.0715684618</x:v>
      </x:c>
      <x:c r="T44" s="38" t="n">
        <x:v>0.0021983695</x:v>
      </x:c>
      <x:c r="U44" s="38" t="n">
        <x:v>-0.156243406</x:v>
      </x:c>
      <x:c r="V44" s="38" t="n">
        <x:v>0.0282721895</x:v>
      </x:c>
      <x:c r="W44" s="38" t="n">
        <x:v>0.0806999782</x:v>
      </x:c>
      <x:c r="X44" s="38" t="n">
        <x:v>0.0199949566</x:v>
      </x:c>
      <x:c r="Y44" s="38" t="n">
        <x:v>0.0378275956</x:v>
      </x:c>
      <x:c r="Z44" s="38" t="n">
        <x:v>0.0364556926</x:v>
      </x:c>
      <x:c r="AA44" s="38" t="n">
        <x:v>0.0224516907</x:v>
      </x:c>
      <x:c r="AB44" s="38" t="n">
        <x:v>-0.0061798062</x:v>
      </x:c>
      <x:c r="AC44" s="38" t="n">
        <x:v>0.019988413</x:v>
      </x:c>
      <x:c r="AD44" s="38" t="n">
        <x:v>0.0060700544</x:v>
      </x:c>
      <x:c r="AE44" s="38" t="n">
        <x:v>-0.0581932663</x:v>
      </x:c>
      <x:c r="AF44" s="38" t="n">
        <x:v>0.0084423255</x:v>
      </x:c>
      <x:c r="AG44" s="38" t="n">
        <x:v>0.0052609537</x:v>
      </x:c>
      <x:c r="AH44" s="38" t="n">
        <x:v>0.0134327862</x:v>
      </x:c>
      <x:c r="AI44" s="38" t="n">
        <x:v>-0.003014462</x:v>
      </x:c>
      <x:c r="AJ44" s="38" t="n">
        <x:v>-0.0327576018</x:v>
      </x:c>
      <x:c r="AK44" s="38" t="n">
        <x:v>0.0082862853</x:v>
      </x:c>
      <x:c r="AL44" s="38" t="n">
        <x:v>-0.008277123</x:v>
      </x:c>
      <x:c r="AM44" s="38" t="n">
        <x:v>0.0026883804</x:v>
      </x:c>
      <x:c r="AN44" s="38" t="n">
        <x:v>-0.0406417365</x:v>
      </x:c>
      <x:c r="AO44" s="38" t="n">
        <x:v>0.0164097564</x:v>
      </x:c>
      <x:c r="AP44" s="38" t="n">
        <x:v>-0.0002571762</x:v>
      </x:c>
      <x:c r="AQ44" s="38" t="n">
        <x:v>-0.0086785402</x:v>
      </x:c>
      <x:c r="AR44" s="38" t="n">
        <x:v>0.0107738357</x:v>
      </x:c>
    </x:row>
    <x:row r="45" ht="19" customHeight="1">
      <x:c r="A45" s="39" t="d">
        <x:v>2024-04-22T00:00:00.000Z</x:v>
      </x:c>
      <x:c r="B45" s="38" t="n">
        <x:v>-0.0681209706</x:v>
      </x:c>
      <x:c r="C45" s="38" t="n">
        <x:v>0.0447407196</x:v>
      </x:c>
      <x:c r="D45" s="38" t="n">
        <x:v>0.5600757167</x:v>
      </x:c>
      <x:c r="E45" s="38" t="n">
        <x:v>-0.0503022117</x:v>
      </x:c>
      <x:c r="F45" s="38" t="n">
        <x:v>-0.1444771023</x:v>
      </x:c>
      <x:c r="G45" s="38" t="n">
        <x:v>-0.0629940131</x:v>
      </x:c>
      <x:c r="H45" s="38" t="n">
        <x:v>-0.0902295897</x:v>
      </x:c>
      <x:c r="I45" s="38" t="n">
        <x:v>0.2718708596</x:v>
      </x:c>
      <x:c r="J45" s="38" t="n">
        <x:v>-0.1657990868</x:v>
      </x:c>
      <x:c r="K45" s="38" t="n">
        <x:v>0.0481670839</x:v>
      </x:c>
      <x:c r="L45" s="38" t="n">
        <x:v>0.0295935927</x:v>
      </x:c>
      <x:c r="M45" s="38" t="n">
        <x:v>0.0754856999</x:v>
      </x:c>
      <x:c r="N45" s="38" t="n">
        <x:v>-0.0032415434</x:v>
      </x:c>
      <x:c r="O45" s="38" t="n">
        <x:v>0.1513060663</x:v>
      </x:c>
      <x:c r="P45" s="38" t="n">
        <x:v>-0.1198601118</x:v>
      </x:c>
      <x:c r="Q45" s="38" t="n">
        <x:v>-0.0017140668</x:v>
      </x:c>
      <x:c r="R45" s="38" t="n">
        <x:v>-0.0037709528</x:v>
      </x:c>
      <x:c r="S45" s="38" t="n">
        <x:v>-0.0752996272</x:v>
      </x:c>
      <x:c r="T45" s="38" t="n">
        <x:v>-0.0041744908</x:v>
      </x:c>
      <x:c r="U45" s="38" t="n">
        <x:v>-0.1245067488</x:v>
      </x:c>
      <x:c r="V45" s="38" t="n">
        <x:v>-0.0880693845</x:v>
      </x:c>
      <x:c r="W45" s="38" t="n">
        <x:v>-0.030921737</x:v>
      </x:c>
      <x:c r="X45" s="38" t="n">
        <x:v>0.0233382024</x:v>
      </x:c>
      <x:c r="Y45" s="38" t="n">
        <x:v>0.0047843383</x:v>
      </x:c>
      <x:c r="Z45" s="38" t="n">
        <x:v>-0.0400423534</x:v>
      </x:c>
      <x:c r="AA45" s="38" t="n">
        <x:v>-0.0938452337</x:v>
      </x:c>
      <x:c r="AB45" s="38" t="n">
        <x:v>0.0432491536</x:v>
      </x:c>
      <x:c r="AC45" s="38" t="n">
        <x:v>-0.0500889102</x:v>
      </x:c>
      <x:c r="AD45" s="38" t="n">
        <x:v>0.0724985544</x:v>
      </x:c>
      <x:c r="AE45" s="38" t="n">
        <x:v>0.0246897727</x:v>
      </x:c>
      <x:c r="AF45" s="38" t="n">
        <x:v>-0.0497104742</x:v>
      </x:c>
      <x:c r="AG45" s="38" t="n">
        <x:v>-0.0197040711</x:v>
      </x:c>
      <x:c r="AH45" s="38" t="n">
        <x:v>0.0251066115</x:v>
      </x:c>
      <x:c r="AI45" s="38" t="n">
        <x:v>-0.0059787361</x:v>
      </x:c>
      <x:c r="AJ45" s="38" t="n">
        <x:v>0.0048395945</x:v>
      </x:c>
      <x:c r="AK45" s="38" t="n">
        <x:v>-0.0136788682</x:v>
      </x:c>
      <x:c r="AL45" s="38" t="n">
        <x:v>0.0033917215</x:v>
      </x:c>
      <x:c r="AM45" s="38" t="n">
        <x:v>-0.0006445009</x:v>
      </x:c>
      <x:c r="AN45" s="38" t="n">
        <x:v>0.0064373814</x:v>
      </x:c>
      <x:c r="AO45" s="38" t="n">
        <x:v>0.0192956472</x:v>
      </x:c>
      <x:c r="AP45" s="38" t="n">
        <x:v>0.015352134</x:v>
      </x:c>
      <x:c r="AQ45" s="38" t="n">
        <x:v>0.0002427437</x:v>
      </x:c>
      <x:c r="AR45" s="38" t="n">
        <x:v>0.0019981509</x:v>
      </x:c>
    </x:row>
    <x:row r="46" ht="19" customHeight="1">
      <x:c r="A46" s="39" t="d">
        <x:v>2024-05-20T00:00:00.000Z</x:v>
      </x:c>
      <x:c r="B46" s="38" t="n">
        <x:v>0.176882132</x:v>
      </x:c>
      <x:c r="C46" s="38" t="n">
        <x:v>0.0588012253</x:v>
      </x:c>
      <x:c r="D46" s="38" t="n">
        <x:v>-0.009024317</x:v>
      </x:c>
      <x:c r="E46" s="38" t="n">
        <x:v>0.3033301181</x:v>
      </x:c>
      <x:c r="F46" s="38" t="n">
        <x:v>0.3433174856</x:v>
      </x:c>
      <x:c r="G46" s="38" t="n">
        <x:v>-0.1126502067</x:v>
      </x:c>
      <x:c r="H46" s="38" t="n">
        <x:v>0.0802550001</x:v>
      </x:c>
      <x:c r="I46" s="38" t="n">
        <x:v>0.1388577393</x:v>
      </x:c>
      <x:c r="J46" s="38" t="n">
        <x:v>-0.1556152496</x:v>
      </x:c>
      <x:c r="K46" s="38" t="n">
        <x:v>-0.214427892</x:v>
      </x:c>
      <x:c r="L46" s="38" t="n">
        <x:v>-0.0722575186</x:v>
      </x:c>
      <x:c r="M46" s="38" t="n">
        <x:v>-0.0370509268</x:v>
      </x:c>
      <x:c r="N46" s="38" t="n">
        <x:v>-0.0975685134</x:v>
      </x:c>
      <x:c r="O46" s="38" t="n">
        <x:v>-0.0622014489</x:v>
      </x:c>
      <x:c r="P46" s="38" t="n">
        <x:v>0.114689259</x:v>
      </x:c>
      <x:c r="Q46" s="38" t="n">
        <x:v>-0.0830550607</x:v>
      </x:c>
      <x:c r="R46" s="38" t="n">
        <x:v>-0.0274094223</x:v>
      </x:c>
      <x:c r="S46" s="38" t="n">
        <x:v>0.0108816609</x:v>
      </x:c>
      <x:c r="T46" s="38" t="n">
        <x:v>0.0273879143</x:v>
      </x:c>
      <x:c r="U46" s="38" t="n">
        <x:v>-0.0173955519</x:v>
      </x:c>
      <x:c r="V46" s="38" t="n">
        <x:v>0.0824605677</x:v>
      </x:c>
      <x:c r="W46" s="38" t="n">
        <x:v>-0.0552297841</x:v>
      </x:c>
      <x:c r="X46" s="38" t="n">
        <x:v>-0.0415791069</x:v>
      </x:c>
      <x:c r="Y46" s="38" t="n">
        <x:v>-0.0465138584</x:v>
      </x:c>
      <x:c r="Z46" s="38" t="n">
        <x:v>-0.089210904</x:v>
      </x:c>
      <x:c r="AA46" s="38" t="n">
        <x:v>0.0028770685</x:v>
      </x:c>
      <x:c r="AB46" s="38" t="n">
        <x:v>0.0336866022</x:v>
      </x:c>
      <x:c r="AC46" s="38" t="n">
        <x:v>0.0379631468</x:v>
      </x:c>
      <x:c r="AD46" s="38" t="n">
        <x:v>0.0049879364</x:v>
      </x:c>
      <x:c r="AE46" s="38" t="n">
        <x:v>0.005613778</x:v>
      </x:c>
      <x:c r="AF46" s="38" t="n">
        <x:v>0.0160760273</x:v>
      </x:c>
      <x:c r="AG46" s="38" t="n">
        <x:v>0.0420171777</x:v>
      </x:c>
      <x:c r="AH46" s="38" t="n">
        <x:v>0.0078894008</x:v>
      </x:c>
      <x:c r="AI46" s="38" t="n">
        <x:v>-0.0229190664</x:v>
      </x:c>
      <x:c r="AJ46" s="38" t="n">
        <x:v>-0.0336363558</x:v>
      </x:c>
      <x:c r="AK46" s="38" t="n">
        <x:v>-0.0106350439</x:v>
      </x:c>
      <x:c r="AL46" s="38" t="n">
        <x:v>0.0086934532</x:v>
      </x:c>
      <x:c r="AM46" s="38" t="n">
        <x:v>-0.0163002692</x:v>
      </x:c>
      <x:c r="AN46" s="38" t="n">
        <x:v>0.0301373745</x:v>
      </x:c>
      <x:c r="AO46" s="38" t="n">
        <x:v>0.0076992825</x:v>
      </x:c>
      <x:c r="AP46" s="38" t="n">
        <x:v>0.0091780124</x:v>
      </x:c>
      <x:c r="AQ46" s="38" t="n">
        <x:v>0.0112654896</x:v>
      </x:c>
      <x:c r="AR46" s="38" t="n">
        <x:v>0.0235763083</x:v>
      </x:c>
    </x:row>
    <x:row r="47" ht="19" customHeight="1">
      <x:c r="A47" s="39" t="d">
        <x:v>2024-06-17T00:00:00.000Z</x:v>
      </x:c>
      <x:c r="B47" s="38" t="n">
        <x:v>-0.0687854661</x:v>
      </x:c>
      <x:c r="C47" s="38" t="n">
        <x:v>-0.0504920607</x:v>
      </x:c>
      <x:c r="D47" s="38" t="n">
        <x:v>-0.0010290756</x:v>
      </x:c>
      <x:c r="E47" s="38" t="n">
        <x:v>-0.1889478035</x:v>
      </x:c>
      <x:c r="F47" s="38" t="n">
        <x:v>0.2482615896</x:v>
      </x:c>
      <x:c r="G47" s="38" t="n">
        <x:v>0.0437935008</x:v>
      </x:c>
      <x:c r="H47" s="38" t="n">
        <x:v>-0.178951928</x:v>
      </x:c>
      <x:c r="I47" s="38" t="n">
        <x:v>-0.0305974776</x:v>
      </x:c>
      <x:c r="J47" s="38" t="n">
        <x:v>0.1160682828</x:v>
      </x:c>
      <x:c r="K47" s="38" t="n">
        <x:v>0.0621700045</x:v>
      </x:c>
      <x:c r="L47" s="38" t="n">
        <x:v>0.0034481672</x:v>
      </x:c>
      <x:c r="M47" s="38" t="n">
        <x:v>-0.1318419536</x:v>
      </x:c>
      <x:c r="N47" s="38" t="n">
        <x:v>0.1622805909</x:v>
      </x:c>
      <x:c r="O47" s="38" t="n">
        <x:v>0.0772676117</x:v>
      </x:c>
      <x:c r="P47" s="38" t="n">
        <x:v>-0.0723031258</x:v>
      </x:c>
      <x:c r="Q47" s="38" t="n">
        <x:v>0.075493667</x:v>
      </x:c>
      <x:c r="R47" s="38" t="n">
        <x:v>0.0062531116</x:v>
      </x:c>
      <x:c r="S47" s="38" t="n">
        <x:v>0.0165160353</x:v>
      </x:c>
      <x:c r="T47" s="38" t="n">
        <x:v>0.0619535184</x:v>
      </x:c>
      <x:c r="U47" s="38" t="n">
        <x:v>0.0720578973</x:v>
      </x:c>
      <x:c r="V47" s="38" t="n">
        <x:v>-0.0055144117</x:v>
      </x:c>
      <x:c r="W47" s="38" t="n">
        <x:v>0.0834760861</x:v>
      </x:c>
      <x:c r="X47" s="38" t="n">
        <x:v>-0.0127299367</x:v>
      </x:c>
      <x:c r="Y47" s="38" t="n">
        <x:v>-0.0376677865</x:v>
      </x:c>
      <x:c r="Z47" s="38" t="n">
        <x:v>0.0463924875</x:v>
      </x:c>
      <x:c r="AA47" s="38" t="n">
        <x:v>-0.0626296411</x:v>
      </x:c>
      <x:c r="AB47" s="38" t="n">
        <x:v>0.0336039817</x:v>
      </x:c>
      <x:c r="AC47" s="38" t="n">
        <x:v>0.0082029754</x:v>
      </x:c>
      <x:c r="AD47" s="38" t="n">
        <x:v>-0.0060942841</x:v>
      </x:c>
      <x:c r="AE47" s="38" t="n">
        <x:v>0.01792779</x:v>
      </x:c>
      <x:c r="AF47" s="38" t="n">
        <x:v>-0.0390717619</x:v>
      </x:c>
      <x:c r="AG47" s="38" t="n">
        <x:v>-0.0166746003</x:v>
      </x:c>
      <x:c r="AH47" s="38" t="n">
        <x:v>-0.0091406765</x:v>
      </x:c>
      <x:c r="AI47" s="38" t="n">
        <x:v>0.0182241179</x:v>
      </x:c>
      <x:c r="AJ47" s="38" t="n">
        <x:v>-0.0270489883</x:v>
      </x:c>
      <x:c r="AK47" s="38" t="n">
        <x:v>-0.0136407539</x:v>
      </x:c>
      <x:c r="AL47" s="38" t="n">
        <x:v>0.0085725268</x:v>
      </x:c>
      <x:c r="AM47" s="38" t="n">
        <x:v>0.0054540472</x:v>
      </x:c>
      <x:c r="AN47" s="38" t="n">
        <x:v>0.030592538</x:v>
      </x:c>
      <x:c r="AO47" s="38" t="n">
        <x:v>-0.0028283483</x:v>
      </x:c>
      <x:c r="AP47" s="38" t="n">
        <x:v>0.0097974626</x:v>
      </x:c>
      <x:c r="AQ47" s="38" t="n">
        <x:v>-0.0089732286</x:v>
      </x:c>
      <x:c r="AR47" s="38" t="n">
        <x:v>0.0023009104</x:v>
      </x:c>
    </x:row>
    <x:row r="48" ht="19" customHeight="1">
      <x:c r="A48" s="39" t="d">
        <x:v>2024-07-15T00:00:00.000Z</x:v>
      </x:c>
      <x:c r="B48" s="38" t="n">
        <x:v>0.007122467</x:v>
      </x:c>
      <x:c r="C48" s="38" t="n">
        <x:v>0.214315472</x:v>
      </x:c>
      <x:c r="D48" s="38" t="n">
        <x:v>-0.1203288344</x:v>
      </x:c>
      <x:c r="E48" s="38" t="n">
        <x:v>-0.1543490181</x:v>
      </x:c>
      <x:c r="F48" s="38" t="n">
        <x:v>-0.0929129498</x:v>
      </x:c>
      <x:c r="G48" s="38" t="n">
        <x:v>-0.1724233532</x:v>
      </x:c>
      <x:c r="H48" s="38" t="n">
        <x:v>-0.1025523122</x:v>
      </x:c>
      <x:c r="I48" s="38" t="n">
        <x:v>-0.0675934393</x:v>
      </x:c>
      <x:c r="J48" s="38" t="n">
        <x:v>0.1158050102</x:v>
      </x:c>
      <x:c r="K48" s="38" t="n">
        <x:v>0.1912892115</x:v>
      </x:c>
      <x:c r="L48" s="38" t="n">
        <x:v>0.0370742926</x:v>
      </x:c>
      <x:c r="M48" s="38" t="n">
        <x:v>-0.0803717692</x:v>
      </x:c>
      <x:c r="N48" s="38" t="n">
        <x:v>-0.1438344366</x:v>
      </x:c>
      <x:c r="O48" s="38" t="n">
        <x:v>0.0782123663</x:v>
      </x:c>
      <x:c r="P48" s="38" t="n">
        <x:v>0.0963159864</x:v>
      </x:c>
      <x:c r="Q48" s="38" t="n">
        <x:v>-0.0080581441</x:v>
      </x:c>
      <x:c r="R48" s="38" t="n">
        <x:v>0.0267942234</x:v>
      </x:c>
      <x:c r="S48" s="38" t="n">
        <x:v>0.0183205881</x:v>
      </x:c>
      <x:c r="T48" s="38" t="n">
        <x:v>-0.0818244304</x:v>
      </x:c>
      <x:c r="U48" s="38" t="n">
        <x:v>0.044612229</x:v>
      </x:c>
      <x:c r="V48" s="38" t="n">
        <x:v>0.031727761</x:v>
      </x:c>
      <x:c r="W48" s="38" t="n">
        <x:v>0.0087698799</x:v>
      </x:c>
      <x:c r="X48" s="38" t="n">
        <x:v>-0.0141604799</x:v>
      </x:c>
      <x:c r="Y48" s="38" t="n">
        <x:v>0.004987981</x:v>
      </x:c>
      <x:c r="Z48" s="38" t="n">
        <x:v>-0.001677654</x:v>
      </x:c>
      <x:c r="AA48" s="38" t="n">
        <x:v>-0.0766748411</x:v>
      </x:c>
      <x:c r="AB48" s="38" t="n">
        <x:v>0.0095926482</x:v>
      </x:c>
      <x:c r="AC48" s="38" t="n">
        <x:v>0.0224620302</x:v>
      </x:c>
      <x:c r="AD48" s="38" t="n">
        <x:v>0.0260913852</x:v>
      </x:c>
      <x:c r="AE48" s="38" t="n">
        <x:v>0.0088302516</x:v>
      </x:c>
      <x:c r="AF48" s="38" t="n">
        <x:v>0.0191174395</x:v>
      </x:c>
      <x:c r="AG48" s="38" t="n">
        <x:v>0.0135282112</x:v>
      </x:c>
      <x:c r="AH48" s="38" t="n">
        <x:v>0.0192987607</x:v>
      </x:c>
      <x:c r="AI48" s="38" t="n">
        <x:v>-0.0121194126</x:v>
      </x:c>
      <x:c r="AJ48" s="38" t="n">
        <x:v>-0.0094531793</x:v>
      </x:c>
      <x:c r="AK48" s="38" t="n">
        <x:v>0.0070963142</x:v>
      </x:c>
      <x:c r="AL48" s="38" t="n">
        <x:v>-0.0437028768</x:v>
      </x:c>
      <x:c r="AM48" s="38" t="n">
        <x:v>-0.0039293739</x:v>
      </x:c>
      <x:c r="AN48" s="38" t="n">
        <x:v>0.0172159239</x:v>
      </x:c>
      <x:c r="AO48" s="38" t="n">
        <x:v>0.009858377</x:v>
      </x:c>
      <x:c r="AP48" s="38" t="n">
        <x:v>-0.0243375501</x:v>
      </x:c>
      <x:c r="AQ48" s="38" t="n">
        <x:v>0.0027389255</x:v>
      </x:c>
      <x:c r="AR48" s="38" t="n">
        <x:v>0.0082092427</x:v>
      </x:c>
    </x:row>
    <x:row r="49" ht="19" customHeight="1">
      <x:c r="A49" s="39" t="d">
        <x:v>2024-08-12T00:00:00.000Z</x:v>
      </x:c>
      <x:c r="B49" s="38" t="n">
        <x:v>0.1355148658</x:v>
      </x:c>
      <x:c r="C49" s="38" t="n">
        <x:v>0.2253199277</x:v>
      </x:c>
      <x:c r="D49" s="38" t="n">
        <x:v>-0.2161385317</x:v>
      </x:c>
      <x:c r="E49" s="38" t="n">
        <x:v>-0.1334641871</x:v>
      </x:c>
      <x:c r="F49" s="38" t="n">
        <x:v>-0.3433741833</x:v>
      </x:c>
      <x:c r="G49" s="38" t="n">
        <x:v>0.1200711372</x:v>
      </x:c>
      <x:c r="H49" s="38" t="n">
        <x:v>-0.0597431404</x:v>
      </x:c>
      <x:c r="I49" s="38" t="n">
        <x:v>0.1036641823</x:v>
      </x:c>
      <x:c r="J49" s="38" t="n">
        <x:v>-0.1401991948</x:v>
      </x:c>
      <x:c r="K49" s="38" t="n">
        <x:v>-0.0267745195</x:v>
      </x:c>
      <x:c r="L49" s="38" t="n">
        <x:v>-0.1171210311</x:v>
      </x:c>
      <x:c r="M49" s="38" t="n">
        <x:v>0.0896214111</x:v>
      </x:c>
      <x:c r="N49" s="38" t="n">
        <x:v>-0.0465753142</x:v>
      </x:c>
      <x:c r="O49" s="38" t="n">
        <x:v>-0.1553060273</x:v>
      </x:c>
      <x:c r="P49" s="38" t="n">
        <x:v>-0.0545659469</x:v>
      </x:c>
      <x:c r="Q49" s="38" t="n">
        <x:v>0.1122731712</x:v>
      </x:c>
      <x:c r="R49" s="38" t="n">
        <x:v>0.0047392331</x:v>
      </x:c>
      <x:c r="S49" s="38" t="n">
        <x:v>-0.2007678574</x:v>
      </x:c>
      <x:c r="T49" s="38" t="n">
        <x:v>0.047410899</x:v>
      </x:c>
      <x:c r="U49" s="38" t="n">
        <x:v>0.123921124</x:v>
      </x:c>
      <x:c r="V49" s="38" t="n">
        <x:v>0.0910073682</x:v>
      </x:c>
      <x:c r="W49" s="38" t="n">
        <x:v>-0.0216044673</x:v>
      </x:c>
      <x:c r="X49" s="38" t="n">
        <x:v>0.0097551399</x:v>
      </x:c>
      <x:c r="Y49" s="38" t="n">
        <x:v>0.029810958</x:v>
      </x:c>
      <x:c r="Z49" s="38" t="n">
        <x:v>0.0132214741</x:v>
      </x:c>
      <x:c r="AA49" s="38" t="n">
        <x:v>-0.030401991</x:v>
      </x:c>
      <x:c r="AB49" s="38" t="n">
        <x:v>0.0605857364</x:v>
      </x:c>
      <x:c r="AC49" s="38" t="n">
        <x:v>0.0371354046</x:v>
      </x:c>
      <x:c r="AD49" s="38" t="n">
        <x:v>-0.0280114512</x:v>
      </x:c>
      <x:c r="AE49" s="38" t="n">
        <x:v>-0.0291748282</x:v>
      </x:c>
      <x:c r="AF49" s="38" t="n">
        <x:v>0.037609153</x:v>
      </x:c>
      <x:c r="AG49" s="38" t="n">
        <x:v>-0.0430005297</x:v>
      </x:c>
      <x:c r="AH49" s="38" t="n">
        <x:v>-0.0242819364</x:v>
      </x:c>
      <x:c r="AI49" s="38" t="n">
        <x:v>0.0420589415</x:v>
      </x:c>
      <x:c r="AJ49" s="38" t="n">
        <x:v>-0.0301433512</x:v>
      </x:c>
      <x:c r="AK49" s="38" t="n">
        <x:v>0.0150668722</x:v>
      </x:c>
      <x:c r="AL49" s="38" t="n">
        <x:v>0.0159092391</x:v>
      </x:c>
      <x:c r="AM49" s="38" t="n">
        <x:v>0.0278742466</x:v>
      </x:c>
      <x:c r="AN49" s="38" t="n">
        <x:v>-0.012826887</x:v>
      </x:c>
      <x:c r="AO49" s="38" t="n">
        <x:v>0.0016544081</x:v>
      </x:c>
      <x:c r="AP49" s="38" t="n">
        <x:v>0.0071434041</x:v>
      </x:c>
      <x:c r="AQ49" s="38" t="n">
        <x:v>0.0020858096</x:v>
      </x:c>
      <x:c r="AR49" s="38" t="n">
        <x:v>0.0063011351</x:v>
      </x:c>
    </x:row>
    <x:row r="50" ht="19" customHeight="1">
      <x:c r="A50" s="39" t="d">
        <x:v>2024-09-09T00:00:00.000Z</x:v>
      </x:c>
      <x:c r="B50" s="38" t="n">
        <x:v>-0.0656184584</x:v>
      </x:c>
      <x:c r="C50" s="38" t="n">
        <x:v>0.229647778</x:v>
      </x:c>
      <x:c r="D50" s="38" t="n">
        <x:v>0.1939772642</x:v>
      </x:c>
      <x:c r="E50" s="38" t="n">
        <x:v>-0.1371906275</x:v>
      </x:c>
      <x:c r="F50" s="38" t="n">
        <x:v>-0.4509828952</x:v>
      </x:c>
      <x:c r="G50" s="38" t="n">
        <x:v>-0.065703934</x:v>
      </x:c>
      <x:c r="H50" s="38" t="n">
        <x:v>0.0562223706</x:v>
      </x:c>
      <x:c r="I50" s="38" t="n">
        <x:v>0.1759377544</x:v>
      </x:c>
      <x:c r="J50" s="38" t="n">
        <x:v>-0.233902273</x:v>
      </x:c>
      <x:c r="K50" s="38" t="n">
        <x:v>-0.0721006004</x:v>
      </x:c>
      <x:c r="L50" s="38" t="n">
        <x:v>0.011791379</x:v>
      </x:c>
      <x:c r="M50" s="38" t="n">
        <x:v>0.0253411427</x:v>
      </x:c>
      <x:c r="N50" s="38" t="n">
        <x:v>0.1333995971</x:v>
      </x:c>
      <x:c r="O50" s="38" t="n">
        <x:v>0.0899817815</x:v>
      </x:c>
      <x:c r="P50" s="38" t="n">
        <x:v>0.0535559306</x:v>
      </x:c>
      <x:c r="Q50" s="38" t="n">
        <x:v>-0.1101362558</x:v>
      </x:c>
      <x:c r="R50" s="38" t="n">
        <x:v>-0.0244572793</x:v>
      </x:c>
      <x:c r="S50" s="38" t="n">
        <x:v>0.0715217812</x:v>
      </x:c>
      <x:c r="T50" s="38" t="n">
        <x:v>-0.0384040161</x:v>
      </x:c>
      <x:c r="U50" s="38" t="n">
        <x:v>-0.030117565</x:v>
      </x:c>
      <x:c r="V50" s="38" t="n">
        <x:v>-0.0224002641</x:v>
      </x:c>
      <x:c r="W50" s="38" t="n">
        <x:v>-0.0536820713</x:v>
      </x:c>
      <x:c r="X50" s="38" t="n">
        <x:v>-0.000455628</x:v>
      </x:c>
      <x:c r="Y50" s="38" t="n">
        <x:v>-0.0204858497</x:v>
      </x:c>
      <x:c r="Z50" s="38" t="n">
        <x:v>0.0303708726</x:v>
      </x:c>
      <x:c r="AA50" s="38" t="n">
        <x:v>-0.0763505122</x:v>
      </x:c>
      <x:c r="AB50" s="38" t="n">
        <x:v>-0.0342546936</x:v>
      </x:c>
      <x:c r="AC50" s="38" t="n">
        <x:v>0.0363868191</x:v>
      </x:c>
      <x:c r="AD50" s="38" t="n">
        <x:v>0.0342862545</x:v>
      </x:c>
      <x:c r="AE50" s="38" t="n">
        <x:v>0.0051998209</x:v>
      </x:c>
      <x:c r="AF50" s="38" t="n">
        <x:v>0.0152022034</x:v>
      </x:c>
      <x:c r="AG50" s="38" t="n">
        <x:v>0.0181076837</x:v>
      </x:c>
      <x:c r="AH50" s="38" t="n">
        <x:v>-0.0227532876</x:v>
      </x:c>
      <x:c r="AI50" s="38" t="n">
        <x:v>0.013047905</x:v>
      </x:c>
      <x:c r="AJ50" s="38" t="n">
        <x:v>-0.0460662369</x:v>
      </x:c>
      <x:c r="AK50" s="38" t="n">
        <x:v>0.0058588475</x:v>
      </x:c>
      <x:c r="AL50" s="38" t="n">
        <x:v>-0.0092495428</x:v>
      </x:c>
      <x:c r="AM50" s="38" t="n">
        <x:v>0.0078675294</x:v>
      </x:c>
      <x:c r="AN50" s="38" t="n">
        <x:v>0.0073054423</x:v>
      </x:c>
      <x:c r="AO50" s="38" t="n">
        <x:v>-0.0162699635</x:v>
      </x:c>
      <x:c r="AP50" s="38" t="n">
        <x:v>-0.0195760912</x:v>
      </x:c>
      <x:c r="AQ50" s="38" t="n">
        <x:v>0.0082882337</x:v>
      </x:c>
      <x:c r="AR50" s="38" t="n">
        <x:v>-0.018748892</x:v>
      </x:c>
    </x:row>
    <x:row r="51" ht="19" customHeight="1">
      <x:c r="A51" s="39" t="d">
        <x:v>2024-10-07T00:00:00.000Z</x:v>
      </x:c>
      <x:c r="B51" s="38" t="n">
        <x:v>0.1964240234</x:v>
      </x:c>
      <x:c r="C51" s="38" t="n">
        <x:v>-0.0830436544</x:v>
      </x:c>
      <x:c r="D51" s="38" t="n">
        <x:v>-0.1692654264</x:v>
      </x:c>
      <x:c r="E51" s="38" t="n">
        <x:v>-0.0922722628</x:v>
      </x:c>
      <x:c r="F51" s="38" t="n">
        <x:v>0.0936953392</x:v>
      </x:c>
      <x:c r="G51" s="38" t="n">
        <x:v>0.2493856315</x:v>
      </x:c>
      <x:c r="H51" s="38" t="n">
        <x:v>0.0416924977</x:v>
      </x:c>
      <x:c r="I51" s="38" t="n">
        <x:v>-0.0931541381</x:v>
      </x:c>
      <x:c r="J51" s="38" t="n">
        <x:v>-0.1849104908</x:v>
      </x:c>
      <x:c r="K51" s="38" t="n">
        <x:v>-0.0301281336</x:v>
      </x:c>
      <x:c r="L51" s="38" t="n">
        <x:v>0.0242713381</x:v>
      </x:c>
      <x:c r="M51" s="38" t="n">
        <x:v>0.1383096528</x:v>
      </x:c>
      <x:c r="N51" s="38" t="n">
        <x:v>-0.0020589526</x:v>
      </x:c>
      <x:c r="O51" s="38" t="n">
        <x:v>-0.0655435913</x:v>
      </x:c>
      <x:c r="P51" s="38" t="n">
        <x:v>0.1214933629</x:v>
      </x:c>
      <x:c r="Q51" s="38" t="n">
        <x:v>-0.0269434205</x:v>
      </x:c>
      <x:c r="R51" s="38" t="n">
        <x:v>0.0573756076</x:v>
      </x:c>
      <x:c r="S51" s="38" t="n">
        <x:v>0.0263242313</x:v>
      </x:c>
      <x:c r="T51" s="38" t="n">
        <x:v>-0.0381128787</x:v>
      </x:c>
      <x:c r="U51" s="38" t="n">
        <x:v>0.0135440479</x:v>
      </x:c>
      <x:c r="V51" s="38" t="n">
        <x:v>0.0448630123</x:v>
      </x:c>
      <x:c r="W51" s="38" t="n">
        <x:v>-0.0940455454</x:v>
      </x:c>
      <x:c r="X51" s="38" t="n">
        <x:v>-0.1172826995</x:v>
      </x:c>
      <x:c r="Y51" s="38" t="n">
        <x:v>0.0333159566</x:v>
      </x:c>
      <x:c r="Z51" s="38" t="n">
        <x:v>0.0606543296</x:v>
      </x:c>
      <x:c r="AA51" s="38" t="n">
        <x:v>-0.0078913288</x:v>
      </x:c>
      <x:c r="AB51" s="38" t="n">
        <x:v>0.0148061805</x:v>
      </x:c>
      <x:c r="AC51" s="38" t="n">
        <x:v>0.0236837405</x:v>
      </x:c>
      <x:c r="AD51" s="38" t="n">
        <x:v>0.0194468586</x:v>
      </x:c>
      <x:c r="AE51" s="38" t="n">
        <x:v>0.0432959629</x:v>
      </x:c>
      <x:c r="AF51" s="38" t="n">
        <x:v>-0.0240913865</x:v>
      </x:c>
      <x:c r="AG51" s="38" t="n">
        <x:v>-0.0290191425</x:v>
      </x:c>
      <x:c r="AH51" s="38" t="n">
        <x:v>-0.0180607591</x:v>
      </x:c>
      <x:c r="AI51" s="38" t="n">
        <x:v>-0.0067496375</x:v>
      </x:c>
      <x:c r="AJ51" s="38" t="n">
        <x:v>-0.0257671693</x:v>
      </x:c>
      <x:c r="AK51" s="38" t="n">
        <x:v>-0.0367099586</x:v>
      </x:c>
      <x:c r="AL51" s="38" t="n">
        <x:v>-0.0249843694</x:v>
      </x:c>
      <x:c r="AM51" s="38" t="n">
        <x:v>-0.0198009059</x:v>
      </x:c>
      <x:c r="AN51" s="38" t="n">
        <x:v>0.0010521129</x:v>
      </x:c>
      <x:c r="AO51" s="38" t="n">
        <x:v>0.0009209598</x:v>
      </x:c>
      <x:c r="AP51" s="38" t="n">
        <x:v>0.0150071879</x:v>
      </x:c>
      <x:c r="AQ51" s="38" t="n">
        <x:v>-0.0110937876</x:v>
      </x:c>
      <x:c r="AR51" s="38" t="n">
        <x:v>-0.0220193777</x:v>
      </x:c>
    </x:row>
    <x:row r="52" ht="19" customHeight="1">
      <x:c r="A52" s="39" t="d">
        <x:v>2024-11-04T00:00:00.000Z</x:v>
      </x:c>
      <x:c r="B52" s="38" t="n">
        <x:v>0.1402740388</x:v>
      </x:c>
      <x:c r="C52" s="38" t="n">
        <x:v>0.2712027622</x:v>
      </x:c>
      <x:c r="D52" s="38" t="n">
        <x:v>0.1032397858</x:v>
      </x:c>
      <x:c r="E52" s="38" t="n">
        <x:v>-0.4372984254</x:v>
      </x:c>
      <x:c r="F52" s="38" t="n">
        <x:v>0.2207647735</x:v>
      </x:c>
      <x:c r="G52" s="38" t="n">
        <x:v>0.2172708258</x:v>
      </x:c>
      <x:c r="H52" s="38" t="n">
        <x:v>-0.0937394003</x:v>
      </x:c>
      <x:c r="I52" s="38" t="n">
        <x:v>0.084194197</x:v>
      </x:c>
      <x:c r="J52" s="38" t="n">
        <x:v>-0.4320433526</x:v>
      </x:c>
      <x:c r="K52" s="38" t="n">
        <x:v>0.2489279856</x:v>
      </x:c>
      <x:c r="L52" s="38" t="n">
        <x:v>0.1093274289</x:v>
      </x:c>
      <x:c r="M52" s="38" t="n">
        <x:v>-0.2169632097</x:v>
      </x:c>
      <x:c r="N52" s="38" t="n">
        <x:v>-0.0674055007</x:v>
      </x:c>
      <x:c r="O52" s="38" t="n">
        <x:v>-0.0290891353</x:v>
      </x:c>
      <x:c r="P52" s="38" t="n">
        <x:v>-0.0617483652</x:v>
      </x:c>
      <x:c r="Q52" s="38" t="n">
        <x:v>0.1380929548</x:v>
      </x:c>
      <x:c r="R52" s="38" t="n">
        <x:v>-0.1217496212</x:v>
      </x:c>
      <x:c r="S52" s="38" t="n">
        <x:v>0.055112949</x:v>
      </x:c>
      <x:c r="T52" s="38" t="n">
        <x:v>-0.0518644079</x:v>
      </x:c>
      <x:c r="U52" s="38" t="n">
        <x:v>-0.027248116</x:v>
      </x:c>
      <x:c r="V52" s="38" t="n">
        <x:v>0.0446125042</x:v>
      </x:c>
      <x:c r="W52" s="38" t="n">
        <x:v>-0.0472120517</x:v>
      </x:c>
      <x:c r="X52" s="38" t="n">
        <x:v>0.0223521572</x:v>
      </x:c>
      <x:c r="Y52" s="38" t="n">
        <x:v>0.0179851516</x:v>
      </x:c>
      <x:c r="Z52" s="38" t="n">
        <x:v>-0.0516733615</x:v>
      </x:c>
      <x:c r="AA52" s="38" t="n">
        <x:v>0.080183722</x:v>
      </x:c>
      <x:c r="AB52" s="38" t="n">
        <x:v>-0.0360878466</x:v>
      </x:c>
      <x:c r="AC52" s="38" t="n">
        <x:v>-0.0481526033</x:v>
      </x:c>
      <x:c r="AD52" s="38" t="n">
        <x:v>-0.0479661588</x:v>
      </x:c>
      <x:c r="AE52" s="38" t="n">
        <x:v>-0.0046035946</x:v>
      </x:c>
      <x:c r="AF52" s="38" t="n">
        <x:v>-0.0097644853</x:v>
      </x:c>
      <x:c r="AG52" s="38" t="n">
        <x:v>0.0473701701</x:v>
      </x:c>
      <x:c r="AH52" s="38" t="n">
        <x:v>0.0005000721</x:v>
      </x:c>
      <x:c r="AI52" s="38" t="n">
        <x:v>-0.0106367302</x:v>
      </x:c>
      <x:c r="AJ52" s="38" t="n">
        <x:v>-0.0000402779</x:v>
      </x:c>
      <x:c r="AK52" s="38" t="n">
        <x:v>0.0213286558</x:v>
      </x:c>
      <x:c r="AL52" s="38" t="n">
        <x:v>-0.0085502116</x:v>
      </x:c>
      <x:c r="AM52" s="38" t="n">
        <x:v>-0.0003379299</x:v>
      </x:c>
      <x:c r="AN52" s="38" t="n">
        <x:v>0.0143790711</x:v>
      </x:c>
      <x:c r="AO52" s="38" t="n">
        <x:v>0.006220985</x:v>
      </x:c>
      <x:c r="AP52" s="38" t="n">
        <x:v>-0.011346797</x:v>
      </x:c>
      <x:c r="AQ52" s="38" t="n">
        <x:v>-0.0130211459</x:v>
      </x:c>
      <x:c r="AR52" s="38" t="n">
        <x:v>0.0074018824</x:v>
      </x:c>
    </x:row>
    <x:row r="53" ht="19" customHeight="1">
      <x:c r="A53" s="39" t="d">
        <x:v>2024-12-02T00:00:00.000Z</x:v>
      </x:c>
      <x:c r="B53" s="38" t="n">
        <x:v>0.0787689757</x:v>
      </x:c>
      <x:c r="C53" s="38" t="n">
        <x:v>-0.009568825</x:v>
      </x:c>
      <x:c r="D53" s="38" t="n">
        <x:v>-0.1515660211</x:v>
      </x:c>
      <x:c r="E53" s="38" t="n">
        <x:v>0.0735122509</x:v>
      </x:c>
      <x:c r="F53" s="38" t="n">
        <x:v>0.0661093282</x:v>
      </x:c>
      <x:c r="G53" s="38" t="n">
        <x:v>0.2660693989</x:v>
      </x:c>
      <x:c r="H53" s="38" t="n">
        <x:v>0.0013590141</x:v>
      </x:c>
      <x:c r="I53" s="38" t="n">
        <x:v>0.1347839369</x:v>
      </x:c>
      <x:c r="J53" s="38" t="n">
        <x:v>0.0730355104</x:v>
      </x:c>
      <x:c r="K53" s="38" t="n">
        <x:v>0.0387379085</x:v>
      </x:c>
      <x:c r="L53" s="38" t="n">
        <x:v>-0.12473365</x:v>
      </x:c>
      <x:c r="M53" s="38" t="n">
        <x:v>0.030176171</x:v>
      </x:c>
      <x:c r="N53" s="38" t="n">
        <x:v>0.0618954709</x:v>
      </x:c>
      <x:c r="O53" s="38" t="n">
        <x:v>-0.0487312632</x:v>
      </x:c>
      <x:c r="P53" s="38" t="n">
        <x:v>-0.1119061628</x:v>
      </x:c>
      <x:c r="Q53" s="38" t="n">
        <x:v>0.0024923845</x:v>
      </x:c>
      <x:c r="R53" s="38" t="n">
        <x:v>0.1282708175</x:v>
      </x:c>
      <x:c r="S53" s="38" t="n">
        <x:v>0.146453167</x:v>
      </x:c>
      <x:c r="T53" s="38" t="n">
        <x:v>0.0930020695</x:v>
      </x:c>
      <x:c r="U53" s="38" t="n">
        <x:v>-0.0428752069</x:v>
      </x:c>
      <x:c r="V53" s="38" t="n">
        <x:v>0.0147066296</x:v>
      </x:c>
      <x:c r="W53" s="38" t="n">
        <x:v>-0.0350152381</x:v>
      </x:c>
      <x:c r="X53" s="38" t="n">
        <x:v>0.0141168523</x:v>
      </x:c>
      <x:c r="Y53" s="38" t="n">
        <x:v>0.0274477078</x:v>
      </x:c>
      <x:c r="Z53" s="38" t="n">
        <x:v>0.0189043114</x:v>
      </x:c>
      <x:c r="AA53" s="38" t="n">
        <x:v>0.0169112444</x:v>
      </x:c>
      <x:c r="AB53" s="38" t="n">
        <x:v>-0.0452198122</x:v>
      </x:c>
      <x:c r="AC53" s="38" t="n">
        <x:v>-0.053848117</x:v>
      </x:c>
      <x:c r="AD53" s="38" t="n">
        <x:v>-0.0012507822</x:v>
      </x:c>
      <x:c r="AE53" s="38" t="n">
        <x:v>0.0125440603</x:v>
      </x:c>
      <x:c r="AF53" s="38" t="n">
        <x:v>0.0266098867</x:v>
      </x:c>
      <x:c r="AG53" s="38" t="n">
        <x:v>0.0466608172</x:v>
      </x:c>
      <x:c r="AH53" s="38" t="n">
        <x:v>-0.0084687062</x:v>
      </x:c>
      <x:c r="AI53" s="38" t="n">
        <x:v>0.0344237873</x:v>
      </x:c>
      <x:c r="AJ53" s="38" t="n">
        <x:v>0.05348302</x:v>
      </x:c>
      <x:c r="AK53" s="38" t="n">
        <x:v>0.0121207369</x:v>
      </x:c>
      <x:c r="AL53" s="38" t="n">
        <x:v>-0.0319039819</x:v>
      </x:c>
      <x:c r="AM53" s="38" t="n">
        <x:v>0.0512646969</x:v>
      </x:c>
      <x:c r="AN53" s="38" t="n">
        <x:v>0.017837915</x:v>
      </x:c>
      <x:c r="AO53" s="38" t="n">
        <x:v>0.0111837747</x:v>
      </x:c>
      <x:c r="AP53" s="38" t="n">
        <x:v>0.0017434354</x:v>
      </x:c>
      <x:c r="AQ53" s="38" t="n">
        <x:v>0.0145349737</x:v>
      </x:c>
      <x:c r="AR53" s="38" t="n">
        <x:v>-0.0226380775</x:v>
      </x:c>
    </x:row>
    <x:row r="54" ht="19" customHeight="1">
      <x:c r="A54" s="39" t="d">
        <x:v>2024-12-30T00:00:00.000Z</x:v>
      </x:c>
      <x:c r="B54" s="38" t="n">
        <x:v>-0.006156309</x:v>
      </x:c>
      <x:c r="C54" s="38" t="n">
        <x:v>-0.2328223541</x:v>
      </x:c>
      <x:c r="D54" s="38" t="n">
        <x:v>-0.136705612</x:v>
      </x:c>
      <x:c r="E54" s="38" t="n">
        <x:v>0.079233815</x:v>
      </x:c>
      <x:c r="F54" s="38" t="n">
        <x:v>0.1434572908</x:v>
      </x:c>
      <x:c r="G54" s="38" t="n">
        <x:v>-0.16294177</x:v>
      </x:c>
      <x:c r="H54" s="38" t="n">
        <x:v>-0.0299680788</x:v>
      </x:c>
      <x:c r="I54" s="38" t="n">
        <x:v>-0.0300683642</x:v>
      </x:c>
      <x:c r="J54" s="38" t="n">
        <x:v>0.1142378576</x:v>
      </x:c>
      <x:c r="K54" s="38" t="n">
        <x:v>0.0614918834</x:v>
      </x:c>
      <x:c r="L54" s="38" t="n">
        <x:v>0.0448517242</x:v>
      </x:c>
      <x:c r="M54" s="38" t="n">
        <x:v>-0.023377518</x:v>
      </x:c>
      <x:c r="N54" s="38" t="n">
        <x:v>-0.123760944</x:v>
      </x:c>
      <x:c r="O54" s="38" t="n">
        <x:v>-0.2040291082</x:v>
      </x:c>
      <x:c r="P54" s="38" t="n">
        <x:v>-0.0202793018</x:v>
      </x:c>
      <x:c r="Q54" s="38" t="n">
        <x:v>0.0635162764</x:v>
      </x:c>
      <x:c r="R54" s="38" t="n">
        <x:v>0.0038329415</x:v>
      </x:c>
      <x:c r="S54" s="38" t="n">
        <x:v>0.0071335789</x:v>
      </x:c>
      <x:c r="T54" s="38" t="n">
        <x:v>0.0846301491</x:v>
      </x:c>
      <x:c r="U54" s="38" t="n">
        <x:v>-0.1017433784</x:v>
      </x:c>
      <x:c r="V54" s="38" t="n">
        <x:v>-0.0465805251</x:v>
      </x:c>
      <x:c r="W54" s="38" t="n">
        <x:v>-0.1068347882</x:v>
      </x:c>
      <x:c r="X54" s="38" t="n">
        <x:v>0.1141097262</x:v>
      </x:c>
      <x:c r="Y54" s="38" t="n">
        <x:v>0.0286351063</x:v>
      </x:c>
      <x:c r="Z54" s="38" t="n">
        <x:v>-0.0155245019</x:v>
      </x:c>
      <x:c r="AA54" s="38" t="n">
        <x:v>-0.0542424166</x:v>
      </x:c>
      <x:c r="AB54" s="38" t="n">
        <x:v>-0.0126612023</x:v>
      </x:c>
      <x:c r="AC54" s="38" t="n">
        <x:v>-0.0274049235</x:v>
      </x:c>
      <x:c r="AD54" s="38" t="n">
        <x:v>-0.0290170367</x:v>
      </x:c>
      <x:c r="AE54" s="38" t="n">
        <x:v>0.0116930674</x:v>
      </x:c>
      <x:c r="AF54" s="38" t="n">
        <x:v>0.0176973961</x:v>
      </x:c>
      <x:c r="AG54" s="38" t="n">
        <x:v>-0.043075007</x:v>
      </x:c>
      <x:c r="AH54" s="38" t="n">
        <x:v>-0.0337758523</x:v>
      </x:c>
      <x:c r="AI54" s="38" t="n">
        <x:v>-0.0078899408</x:v>
      </x:c>
      <x:c r="AJ54" s="38" t="n">
        <x:v>-0.0081560845</x:v>
      </x:c>
      <x:c r="AK54" s="38" t="n">
        <x:v>-0.0210712278</x:v>
      </x:c>
      <x:c r="AL54" s="38" t="n">
        <x:v>-0.0460986711</x:v>
      </x:c>
      <x:c r="AM54" s="38" t="n">
        <x:v>-0.0409978318</x:v>
      </x:c>
      <x:c r="AN54" s="38" t="n">
        <x:v>0.0031668105</x:v>
      </x:c>
      <x:c r="AO54" s="38" t="n">
        <x:v>0.0136395411</x:v>
      </x:c>
      <x:c r="AP54" s="38" t="n">
        <x:v>0.0081544364</x:v>
      </x:c>
      <x:c r="AQ54" s="38" t="n">
        <x:v>-0.0055180523</x:v>
      </x:c>
      <x:c r="AR54" s="38" t="n">
        <x:v>-0.0008495388</x:v>
      </x:c>
    </x:row>
    <x:row r="55" ht="19" customHeight="1">
      <x:c r="A55" s="39" t="d">
        <x:v>2025-01-27T00:00:00.000Z</x:v>
      </x:c>
      <x:c r="B55" s="38" t="n">
        <x:v>-0.2827089164</x:v>
      </x:c>
      <x:c r="C55" s="38" t="n">
        <x:v>0.1097496599</x:v>
      </x:c>
      <x:c r="D55" s="38" t="n">
        <x:v>-0.4667040713</x:v>
      </x:c>
      <x:c r="E55" s="38" t="n">
        <x:v>0.0579913402</x:v>
      </x:c>
      <x:c r="F55" s="38" t="n">
        <x:v>0.0199053702</x:v>
      </x:c>
      <x:c r="G55" s="38" t="n">
        <x:v>0.1509686537</x:v>
      </x:c>
      <x:c r="H55" s="38" t="n">
        <x:v>0.033846587</x:v>
      </x:c>
      <x:c r="I55" s="38" t="n">
        <x:v>0.0743222792</x:v>
      </x:c>
      <x:c r="J55" s="38" t="n">
        <x:v>0.1589657008</x:v>
      </x:c>
      <x:c r="K55" s="38" t="n">
        <x:v>-0.1322599258</x:v>
      </x:c>
      <x:c r="L55" s="38" t="n">
        <x:v>0.0752209208</x:v>
      </x:c>
      <x:c r="M55" s="38" t="n">
        <x:v>-0.015768492</x:v>
      </x:c>
      <x:c r="N55" s="38" t="n">
        <x:v>-0.012914842</x:v>
      </x:c>
      <x:c r="O55" s="38" t="n">
        <x:v>-0.0658815703</x:v>
      </x:c>
      <x:c r="P55" s="38" t="n">
        <x:v>0.0290073549</x:v>
      </x:c>
      <x:c r="Q55" s="38" t="n">
        <x:v>0.0630045643</x:v>
      </x:c>
      <x:c r="R55" s="38" t="n">
        <x:v>-0.0871882213</x:v>
      </x:c>
      <x:c r="S55" s="38" t="n">
        <x:v>-0.0935777239</x:v>
      </x:c>
      <x:c r="T55" s="38" t="n">
        <x:v>0.0151532975</x:v>
      </x:c>
      <x:c r="U55" s="38" t="n">
        <x:v>-0.1853908896</x:v>
      </x:c>
      <x:c r="V55" s="38" t="n">
        <x:v>-0.0628777511</x:v>
      </x:c>
      <x:c r="W55" s="38" t="n">
        <x:v>0.039283713</x:v>
      </x:c>
      <x:c r="X55" s="38" t="n">
        <x:v>0.0112964772</x:v>
      </x:c>
      <x:c r="Y55" s="38" t="n">
        <x:v>-0.0204078343</x:v>
      </x:c>
      <x:c r="Z55" s="38" t="n">
        <x:v>-0.0835703055</x:v>
      </x:c>
      <x:c r="AA55" s="38" t="n">
        <x:v>0.0072674642</x:v>
      </x:c>
      <x:c r="AB55" s="38" t="n">
        <x:v>0.0350993355</x:v>
      </x:c>
      <x:c r="AC55" s="38" t="n">
        <x:v>0.0662281437</x:v>
      </x:c>
      <x:c r="AD55" s="38" t="n">
        <x:v>-0.0462110592</x:v>
      </x:c>
      <x:c r="AE55" s="38" t="n">
        <x:v>0.0179518158</x:v>
      </x:c>
      <x:c r="AF55" s="38" t="n">
        <x:v>-0.0889162614</x:v>
      </x:c>
      <x:c r="AG55" s="38" t="n">
        <x:v>0.0061129265</x:v>
      </x:c>
      <x:c r="AH55" s="38" t="n">
        <x:v>-0.0598483359</x:v>
      </x:c>
      <x:c r="AI55" s="38" t="n">
        <x:v>-0.0102463136</x:v>
      </x:c>
      <x:c r="AJ55" s="38" t="n">
        <x:v>0.014369915</x:v>
      </x:c>
      <x:c r="AK55" s="38" t="n">
        <x:v>0.0293216181</x:v>
      </x:c>
      <x:c r="AL55" s="38" t="n">
        <x:v>-0.0097784675</x:v>
      </x:c>
      <x:c r="AM55" s="38" t="n">
        <x:v>0.0116680572</x:v>
      </x:c>
      <x:c r="AN55" s="38" t="n">
        <x:v>0.0049572238</x:v>
      </x:c>
      <x:c r="AO55" s="38" t="n">
        <x:v>-0.0159996825</x:v>
      </x:c>
      <x:c r="AP55" s="38" t="n">
        <x:v>-0.0052295771</x:v>
      </x:c>
      <x:c r="AQ55" s="38" t="n">
        <x:v>-0.0056813647</x:v>
      </x:c>
      <x:c r="AR55" s="38" t="n">
        <x:v>-0.0039544431</x:v>
      </x:c>
    </x:row>
    <x:row r="56" ht="19" customHeight="1">
      <x:c r="A56" s="39" t="d">
        <x:v>2025-02-24T00:00:00.000Z</x:v>
      </x:c>
      <x:c r="B56" s="38" t="n">
        <x:v>0.0525020839</x:v>
      </x:c>
      <x:c r="C56" s="38" t="n">
        <x:v>0.0604113019</x:v>
      </x:c>
      <x:c r="D56" s="38" t="n">
        <x:v>-0.382054851</x:v>
      </x:c>
      <x:c r="E56" s="38" t="n">
        <x:v>-0.1959247905</x:v>
      </x:c>
      <x:c r="F56" s="38" t="n">
        <x:v>-0.1315051665</x:v>
      </x:c>
      <x:c r="G56" s="38" t="n">
        <x:v>-0.1258821226</x:v>
      </x:c>
      <x:c r="H56" s="38" t="n">
        <x:v>-0.2000710218</x:v>
      </x:c>
      <x:c r="I56" s="38" t="n">
        <x:v>-0.2049545012</x:v>
      </x:c>
      <x:c r="J56" s="38" t="n">
        <x:v>0.1544358974</x:v>
      </x:c>
      <x:c r="K56" s="38" t="n">
        <x:v>0.1111130796</x:v>
      </x:c>
      <x:c r="L56" s="38" t="n">
        <x:v>0.1173342082</x:v>
      </x:c>
      <x:c r="M56" s="38" t="n">
        <x:v>-0.0737379545</x:v>
      </x:c>
      <x:c r="N56" s="38" t="n">
        <x:v>0.1165993958</x:v>
      </x:c>
      <x:c r="O56" s="38" t="n">
        <x:v>-0.0200292895</x:v>
      </x:c>
      <x:c r="P56" s="38" t="n">
        <x:v>-0.348998635</x:v>
      </x:c>
      <x:c r="Q56" s="38" t="n">
        <x:v>-0.250662893</x:v>
      </x:c>
      <x:c r="R56" s="38" t="n">
        <x:v>0.0234885085</x:v>
      </x:c>
      <x:c r="S56" s="38" t="n">
        <x:v>-0.0311815622</x:v>
      </x:c>
      <x:c r="T56" s="38" t="n">
        <x:v>-0.1179488661</x:v>
      </x:c>
      <x:c r="U56" s="38" t="n">
        <x:v>-0.0787186492</x:v>
      </x:c>
      <x:c r="V56" s="38" t="n">
        <x:v>-0.0296646818</x:v>
      </x:c>
      <x:c r="W56" s="38" t="n">
        <x:v>-0.0782703081</x:v>
      </x:c>
      <x:c r="X56" s="38" t="n">
        <x:v>-0.0567644861</x:v>
      </x:c>
      <x:c r="Y56" s="38" t="n">
        <x:v>-0.0419243456</x:v>
      </x:c>
      <x:c r="Z56" s="38" t="n">
        <x:v>0.0539923408</x:v>
      </x:c>
      <x:c r="AA56" s="38" t="n">
        <x:v>0.0542232843</x:v>
      </x:c>
      <x:c r="AB56" s="38" t="n">
        <x:v>0.0044569282</x:v>
      </x:c>
      <x:c r="AC56" s="38" t="n">
        <x:v>-0.0033899257</x:v>
      </x:c>
      <x:c r="AD56" s="38" t="n">
        <x:v>-0.0364573277</x:v>
      </x:c>
      <x:c r="AE56" s="38" t="n">
        <x:v>0.0427299574</x:v>
      </x:c>
      <x:c r="AF56" s="38" t="n">
        <x:v>0.0213286492</x:v>
      </x:c>
      <x:c r="AG56" s="38" t="n">
        <x:v>-0.002368267</x:v>
      </x:c>
      <x:c r="AH56" s="38" t="n">
        <x:v>-0.0010625853</x:v>
      </x:c>
      <x:c r="AI56" s="38" t="n">
        <x:v>0.0016808805</x:v>
      </x:c>
      <x:c r="AJ56" s="38" t="n">
        <x:v>-0.0313257549</x:v>
      </x:c>
      <x:c r="AK56" s="38" t="n">
        <x:v>0.0077303435</x:v>
      </x:c>
      <x:c r="AL56" s="38" t="n">
        <x:v>0.0113660407</x:v>
      </x:c>
      <x:c r="AM56" s="38" t="n">
        <x:v>-0.0033452365</x:v>
      </x:c>
      <x:c r="AN56" s="38" t="n">
        <x:v>0.005747354</x:v>
      </x:c>
      <x:c r="AO56" s="38" t="n">
        <x:v>0.0060509663</x:v>
      </x:c>
      <x:c r="AP56" s="38" t="n">
        <x:v>0.0008315766</x:v>
      </x:c>
      <x:c r="AQ56" s="38" t="n">
        <x:v>0.0026421426</x:v>
      </x:c>
      <x:c r="AR56" s="38" t="n">
        <x:v>0.0155746511</x:v>
      </x:c>
    </x:row>
    <x:row r="57" ht="19" customHeight="1">
      <x:c r="A57" s="39" t="d">
        <x:v>2025-03-24T00:00:00.000Z</x:v>
      </x:c>
      <x:c r="B57" s="38" t="n">
        <x:v>-0.0600940968</x:v>
      </x:c>
      <x:c r="C57" s="38" t="n">
        <x:v>-0.088002708</x:v>
      </x:c>
      <x:c r="D57" s="38" t="n">
        <x:v>0.3000140241</x:v>
      </x:c>
      <x:c r="E57" s="38" t="n">
        <x:v>-0.0855582282</x:v>
      </x:c>
      <x:c r="F57" s="38" t="n">
        <x:v>-0.15996984</x:v>
      </x:c>
      <x:c r="G57" s="38" t="n">
        <x:v>-0.1164521255</x:v>
      </x:c>
      <x:c r="H57" s="38" t="n">
        <x:v>0.0778826866</x:v>
      </x:c>
      <x:c r="I57" s="38" t="n">
        <x:v>-0.0693988276</x:v>
      </x:c>
      <x:c r="J57" s="38" t="n">
        <x:v>0.0507731761</x:v>
      </x:c>
      <x:c r="K57" s="38" t="n">
        <x:v>0.1857908824</x:v>
      </x:c>
      <x:c r="L57" s="38" t="n">
        <x:v>0.2133082105</x:v>
      </x:c>
      <x:c r="M57" s="38" t="n">
        <x:v>0.1113220644</x:v>
      </x:c>
      <x:c r="N57" s="38" t="n">
        <x:v>-0.050564679</x:v>
      </x:c>
      <x:c r="O57" s="38" t="n">
        <x:v>-0.0635281347</x:v>
      </x:c>
      <x:c r="P57" s="38" t="n">
        <x:v>0.1358330944</x:v>
      </x:c>
      <x:c r="Q57" s="38" t="n">
        <x:v>-0.0332233719</x:v>
      </x:c>
      <x:c r="R57" s="38" t="n">
        <x:v>-0.1652033652</x:v>
      </x:c>
      <x:c r="S57" s="38" t="n">
        <x:v>-0.1484393006</x:v>
      </x:c>
      <x:c r="T57" s="38" t="n">
        <x:v>-0.0512142469</x:v>
      </x:c>
      <x:c r="U57" s="38" t="n">
        <x:v>0.0584270409</x:v>
      </x:c>
      <x:c r="V57" s="38" t="n">
        <x:v>0.0275960534</x:v>
      </x:c>
      <x:c r="W57" s="38" t="n">
        <x:v>0.023229544</x:v>
      </x:c>
      <x:c r="X57" s="38" t="n">
        <x:v>-0.0028731932</x:v>
      </x:c>
      <x:c r="Y57" s="38" t="n">
        <x:v>-0.0494035755</x:v>
      </x:c>
      <x:c r="Z57" s="38" t="n">
        <x:v>-0.0467347513</x:v>
      </x:c>
      <x:c r="AA57" s="38" t="n">
        <x:v>-0.0085279413</x:v>
      </x:c>
      <x:c r="AB57" s="38" t="n">
        <x:v>-0.0010772434</x:v>
      </x:c>
      <x:c r="AC57" s="38" t="n">
        <x:v>0.0229986918</x:v>
      </x:c>
      <x:c r="AD57" s="38" t="n">
        <x:v>0.0009935805</x:v>
      </x:c>
      <x:c r="AE57" s="38" t="n">
        <x:v>0.0248020761</x:v>
      </x:c>
      <x:c r="AF57" s="38" t="n">
        <x:v>0.0163178062</x:v>
      </x:c>
      <x:c r="AG57" s="38" t="n">
        <x:v>-0.0063608852</x:v>
      </x:c>
      <x:c r="AH57" s="38" t="n">
        <x:v>-0.0399380097</x:v>
      </x:c>
      <x:c r="AI57" s="38" t="n">
        <x:v>-0.0035185258</x:v>
      </x:c>
      <x:c r="AJ57" s="38" t="n">
        <x:v>0.0073403064</x:v>
      </x:c>
      <x:c r="AK57" s="38" t="n">
        <x:v>-0.0306262403</x:v>
      </x:c>
      <x:c r="AL57" s="38" t="n">
        <x:v>0.0049113238</x:v>
      </x:c>
      <x:c r="AM57" s="38" t="n">
        <x:v>0.021801852</x:v>
      </x:c>
      <x:c r="AN57" s="38" t="n">
        <x:v>0.0033511502</x:v>
      </x:c>
      <x:c r="AO57" s="38" t="n">
        <x:v>0.0056355355</x:v>
      </x:c>
      <x:c r="AP57" s="38" t="n">
        <x:v>-0.0126004581</x:v>
      </x:c>
      <x:c r="AQ57" s="38" t="n">
        <x:v>0.0061201997</x:v>
      </x:c>
      <x:c r="AR57" s="38" t="n">
        <x:v>-0.0034185754</x:v>
      </x:c>
    </x:row>
    <x:row r="58" ht="19" customHeight="1">
      <x:c r="A58" s="39" t="d">
        <x:v>2025-04-21T00:00:00.000Z</x:v>
      </x:c>
      <x:c r="B58" s="38" t="n">
        <x:v>0.1401178937</x:v>
      </x:c>
      <x:c r="C58" s="38" t="n">
        <x:v>-0.2658283027</x:v>
      </x:c>
      <x:c r="D58" s="38" t="n">
        <x:v>-0.3335584816</x:v>
      </x:c>
      <x:c r="E58" s="38" t="n">
        <x:v>-0.1241621394</x:v>
      </x:c>
      <x:c r="F58" s="38" t="n">
        <x:v>-0.0396280638</x:v>
      </x:c>
      <x:c r="G58" s="38" t="n">
        <x:v>-0.0509252349</x:v>
      </x:c>
      <x:c r="H58" s="38" t="n">
        <x:v>-0.1274758953</x:v>
      </x:c>
      <x:c r="I58" s="38" t="n">
        <x:v>0.1286953861</x:v>
      </x:c>
      <x:c r="J58" s="38" t="n">
        <x:v>-0.0056817468</x:v>
      </x:c>
      <x:c r="K58" s="38" t="n">
        <x:v>-0.1392891161</x:v>
      </x:c>
      <x:c r="L58" s="38" t="n">
        <x:v>-0.2786530609</x:v>
      </x:c>
      <x:c r="M58" s="38" t="n">
        <x:v>0.0327322659</x:v>
      </x:c>
      <x:c r="N58" s="38" t="n">
        <x:v>-0.1526335114</x:v>
      </x:c>
      <x:c r="O58" s="38" t="n">
        <x:v>0.0561074443</x:v>
      </x:c>
      <x:c r="P58" s="38" t="n">
        <x:v>-0.1062946891</x:v>
      </x:c>
      <x:c r="Q58" s="38" t="n">
        <x:v>-0.0155987824</x:v>
      </x:c>
      <x:c r="R58" s="38" t="n">
        <x:v>0.020697276</x:v>
      </x:c>
      <x:c r="S58" s="38" t="n">
        <x:v>0.0034594702</x:v>
      </x:c>
      <x:c r="T58" s="38" t="n">
        <x:v>0.0891209371</x:v>
      </x:c>
      <x:c r="U58" s="38" t="n">
        <x:v>0.1537454051</x:v>
      </x:c>
      <x:c r="V58" s="38" t="n">
        <x:v>-0.1310571415</x:v>
      </x:c>
      <x:c r="W58" s="38" t="n">
        <x:v>-0.0112289881</x:v>
      </x:c>
      <x:c r="X58" s="38" t="n">
        <x:v>-0.0590683573</x:v>
      </x:c>
      <x:c r="Y58" s="38" t="n">
        <x:v>-0.0502954703</x:v>
      </x:c>
      <x:c r="Z58" s="38" t="n">
        <x:v>-0.071799649</x:v>
      </x:c>
      <x:c r="AA58" s="38" t="n">
        <x:v>-0.0475211473</x:v>
      </x:c>
      <x:c r="AB58" s="38" t="n">
        <x:v>-0.0369915133</x:v>
      </x:c>
      <x:c r="AC58" s="38" t="n">
        <x:v>-0.054814343</x:v>
      </x:c>
      <x:c r="AD58" s="38" t="n">
        <x:v>-0.0088899623</x:v>
      </x:c>
      <x:c r="AE58" s="38" t="n">
        <x:v>0.009706284</x:v>
      </x:c>
      <x:c r="AF58" s="38" t="n">
        <x:v>0.0135511182</x:v>
      </x:c>
      <x:c r="AG58" s="38" t="n">
        <x:v>0.004174504</x:v>
      </x:c>
      <x:c r="AH58" s="38" t="n">
        <x:v>0.0231305295</x:v>
      </x:c>
      <x:c r="AI58" s="38" t="n">
        <x:v>-0.0617868536</x:v>
      </x:c>
      <x:c r="AJ58" s="38" t="n">
        <x:v>-0.0137152898</x:v>
      </x:c>
      <x:c r="AK58" s="38" t="n">
        <x:v>0.0063241909</x:v>
      </x:c>
      <x:c r="AL58" s="38" t="n">
        <x:v>0.017207675</x:v>
      </x:c>
      <x:c r="AM58" s="38" t="n">
        <x:v>0.0132951043</x:v>
      </x:c>
      <x:c r="AN58" s="38" t="n">
        <x:v>-0.0191869681</x:v>
      </x:c>
      <x:c r="AO58" s="38" t="n">
        <x:v>0.0015897431</x:v>
      </x:c>
      <x:c r="AP58" s="38" t="n">
        <x:v>0.0050081807</x:v>
      </x:c>
      <x:c r="AQ58" s="38" t="n">
        <x:v>-0.0275575807</x:v>
      </x:c>
      <x:c r="AR58" s="38" t="n">
        <x:v>0.0045014497</x:v>
      </x:c>
    </x:row>
    <x:row r="59" ht="19" customHeight="1">
      <x:c r="A59" s="39" t="d">
        <x:v>2025-05-19T00:00:00.000Z</x:v>
      </x:c>
      <x:c r="B59" s="38" t="n">
        <x:v>-0.0945694646</x:v>
      </x:c>
      <x:c r="C59" s="38" t="n">
        <x:v>-0.4234251458</x:v>
      </x:c>
      <x:c r="D59" s="38" t="n">
        <x:v>0.2498412783</x:v>
      </x:c>
      <x:c r="E59" s="38" t="n">
        <x:v>0.1145586477</x:v>
      </x:c>
      <x:c r="F59" s="38" t="n">
        <x:v>-0.1241539363</x:v>
      </x:c>
      <x:c r="G59" s="38" t="n">
        <x:v>0.101660367</x:v>
      </x:c>
      <x:c r="H59" s="38" t="n">
        <x:v>-0.0841224181</x:v>
      </x:c>
      <x:c r="I59" s="38" t="n">
        <x:v>0.0091897211</x:v>
      </x:c>
      <x:c r="J59" s="38" t="n">
        <x:v>0.04990833</x:v>
      </x:c>
      <x:c r="K59" s="38" t="n">
        <x:v>-0.1683459751</x:v>
      </x:c>
      <x:c r="L59" s="38" t="n">
        <x:v>0.0045293217</x:v>
      </x:c>
      <x:c r="M59" s="38" t="n">
        <x:v>-0.0628170735</x:v>
      </x:c>
      <x:c r="N59" s="38" t="n">
        <x:v>-0.2156185382</x:v>
      </x:c>
      <x:c r="O59" s="38" t="n">
        <x:v>-0.1456441499</x:v>
      </x:c>
      <x:c r="P59" s="38" t="n">
        <x:v>-0.1531653505</x:v>
      </x:c>
      <x:c r="Q59" s="38" t="n">
        <x:v>0.0672148764</x:v>
      </x:c>
      <x:c r="R59" s="38" t="n">
        <x:v>-0.1719512236</x:v>
      </x:c>
      <x:c r="S59" s="38" t="n">
        <x:v>0.1132861676</x:v>
      </x:c>
      <x:c r="T59" s="38" t="n">
        <x:v>-0.0708796489</x:v>
      </x:c>
      <x:c r="U59" s="38" t="n">
        <x:v>-0.0595229231</x:v>
      </x:c>
      <x:c r="V59" s="38" t="n">
        <x:v>0.028994837</x:v>
      </x:c>
      <x:c r="W59" s="38" t="n">
        <x:v>-0.0382101929</x:v>
      </x:c>
      <x:c r="X59" s="38" t="n">
        <x:v>0.0360845091</x:v>
      </x:c>
      <x:c r="Y59" s="38" t="n">
        <x:v>-0.1092810555</x:v>
      </x:c>
      <x:c r="Z59" s="38" t="n">
        <x:v>0.0596066011</x:v>
      </x:c>
      <x:c r="AA59" s="38" t="n">
        <x:v>-0.0197219692</x:v>
      </x:c>
      <x:c r="AB59" s="38" t="n">
        <x:v>-0.0478097191</x:v>
      </x:c>
      <x:c r="AC59" s="38" t="n">
        <x:v>0.0751418071</x:v>
      </x:c>
      <x:c r="AD59" s="38" t="n">
        <x:v>0.0246524307</x:v>
      </x:c>
      <x:c r="AE59" s="38" t="n">
        <x:v>-0.0486381713</x:v>
      </x:c>
      <x:c r="AF59" s="38" t="n">
        <x:v>0.0378102929</x:v>
      </x:c>
      <x:c r="AG59" s="38" t="n">
        <x:v>-0.0069641084</x:v>
      </x:c>
      <x:c r="AH59" s="38" t="n">
        <x:v>0.0357925457</x:v>
      </x:c>
      <x:c r="AI59" s="38" t="n">
        <x:v>0.0715705277</x:v>
      </x:c>
      <x:c r="AJ59" s="38" t="n">
        <x:v>0.006395206</x:v>
      </x:c>
      <x:c r="AK59" s="38" t="n">
        <x:v>-0.0263575805</x:v>
      </x:c>
      <x:c r="AL59" s="38" t="n">
        <x:v>0.021496886</x:v>
      </x:c>
      <x:c r="AM59" s="38" t="n">
        <x:v>-0.0070017928</x:v>
      </x:c>
      <x:c r="AN59" s="38" t="n">
        <x:v>0.0031977777</x:v>
      </x:c>
      <x:c r="AO59" s="38" t="n">
        <x:v>0.0047690314</x:v>
      </x:c>
      <x:c r="AP59" s="38" t="n">
        <x:v>0.000837179</x:v>
      </x:c>
      <x:c r="AQ59" s="38" t="n">
        <x:v>-0.0007113273</x:v>
      </x:c>
      <x:c r="AR59" s="38" t="n">
        <x:v>0.0002664685</x:v>
      </x:c>
    </x:row>
    <x:row r="60" ht="19" customHeight="1">
      <x:c r="A60" s="39" t="d">
        <x:v>2025-06-16T00:00:00.000Z</x:v>
      </x:c>
      <x:c r="B60" s="38" t="n">
        <x:v>0.0569921141</x:v>
      </x:c>
      <x:c r="C60" s="38" t="n">
        <x:v>0.1380117113</x:v>
      </x:c>
      <x:c r="D60" s="38" t="n">
        <x:v>0.1245563599</x:v>
      </x:c>
      <x:c r="E60" s="38" t="n">
        <x:v>-0.2843391097</x:v>
      </x:c>
      <x:c r="F60" s="38" t="n">
        <x:v>0.1900404496</x:v>
      </x:c>
      <x:c r="G60" s="38" t="n">
        <x:v>0.3003235513</x:v>
      </x:c>
      <x:c r="H60" s="38" t="n">
        <x:v>0.0435662225</x:v>
      </x:c>
      <x:c r="I60" s="38" t="n">
        <x:v>-0.1079472591</x:v>
      </x:c>
      <x:c r="J60" s="38" t="n">
        <x:v>0.0809131767</x:v>
      </x:c>
      <x:c r="K60" s="38" t="n">
        <x:v>0.0338003859</x:v>
      </x:c>
      <x:c r="L60" s="38" t="n">
        <x:v>-0.1390481337</x:v>
      </x:c>
      <x:c r="M60" s="38" t="n">
        <x:v>0.1762281611</x:v>
      </x:c>
      <x:c r="N60" s="38" t="n">
        <x:v>-0.0799858074</x:v>
      </x:c>
      <x:c r="O60" s="38" t="n">
        <x:v>-0.1422050146</x:v>
      </x:c>
      <x:c r="P60" s="38" t="n">
        <x:v>-0.0135646737</x:v>
      </x:c>
      <x:c r="Q60" s="38" t="n">
        <x:v>-0.0763263919</x:v>
      </x:c>
      <x:c r="R60" s="38" t="n">
        <x:v>-0.01855858</x:v>
      </x:c>
      <x:c r="S60" s="38" t="n">
        <x:v>-0.0103640707</x:v>
      </x:c>
      <x:c r="T60" s="38" t="n">
        <x:v>-0.0752034992</x:v>
      </x:c>
      <x:c r="U60" s="38" t="n">
        <x:v>0.0322371167</x:v>
      </x:c>
      <x:c r="V60" s="38" t="n">
        <x:v>-0.0031686933</x:v>
      </x:c>
      <x:c r="W60" s="38" t="n">
        <x:v>0.0214829642</x:v>
      </x:c>
      <x:c r="X60" s="38" t="n">
        <x:v>0.0479132762</x:v>
      </x:c>
      <x:c r="Y60" s="38" t="n">
        <x:v>-0.1437493528</x:v>
      </x:c>
      <x:c r="Z60" s="38" t="n">
        <x:v>-0.0394314984</x:v>
      </x:c>
      <x:c r="AA60" s="38" t="n">
        <x:v>-0.039093695</x:v>
      </x:c>
      <x:c r="AB60" s="38" t="n">
        <x:v>-0.009320545</x:v>
      </x:c>
      <x:c r="AC60" s="38" t="n">
        <x:v>-0.012723436</x:v>
      </x:c>
      <x:c r="AD60" s="38" t="n">
        <x:v>0.0192849892</x:v>
      </x:c>
      <x:c r="AE60" s="38" t="n">
        <x:v>0.0241047004</x:v>
      </x:c>
      <x:c r="AF60" s="38" t="n">
        <x:v>-0.0697520292</x:v>
      </x:c>
      <x:c r="AG60" s="38" t="n">
        <x:v>-0.0471263327</x:v>
      </x:c>
      <x:c r="AH60" s="38" t="n">
        <x:v>0.0721352812</x:v>
      </x:c>
      <x:c r="AI60" s="38" t="n">
        <x:v>0.0021168297</x:v>
      </x:c>
      <x:c r="AJ60" s="38" t="n">
        <x:v>0.0073617977</x:v>
      </x:c>
      <x:c r="AK60" s="38" t="n">
        <x:v>0.0052972088</x:v>
      </x:c>
      <x:c r="AL60" s="38" t="n">
        <x:v>-0.0228277914</x:v>
      </x:c>
      <x:c r="AM60" s="38" t="n">
        <x:v>0.0150241838</x:v>
      </x:c>
      <x:c r="AN60" s="38" t="n">
        <x:v>-0.0116413679</x:v>
      </x:c>
      <x:c r="AO60" s="38" t="n">
        <x:v>-0.0013407654</x:v>
      </x:c>
      <x:c r="AP60" s="38" t="n">
        <x:v>0.0018124059</x:v>
      </x:c>
      <x:c r="AQ60" s="38" t="n">
        <x:v>0.0050997975</x:v>
      </x:c>
      <x:c r="AR60" s="38" t="n">
        <x:v>0.0007489622</x:v>
      </x:c>
    </x:row>
    <x:row r="61" ht="19" customHeight="1">
      <x:c r="A61" s="39" t="d">
        <x:v>2025-07-14T00:00:00.000Z</x:v>
      </x:c>
      <x:c r="B61" s="38" t="n">
        <x:v>0.3383845538</x:v>
      </x:c>
      <x:c r="C61" s="38" t="n">
        <x:v>0.2425432694</x:v>
      </x:c>
      <x:c r="D61" s="38" t="n">
        <x:v>0.2175503212</x:v>
      </x:c>
      <x:c r="E61" s="38" t="n">
        <x:v>0.118019635</x:v>
      </x:c>
      <x:c r="F61" s="38" t="n">
        <x:v>-0.0788253727</x:v>
      </x:c>
      <x:c r="G61" s="38" t="n">
        <x:v>-0.0768313913</x:v>
      </x:c>
      <x:c r="H61" s="38" t="n">
        <x:v>-0.0953617308</x:v>
      </x:c>
      <x:c r="I61" s="38" t="n">
        <x:v>-0.1378394819</x:v>
      </x:c>
      <x:c r="J61" s="38" t="n">
        <x:v>0.1632932824</x:v>
      </x:c>
      <x:c r="K61" s="38" t="n">
        <x:v>-0.1153784097</x:v>
      </x:c>
      <x:c r="L61" s="38" t="n">
        <x:v>0.1876342601</x:v>
      </x:c>
      <x:c r="M61" s="38" t="n">
        <x:v>-0.2079059223</x:v>
      </x:c>
      <x:c r="N61" s="38" t="n">
        <x:v>0.0016136781</x:v>
      </x:c>
      <x:c r="O61" s="38" t="n">
        <x:v>-0.0772010396</x:v>
      </x:c>
      <x:c r="P61" s="38" t="n">
        <x:v>0.1136612803</x:v>
      </x:c>
      <x:c r="Q61" s="38" t="n">
        <x:v>-0.0597595585</x:v>
      </x:c>
      <x:c r="R61" s="38" t="n">
        <x:v>0.1384964327</x:v>
      </x:c>
      <x:c r="S61" s="38" t="n">
        <x:v>0.026789054</x:v>
      </x:c>
      <x:c r="T61" s="38" t="n">
        <x:v>0.0229125854</x:v>
      </x:c>
      <x:c r="U61" s="38" t="n">
        <x:v>0.0511598199</x:v>
      </x:c>
      <x:c r="V61" s="38" t="n">
        <x:v>-0.1350536375</x:v>
      </x:c>
      <x:c r="W61" s="38" t="n">
        <x:v>-0.0421677493</x:v>
      </x:c>
      <x:c r="X61" s="38" t="n">
        <x:v>0.0881670527</x:v>
      </x:c>
      <x:c r="Y61" s="38" t="n">
        <x:v>0.018557866</x:v>
      </x:c>
      <x:c r="Z61" s="38" t="n">
        <x:v>-0.1111243342</x:v>
      </x:c>
      <x:c r="AA61" s="38" t="n">
        <x:v>0.0654043376</x:v>
      </x:c>
      <x:c r="AB61" s="38" t="n">
        <x:v>-0.070241821</x:v>
      </x:c>
      <x:c r="AC61" s="38" t="n">
        <x:v>0.0035785502</x:v>
      </x:c>
      <x:c r="AD61" s="38" t="n">
        <x:v>0.0267355378</x:v>
      </x:c>
      <x:c r="AE61" s="38" t="n">
        <x:v>-0.0053453845</x:v>
      </x:c>
      <x:c r="AF61" s="38" t="n">
        <x:v>-0.0227369419</x:v>
      </x:c>
      <x:c r="AG61" s="38" t="n">
        <x:v>-0.0416154363</x:v>
      </x:c>
      <x:c r="AH61" s="38" t="n">
        <x:v>0.0213906915</x:v>
      </x:c>
      <x:c r="AI61" s="38" t="n">
        <x:v>0.0062468627</x:v>
      </x:c>
      <x:c r="AJ61" s="38" t="n">
        <x:v>-0.00360147</x:v>
      </x:c>
      <x:c r="AK61" s="38" t="n">
        <x:v>-0.0118266856</x:v>
      </x:c>
      <x:c r="AL61" s="38" t="n">
        <x:v>0.00492714</x:v>
      </x:c>
      <x:c r="AM61" s="38" t="n">
        <x:v>0.0201627508</x:v>
      </x:c>
      <x:c r="AN61" s="38" t="n">
        <x:v>-0.0056602728</x:v>
      </x:c>
      <x:c r="AO61" s="38" t="n">
        <x:v>-0.0038445214</x:v>
      </x:c>
      <x:c r="AP61" s="38" t="n">
        <x:v>-0.0165312253</x:v>
      </x:c>
      <x:c r="AQ61" s="38" t="n">
        <x:v>-0.0053827981</x:v>
      </x:c>
      <x:c r="AR61" s="38" t="n">
        <x:v>-0.0094882013</x:v>
      </x:c>
    </x:row>
    <x:row r="62" ht="19" customHeight="1">
      <x:c r="A62" s="39" t="d">
        <x:v>2025-08-11T00:00:00.000Z</x:v>
      </x:c>
      <x:c r="B62" s="38" t="n">
        <x:v>-0.4364182972</x:v>
      </x:c>
      <x:c r="C62" s="38" t="n">
        <x:v>-0.0425691055</x:v>
      </x:c>
      <x:c r="D62" s="38" t="n">
        <x:v>0.0362841893</x:v>
      </x:c>
      <x:c r="E62" s="38" t="n">
        <x:v>-0.1203332413</x:v>
      </x:c>
      <x:c r="F62" s="38" t="n">
        <x:v>-0.1246850498</x:v>
      </x:c>
      <x:c r="G62" s="38" t="n">
        <x:v>0.0565748537</x:v>
      </x:c>
      <x:c r="H62" s="38" t="n">
        <x:v>-0.2801618431</x:v>
      </x:c>
      <x:c r="I62" s="38" t="n">
        <x:v>-0.1395524624</x:v>
      </x:c>
      <x:c r="J62" s="38" t="n">
        <x:v>0.0348119019</x:v>
      </x:c>
      <x:c r="K62" s="38" t="n">
        <x:v>0.0969546812</x:v>
      </x:c>
      <x:c r="L62" s="38" t="n">
        <x:v>-0.2421610046</x:v>
      </x:c>
      <x:c r="M62" s="38" t="n">
        <x:v>-0.0337064277</x:v>
      </x:c>
      <x:c r="N62" s="38" t="n">
        <x:v>0.0091327315</x:v>
      </x:c>
      <x:c r="O62" s="38" t="n">
        <x:v>-0.0461335264</x:v>
      </x:c>
      <x:c r="P62" s="38" t="n">
        <x:v>0.3311415818</x:v>
      </x:c>
      <x:c r="Q62" s="38" t="n">
        <x:v>0.0470813315</x:v>
      </x:c>
      <x:c r="R62" s="38" t="n">
        <x:v>0.0632161369</x:v>
      </x:c>
      <x:c r="S62" s="38" t="n">
        <x:v>-0.026466803</x:v>
      </x:c>
      <x:c r="T62" s="38" t="n">
        <x:v>-0.0363752217</x:v>
      </x:c>
      <x:c r="U62" s="38" t="n">
        <x:v>-0.1394190046</x:v>
      </x:c>
      <x:c r="V62" s="38" t="n">
        <x:v>-0.1159500534</x:v>
      </x:c>
      <x:c r="W62" s="38" t="n">
        <x:v>-0.0526235784</x:v>
      </x:c>
      <x:c r="X62" s="38" t="n">
        <x:v>-0.0591617438</x:v>
      </x:c>
      <x:c r="Y62" s="38" t="n">
        <x:v>-0.0271300012</x:v>
      </x:c>
      <x:c r="Z62" s="38" t="n">
        <x:v>0.0973675111</x:v>
      </x:c>
      <x:c r="AA62" s="38" t="n">
        <x:v>0.0294269074</x:v>
      </x:c>
      <x:c r="AB62" s="38" t="n">
        <x:v>-0.0035038966</x:v>
      </x:c>
      <x:c r="AC62" s="38" t="n">
        <x:v>-0.0608463137</x:v>
      </x:c>
      <x:c r="AD62" s="38" t="n">
        <x:v>0.0343611532</x:v>
      </x:c>
      <x:c r="AE62" s="38" t="n">
        <x:v>-0.0119462043</x:v>
      </x:c>
      <x:c r="AF62" s="38" t="n">
        <x:v>0.014895459</x:v>
      </x:c>
      <x:c r="AG62" s="38" t="n">
        <x:v>0.0164788692</x:v>
      </x:c>
      <x:c r="AH62" s="38" t="n">
        <x:v>-0.0355859497</x:v>
      </x:c>
      <x:c r="AI62" s="38" t="n">
        <x:v>0.0213961858</x:v>
      </x:c>
      <x:c r="AJ62" s="38" t="n">
        <x:v>-0.0196858505</x:v>
      </x:c>
      <x:c r="AK62" s="38" t="n">
        <x:v>-0.0075290883</x:v>
      </x:c>
      <x:c r="AL62" s="38" t="n">
        <x:v>0.0083411202</x:v>
      </x:c>
      <x:c r="AM62" s="38" t="n">
        <x:v>0.0133323872</x:v>
      </x:c>
      <x:c r="AN62" s="38" t="n">
        <x:v>-0.0119653761</x:v>
      </x:c>
      <x:c r="AO62" s="38" t="n">
        <x:v>0.0073598701</x:v>
      </x:c>
      <x:c r="AP62" s="38" t="n">
        <x:v>0.0021619047</x:v>
      </x:c>
      <x:c r="AQ62" s="38" t="n">
        <x:v>-0.0061100436</x:v>
      </x:c>
      <x:c r="AR62" s="38" t="n">
        <x:v>0.0140903772</x:v>
      </x:c>
    </x:row>
    <x:row r="63" ht="19" customHeight="1">
      <x:c r="A63" s="39" t="d">
        <x:v>2025-09-08T00:00:00.000Z</x:v>
      </x:c>
      <x:c r="B63" s="38" t="n">
        <x:v>-0.5139064579</x:v>
      </x:c>
      <x:c r="C63" s="38" t="n">
        <x:v>0.0733693213</x:v>
      </x:c>
      <x:c r="D63" s="38" t="n">
        <x:v>-0.228030592</x:v>
      </x:c>
      <x:c r="E63" s="38" t="n">
        <x:v>-0.3502072764</x:v>
      </x:c>
      <x:c r="F63" s="38" t="n">
        <x:v>0.0299925562</x:v>
      </x:c>
      <x:c r="G63" s="38" t="n">
        <x:v>0.155144438</x:v>
      </x:c>
      <x:c r="H63" s="38" t="n">
        <x:v>-0.3433956599</x:v>
      </x:c>
      <x:c r="I63" s="38" t="n">
        <x:v>-0.0458489718</x:v>
      </x:c>
      <x:c r="J63" s="38" t="n">
        <x:v>-0.074089706</x:v>
      </x:c>
      <x:c r="K63" s="38" t="n">
        <x:v>-0.2856751101</x:v>
      </x:c>
      <x:c r="L63" s="38" t="n">
        <x:v>0.0417006602</x:v>
      </x:c>
      <x:c r="M63" s="38" t="n">
        <x:v>0.082266711</x:v>
      </x:c>
      <x:c r="N63" s="38" t="n">
        <x:v>-0.0607271046</x:v>
      </x:c>
      <x:c r="O63" s="38" t="n">
        <x:v>0.0148969912</x:v>
      </x:c>
      <x:c r="P63" s="38" t="n">
        <x:v>0.0133520278</x:v>
      </x:c>
      <x:c r="Q63" s="38" t="n">
        <x:v>-0.0341307501</x:v>
      </x:c>
      <x:c r="R63" s="38" t="n">
        <x:v>0.0281628286</x:v>
      </x:c>
      <x:c r="S63" s="38" t="n">
        <x:v>-0.0114451594</x:v>
      </x:c>
      <x:c r="T63" s="38" t="n">
        <x:v>-0.0414934876</x:v>
      </x:c>
      <x:c r="U63" s="38" t="n">
        <x:v>0.0630383017</x:v>
      </x:c>
      <x:c r="V63" s="38" t="n">
        <x:v>-0.0069233773</x:v>
      </x:c>
      <x:c r="W63" s="38" t="n">
        <x:v>0.0670175237</x:v>
      </x:c>
      <x:c r="X63" s="38" t="n">
        <x:v>0.0419970602</x:v>
      </x:c>
      <x:c r="Y63" s="38" t="n">
        <x:v>0.0365835747</x:v>
      </x:c>
      <x:c r="Z63" s="38" t="n">
        <x:v>-0.0446358254</x:v>
      </x:c>
      <x:c r="AA63" s="38" t="n">
        <x:v>0.0016473753</x:v>
      </x:c>
      <x:c r="AB63" s="38" t="n">
        <x:v>0.0353586851</x:v>
      </x:c>
      <x:c r="AC63" s="38" t="n">
        <x:v>-0.0015878021</x:v>
      </x:c>
      <x:c r="AD63" s="38" t="n">
        <x:v>0.008127814</x:v>
      </x:c>
      <x:c r="AE63" s="38" t="n">
        <x:v>0.0135848843</x:v>
      </x:c>
      <x:c r="AF63" s="38" t="n">
        <x:v>0.0531913438</x:v>
      </x:c>
      <x:c r="AG63" s="38" t="n">
        <x:v>0.0293837314</x:v>
      </x:c>
      <x:c r="AH63" s="38" t="n">
        <x:v>-0.0002700992</x:v>
      </x:c>
      <x:c r="AI63" s="38" t="n">
        <x:v>0.004572055</x:v>
      </x:c>
      <x:c r="AJ63" s="38" t="n">
        <x:v>0.0426537975</x:v>
      </x:c>
      <x:c r="AK63" s="38" t="n">
        <x:v>-0.0298690796</x:v>
      </x:c>
      <x:c r="AL63" s="38" t="n">
        <x:v>0.0221437068</x:v>
      </x:c>
      <x:c r="AM63" s="38" t="n">
        <x:v>-0.0218188634</x:v>
      </x:c>
      <x:c r="AN63" s="38" t="n">
        <x:v>0.0173645946</x:v>
      </x:c>
      <x:c r="AO63" s="38" t="n">
        <x:v>-0.0003121944</x:v>
      </x:c>
      <x:c r="AP63" s="38" t="n">
        <x:v>-0.0271276382</x:v>
      </x:c>
      <x:c r="AQ63" s="38" t="n">
        <x:v>-0.0029869882</x:v>
      </x:c>
      <x:c r="AR63" s="38" t="n">
        <x:v>-0.014788737</x:v>
      </x:c>
    </x:row>
    <x:row r="64" ht="19" customHeight="1">
      <x:c r="A64" s="39" t="d">
        <x:v>2025-10-06T00:00:00.000Z</x:v>
      </x:c>
      <x:c r="B64" s="38" t="n">
        <x:v>-0.3062849357</x:v>
      </x:c>
      <x:c r="C64" s="38" t="n">
        <x:v>-0.0762392557</x:v>
      </x:c>
      <x:c r="D64" s="38" t="n">
        <x:v>0.4065392296</x:v>
      </x:c>
      <x:c r="E64" s="38" t="n">
        <x:v>0.3207983615</x:v>
      </x:c>
      <x:c r="F64" s="38" t="n">
        <x:v>-0.2702543333</x:v>
      </x:c>
      <x:c r="G64" s="38" t="n">
        <x:v>0.0221576763</x:v>
      </x:c>
      <x:c r="H64" s="38" t="n">
        <x:v>0.0868094873</x:v>
      </x:c>
      <x:c r="I64" s="38" t="n">
        <x:v>0.1439624701</x:v>
      </x:c>
      <x:c r="J64" s="38" t="n">
        <x:v>-0.0187536737</x:v>
      </x:c>
      <x:c r="K64" s="38" t="n">
        <x:v>0.2614159043</x:v>
      </x:c>
      <x:c r="L64" s="38" t="n">
        <x:v>-0.0455328252</x:v>
      </x:c>
      <x:c r="M64" s="38" t="n">
        <x:v>0.0635527201</x:v>
      </x:c>
      <x:c r="N64" s="38" t="n">
        <x:v>-0.0801161924</x:v>
      </x:c>
      <x:c r="O64" s="38" t="n">
        <x:v>-0.0831673912</x:v>
      </x:c>
      <x:c r="P64" s="38" t="n">
        <x:v>-0.0404010423</x:v>
      </x:c>
      <x:c r="Q64" s="38" t="n">
        <x:v>0.0105313632</x:v>
      </x:c>
      <x:c r="R64" s="38" t="n">
        <x:v>0.1988737831</x:v>
      </x:c>
      <x:c r="S64" s="38" t="n">
        <x:v>0.0043416259</x:v>
      </x:c>
      <x:c r="T64" s="38" t="n">
        <x:v>0.0079047991</x:v>
      </x:c>
      <x:c r="U64" s="38" t="n">
        <x:v>0.0654115002</x:v>
      </x:c>
      <x:c r="V64" s="38" t="n">
        <x:v>-0.0881846422</x:v>
      </x:c>
      <x:c r="W64" s="38" t="n">
        <x:v>-0.0107131994</x:v>
      </x:c>
      <x:c r="X64" s="38" t="n">
        <x:v>0.0100116617</x:v>
      </x:c>
      <x:c r="Y64" s="38" t="n">
        <x:v>-0.1030953928</x:v>
      </x:c>
      <x:c r="Z64" s="38" t="n">
        <x:v>-0.0134694906</x:v>
      </x:c>
      <x:c r="AA64" s="38" t="n">
        <x:v>0.0611760468</x:v>
      </x:c>
      <x:c r="AB64" s="38" t="n">
        <x:v>0.0459930848</x:v>
      </x:c>
      <x:c r="AC64" s="38" t="n">
        <x:v>0.0566901982</x:v>
      </x:c>
      <x:c r="AD64" s="38" t="n">
        <x:v>-0.0618259339</x:v>
      </x:c>
      <x:c r="AE64" s="38" t="n">
        <x:v>0.0171576064</x:v>
      </x:c>
      <x:c r="AF64" s="38" t="n">
        <x:v>0.0337852676</x:v>
      </x:c>
      <x:c r="AG64" s="38" t="n">
        <x:v>0.0342736484</x:v>
      </x:c>
      <x:c r="AH64" s="38" t="n">
        <x:v>-0.0272995721</x:v>
      </x:c>
      <x:c r="AI64" s="38" t="n">
        <x:v>0.0013526774</x:v>
      </x:c>
      <x:c r="AJ64" s="38" t="n">
        <x:v>0.0306120791</x:v>
      </x:c>
      <x:c r="AK64" s="38" t="n">
        <x:v>0.0122582815</x:v>
      </x:c>
      <x:c r="AL64" s="38" t="n">
        <x:v>0.0100998969</x:v>
      </x:c>
      <x:c r="AM64" s="38" t="n">
        <x:v>-0.0201214183</x:v>
      </x:c>
      <x:c r="AN64" s="38" t="n">
        <x:v>0.0173330728</x:v>
      </x:c>
      <x:c r="AO64" s="38" t="n">
        <x:v>0.0211643289</x:v>
      </x:c>
      <x:c r="AP64" s="38" t="n">
        <x:v>0.0057072189</x:v>
      </x:c>
      <x:c r="AQ64" s="38" t="n">
        <x:v>-0.0167752594</x:v>
      </x:c>
      <x:c r="AR64" s="38" t="n">
        <x:v>-0.0026380623</x:v>
      </x:c>
    </x:row>
    <x:row r="65" ht="19" customHeight="1">
      <x:c r="A65" s="39" t="d">
        <x:v>2025-11-03T00:00:00.000Z</x:v>
      </x:c>
      <x:c r="B65" s="38" t="n">
        <x:v>-0.9441485051</x:v>
      </x:c>
      <x:c r="C65" s="38" t="n">
        <x:v>0.2585909155</x:v>
      </x:c>
      <x:c r="D65" s="38" t="n">
        <x:v>-0.2270678812</x:v>
      </x:c>
      <x:c r="E65" s="38" t="n">
        <x:v>-0.0082526599</x:v>
      </x:c>
      <x:c r="F65" s="38" t="n">
        <x:v>-0.2620755252</x:v>
      </x:c>
      <x:c r="G65" s="38" t="n">
        <x:v>-0.1029239483</x:v>
      </x:c>
      <x:c r="H65" s="38" t="n">
        <x:v>0.2016923165</x:v>
      </x:c>
      <x:c r="I65" s="38" t="n">
        <x:v>0.0617327816</x:v>
      </x:c>
      <x:c r="J65" s="38" t="n">
        <x:v>0.0889014727</x:v>
      </x:c>
      <x:c r="K65" s="38" t="n">
        <x:v>0.033055611</x:v>
      </x:c>
      <x:c r="L65" s="38" t="n">
        <x:v>-0.0724000144</x:v>
      </x:c>
      <x:c r="M65" s="38" t="n">
        <x:v>-0.1181875339</x:v>
      </x:c>
      <x:c r="N65" s="38" t="n">
        <x:v>-0.1646784198</x:v>
      </x:c>
      <x:c r="O65" s="38" t="n">
        <x:v>0.0823479926</x:v>
      </x:c>
      <x:c r="P65" s="38" t="n">
        <x:v>0.0134577364</x:v>
      </x:c>
      <x:c r="Q65" s="38" t="n">
        <x:v>-0.1325825254</x:v>
      </x:c>
      <x:c r="R65" s="38" t="n">
        <x:v>-0.1856376889</x:v>
      </x:c>
      <x:c r="S65" s="38" t="n">
        <x:v>-0.0024917295</x:v>
      </x:c>
      <x:c r="T65" s="38" t="n">
        <x:v>0.172085114</x:v>
      </x:c>
      <x:c r="U65" s="38" t="n">
        <x:v>-0.0054988476</x:v>
      </x:c>
      <x:c r="V65" s="38" t="n">
        <x:v>0.0408110583</x:v>
      </x:c>
      <x:c r="W65" s="38" t="n">
        <x:v>0.001468241</x:v>
      </x:c>
      <x:c r="X65" s="38" t="n">
        <x:v>0.0323127015</x:v>
      </x:c>
      <x:c r="Y65" s="38" t="n">
        <x:v>0.0739122059</x:v>
      </x:c>
      <x:c r="Z65" s="38" t="n">
        <x:v>0.013140354</x:v>
      </x:c>
      <x:c r="AA65" s="38" t="n">
        <x:v>0.0814938894</x:v>
      </x:c>
      <x:c r="AB65" s="38" t="n">
        <x:v>-0.0366458902</x:v>
      </x:c>
      <x:c r="AC65" s="38" t="n">
        <x:v>-0.0194507983</x:v>
      </x:c>
      <x:c r="AD65" s="38" t="n">
        <x:v>0.0607088532</x:v>
      </x:c>
      <x:c r="AE65" s="38" t="n">
        <x:v>0.0406892355</x:v>
      </x:c>
      <x:c r="AF65" s="38" t="n">
        <x:v>0.0056214403</x:v>
      </x:c>
      <x:c r="AG65" s="38" t="n">
        <x:v>-0.0063220779</x:v>
      </x:c>
      <x:c r="AH65" s="38" t="n">
        <x:v>0.0347039402</x:v>
      </x:c>
      <x:c r="AI65" s="38" t="n">
        <x:v>0.0075088934</x:v>
      </x:c>
      <x:c r="AJ65" s="38" t="n">
        <x:v>-0.0138385205</x:v>
      </x:c>
      <x:c r="AK65" s="38" t="n">
        <x:v>0.0168958652</x:v>
      </x:c>
      <x:c r="AL65" s="38" t="n">
        <x:v>-0.0217101738</x:v>
      </x:c>
      <x:c r="AM65" s="38" t="n">
        <x:v>-0.0075604778</x:v>
      </x:c>
      <x:c r="AN65" s="38" t="n">
        <x:v>-0.0069554927</x:v>
      </x:c>
      <x:c r="AO65" s="38" t="n">
        <x:v>0.0065916715</x:v>
      </x:c>
      <x:c r="AP65" s="38" t="n">
        <x:v>0.009441584</x:v>
      </x:c>
      <x:c r="AQ65" s="38" t="n">
        <x:v>-0.0074804417</x:v>
      </x:c>
      <x:c r="AR65" s="38" t="n">
        <x:v>0.0017036032</x:v>
      </x:c>
    </x:row>
    <x:row r="66" ht="19" customHeight="1">
      <x:c r="A66" s="39" t="d">
        <x:v>2025-12-01T00:00:00.000Z</x:v>
      </x:c>
      <x:c r="B66" s="38" t="n">
        <x:v>0.3289180939</x:v>
      </x:c>
      <x:c r="C66" s="38" t="n">
        <x:v>0.2065538128</x:v>
      </x:c>
      <x:c r="D66" s="38" t="n">
        <x:v>0.15661533</x:v>
      </x:c>
      <x:c r="E66" s="38" t="n">
        <x:v>-0.0725223501</x:v>
      </x:c>
      <x:c r="F66" s="38" t="n">
        <x:v>0.0709788534</x:v>
      </x:c>
      <x:c r="G66" s="38" t="n">
        <x:v>-0.3207744547</x:v>
      </x:c>
      <x:c r="H66" s="38" t="n">
        <x:v>-0.0508298763</x:v>
      </x:c>
      <x:c r="I66" s="38" t="n">
        <x:v>-0.0910277956</x:v>
      </x:c>
      <x:c r="J66" s="38" t="n">
        <x:v>-0.1059533086</x:v>
      </x:c>
      <x:c r="K66" s="38" t="n">
        <x:v>-0.0366231795</x:v>
      </x:c>
      <x:c r="L66" s="38" t="n">
        <x:v>-0.1443511415</x:v>
      </x:c>
      <x:c r="M66" s="38" t="n">
        <x:v>-0.0808352014</x:v>
      </x:c>
      <x:c r="N66" s="38" t="n">
        <x:v>-0.0172101465</x:v>
      </x:c>
      <x:c r="O66" s="38" t="n">
        <x:v>0.1245075581</x:v>
      </x:c>
      <x:c r="P66" s="38" t="n">
        <x:v>-0.0778523694</x:v>
      </x:c>
      <x:c r="Q66" s="38" t="n">
        <x:v>0.1646443287</x:v>
      </x:c>
      <x:c r="R66" s="38" t="n">
        <x:v>0.0669723844</x:v>
      </x:c>
      <x:c r="S66" s="38" t="n">
        <x:v>-0.0951651226</x:v>
      </x:c>
      <x:c r="T66" s="38" t="n">
        <x:v>-0.0051128475</x:v>
      </x:c>
      <x:c r="U66" s="38" t="n">
        <x:v>-0.0316999232</x:v>
      </x:c>
      <x:c r="V66" s="38" t="n">
        <x:v>-0.1264850102</x:v>
      </x:c>
      <x:c r="W66" s="38" t="n">
        <x:v>-0.0026163072</x:v>
      </x:c>
      <x:c r="X66" s="38" t="n">
        <x:v>-0.0154103368</x:v>
      </x:c>
      <x:c r="Y66" s="38" t="n">
        <x:v>0.0228086784</x:v>
      </x:c>
      <x:c r="Z66" s="38" t="n">
        <x:v>-0.0142282962</x:v>
      </x:c>
      <x:c r="AA66" s="38" t="n">
        <x:v>0.0772737421</x:v>
      </x:c>
      <x:c r="AB66" s="38" t="n">
        <x:v>-0.0627837369</x:v>
      </x:c>
      <x:c r="AC66" s="38" t="n">
        <x:v>0.0725007111</x:v>
      </x:c>
      <x:c r="AD66" s="38" t="n">
        <x:v>0.0234455387</x:v>
      </x:c>
      <x:c r="AE66" s="38" t="n">
        <x:v>-0.0545910623</x:v>
      </x:c>
      <x:c r="AF66" s="38" t="n">
        <x:v>-0.0138575726</x:v>
      </x:c>
      <x:c r="AG66" s="38" t="n">
        <x:v>0.0071195506</x:v>
      </x:c>
      <x:c r="AH66" s="38" t="n">
        <x:v>-0.0053342057</x:v>
      </x:c>
      <x:c r="AI66" s="38" t="n">
        <x:v>0.021442789</x:v>
      </x:c>
      <x:c r="AJ66" s="38" t="n">
        <x:v>-0.0041564016</x:v>
      </x:c>
      <x:c r="AK66" s="38" t="n">
        <x:v>-0.0099655607</x:v>
      </x:c>
      <x:c r="AL66" s="38" t="n">
        <x:v>-0.0236993239</x:v>
      </x:c>
      <x:c r="AM66" s="38" t="n">
        <x:v>-0.0081992707</x:v>
      </x:c>
      <x:c r="AN66" s="38" t="n">
        <x:v>-0.0137778399</x:v>
      </x:c>
      <x:c r="AO66" s="38" t="n">
        <x:v>0.0104726356</x:v>
      </x:c>
      <x:c r="AP66" s="38" t="n">
        <x:v>0.007102398</x:v>
      </x:c>
      <x:c r="AQ66" s="38" t="n">
        <x:v>0.0252897353</x:v>
      </x:c>
      <x:c r="AR66" s="38" t="n">
        <x:v>0.0055191906</x:v>
      </x:c>
    </x:row>
    <x:row r="67" ht="19" customHeight="1">
      <x:c r="A67" s="39" t="d">
        <x:v>2025-12-29T00:00:00.000Z</x:v>
      </x:c>
      <x:c r="B67" s="38" t="n">
        <x:v>-0.2620942231</x:v>
      </x:c>
      <x:c r="C67" s="38" t="n">
        <x:v>0.1506134079</x:v>
      </x:c>
      <x:c r="D67" s="38" t="n">
        <x:v>0.0560050487</x:v>
      </x:c>
      <x:c r="E67" s="38" t="n">
        <x:v>-0.0419480079</x:v>
      </x:c>
      <x:c r="F67" s="38" t="n">
        <x:v>0.1625593521</x:v>
      </x:c>
      <x:c r="G67" s="38" t="n">
        <x:v>-0.0039386283</x:v>
      </x:c>
      <x:c r="H67" s="38" t="n">
        <x:v>0.0641911021</x:v>
      </x:c>
      <x:c r="I67" s="38" t="n">
        <x:v>-0.0367615997</x:v>
      </x:c>
      <x:c r="J67" s="38" t="n">
        <x:v>0.1370639896</x:v>
      </x:c>
      <x:c r="K67" s="38" t="n">
        <x:v>0.1012384023</x:v>
      </x:c>
      <x:c r="L67" s="38" t="n">
        <x:v>0.1770513755</x:v>
      </x:c>
      <x:c r="M67" s="38" t="n">
        <x:v>0.3348639019</x:v>
      </x:c>
      <x:c r="N67" s="38" t="n">
        <x:v>0.1182532093</x:v>
      </x:c>
      <x:c r="O67" s="38" t="n">
        <x:v>-0.0999651457</x:v>
      </x:c>
      <x:c r="P67" s="38" t="n">
        <x:v>-0.0545636663</x:v>
      </x:c>
      <x:c r="Q67" s="38" t="n">
        <x:v>0.0914390471</x:v>
      </x:c>
      <x:c r="R67" s="38" t="n">
        <x:v>-0.0173766071</x:v>
      </x:c>
      <x:c r="S67" s="38" t="n">
        <x:v>-0.0002826384</x:v>
      </x:c>
      <x:c r="T67" s="38" t="n">
        <x:v>0.0657153767</x:v>
      </x:c>
      <x:c r="U67" s="38" t="n">
        <x:v>0.1259780528</x:v>
      </x:c>
      <x:c r="V67" s="38" t="n">
        <x:v>-0.0196591525</x:v>
      </x:c>
      <x:c r="W67" s="38" t="n">
        <x:v>-0.0379161032</x:v>
      </x:c>
      <x:c r="X67" s="38" t="n">
        <x:v>0.0398393445</x:v>
      </x:c>
      <x:c r="Y67" s="38" t="n">
        <x:v>-0.0368850159</x:v>
      </x:c>
      <x:c r="Z67" s="38" t="n">
        <x:v>0.0513360562</x:v>
      </x:c>
      <x:c r="AA67" s="38" t="n">
        <x:v>0.0825891199</x:v>
      </x:c>
      <x:c r="AB67" s="38" t="n">
        <x:v>-0.0249958498</x:v>
      </x:c>
      <x:c r="AC67" s="38" t="n">
        <x:v>-0.0415199588</x:v>
      </x:c>
      <x:c r="AD67" s="38" t="n">
        <x:v>0.028911649</x:v>
      </x:c>
      <x:c r="AE67" s="38" t="n">
        <x:v>-0.0782357356</x:v>
      </x:c>
      <x:c r="AF67" s="38" t="n">
        <x:v>-0.0044155218</x:v>
      </x:c>
      <x:c r="AG67" s="38" t="n">
        <x:v>0.0678480319</x:v>
      </x:c>
      <x:c r="AH67" s="38" t="n">
        <x:v>0.0134310643</x:v>
      </x:c>
      <x:c r="AI67" s="38" t="n">
        <x:v>-0.0244528082</x:v>
      </x:c>
      <x:c r="AJ67" s="38" t="n">
        <x:v>-0.0412754347</x:v>
      </x:c>
      <x:c r="AK67" s="38" t="n">
        <x:v>-0.0157962425</x:v>
      </x:c>
      <x:c r="AL67" s="38" t="n">
        <x:v>-0.0046234158</x:v>
      </x:c>
      <x:c r="AM67" s="38" t="n">
        <x:v>0.0083230499</x:v>
      </x:c>
      <x:c r="AN67" s="38" t="n">
        <x:v>-0.0043546036</x:v>
      </x:c>
      <x:c r="AO67" s="38" t="n">
        <x:v>-0.0238733126</x:v>
      </x:c>
      <x:c r="AP67" s="38" t="n">
        <x:v>-0.0060662341</x:v>
      </x:c>
      <x:c r="AQ67" s="38" t="n">
        <x:v>-0.0062052546</x:v>
      </x:c>
      <x:c r="AR67" s="38" t="n">
        <x:v>0.0066151701</x:v>
      </x:c>
    </x:row>
    <x:row r="68" ht="19" customHeight="1">
      <x:c r="A68" s="39" t="d">
        <x:v>2026-01-26T00:00:00.000Z</x:v>
      </x:c>
      <x:c r="B68" s="38" t="n">
        <x:v>-0.3894078121</x:v>
      </x:c>
      <x:c r="C68" s="38" t="n">
        <x:v>0.4619510588</x:v>
      </x:c>
      <x:c r="D68" s="38" t="n">
        <x:v>0.3991243401</x:v>
      </x:c>
      <x:c r="E68" s="38" t="n">
        <x:v>0.2539524486</x:v>
      </x:c>
      <x:c r="F68" s="38" t="n">
        <x:v>0.156221546</x:v>
      </x:c>
      <x:c r="G68" s="38" t="n">
        <x:v>-0.1964989334</x:v>
      </x:c>
      <x:c r="H68" s="38" t="n">
        <x:v>0.102743746</x:v>
      </x:c>
      <x:c r="I68" s="38" t="n">
        <x:v>-0.1219127016</x:v>
      </x:c>
      <x:c r="J68" s="38" t="n">
        <x:v>0.0805976287</x:v>
      </x:c>
      <x:c r="K68" s="38" t="n">
        <x:v>-0.0161577284</x:v>
      </x:c>
      <x:c r="L68" s="38" t="n">
        <x:v>-0.1777575407</x:v>
      </x:c>
      <x:c r="M68" s="38" t="n">
        <x:v>-0.013624566</x:v>
      </x:c>
      <x:c r="N68" s="38" t="n">
        <x:v>0.0513785814</x:v>
      </x:c>
      <x:c r="O68" s="38" t="n">
        <x:v>-0.1257491317</x:v>
      </x:c>
      <x:c r="P68" s="38" t="n">
        <x:v>-0.1546615701</x:v>
      </x:c>
      <x:c r="Q68" s="38" t="n">
        <x:v>0.0507399484</x:v>
      </x:c>
      <x:c r="R68" s="38" t="n">
        <x:v>-0.0673196157</x:v>
      </x:c>
      <x:c r="S68" s="38" t="n">
        <x:v>0.0725430974</x:v>
      </x:c>
      <x:c r="T68" s="38" t="n">
        <x:v>-0.1646909241</x:v>
      </x:c>
      <x:c r="U68" s="38" t="n">
        <x:v>0.0901013597</x:v>
      </x:c>
      <x:c r="V68" s="38" t="n">
        <x:v>-0.0019175393</x:v>
      </x:c>
      <x:c r="W68" s="38" t="n">
        <x:v>-0.0276798467</x:v>
      </x:c>
      <x:c r="X68" s="38" t="n">
        <x:v>-0.1026142681</x:v>
      </x:c>
      <x:c r="Y68" s="38" t="n">
        <x:v>0.1117814543</x:v>
      </x:c>
      <x:c r="Z68" s="38" t="n">
        <x:v>-0.067656023</x:v>
      </x:c>
      <x:c r="AA68" s="38" t="n">
        <x:v>0.0114062253</x:v>
      </x:c>
      <x:c r="AB68" s="38" t="n">
        <x:v>0.0699608255</x:v>
      </x:c>
      <x:c r="AC68" s="38" t="n">
        <x:v>0.0149886238</x:v>
      </x:c>
      <x:c r="AD68" s="38" t="n">
        <x:v>0.048213877</x:v>
      </x:c>
      <x:c r="AE68" s="38" t="n">
        <x:v>-0.0082357525</x:v>
      </x:c>
      <x:c r="AF68" s="38" t="n">
        <x:v>-0.0360781696</x:v>
      </x:c>
      <x:c r="AG68" s="38" t="n">
        <x:v>-0.0030219834</x:v>
      </x:c>
      <x:c r="AH68" s="38" t="n">
        <x:v>-0.0197907581</x:v>
      </x:c>
      <x:c r="AI68" s="38" t="n">
        <x:v>0.0078633851</x:v>
      </x:c>
      <x:c r="AJ68" s="38" t="n">
        <x:v>0.006756548</x:v>
      </x:c>
      <x:c r="AK68" s="38" t="n">
        <x:v>0.0046929287</x:v>
      </x:c>
      <x:c r="AL68" s="38" t="n">
        <x:v>-0.0066671825</x:v>
      </x:c>
      <x:c r="AM68" s="38" t="n">
        <x:v>0.0186333409</x:v>
      </x:c>
      <x:c r="AN68" s="38" t="n">
        <x:v>0.003547278</x:v>
      </x:c>
      <x:c r="AO68" s="38" t="n">
        <x:v>0.0135935809</x:v>
      </x:c>
      <x:c r="AP68" s="38" t="n">
        <x:v>0.0000443617</x:v>
      </x:c>
      <x:c r="AQ68" s="38" t="n">
        <x:v>-0.0159460878</x:v>
      </x:c>
      <x:c r="AR68" s="38" t="n">
        <x:v>-0.0071603093</x:v>
      </x:c>
    </x:row>
    <x:row r="69" ht="19" customHeight="1">
      <x:c r="A69" s="39" t="d">
        <x:v>2026-02-23T00:00:00.000Z</x:v>
      </x:c>
      <x:c r="B69" s="38" t="n">
        <x:v>-0.0450469115</x:v>
      </x:c>
      <x:c r="C69" s="38" t="n">
        <x:v>-0.1471183618</x:v>
      </x:c>
      <x:c r="D69" s="38" t="n">
        <x:v>-0.1366381339</x:v>
      </x:c>
      <x:c r="E69" s="38" t="n">
        <x:v>0.2203461705</x:v>
      </x:c>
      <x:c r="F69" s="38" t="n">
        <x:v>0.1792237366</x:v>
      </x:c>
      <x:c r="G69" s="38" t="n">
        <x:v>0.0755485413</x:v>
      </x:c>
      <x:c r="H69" s="38" t="n">
        <x:v>-0.1927484698</x:v>
      </x:c>
      <x:c r="I69" s="38" t="n">
        <x:v>0.2851828285</x:v>
      </x:c>
      <x:c r="J69" s="38" t="n">
        <x:v>-0.2145220756</x:v>
      </x:c>
      <x:c r="K69" s="38" t="n">
        <x:v>0.0274449476</x:v>
      </x:c>
      <x:c r="L69" s="38" t="n">
        <x:v>0.1512644409</x:v>
      </x:c>
      <x:c r="M69" s="38" t="n">
        <x:v>-0.096488576</x:v>
      </x:c>
      <x:c r="N69" s="38" t="n">
        <x:v>0.0075941851</x:v>
      </x:c>
      <x:c r="O69" s="38" t="n">
        <x:v>-0.0587856823</x:v>
      </x:c>
      <x:c r="P69" s="38" t="n">
        <x:v>0.0415047062</x:v>
      </x:c>
      <x:c r="Q69" s="38" t="n">
        <x:v>-0.1697167791</x:v>
      </x:c>
      <x:c r="R69" s="38" t="n">
        <x:v>0.0292924519</x:v>
      </x:c>
      <x:c r="S69" s="38" t="n">
        <x:v>-0.0919963829</x:v>
      </x:c>
      <x:c r="T69" s="38" t="n">
        <x:v>-0.0712353178</x:v>
      </x:c>
      <x:c r="U69" s="38" t="n">
        <x:v>0.0429926549</x:v>
      </x:c>
      <x:c r="V69" s="38" t="n">
        <x:v>-0.0832540727</x:v>
      </x:c>
      <x:c r="W69" s="38" t="n">
        <x:v>-0.006201764</x:v>
      </x:c>
      <x:c r="X69" s="38" t="n">
        <x:v>-0.0248067405</x:v>
      </x:c>
      <x:c r="Y69" s="38" t="n">
        <x:v>0.0237166577</x:v>
      </x:c>
      <x:c r="Z69" s="38" t="n">
        <x:v>0.0733463675</x:v>
      </x:c>
      <x:c r="AA69" s="38" t="n">
        <x:v>0.0407697882</x:v>
      </x:c>
      <x:c r="AB69" s="38" t="n">
        <x:v>-0.0254899615</x:v>
      </x:c>
      <x:c r="AC69" s="38" t="n">
        <x:v>0.0169956436</x:v>
      </x:c>
      <x:c r="AD69" s="38" t="n">
        <x:v>0.0057023503</x:v>
      </x:c>
      <x:c r="AE69" s="38" t="n">
        <x:v>-0.0389558552</x:v>
      </x:c>
      <x:c r="AF69" s="38" t="n">
        <x:v>-0.0645312535</x:v>
      </x:c>
      <x:c r="AG69" s="38" t="n">
        <x:v>-0.0366360984</x:v>
      </x:c>
      <x:c r="AH69" s="38" t="n">
        <x:v>0.0092044146</x:v>
      </x:c>
      <x:c r="AI69" s="38" t="n">
        <x:v>-0.0032030532</x:v>
      </x:c>
      <x:c r="AJ69" s="38" t="n">
        <x:v>0.0247590214</x:v>
      </x:c>
      <x:c r="AK69" s="38" t="n">
        <x:v>-0.0112174218</x:v>
      </x:c>
      <x:c r="AL69" s="38" t="n">
        <x:v>0.0016912804</x:v>
      </x:c>
      <x:c r="AM69" s="38" t="n">
        <x:v>0.0064956467</x:v>
      </x:c>
      <x:c r="AN69" s="38" t="n">
        <x:v>-0.0221437393</x:v>
      </x:c>
      <x:c r="AO69" s="38" t="n">
        <x:v>-0.004630677</x:v>
      </x:c>
      <x:c r="AP69" s="38" t="n">
        <x:v>0.0128506472</x:v>
      </x:c>
      <x:c r="AQ69" s="38" t="n">
        <x:v>-0.0019768788</x:v>
      </x:c>
      <x:c r="AR69" s="38" t="n">
        <x:v>-0.0013526573</x:v>
      </x:c>
    </x:row>
    <x:row r="70" ht="19" customHeight="1">
      <x:c r="A70" s="39" t="d">
        <x:v>2026-03-23T00:00:00.000Z</x:v>
      </x:c>
      <x:c r="B70" s="38" t="n">
        <x:v>0.0027178736</x:v>
      </x:c>
      <x:c r="C70" s="38" t="n">
        <x:v>0.4914542295</x:v>
      </x:c>
      <x:c r="D70" s="38" t="n">
        <x:v>-0.0684297187</x:v>
      </x:c>
      <x:c r="E70" s="38" t="n">
        <x:v>0.5261132573</x:v>
      </x:c>
      <x:c r="F70" s="38" t="n">
        <x:v>-0.3204884743</x:v>
      </x:c>
      <x:c r="G70" s="38" t="n">
        <x:v>0.2761945798</x:v>
      </x:c>
      <x:c r="H70" s="38" t="n">
        <x:v>-0.0612666006</x:v>
      </x:c>
      <x:c r="I70" s="38" t="n">
        <x:v>-0.0321890578</x:v>
      </x:c>
      <x:c r="J70" s="38" t="n">
        <x:v>-0.0159990382</x:v>
      </x:c>
      <x:c r="K70" s="38" t="n">
        <x:v>-0.1145675707</x:v>
      </x:c>
      <x:c r="L70" s="38" t="n">
        <x:v>0.0161613906</x:v>
      </x:c>
      <x:c r="M70" s="38" t="n">
        <x:v>-0.2373436553</x:v>
      </x:c>
      <x:c r="N70" s="38" t="n">
        <x:v>0.0034238016</x:v>
      </x:c>
      <x:c r="O70" s="38" t="n">
        <x:v>-0.0794693023</x:v>
      </x:c>
      <x:c r="P70" s="38" t="n">
        <x:v>0.0067300895</x:v>
      </x:c>
      <x:c r="Q70" s="38" t="n">
        <x:v>0.0661957133</x:v>
      </x:c>
      <x:c r="R70" s="38" t="n">
        <x:v>0.0317324899</x:v>
      </x:c>
      <x:c r="S70" s="38" t="n">
        <x:v>0.0330506341</x:v>
      </x:c>
      <x:c r="T70" s="38" t="n">
        <x:v>0.0030678198</x:v>
      </x:c>
      <x:c r="U70" s="38" t="n">
        <x:v>-0.0022966552</x:v>
      </x:c>
      <x:c r="V70" s="38" t="n">
        <x:v>0.0803237809</x:v>
      </x:c>
      <x:c r="W70" s="38" t="n">
        <x:v>0.1044754012</x:v>
      </x:c>
      <x:c r="X70" s="38" t="n">
        <x:v>-0.0665410439</x:v>
      </x:c>
      <x:c r="Y70" s="38" t="n">
        <x:v>-0.0805267136</x:v>
      </x:c>
      <x:c r="Z70" s="38" t="n">
        <x:v>0.0067804218</x:v>
      </x:c>
      <x:c r="AA70" s="38" t="n">
        <x:v>0.0022573165</x:v>
      </x:c>
      <x:c r="AB70" s="38" t="n">
        <x:v>-0.0334524249</x:v>
      </x:c>
      <x:c r="AC70" s="38" t="n">
        <x:v>-0.1034403335</x:v>
      </x:c>
      <x:c r="AD70" s="38" t="n">
        <x:v>-0.0125929188</x:v>
      </x:c>
      <x:c r="AE70" s="38" t="n">
        <x:v>-0.0311348889</x:v>
      </x:c>
      <x:c r="AF70" s="38" t="n">
        <x:v>-0.0321775043</x:v>
      </x:c>
      <x:c r="AG70" s="38" t="n">
        <x:v>0.0171822269</x:v>
      </x:c>
      <x:c r="AH70" s="38" t="n">
        <x:v>-0.0019337371</x:v>
      </x:c>
      <x:c r="AI70" s="38" t="n">
        <x:v>-0.0075382254</x:v>
      </x:c>
      <x:c r="AJ70" s="38" t="n">
        <x:v>-0.0283220282</x:v>
      </x:c>
      <x:c r="AK70" s="38" t="n">
        <x:v>-0.0289335496</x:v>
      </x:c>
      <x:c r="AL70" s="38" t="n">
        <x:v>0.0034354481</x:v>
      </x:c>
      <x:c r="AM70" s="38" t="n">
        <x:v>-0.0181850889</x:v>
      </x:c>
      <x:c r="AN70" s="38" t="n">
        <x:v>-0.0043360309</x:v>
      </x:c>
      <x:c r="AO70" s="38" t="n">
        <x:v>-0.0106167993</x:v>
      </x:c>
      <x:c r="AP70" s="38" t="n">
        <x:v>-0.0025177214</x:v>
      </x:c>
      <x:c r="AQ70" s="38" t="n">
        <x:v>0.0009973125</x:v>
      </x:c>
      <x:c r="AR70" s="38" t="n">
        <x:v>-0.0038471164</x:v>
      </x:c>
    </x:row>
    <x:row r="71" ht="19" customHeight="1">
      <x:c r="A71" s="39" t="d">
        <x:v>2026-04-20T00:00:00.000Z</x:v>
      </x:c>
      <x:c r="B71" s="38" t="n">
        <x:v>-0.1146695285</x:v>
      </x:c>
      <x:c r="C71" s="38" t="n">
        <x:v>-0.0320423814</x:v>
      </x:c>
      <x:c r="D71" s="38" t="n">
        <x:v>0.3119794476</x:v>
      </x:c>
      <x:c r="E71" s="38" t="n">
        <x:v>-0.0034805086</x:v>
      </x:c>
      <x:c r="F71" s="38" t="n">
        <x:v>-0.2909684327</x:v>
      </x:c>
      <x:c r="G71" s="38" t="n">
        <x:v>-0.3511729901</x:v>
      </x:c>
      <x:c r="H71" s="38" t="n">
        <x:v>-0.019089267</x:v>
      </x:c>
      <x:c r="I71" s="38" t="n">
        <x:v>-0.0730560598</x:v>
      </x:c>
      <x:c r="J71" s="38" t="n">
        <x:v>-0.130253501</x:v>
      </x:c>
      <x:c r="K71" s="38" t="n">
        <x:v>0.0064577886</x:v>
      </x:c>
      <x:c r="L71" s="38" t="n">
        <x:v>0.0772575447</x:v>
      </x:c>
      <x:c r="M71" s="38" t="n">
        <x:v>0.0108817121</x:v>
      </x:c>
      <x:c r="N71" s="38" t="n">
        <x:v>0.0021661194</x:v>
      </x:c>
      <x:c r="O71" s="38" t="n">
        <x:v>-0.185526938</x:v>
      </x:c>
      <x:c r="P71" s="38" t="n">
        <x:v>-0.0363191096</x:v>
      </x:c>
      <x:c r="Q71" s="38" t="n">
        <x:v>0.0525617447</x:v>
      </x:c>
      <x:c r="R71" s="38" t="n">
        <x:v>0.1393602155</x:v>
      </x:c>
      <x:c r="S71" s="38" t="n">
        <x:v>-0.0282705771</x:v>
      </x:c>
      <x:c r="T71" s="38" t="n">
        <x:v>0.0683611237</x:v>
      </x:c>
      <x:c r="U71" s="38" t="n">
        <x:v>-0.0410565932</x:v>
      </x:c>
      <x:c r="V71" s="38" t="n">
        <x:v>0.0975048263</x:v>
      </x:c>
      <x:c r="W71" s="38" t="n">
        <x:v>0.0614334579</x:v>
      </x:c>
      <x:c r="X71" s="38" t="n">
        <x:v>0.0047647775</x:v>
      </x:c>
      <x:c r="Y71" s="38" t="n">
        <x:v>-0.022379431</x:v>
      </x:c>
      <x:c r="Z71" s="38" t="n">
        <x:v>0.0516032819</x:v>
      </x:c>
      <x:c r="AA71" s="38" t="n">
        <x:v>-0.0250439858</x:v>
      </x:c>
      <x:c r="AB71" s="38" t="n">
        <x:v>0.0218394031</x:v>
      </x:c>
      <x:c r="AC71" s="38" t="n">
        <x:v>-0.0643424532</x:v>
      </x:c>
      <x:c r="AD71" s="38" t="n">
        <x:v>-0.0054318814</x:v>
      </x:c>
      <x:c r="AE71" s="38" t="n">
        <x:v>0.02887841</x:v>
      </x:c>
      <x:c r="AF71" s="38" t="n">
        <x:v>-0.0398384712</x:v>
      </x:c>
      <x:c r="AG71" s="38" t="n">
        <x:v>-0.0338472977</x:v>
      </x:c>
      <x:c r="AH71" s="38" t="n">
        <x:v>0.0156520045</x:v>
      </x:c>
      <x:c r="AI71" s="38" t="n">
        <x:v>-0.0442288152</x:v>
      </x:c>
      <x:c r="AJ71" s="38" t="n">
        <x:v>0.016743716</x:v>
      </x:c>
      <x:c r="AK71" s="38" t="n">
        <x:v>0.0233770866</x:v>
      </x:c>
      <x:c r="AL71" s="38" t="n">
        <x:v>0.0011461129</x:v>
      </x:c>
      <x:c r="AM71" s="38" t="n">
        <x:v>0.001703065</x:v>
      </x:c>
      <x:c r="AN71" s="38" t="n">
        <x:v>0.0116745837</x:v>
      </x:c>
      <x:c r="AO71" s="38" t="n">
        <x:v>-0.0296360234</x:v>
      </x:c>
      <x:c r="AP71" s="38" t="n">
        <x:v>0.0053648667</x:v>
      </x:c>
      <x:c r="AQ71" s="38" t="n">
        <x:v>0.0040113611</x:v>
      </x:c>
      <x:c r="AR71" s="38" t="n">
        <x:v>0.0042249982</x:v>
      </x:c>
    </x:row>
    <x:row r="72" ht="19" customHeight="1">
      <x:c r="A72" s="39" t="d">
        <x:v>2026-05-18T00:00:00.000Z</x:v>
      </x:c>
      <x:c r="B72" s="38" t="n">
        <x:v>-0.4464661261</x:v>
      </x:c>
      <x:c r="C72" s="38" t="n">
        <x:v>0.0563825188</x:v>
      </x:c>
      <x:c r="D72" s="38" t="n">
        <x:v>-0.5831655762</x:v>
      </x:c>
      <x:c r="E72" s="38" t="n">
        <x:v>0.2275707791</x:v>
      </x:c>
      <x:c r="F72" s="38" t="n">
        <x:v>-0.0094201741</x:v>
      </x:c>
      <x:c r="G72" s="38" t="n">
        <x:v>0.0521311644</x:v>
      </x:c>
      <x:c r="H72" s="38" t="n">
        <x:v>0.0346377565</x:v>
      </x:c>
      <x:c r="I72" s="38" t="n">
        <x:v>-0.1031041</x:v>
      </x:c>
      <x:c r="J72" s="38" t="n">
        <x:v>-0.1662640462</x:v>
      </x:c>
      <x:c r="K72" s="38" t="n">
        <x:v>0.0847249952</x:v>
      </x:c>
      <x:c r="L72" s="38" t="n">
        <x:v>0.2964583743</x:v>
      </x:c>
      <x:c r="M72" s="38" t="n">
        <x:v>0.1427170509</x:v>
      </x:c>
      <x:c r="N72" s="38" t="n">
        <x:v>-0.1744547998</x:v>
      </x:c>
      <x:c r="O72" s="38" t="n">
        <x:v>0.2030470259</x:v>
      </x:c>
      <x:c r="P72" s="38" t="n">
        <x:v>-0.0649345519</x:v>
      </x:c>
      <x:c r="Q72" s="38" t="n">
        <x:v>0.1201033657</x:v>
      </x:c>
      <x:c r="R72" s="38" t="n">
        <x:v>0.087886874</x:v>
      </x:c>
      <x:c r="S72" s="38" t="n">
        <x:v>0.0696401298</x:v>
      </x:c>
      <x:c r="T72" s="38" t="n">
        <x:v>-0.0293276059</x:v>
      </x:c>
      <x:c r="U72" s="38" t="n">
        <x:v>0.0748463565</x:v>
      </x:c>
      <x:c r="V72" s="38" t="n">
        <x:v>-0.0574553689</x:v>
      </x:c>
      <x:c r="W72" s="38" t="n">
        <x:v>0.010268436</x:v>
      </x:c>
      <x:c r="X72" s="38" t="n">
        <x:v>-0.0562527425</x:v>
      </x:c>
      <x:c r="Y72" s="38" t="n">
        <x:v>0.0135710883</x:v>
      </x:c>
      <x:c r="Z72" s="38" t="n">
        <x:v>-0.0430622975</x:v>
      </x:c>
      <x:c r="AA72" s="38" t="n">
        <x:v>-0.0144218229</x:v>
      </x:c>
      <x:c r="AB72" s="38" t="n">
        <x:v>-0.0144478608</x:v>
      </x:c>
      <x:c r="AC72" s="38" t="n">
        <x:v>-0.0017532201</x:v>
      </x:c>
      <x:c r="AD72" s="38" t="n">
        <x:v>-0.0003301776</x:v>
      </x:c>
      <x:c r="AE72" s="38" t="n">
        <x:v>0.0051738724</x:v>
      </x:c>
      <x:c r="AF72" s="38" t="n">
        <x:v>-0.0015344381</x:v>
      </x:c>
      <x:c r="AG72" s="38" t="n">
        <x:v>-0.0405971489</x:v>
      </x:c>
      <x:c r="AH72" s="38" t="n">
        <x:v>-0.0142653992</x:v>
      </x:c>
      <x:c r="AI72" s="38" t="n">
        <x:v>0.0235918683</x:v>
      </x:c>
      <x:c r="AJ72" s="38" t="n">
        <x:v>0.0012913812</x:v>
      </x:c>
      <x:c r="AK72" s="38" t="n">
        <x:v>-0.006490259</x:v>
      </x:c>
      <x:c r="AL72" s="38" t="n">
        <x:v>0.0145976258</x:v>
      </x:c>
      <x:c r="AM72" s="38" t="n">
        <x:v>0.0133739841</x:v>
      </x:c>
      <x:c r="AN72" s="38" t="n">
        <x:v>-0.0067618808</x:v>
      </x:c>
      <x:c r="AO72" s="38" t="n">
        <x:v>0.0109259039</x:v>
      </x:c>
      <x:c r="AP72" s="38" t="n">
        <x:v>0.0164644239</x:v>
      </x:c>
      <x:c r="AQ72" s="38" t="n">
        <x:v>0.0138012633</x:v>
      </x:c>
      <x:c r="AR72" s="38" t="n">
        <x:v>-0.0034614189</x:v>
      </x:c>
    </x:row>
    <x:row r="73" ht="19" customHeight="1">
      <x:c r="A73" s="39" t="d">
        <x:v>2026-06-15T00:00:00.000Z</x:v>
      </x:c>
      <x:c r="B73" s="38" t="n">
        <x:v>-0.2344243009</x:v>
      </x:c>
      <x:c r="C73" s="38" t="n">
        <x:v>0.5496289224</x:v>
      </x:c>
      <x:c r="D73" s="38" t="n">
        <x:v>0.5445525001</x:v>
      </x:c>
      <x:c r="E73" s="38" t="n">
        <x:v>0.0726214762</x:v>
      </x:c>
      <x:c r="F73" s="38" t="n">
        <x:v>0.2946368039</x:v>
      </x:c>
      <x:c r="G73" s="38" t="n">
        <x:v>0.3808911186</x:v>
      </x:c>
      <x:c r="H73" s="38" t="n">
        <x:v>-0.2131809691</x:v>
      </x:c>
      <x:c r="I73" s="38" t="n">
        <x:v>-0.0732841221</x:v>
      </x:c>
      <x:c r="J73" s="38" t="n">
        <x:v>0.1181168265</x:v>
      </x:c>
      <x:c r="K73" s="38" t="n">
        <x:v>-0.1068194958</x:v>
      </x:c>
      <x:c r="L73" s="38" t="n">
        <x:v>-0.0365043284</x:v>
      </x:c>
      <x:c r="M73" s="38" t="n">
        <x:v>-0.0502371863</x:v>
      </x:c>
      <x:c r="N73" s="38" t="n">
        <x:v>0.0265691899</x:v>
      </x:c>
      <x:c r="O73" s="38" t="n">
        <x:v>0.192213503</x:v>
      </x:c>
      <x:c r="P73" s="38" t="n">
        <x:v>-0.0267366457</x:v>
      </x:c>
      <x:c r="Q73" s="38" t="n">
        <x:v>0.0302691498</x:v>
      </x:c>
      <x:c r="R73" s="38" t="n">
        <x:v>0.0169822093</x:v>
      </x:c>
      <x:c r="S73" s="38" t="n">
        <x:v>-0.0783056747</x:v>
      </x:c>
      <x:c r="T73" s="38" t="n">
        <x:v>0.0806288838</x:v>
      </x:c>
      <x:c r="U73" s="38" t="n">
        <x:v>0.0064391124</x:v>
      </x:c>
      <x:c r="V73" s="38" t="n">
        <x:v>0.0419812357</x:v>
      </x:c>
      <x:c r="W73" s="38" t="n">
        <x:v>-0.0263399137</x:v>
      </x:c>
      <x:c r="X73" s="38" t="n">
        <x:v>0.0832082738</x:v>
      </x:c>
      <x:c r="Y73" s="38" t="n">
        <x:v>-0.0082534449</x:v>
      </x:c>
      <x:c r="Z73" s="38" t="n">
        <x:v>0.0857267182</x:v>
      </x:c>
      <x:c r="AA73" s="38" t="n">
        <x:v>0.008816411</x:v>
      </x:c>
      <x:c r="AB73" s="38" t="n">
        <x:v>0.0555544714</x:v>
      </x:c>
      <x:c r="AC73" s="38" t="n">
        <x:v>0.0615727731</x:v>
      </x:c>
      <x:c r="AD73" s="38" t="n">
        <x:v>0.0025786643</x:v>
      </x:c>
      <x:c r="AE73" s="38" t="n">
        <x:v>0.0241759341</x:v>
      </x:c>
      <x:c r="AF73" s="38" t="n">
        <x:v>0.039434086</x:v>
      </x:c>
      <x:c r="AG73" s="38" t="n">
        <x:v>-0.0278991319</x:v>
      </x:c>
      <x:c r="AH73" s="38" t="n">
        <x:v>-0.0120284034</x:v>
      </x:c>
      <x:c r="AI73" s="38" t="n">
        <x:v>-0.0480721127</x:v>
      </x:c>
      <x:c r="AJ73" s="38" t="n">
        <x:v>0.0227246057</x:v>
      </x:c>
      <x:c r="AK73" s="38" t="n">
        <x:v>-0.0124646996</x:v>
      </x:c>
      <x:c r="AL73" s="38" t="n">
        <x:v>-0.0039917007</x:v>
      </x:c>
      <x:c r="AM73" s="38" t="n">
        <x:v>-0.0018162415</x:v>
      </x:c>
      <x:c r="AN73" s="38" t="n">
        <x:v>-0.0045454354</x:v>
      </x:c>
      <x:c r="AO73" s="38" t="n">
        <x:v>-0.0038491919</x:v>
      </x:c>
      <x:c r="AP73" s="38" t="n">
        <x:v>0.0065545411</x:v>
      </x:c>
      <x:c r="AQ73" s="38" t="n">
        <x:v>0.0002375338</x:v>
      </x:c>
      <x:c r="AR73" s="38" t="n">
        <x:v>0.0056912161</x:v>
      </x:c>
    </x:row>
    <x:row r="74" ht="19" customHeight="1">
      <x:c r="A74" s="39" t="d">
        <x:v>2026-07-13T00:00:00.000Z</x:v>
      </x:c>
      <x:c r="B74" s="38" t="n">
        <x:v>0.4176081151</x:v>
      </x:c>
      <x:c r="C74" s="38" t="n">
        <x:v>-0.5949012763</x:v>
      </x:c>
      <x:c r="D74" s="38" t="n">
        <x:v>0.5221927295</x:v>
      </x:c>
      <x:c r="E74" s="38" t="n">
        <x:v>0.1798661623</x:v>
      </x:c>
      <x:c r="F74" s="38" t="n">
        <x:v>-0.3205329252</x:v>
      </x:c>
      <x:c r="G74" s="38" t="n">
        <x:v>0.4182817926</x:v>
      </x:c>
      <x:c r="H74" s="38" t="n">
        <x:v>0.0025321392</x:v>
      </x:c>
      <x:c r="I74" s="38" t="n">
        <x:v>-0.3149988942</x:v>
      </x:c>
      <x:c r="J74" s="38" t="n">
        <x:v>-0.0111112484</x:v>
      </x:c>
      <x:c r="K74" s="38" t="n">
        <x:v>-0.0739054255</x:v>
      </x:c>
      <x:c r="L74" s="38" t="n">
        <x:v>0.0686921526</x:v>
      </x:c>
      <x:c r="M74" s="38" t="n">
        <x:v>0.0664243597</x:v>
      </x:c>
      <x:c r="N74" s="38" t="n">
        <x:v>-0.149511328</x:v>
      </x:c>
      <x:c r="O74" s="38" t="n">
        <x:v>0.155334803</x:v>
      </x:c>
      <x:c r="P74" s="38" t="n">
        <x:v>0.0037719921</x:v>
      </x:c>
      <x:c r="Q74" s="38" t="n">
        <x:v>-0.0073956724</x:v>
      </x:c>
      <x:c r="R74" s="38" t="n">
        <x:v>-0.0642978445</x:v>
      </x:c>
      <x:c r="S74" s="38" t="n">
        <x:v>0.0696518979</x:v>
      </x:c>
      <x:c r="T74" s="38" t="n">
        <x:v>0.0167499207</x:v>
      </x:c>
      <x:c r="U74" s="38" t="n">
        <x:v>0.0160831459</x:v>
      </x:c>
      <x:c r="V74" s="38" t="n">
        <x:v>-0.0197791866</x:v>
      </x:c>
      <x:c r="W74" s="38" t="n">
        <x:v>0.0009574978</x:v>
      </x:c>
      <x:c r="X74" s="38" t="n">
        <x:v>-0.0763832951</x:v>
      </x:c>
      <x:c r="Y74" s="38" t="n">
        <x:v>0.0875690866</x:v>
      </x:c>
      <x:c r="Z74" s="38" t="n">
        <x:v>-0.0106244948</x:v>
      </x:c>
      <x:c r="AA74" s="38" t="n">
        <x:v>0.0528695892</x:v>
      </x:c>
      <x:c r="AB74" s="38" t="n">
        <x:v>0.0419802926</x:v>
      </x:c>
      <x:c r="AC74" s="38" t="n">
        <x:v>-0.0154529563</x:v>
      </x:c>
      <x:c r="AD74" s="38" t="n">
        <x:v>-0.0185524191</x:v>
      </x:c>
      <x:c r="AE74" s="38" t="n">
        <x:v>0.0242763707</x:v>
      </x:c>
      <x:c r="AF74" s="38" t="n">
        <x:v>-0.0183820067</x:v>
      </x:c>
      <x:c r="AG74" s="38" t="n">
        <x:v>-0.0031922174</x:v>
      </x:c>
      <x:c r="AH74" s="38" t="n">
        <x:v>0.0071288429</x:v>
      </x:c>
      <x:c r="AI74" s="38" t="n">
        <x:v>-0.0011651626</x:v>
      </x:c>
      <x:c r="AJ74" s="38" t="n">
        <x:v>-0.0148007083</x:v>
      </x:c>
      <x:c r="AK74" s="38" t="n">
        <x:v>0.0363801694</x:v>
      </x:c>
      <x:c r="AL74" s="38" t="n">
        <x:v>-0.0195686502</x:v>
      </x:c>
      <x:c r="AM74" s="38" t="n">
        <x:v>0.0046183628</x:v>
      </x:c>
      <x:c r="AN74" s="38" t="n">
        <x:v>0.0005118664</x:v>
      </x:c>
      <x:c r="AO74" s="38" t="n">
        <x:v>-0.0078434135</x:v>
      </x:c>
      <x:c r="AP74" s="38" t="n">
        <x:v>-0.0083178505</x:v>
      </x:c>
      <x:c r="AQ74" s="38" t="n">
        <x:v>-0.007188606</x:v>
      </x:c>
      <x:c r="AR74" s="38" t="n">
        <x:v>0.0098566521</x:v>
      </x:c>
    </x:row>
    <x:row r="75" ht="19" customHeight="1">
      <x:c r="A75" s="39" t="d">
        <x:v>2026-08-10T00:00:00.000Z</x:v>
      </x:c>
      <x:c r="B75" s="38" t="n">
        <x:v>0.1506869856</x:v>
      </x:c>
      <x:c r="C75" s="38" t="n">
        <x:v>-0.3057408292</x:v>
      </x:c>
      <x:c r="D75" s="38" t="n">
        <x:v>0.1434109031</x:v>
      </x:c>
      <x:c r="E75" s="38" t="n">
        <x:v>-0.2062060503</x:v>
      </x:c>
      <x:c r="F75" s="38" t="n">
        <x:v>-0.189806592</x:v>
      </x:c>
      <x:c r="G75" s="38" t="n">
        <x:v>0.0460125769</x:v>
      </x:c>
      <x:c r="H75" s="38" t="n">
        <x:v>-0.2614949923</x:v>
      </x:c>
      <x:c r="I75" s="38" t="n">
        <x:v>0.4558914977</x:v>
      </x:c>
      <x:c r="J75" s="38" t="n">
        <x:v>0.3882473319</x:v>
      </x:c>
      <x:c r="K75" s="38" t="n">
        <x:v>0.0520766406</x:v>
      </x:c>
      <x:c r="L75" s="38" t="n">
        <x:v>0.035544705</x:v>
      </x:c>
      <x:c r="M75" s="38" t="n">
        <x:v>0.0524568259</x:v>
      </x:c>
      <x:c r="N75" s="38" t="n">
        <x:v>0.0805336659</x:v>
      </x:c>
      <x:c r="O75" s="38" t="n">
        <x:v>0.0275201662</x:v>
      </x:c>
      <x:c r="P75" s="38" t="n">
        <x:v>0.1234135988</x:v>
      </x:c>
      <x:c r="Q75" s="38" t="n">
        <x:v>0.0415742851</x:v>
      </x:c>
      <x:c r="R75" s="38" t="n">
        <x:v>-0.0570620381</x:v>
      </x:c>
      <x:c r="S75" s="38" t="n">
        <x:v>0.0716744585</x:v>
      </x:c>
      <x:c r="T75" s="38" t="n">
        <x:v>-0.1046261859</x:v>
      </x:c>
      <x:c r="U75" s="38" t="n">
        <x:v>0.0754296961</x:v>
      </x:c>
      <x:c r="V75" s="38" t="n">
        <x:v>0.0579502382</x:v>
      </x:c>
      <x:c r="W75" s="38" t="n">
        <x:v>0.0623150031</x:v>
      </x:c>
      <x:c r="X75" s="38" t="n">
        <x:v>-0.038795581</x:v>
      </x:c>
      <x:c r="Y75" s="38" t="n">
        <x:v>0.0528255391</x:v>
      </x:c>
      <x:c r="Z75" s="38" t="n">
        <x:v>-0.0649352138</x:v>
      </x:c>
      <x:c r="AA75" s="38" t="n">
        <x:v>0.0855283879</x:v>
      </x:c>
      <x:c r="AB75" s="38" t="n">
        <x:v>-0.0179876037</x:v>
      </x:c>
      <x:c r="AC75" s="38" t="n">
        <x:v>-0.0054975542</x:v>
      </x:c>
      <x:c r="AD75" s="38" t="n">
        <x:v>-0.0145336114</x:v>
      </x:c>
      <x:c r="AE75" s="38" t="n">
        <x:v>0.0018905159</x:v>
      </x:c>
      <x:c r="AF75" s="38" t="n">
        <x:v>-0.0135552667</x:v>
      </x:c>
      <x:c r="AG75" s="38" t="n">
        <x:v>-0.0000094849</x:v>
      </x:c>
      <x:c r="AH75" s="38" t="n">
        <x:v>0.0024959742</x:v>
      </x:c>
      <x:c r="AI75" s="38" t="n">
        <x:v>-0.0038559103</x:v>
      </x:c>
      <x:c r="AJ75" s="38" t="n">
        <x:v>-0.0107732398</x:v>
      </x:c>
      <x:c r="AK75" s="38" t="n">
        <x:v>-0.0036094666</x:v>
      </x:c>
      <x:c r="AL75" s="38" t="n">
        <x:v>-0.0121271016</x:v>
      </x:c>
      <x:c r="AM75" s="38" t="n">
        <x:v>-0.0194575083</x:v>
      </x:c>
      <x:c r="AN75" s="38" t="n">
        <x:v>0.0065455606</x:v>
      </x:c>
      <x:c r="AO75" s="38" t="n">
        <x:v>0.0060696242</x:v>
      </x:c>
      <x:c r="AP75" s="38" t="n">
        <x:v>0.0207093842</x:v>
      </x:c>
      <x:c r="AQ75" s="38" t="n">
        <x:v>0.0106452216</x:v>
      </x:c>
      <x:c r="AR75" s="38" t="n">
        <x:v>-0.000898556</x:v>
      </x:c>
    </x:row>
  </x:sheetData>
  <x:pageMargins left="0.7" right="0.7" top="0.75" bottom="0.75" header="0.3" footer="0.3"/>
</x:worksheet>
</file>

<file path=xl/worksheets/sheet10.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19" customHeight="1">
      <x:c r="A1" s="23"/>
      <x:c r="B1" s="23"/>
      <x:c r="C1" s="23"/>
      <x:c r="D1" s="23"/>
      <x:c r="E1" s="23"/>
      <x:c r="F1" s="23"/>
      <x:c r="G1" s="23"/>
      <x:c r="H1" s="23"/>
      <x:c r="I1" s="23"/>
      <x:c r="J1" s="23"/>
    </x:row>
    <x:row r="2" ht="19" customHeight="1">
      <x:c r="A2" s="34" t="str">
        <x:v>Retained regression coefficients</x:v>
      </x:c>
      <x:c r="B2" s="23"/>
      <x:c r="C2" s="23"/>
      <x:c r="D2" s="23"/>
      <x:c r="E2" s="23"/>
      <x:c r="F2" s="23"/>
      <x:c r="G2" s="23"/>
      <x:c r="H2" s="23"/>
      <x:c r="I2" s="23"/>
      <x:c r="J2" s="23"/>
    </x:row>
    <x:row r="3" ht="19" customHeight="1">
      <x:c r="A3" s="27"/>
      <x:c r="B3" s="23"/>
      <x:c r="C3" s="23"/>
      <x:c r="D3" s="23"/>
      <x:c r="E3" s="23"/>
      <x:c r="F3" s="23"/>
      <x:c r="G3" s="23"/>
      <x:c r="H3" s="23"/>
      <x:c r="I3" s="23"/>
      <x:c r="J3" s="23"/>
    </x:row>
    <x:row r="4" ht="19" customHeight="1">
      <x:c r="A4" s="23"/>
      <x:c r="B4" s="23"/>
      <x:c r="C4" s="23"/>
      <x:c r="D4" s="23"/>
      <x:c r="E4" s="23"/>
      <x:c r="F4" s="23"/>
      <x:c r="G4" s="23"/>
      <x:c r="H4" s="23"/>
      <x:c r="I4" s="23"/>
      <x:c r="J4" s="23"/>
    </x:row>
    <x:row r="5" ht="42" customHeight="1">
      <x:c r="A5" s="35" t="str">
        <x:v>stagger</x:v>
      </x:c>
      <x:c r="B5" s="35" t="str">
        <x:v>ticker</x:v>
      </x:c>
      <x:c r="C5" s="35" t="str">
        <x:v>stage</x:v>
      </x:c>
      <x:c r="D5" s="35" t="str">
        <x:v>factor</x:v>
      </x:c>
      <x:c r="E5" s="35" t="str">
        <x:v>alpha</x:v>
      </x:c>
      <x:c r="F5" s="35" t="str">
        <x:v>beta</x:v>
      </x:c>
      <x:c r="G5" s="35" t="str">
        <x:v>t_stat</x:v>
      </x:c>
      <x:c r="H5" s="35" t="str">
        <x:v>p_value</x:v>
      </x:c>
      <x:c r="I5" s="35" t="str">
        <x:v>observations</x:v>
      </x:c>
      <x:c r="J5" s="35" t="str">
        <x:v>r_squared</x:v>
      </x:c>
    </x:row>
    <x:row r="6" ht="19" customHeight="1">
      <x:c r="A6" s="29" t="str">
        <x:v>stagger_1</x:v>
      </x:c>
      <x:c r="B6" s="38" t="str">
        <x:v>VST</x:v>
      </x:c>
      <x:c r="C6" s="38" t="str">
        <x:v>SPY</x:v>
      </x:c>
      <x:c r="D6" s="38" t="str">
        <x:v>SPY</x:v>
      </x:c>
      <x:c r="E6" s="38" t="n">
        <x:v>0.0135364232</x:v>
      </x:c>
      <x:c r="F6" s="38" t="n">
        <x:v>1.080769288</x:v>
      </x:c>
      <x:c r="G6" s="38" t="n">
        <x:v>3.6206419526</x:v>
      </x:c>
      <x:c r="H6" s="38" t="n">
        <x:v>0.0005205007</x:v>
      </x:c>
      <x:c r="I6" s="30" t="n">
        <x:v>80</x:v>
      </x:c>
      <x:c r="J6" s="38" t="n">
        <x:v>0.1438830546</x:v>
      </x:c>
    </x:row>
    <x:row r="7" ht="19" customHeight="1">
      <x:c r="A7" s="29" t="str">
        <x:v>stagger_1</x:v>
      </x:c>
      <x:c r="B7" s="38" t="str">
        <x:v>VST</x:v>
      </x:c>
      <x:c r="C7" s="38" t="str">
        <x:v>Primary sector</x:v>
      </x:c>
      <x:c r="D7" s="38" t="str">
        <x:v>XLU</x:v>
      </x:c>
      <x:c r="E7" s="38" t="n">
        <x:v>-5.204170428e-18</x:v>
      </x:c>
      <x:c r="F7" s="38" t="n">
        <x:v>0.7739386244</x:v>
      </x:c>
      <x:c r="G7" s="38" t="n">
        <x:v>2.7610867324</x:v>
      </x:c>
      <x:c r="H7" s="38" t="n">
        <x:v>0.0071793045</x:v>
      </x:c>
      <x:c r="I7" s="30" t="n">
        <x:v>80</x:v>
      </x:c>
      <x:c r="J7" s="38" t="n">
        <x:v>0.0890361997</x:v>
      </x:c>
    </x:row>
    <x:row r="8" ht="19" customHeight="1">
      <x:c r="A8" s="29" t="str">
        <x:v>stagger_1</x:v>
      </x:c>
      <x:c r="B8" s="38" t="str">
        <x:v>VST</x:v>
      </x:c>
      <x:c r="C8" s="38" t="str">
        <x:v>Other sectors</x:v>
      </x:c>
      <x:c r="D8" s="38" t="str">
        <x:v>XLI</x:v>
      </x:c>
      <x:c r="E8" s="38" t="n">
        <x:v>-1.734723476e-18</x:v>
      </x:c>
      <x:c r="F8" s="38" t="n">
        <x:v>0.8169156576</x:v>
      </x:c>
      <x:c r="G8" s="38" t="n">
        <x:v>2.1445020329</x:v>
      </x:c>
      <x:c r="H8" s="38" t="n">
        <x:v>0.0351889882</x:v>
      </x:c>
      <x:c r="I8" s="30" t="n">
        <x:v>80</x:v>
      </x:c>
      <x:c r="J8" s="38" t="n">
        <x:v>0.2005404393</x:v>
      </x:c>
    </x:row>
    <x:row r="9" ht="19" customHeight="1">
      <x:c r="A9" s="29" t="str">
        <x:v>stagger_1</x:v>
      </x:c>
      <x:c r="B9" s="38" t="str">
        <x:v>VST</x:v>
      </x:c>
      <x:c r="C9" s="38" t="str">
        <x:v>Other sectors</x:v>
      </x:c>
      <x:c r="D9" s="38" t="str">
        <x:v>XLRE</x:v>
      </x:c>
      <x:c r="E9" s="38" t="n">
        <x:v>-1.734723476e-18</x:v>
      </x:c>
      <x:c r="F9" s="38" t="n">
        <x:v>-0.7542327724</x:v>
      </x:c>
      <x:c r="G9" s="38" t="n">
        <x:v>-2.2440722171</x:v>
      </x:c>
      <x:c r="H9" s="38" t="n">
        <x:v>0.0277386219</x:v>
      </x:c>
      <x:c r="I9" s="30" t="n">
        <x:v>80</x:v>
      </x:c>
      <x:c r="J9" s="38" t="n">
        <x:v>0.2005404393</x:v>
      </x:c>
    </x:row>
    <x:row r="10" ht="19" customHeight="1">
      <x:c r="A10" s="29" t="str">
        <x:v>stagger_1</x:v>
      </x:c>
      <x:c r="B10" s="38" t="str">
        <x:v>VST</x:v>
      </x:c>
      <x:c r="C10" s="38" t="str">
        <x:v>Other sectors</x:v>
      </x:c>
      <x:c r="D10" s="38" t="str">
        <x:v>XLV</x:v>
      </x:c>
      <x:c r="E10" s="38" t="n">
        <x:v>-1.734723476e-18</x:v>
      </x:c>
      <x:c r="F10" s="38" t="n">
        <x:v>-0.799347608</x:v>
      </x:c>
      <x:c r="G10" s="38" t="n">
        <x:v>-2.4177409207</x:v>
      </x:c>
      <x:c r="H10" s="38" t="n">
        <x:v>0.0180131113</x:v>
      </x:c>
      <x:c r="I10" s="30" t="n">
        <x:v>80</x:v>
      </x:c>
      <x:c r="J10" s="38" t="n">
        <x:v>0.2005404393</x:v>
      </x:c>
    </x:row>
    <x:row r="11" ht="19" customHeight="1">
      <x:c r="A11" s="29" t="str">
        <x:v>stagger_1</x:v>
      </x:c>
      <x:c r="B11" s="38" t="str">
        <x:v>VIST</x:v>
      </x:c>
      <x:c r="C11" s="38" t="str">
        <x:v>Home FX</x:v>
      </x:c>
      <x:c r="D11" s="38" t="str">
        <x:v>MXN/USD</x:v>
      </x:c>
      <x:c r="E11" s="38" t="n">
        <x:v>0.0354775212</x:v>
      </x:c>
      <x:c r="F11" s="38" t="n">
        <x:v>0.0958171985</x:v>
      </x:c>
      <x:c r="G11" s="38" t="n">
        <x:v>0.1865068823</x:v>
      </x:c>
      <x:c r="H11" s="38" t="n">
        <x:v>0.8525315127</x:v>
      </x:c>
      <x:c r="I11" s="30" t="n">
        <x:v>80</x:v>
      </x:c>
      <x:c r="J11" s="38" t="n">
        <x:v>0.0004457604</x:v>
      </x:c>
    </x:row>
    <x:row r="12" ht="19" customHeight="1">
      <x:c r="A12" s="29" t="str">
        <x:v>stagger_1</x:v>
      </x:c>
      <x:c r="B12" s="38" t="str">
        <x:v>VIST</x:v>
      </x:c>
      <x:c r="C12" s="38" t="str">
        <x:v>SPY</x:v>
      </x:c>
      <x:c r="D12" s="38" t="str">
        <x:v>SPY</x:v>
      </x:c>
      <x:c r="E12" s="38" t="n">
        <x:v>0.0013795149</x:v>
      </x:c>
      <x:c r="F12" s="38" t="n">
        <x:v>-0.105158732</x:v>
      </x:c>
      <x:c r="G12" s="38" t="n">
        <x:v>-0.3111086784</x:v>
      </x:c>
      <x:c r="H12" s="38" t="n">
        <x:v>0.7565479348</x:v>
      </x:c>
      <x:c r="I12" s="30" t="n">
        <x:v>80</x:v>
      </x:c>
      <x:c r="J12" s="38" t="n">
        <x:v>0.0012393417</x:v>
      </x:c>
    </x:row>
    <x:row r="13" ht="19" customHeight="1">
      <x:c r="A13" s="29" t="str">
        <x:v>stagger_1</x:v>
      </x:c>
      <x:c r="B13" s="38" t="str">
        <x:v>VIST</x:v>
      </x:c>
      <x:c r="C13" s="38" t="str">
        <x:v>Primary sector</x:v>
      </x:c>
      <x:c r="D13" s="38" t="str">
        <x:v>XLE</x:v>
      </x:c>
      <x:c r="E13" s="38" t="n">
        <x:v>-1.734723476e-18</x:v>
      </x:c>
      <x:c r="F13" s="38" t="n">
        <x:v>0.9012884373</x:v>
      </x:c>
      <x:c r="G13" s="38" t="n">
        <x:v>5.5233755998</x:v>
      </x:c>
      <x:c r="H13" s="38" t="n">
        <x:v>4.225e-7</x:v>
      </x:c>
      <x:c r="I13" s="30" t="n">
        <x:v>80</x:v>
      </x:c>
      <x:c r="J13" s="38" t="n">
        <x:v>0.2811568598</x:v>
      </x:c>
    </x:row>
    <x:row r="14" ht="19" customHeight="1">
      <x:c r="A14" s="29" t="str">
        <x:v>stagger_1</x:v>
      </x:c>
      <x:c r="B14" s="38" t="str">
        <x:v>VIST</x:v>
      </x:c>
      <x:c r="C14" s="38" t="str">
        <x:v>Other sectors</x:v>
      </x:c>
      <x:c r="D14" s="38" t="str">
        <x:v>XLV</x:v>
      </x:c>
      <x:c r="E14" s="38" t="n">
        <x:v>0</x:v>
      </x:c>
      <x:c r="F14" s="38" t="n">
        <x:v>-0.8508837427</x:v>
      </x:c>
      <x:c r="G14" s="38" t="n">
        <x:v>-2.6602517451</x:v>
      </x:c>
      <x:c r="H14" s="38" t="n">
        <x:v>0.0094745546</x:v>
      </x:c>
      <x:c r="I14" s="30" t="n">
        <x:v>80</x:v>
      </x:c>
      <x:c r="J14" s="38" t="n">
        <x:v>0.0831828155</x:v>
      </x:c>
    </x:row>
    <x:row r="15" ht="19" customHeight="1">
      <x:c r="A15" s="29" t="str">
        <x:v>stagger_1</x:v>
      </x:c>
      <x:c r="B15" s="38" t="str">
        <x:v>AEP</x:v>
      </x:c>
      <x:c r="C15" s="38" t="str">
        <x:v>Other FX</x:v>
      </x:c>
      <x:c r="D15" s="38" t="str">
        <x:v>SGD/USD</x:v>
      </x:c>
      <x:c r="E15" s="38" t="n">
        <x:v>0.0074552331</x:v>
      </x:c>
      <x:c r="F15" s="38" t="n">
        <x:v>1.7967653828</x:v>
      </x:c>
      <x:c r="G15" s="38" t="n">
        <x:v>3.5337190321</x:v>
      </x:c>
      <x:c r="H15" s="38" t="n">
        <x:v>0.0006922837</x:v>
      </x:c>
      <x:c r="I15" s="30" t="n">
        <x:v>80</x:v>
      </x:c>
      <x:c r="J15" s="38" t="n">
        <x:v>0.1379993448</x:v>
      </x:c>
    </x:row>
    <x:row r="16" ht="19" customHeight="1">
      <x:c r="A16" s="29" t="str">
        <x:v>stagger_1</x:v>
      </x:c>
      <x:c r="B16" s="38" t="str">
        <x:v>AEP</x:v>
      </x:c>
      <x:c r="C16" s="38" t="str">
        <x:v>SPY</x:v>
      </x:c>
      <x:c r="D16" s="38" t="str">
        <x:v>SPY</x:v>
      </x:c>
      <x:c r="E16" s="38" t="n">
        <x:v>-0.0012164644</x:v>
      </x:c>
      <x:c r="F16" s="38" t="n">
        <x:v>0.0927295922</x:v>
      </x:c>
      <x:c r="G16" s="38" t="n">
        <x:v>0.6422451446</x:v>
      </x:c>
      <x:c r="H16" s="38" t="n">
        <x:v>0.5225972333</x:v>
      </x:c>
      <x:c r="I16" s="30" t="n">
        <x:v>80</x:v>
      </x:c>
      <x:c r="J16" s="38" t="n">
        <x:v>0.0052603722</x:v>
      </x:c>
    </x:row>
    <x:row r="17" ht="19" customHeight="1">
      <x:c r="A17" s="29" t="str">
        <x:v>stagger_1</x:v>
      </x:c>
      <x:c r="B17" s="38" t="str">
        <x:v>AEP</x:v>
      </x:c>
      <x:c r="C17" s="38" t="str">
        <x:v>Primary sector</x:v>
      </x:c>
      <x:c r="D17" s="38" t="str">
        <x:v>XLU</x:v>
      </x:c>
      <x:c r="E17" s="38" t="n">
        <x:v>4.33680869e-19</x:v>
      </x:c>
      <x:c r="F17" s="38" t="n">
        <x:v>0.9508835618</x:v>
      </x:c>
      <x:c r="G17" s="38" t="n">
        <x:v>10.2616381446</x:v>
      </x:c>
      <x:c r="H17" s="38" t="n">
        <x:v>3.973499458e-16</x:v>
      </x:c>
      <x:c r="I17" s="30" t="n">
        <x:v>80</x:v>
      </x:c>
      <x:c r="J17" s="38" t="n">
        <x:v>0.5744709113</x:v>
      </x:c>
    </x:row>
    <x:row r="18" ht="19" customHeight="1">
      <x:c r="A18" s="29" t="str">
        <x:v>stagger_1</x:v>
      </x:c>
      <x:c r="B18" s="38" t="str">
        <x:v>AEP</x:v>
      </x:c>
      <x:c r="C18" s="38" t="str">
        <x:v>Other sectors</x:v>
      </x:c>
      <x:c r="D18" s="38" t="str">
        <x:v>XLI</x:v>
      </x:c>
      <x:c r="E18" s="38" t="n">
        <x:v>-1.734723476e-18</x:v>
      </x:c>
      <x:c r="F18" s="38" t="n">
        <x:v>-0.2984670079</x:v>
      </x:c>
      <x:c r="G18" s="38" t="n">
        <x:v>-2.2468932975</x:v>
      </x:c>
      <x:c r="H18" s="38" t="n">
        <x:v>0.0275111932</x:v>
      </x:c>
      <x:c r="I18" s="30" t="n">
        <x:v>80</x:v>
      </x:c>
      <x:c r="J18" s="38" t="n">
        <x:v>0.0961655213</x:v>
      </x:c>
    </x:row>
    <x:row r="19" ht="19" customHeight="1">
      <x:c r="A19" s="29" t="str">
        <x:v>stagger_1</x:v>
      </x:c>
      <x:c r="B19" s="38" t="str">
        <x:v>AEP</x:v>
      </x:c>
      <x:c r="C19" s="38" t="str">
        <x:v>Other sectors</x:v>
      </x:c>
      <x:c r="D19" s="38" t="str">
        <x:v>XLRE</x:v>
      </x:c>
      <x:c r="E19" s="38" t="n">
        <x:v>-1.734723476e-18</x:v>
      </x:c>
      <x:c r="F19" s="38" t="n">
        <x:v>0.249958672</x:v>
      </x:c>
      <x:c r="G19" s="38" t="n">
        <x:v>2.311338215</x:v>
      </x:c>
      <x:c r="H19" s="38" t="n">
        <x:v>0.0234904562</x:v>
      </x:c>
      <x:c r="I19" s="30" t="n">
        <x:v>80</x:v>
      </x:c>
      <x:c r="J19" s="38" t="n">
        <x:v>0.0961655213</x:v>
      </x:c>
    </x:row>
    <x:row r="20" ht="19" customHeight="1">
      <x:c r="A20" s="29" t="str">
        <x:v>stagger_1</x:v>
      </x:c>
      <x:c r="B20" s="38" t="str">
        <x:v>ETR</x:v>
      </x:c>
      <x:c r="C20" s="38" t="str">
        <x:v>SPY</x:v>
      </x:c>
      <x:c r="D20" s="38" t="str">
        <x:v>SPY</x:v>
      </x:c>
      <x:c r="E20" s="38" t="n">
        <x:v>0.0104151732</x:v>
      </x:c>
      <x:c r="F20" s="38" t="n">
        <x:v>0.355562464</x:v>
      </x:c>
      <x:c r="G20" s="38" t="n">
        <x:v>2.5068435338</x:v>
      </x:c>
      <x:c r="H20" s="38" t="n">
        <x:v>0.0142608024</x:v>
      </x:c>
      <x:c r="I20" s="30" t="n">
        <x:v>80</x:v>
      </x:c>
      <x:c r="J20" s="38" t="n">
        <x:v>0.0745603529</x:v>
      </x:c>
    </x:row>
    <x:row r="21" ht="19" customHeight="1">
      <x:c r="A21" s="29" t="str">
        <x:v>stagger_1</x:v>
      </x:c>
      <x:c r="B21" s="38" t="str">
        <x:v>ETR</x:v>
      </x:c>
      <x:c r="C21" s="38" t="str">
        <x:v>Primary sector</x:v>
      </x:c>
      <x:c r="D21" s="38" t="str">
        <x:v>XLU</x:v>
      </x:c>
      <x:c r="E21" s="38" t="n">
        <x:v>4.33680869e-19</x:v>
      </x:c>
      <x:c r="F21" s="38" t="n">
        <x:v>0.9424741936</x:v>
      </x:c>
      <x:c r="G21" s="38" t="n">
        <x:v>10.4815488246</x:v>
      </x:c>
      <x:c r="H21" s="38" t="n">
        <x:v>1.5104769e-16</x:v>
      </x:c>
      <x:c r="I21" s="30" t="n">
        <x:v>80</x:v>
      </x:c>
      <x:c r="J21" s="38" t="n">
        <x:v>0.5848035231</x:v>
      </x:c>
    </x:row>
    <x:row r="22" ht="19" customHeight="1">
      <x:c r="A22" s="29" t="str">
        <x:v>stagger_1</x:v>
      </x:c>
      <x:c r="B22" s="38" t="str">
        <x:v>DIS</x:v>
      </x:c>
      <x:c r="C22" s="38" t="str">
        <x:v>Other FX</x:v>
      </x:c>
      <x:c r="D22" s="38" t="str">
        <x:v>SGD/USD</x:v>
      </x:c>
      <x:c r="E22" s="38" t="n">
        <x:v>-0.0023182171</x:v>
      </x:c>
      <x:c r="F22" s="38" t="n">
        <x:v>1.9157949942</x:v>
      </x:c>
      <x:c r="G22" s="38" t="n">
        <x:v>2.4614154602</x:v>
      </x:c>
      <x:c r="H22" s="38" t="n">
        <x:v>0.0160468153</x:v>
      </x:c>
      <x:c r="I22" s="30" t="n">
        <x:v>80</x:v>
      </x:c>
      <x:c r="J22" s="38" t="n">
        <x:v>0.0720755344</x:v>
      </x:c>
    </x:row>
    <x:row r="23" ht="19" customHeight="1">
      <x:c r="A23" s="29" t="str">
        <x:v>stagger_1</x:v>
      </x:c>
      <x:c r="B23" s="38" t="str">
        <x:v>DIS</x:v>
      </x:c>
      <x:c r="C23" s="38" t="str">
        <x:v>SPY</x:v>
      </x:c>
      <x:c r="D23" s="38" t="str">
        <x:v>SPY</x:v>
      </x:c>
      <x:c r="E23" s="38" t="n">
        <x:v>-0.0142013981</x:v>
      </x:c>
      <x:c r="F23" s="38" t="n">
        <x:v>1.082555175</x:v>
      </x:c>
      <x:c r="G23" s="38" t="n">
        <x:v>5.8639665105</x:v>
      </x:c>
      <x:c r="H23" s="38" t="n">
        <x:v>1.033e-7</x:v>
      </x:c>
      <x:c r="I23" s="30" t="n">
        <x:v>80</x:v>
      </x:c>
      <x:c r="J23" s="38" t="n">
        <x:v>0.3059640138</x:v>
      </x:c>
    </x:row>
    <x:row r="24" ht="19" customHeight="1">
      <x:c r="A24" s="29" t="str">
        <x:v>stagger_1</x:v>
      </x:c>
      <x:c r="B24" s="38" t="str">
        <x:v>DIS</x:v>
      </x:c>
      <x:c r="C24" s="38" t="str">
        <x:v>Primary sector</x:v>
      </x:c>
      <x:c r="D24" s="38" t="str">
        <x:v>XLC</x:v>
      </x:c>
      <x:c r="E24" s="38" t="n">
        <x:v>-1.734723476e-18</x:v>
      </x:c>
      <x:c r="F24" s="38" t="n">
        <x:v>0.4215341066</x:v>
      </x:c>
      <x:c r="G24" s="38" t="n">
        <x:v>1.6112760457</x:v>
      </x:c>
      <x:c r="H24" s="38" t="n">
        <x:v>0.1111590715</x:v>
      </x:c>
      <x:c r="I24" s="30" t="n">
        <x:v>80</x:v>
      </x:c>
      <x:c r="J24" s="38" t="n">
        <x:v>0.0322125628</x:v>
      </x:c>
    </x:row>
    <x:row r="25" ht="19" customHeight="1">
      <x:c r="A25" s="29" t="str">
        <x:v>stagger_1</x:v>
      </x:c>
      <x:c r="B25" s="38" t="str">
        <x:v>DIS</x:v>
      </x:c>
      <x:c r="C25" s="38" t="str">
        <x:v>Other sectors</x:v>
      </x:c>
      <x:c r="D25" s="38" t="str">
        <x:v>XLE</x:v>
      </x:c>
      <x:c r="E25" s="38" t="n">
        <x:v>0</x:v>
      </x:c>
      <x:c r="F25" s="38" t="n">
        <x:v>0.226671223</x:v>
      </x:c>
      <x:c r="G25" s="38" t="n">
        <x:v>2.0260352759</x:v>
      </x:c>
      <x:c r="H25" s="38" t="n">
        <x:v>0.0463180211</x:v>
      </x:c>
      <x:c r="I25" s="30" t="n">
        <x:v>80</x:v>
      </x:c>
      <x:c r="J25" s="38" t="n">
        <x:v>0.1633505863</x:v>
      </x:c>
    </x:row>
    <x:row r="26" ht="19" customHeight="1">
      <x:c r="A26" s="29" t="str">
        <x:v>stagger_1</x:v>
      </x:c>
      <x:c r="B26" s="38" t="str">
        <x:v>DIS</x:v>
      </x:c>
      <x:c r="C26" s="38" t="str">
        <x:v>Other sectors</x:v>
      </x:c>
      <x:c r="D26" s="38" t="str">
        <x:v>XLF</x:v>
      </x:c>
      <x:c r="E26" s="38" t="n">
        <x:v>0</x:v>
      </x:c>
      <x:c r="F26" s="38" t="n">
        <x:v>0.748054599</x:v>
      </x:c>
      <x:c r="G26" s="38" t="n">
        <x:v>2.6365066361</x:v>
      </x:c>
      <x:c r="H26" s="38" t="n">
        <x:v>0.0101760453</x:v>
      </x:c>
      <x:c r="I26" s="30" t="n">
        <x:v>80</x:v>
      </x:c>
      <x:c r="J26" s="38" t="n">
        <x:v>0.1633505863</x:v>
      </x:c>
    </x:row>
    <x:row r="27" ht="19" customHeight="1">
      <x:c r="A27" s="29" t="str">
        <x:v>stagger_1</x:v>
      </x:c>
      <x:c r="B27" s="38" t="str">
        <x:v>DIS</x:v>
      </x:c>
      <x:c r="C27" s="38" t="str">
        <x:v>Other sectors</x:v>
      </x:c>
      <x:c r="D27" s="38" t="str">
        <x:v>XLK</x:v>
      </x:c>
      <x:c r="E27" s="38" t="n">
        <x:v>0</x:v>
      </x:c>
      <x:c r="F27" s="38" t="n">
        <x:v>0.8744847471</x:v>
      </x:c>
      <x:c r="G27" s="38" t="n">
        <x:v>2.9840466987</x:v>
      </x:c>
      <x:c r="H27" s="38" t="n">
        <x:v>0.0038378534</x:v>
      </x:c>
      <x:c r="I27" s="30" t="n">
        <x:v>80</x:v>
      </x:c>
      <x:c r="J27" s="38" t="n">
        <x:v>0.1633505863</x:v>
      </x:c>
    </x:row>
    <x:row r="28" ht="19" customHeight="1">
      <x:c r="A28" s="29" t="str">
        <x:v>stagger_1</x:v>
      </x:c>
      <x:c r="B28" s="38" t="str">
        <x:v>DIS</x:v>
      </x:c>
      <x:c r="C28" s="38" t="str">
        <x:v>Other sectors</x:v>
      </x:c>
      <x:c r="D28" s="38" t="str">
        <x:v>XLY</x:v>
      </x:c>
      <x:c r="E28" s="38" t="n">
        <x:v>0</x:v>
      </x:c>
      <x:c r="F28" s="38" t="n">
        <x:v>0.7074044533</x:v>
      </x:c>
      <x:c r="G28" s="38" t="n">
        <x:v>2.7409529778</x:v>
      </x:c>
      <x:c r="H28" s="38" t="n">
        <x:v>0.0076538585</x:v>
      </x:c>
      <x:c r="I28" s="30" t="n">
        <x:v>80</x:v>
      </x:c>
      <x:c r="J28" s="38" t="n">
        <x:v>0.1633505863</x:v>
      </x:c>
    </x:row>
    <x:row r="29" ht="19" customHeight="1">
      <x:c r="A29" s="29" t="str">
        <x:v>stagger_1</x:v>
      </x:c>
      <x:c r="B29" s="38" t="str">
        <x:v>CMG</x:v>
      </x:c>
      <x:c r="C29" s="38" t="str">
        <x:v>Other FX</x:v>
      </x:c>
      <x:c r="D29" s="38" t="str">
        <x:v>AUD/USD</x:v>
      </x:c>
      <x:c r="E29" s="38" t="n">
        <x:v>0.0002701715</x:v>
      </x:c>
      <x:c r="F29" s="38" t="n">
        <x:v>1.0424836686</x:v>
      </x:c>
      <x:c r="G29" s="38" t="n">
        <x:v>2.0309716661</x:v>
      </x:c>
      <x:c r="H29" s="38" t="n">
        <x:v>0.0456650824</x:v>
      </x:c>
      <x:c r="I29" s="30" t="n">
        <x:v>80</x:v>
      </x:c>
      <x:c r="J29" s="38" t="n">
        <x:v>0.0502265284</x:v>
      </x:c>
    </x:row>
    <x:row r="30" ht="19" customHeight="1">
      <x:c r="A30" s="29" t="str">
        <x:v>stagger_1</x:v>
      </x:c>
      <x:c r="B30" s="38" t="str">
        <x:v>CMG</x:v>
      </x:c>
      <x:c r="C30" s="38" t="str">
        <x:v>SPY</x:v>
      </x:c>
      <x:c r="D30" s="38" t="str">
        <x:v>SPY</x:v>
      </x:c>
      <x:c r="E30" s="38" t="n">
        <x:v>-0.0086322204</x:v>
      </x:c>
      <x:c r="F30" s="38" t="n">
        <x:v>0.6580235836</x:v>
      </x:c>
      <x:c r="G30" s="38" t="n">
        <x:v>2.4697504651</x:v>
      </x:c>
      <x:c r="H30" s="38" t="n">
        <x:v>0.0157048213</x:v>
      </x:c>
      <x:c r="I30" s="30" t="n">
        <x:v>80</x:v>
      </x:c>
      <x:c r="J30" s="38" t="n">
        <x:v>0.0725290308</x:v>
      </x:c>
    </x:row>
    <x:row r="31" ht="19" customHeight="1">
      <x:c r="A31" s="29" t="str">
        <x:v>stagger_1</x:v>
      </x:c>
      <x:c r="B31" s="38" t="str">
        <x:v>CMG</x:v>
      </x:c>
      <x:c r="C31" s="38" t="str">
        <x:v>Primary sector</x:v>
      </x:c>
      <x:c r="D31" s="38" t="str">
        <x:v>XLY</x:v>
      </x:c>
      <x:c r="E31" s="38" t="n">
        <x:v>3.469446952e-18</x:v>
      </x:c>
      <x:c r="F31" s="38" t="n">
        <x:v>0.531742343</x:v>
      </x:c>
      <x:c r="G31" s="38" t="n">
        <x:v>1.4592011345</x:v>
      </x:c>
      <x:c r="H31" s="38" t="n">
        <x:v>0.1485253512</x:v>
      </x:c>
      <x:c r="I31" s="30" t="n">
        <x:v>80</x:v>
      </x:c>
      <x:c r="J31" s="38" t="n">
        <x:v>0.0265729116</x:v>
      </x:c>
    </x:row>
    <x:row r="32" ht="19" customHeight="1">
      <x:c r="A32" s="29" t="str">
        <x:v>stagger_1</x:v>
      </x:c>
      <x:c r="B32" s="38" t="str">
        <x:v>CMG</x:v>
      </x:c>
      <x:c r="C32" s="38" t="str">
        <x:v>Other sectors</x:v>
      </x:c>
      <x:c r="D32" s="38" t="str">
        <x:v>XLE</x:v>
      </x:c>
      <x:c r="E32" s="38" t="n">
        <x:v>8.67361738e-19</x:v>
      </x:c>
      <x:c r="F32" s="38" t="n">
        <x:v>-0.3247562354</x:v>
      </x:c>
      <x:c r="G32" s="38" t="n">
        <x:v>-2.2383440814</x:v>
      </x:c>
      <x:c r="H32" s="38" t="n">
        <x:v>0.0280501307</x:v>
      </x:c>
      <x:c r="I32" s="30" t="n">
        <x:v>80</x:v>
      </x:c>
      <x:c r="J32" s="38" t="n">
        <x:v>0.0603562596</x:v>
      </x:c>
    </x:row>
    <x:row r="33" ht="19" customHeight="1">
      <x:c r="A33" s="29" t="str">
        <x:v>stagger_1</x:v>
      </x:c>
      <x:c r="B33" s="38" t="str">
        <x:v>AMZN</x:v>
      </x:c>
      <x:c r="C33" s="38" t="str">
        <x:v>Other FX</x:v>
      </x:c>
      <x:c r="D33" s="38" t="str">
        <x:v>DKK/USD</x:v>
      </x:c>
      <x:c r="E33" s="38" t="n">
        <x:v>0.010328661</x:v>
      </x:c>
      <x:c r="F33" s="38" t="n">
        <x:v>14.9064040447</x:v>
      </x:c>
      <x:c r="G33" s="38" t="n">
        <x:v>2.92701965</x:v>
      </x:c>
      <x:c r="H33" s="38" t="n">
        <x:v>0.0044970727</x:v>
      </x:c>
      <x:c r="I33" s="30" t="n">
        <x:v>80</x:v>
      </x:c>
      <x:c r="J33" s="38" t="n">
        <x:v>0.1072997752</x:v>
      </x:c>
    </x:row>
    <x:row r="34" ht="19" customHeight="1">
      <x:c r="A34" s="29" t="str">
        <x:v>stagger_1</x:v>
      </x:c>
      <x:c r="B34" s="38" t="str">
        <x:v>AMZN</x:v>
      </x:c>
      <x:c r="C34" s="38" t="str">
        <x:v>Other FX</x:v>
      </x:c>
      <x:c r="D34" s="38" t="str">
        <x:v>EUR/USD</x:v>
      </x:c>
      <x:c r="E34" s="38" t="n">
        <x:v>0.010328661</x:v>
      </x:c>
      <x:c r="F34" s="38" t="n">
        <x:v>-14.1551632868</x:v>
      </x:c>
      <x:c r="G34" s="38" t="n">
        <x:v>-2.8251453791</x:v>
      </x:c>
      <x:c r="H34" s="38" t="n">
        <x:v>0.0060157701</x:v>
      </x:c>
      <x:c r="I34" s="30" t="n">
        <x:v>80</x:v>
      </x:c>
      <x:c r="J34" s="38" t="n">
        <x:v>0.1072997752</x:v>
      </x:c>
    </x:row>
    <x:row r="35" ht="19" customHeight="1">
      <x:c r="A35" s="29" t="str">
        <x:v>stagger_1</x:v>
      </x:c>
      <x:c r="B35" s="38" t="str">
        <x:v>AMZN</x:v>
      </x:c>
      <x:c r="C35" s="38" t="str">
        <x:v>SPY</x:v>
      </x:c>
      <x:c r="D35" s="38" t="str">
        <x:v>SPY</x:v>
      </x:c>
      <x:c r="E35" s="38" t="n">
        <x:v>-0.0168184256</x:v>
      </x:c>
      <x:c r="F35" s="38" t="n">
        <x:v>1.2820479783</x:v>
      </x:c>
      <x:c r="G35" s="38" t="n">
        <x:v>6.6902450145</x:v>
      </x:c>
      <x:c r="H35" s="38" t="n">
        <x:v>3e-9</x:v>
      </x:c>
      <x:c r="I35" s="30" t="n">
        <x:v>80</x:v>
      </x:c>
      <x:c r="J35" s="38" t="n">
        <x:v>0.3646106632</x:v>
      </x:c>
    </x:row>
    <x:row r="36" ht="19" customHeight="1">
      <x:c r="A36" s="29" t="str">
        <x:v>stagger_1</x:v>
      </x:c>
      <x:c r="B36" s="38" t="str">
        <x:v>AMZN</x:v>
      </x:c>
      <x:c r="C36" s="38" t="str">
        <x:v>Primary sector</x:v>
      </x:c>
      <x:c r="D36" s="38" t="str">
        <x:v>XLY</x:v>
      </x:c>
      <x:c r="E36" s="38" t="n">
        <x:v>8.67361738e-19</x:v>
      </x:c>
      <x:c r="F36" s="38" t="n">
        <x:v>1.0036952524</x:v>
      </x:c>
      <x:c r="G36" s="38" t="n">
        <x:v>4.1801055867</x:v>
      </x:c>
      <x:c r="H36" s="38" t="n">
        <x:v>0.0000755029</x:v>
      </x:c>
      <x:c r="I36" s="30" t="n">
        <x:v>80</x:v>
      </x:c>
      <x:c r="J36" s="38" t="n">
        <x:v>0.1830175125</x:v>
      </x:c>
    </x:row>
    <x:row r="37" ht="19" customHeight="1">
      <x:c r="A37" s="29" t="str">
        <x:v>stagger_1</x:v>
      </x:c>
      <x:c r="B37" s="38" t="str">
        <x:v>AMZN</x:v>
      </x:c>
      <x:c r="C37" s="38" t="str">
        <x:v>Other sectors</x:v>
      </x:c>
      <x:c r="D37" s="38" t="str">
        <x:v>XLB</x:v>
      </x:c>
      <x:c r="E37" s="38" t="n">
        <x:v>4.33680869e-19</x:v>
      </x:c>
      <x:c r="F37" s="38" t="n">
        <x:v>-0.78452981</x:v>
      </x:c>
      <x:c r="G37" s="38" t="n">
        <x:v>-4.9177605923</x:v>
      </x:c>
      <x:c r="H37" s="38" t="n">
        <x:v>0.0000047541</x:v>
      </x:c>
      <x:c r="I37" s="30" t="n">
        <x:v>80</x:v>
      </x:c>
      <x:c r="J37" s="38" t="n">
        <x:v>0.2366738614</x:v>
      </x:c>
    </x:row>
    <x:row r="38" ht="19" customHeight="1">
      <x:c r="A38" s="29" t="str">
        <x:v>stagger_1</x:v>
      </x:c>
      <x:c r="B38" s="38" t="str">
        <x:v>FIX</x:v>
      </x:c>
      <x:c r="C38" s="38" t="str">
        <x:v>Other FX</x:v>
      </x:c>
      <x:c r="D38" s="38" t="str">
        <x:v>MXN/USD</x:v>
      </x:c>
      <x:c r="E38" s="38" t="n">
        <x:v>0.0458371006</x:v>
      </x:c>
      <x:c r="F38" s="38" t="n">
        <x:v>1.7507289915</x:v>
      </x:c>
      <x:c r="G38" s="38" t="n">
        <x:v>3.8471710726</x:v>
      </x:c>
      <x:c r="H38" s="38" t="n">
        <x:v>0.000242819</x:v>
      </x:c>
      <x:c r="I38" s="30" t="n">
        <x:v>80</x:v>
      </x:c>
      <x:c r="J38" s="38" t="n">
        <x:v>0.1594893275</x:v>
      </x:c>
    </x:row>
    <x:row r="39" ht="19" customHeight="1">
      <x:c r="A39" s="29" t="str">
        <x:v>stagger_1</x:v>
      </x:c>
      <x:c r="B39" s="38" t="str">
        <x:v>FIX</x:v>
      </x:c>
      <x:c r="C39" s="38" t="str">
        <x:v>SPY</x:v>
      </x:c>
      <x:c r="D39" s="38" t="str">
        <x:v>SPY</x:v>
      </x:c>
      <x:c r="E39" s="38" t="n">
        <x:v>-0.0146335779</x:v>
      </x:c>
      <x:c r="F39" s="38" t="n">
        <x:v>1.115499711</x:v>
      </x:c>
      <x:c r="G39" s="38" t="n">
        <x:v>4.1061346084</x:v>
      </x:c>
      <x:c r="H39" s="38" t="n">
        <x:v>0.0000983343</x:v>
      </x:c>
      <x:c r="I39" s="30" t="n">
        <x:v>80</x:v>
      </x:c>
      <x:c r="J39" s="38" t="n">
        <x:v>0.1777385699</x:v>
      </x:c>
    </x:row>
    <x:row r="40" ht="19" customHeight="1">
      <x:c r="A40" s="29" t="str">
        <x:v>stagger_1</x:v>
      </x:c>
      <x:c r="B40" s="38" t="str">
        <x:v>FIX</x:v>
      </x:c>
      <x:c r="C40" s="38" t="str">
        <x:v>Primary sector</x:v>
      </x:c>
      <x:c r="D40" s="38" t="str">
        <x:v>XLI</x:v>
      </x:c>
      <x:c r="E40" s="38" t="n">
        <x:v>0</x:v>
      </x:c>
      <x:c r="F40" s="38" t="n">
        <x:v>0.6600006224</x:v>
      </x:c>
      <x:c r="G40" s="38" t="n">
        <x:v>1.7441291535</x:v>
      </x:c>
      <x:c r="H40" s="38" t="n">
        <x:v>0.0850760428</x:v>
      </x:c>
      <x:c r="I40" s="30" t="n">
        <x:v>80</x:v>
      </x:c>
      <x:c r="J40" s="38" t="n">
        <x:v>0.0375359321</x:v>
      </x:c>
    </x:row>
    <x:row r="41" ht="19" customHeight="1">
      <x:c r="A41" s="29" t="str">
        <x:v>stagger_1</x:v>
      </x:c>
      <x:c r="B41" s="38" t="str">
        <x:v>FIX</x:v>
      </x:c>
      <x:c r="C41" s="38" t="str">
        <x:v>Other sectors</x:v>
      </x:c>
      <x:c r="D41" s="38" t="str">
        <x:v>XLF</x:v>
      </x:c>
      <x:c r="E41" s="38" t="n">
        <x:v>8.67361738e-19</x:v>
      </x:c>
      <x:c r="F41" s="38" t="n">
        <x:v>-0.8388154103</x:v>
      </x:c>
      <x:c r="G41" s="38" t="n">
        <x:v>-2.5014960192</x:v>
      </x:c>
      <x:c r="H41" s="38" t="n">
        <x:v>0.0144893263</x:v>
      </x:c>
      <x:c r="I41" s="30" t="n">
        <x:v>80</x:v>
      </x:c>
      <x:c r="J41" s="38" t="n">
        <x:v>0.183517148</x:v>
      </x:c>
    </x:row>
    <x:row r="42" ht="19" customHeight="1">
      <x:c r="A42" s="29" t="str">
        <x:v>stagger_1</x:v>
      </x:c>
      <x:c r="B42" s="38" t="str">
        <x:v>FIX</x:v>
      </x:c>
      <x:c r="C42" s="38" t="str">
        <x:v>Other sectors</x:v>
      </x:c>
      <x:c r="D42" s="38" t="str">
        <x:v>XLV</x:v>
      </x:c>
      <x:c r="E42" s="38" t="n">
        <x:v>8.67361738e-19</x:v>
      </x:c>
      <x:c r="F42" s="38" t="n">
        <x:v>-0.776604736</x:v>
      </x:c>
      <x:c r="G42" s="38" t="n">
        <x:v>-2.6788514008</x:v>
      </x:c>
      <x:c r="H42" s="38" t="n">
        <x:v>0.0090284657</x:v>
      </x:c>
      <x:c r="I42" s="30" t="n">
        <x:v>80</x:v>
      </x:c>
      <x:c r="J42" s="38" t="n">
        <x:v>0.183517148</x:v>
      </x:c>
    </x:row>
    <x:row r="43" ht="19" customHeight="1">
      <x:c r="A43" s="29" t="str">
        <x:v>stagger_1</x:v>
      </x:c>
      <x:c r="B43" s="38" t="str">
        <x:v>STX</x:v>
      </x:c>
      <x:c r="C43" s="38" t="str">
        <x:v>Home FX</x:v>
      </x:c>
      <x:c r="D43" s="38" t="str">
        <x:v>SGD/USD</x:v>
      </x:c>
      <x:c r="E43" s="38" t="n">
        <x:v>0.0473441236</x:v>
      </x:c>
      <x:c r="F43" s="38" t="n">
        <x:v>3.8723524064</x:v>
      </x:c>
      <x:c r="G43" s="38" t="n">
        <x:v>2.4009868198</x:v>
      </x:c>
      <x:c r="H43" s="38" t="n">
        <x:v>0.0187323289</x:v>
      </x:c>
      <x:c r="I43" s="30" t="n">
        <x:v>80</x:v>
      </x:c>
      <x:c r="J43" s="38" t="n">
        <x:v>0.0688205785</x:v>
      </x:c>
    </x:row>
    <x:row r="44" ht="19" customHeight="1">
      <x:c r="A44" s="29" t="str">
        <x:v>stagger_1</x:v>
      </x:c>
      <x:c r="B44" s="38" t="str">
        <x:v>STX</x:v>
      </x:c>
      <x:c r="C44" s="38" t="str">
        <x:v>Other FX</x:v>
      </x:c>
      <x:c r="D44" s="38" t="str">
        <x:v>AUD/USD</x:v>
      </x:c>
      <x:c r="E44" s="38" t="n">
        <x:v>-0.0045466468</x:v>
      </x:c>
      <x:c r="F44" s="38" t="n">
        <x:v>2.2438855476</x:v>
      </x:c>
      <x:c r="G44" s="38" t="n">
        <x:v>2.1144862352</x:v>
      </x:c>
      <x:c r="H44" s="38" t="n">
        <x:v>0.0377527743</x:v>
      </x:c>
      <x:c r="I44" s="30" t="n">
        <x:v>80</x:v>
      </x:c>
      <x:c r="J44" s="38" t="n">
        <x:v>0.1468870405</x:v>
      </x:c>
    </x:row>
    <x:row r="45" ht="19" customHeight="1">
      <x:c r="A45" s="29" t="str">
        <x:v>stagger_1</x:v>
      </x:c>
      <x:c r="B45" s="38" t="str">
        <x:v>STX</x:v>
      </x:c>
      <x:c r="C45" s="38" t="str">
        <x:v>Other FX</x:v>
      </x:c>
      <x:c r="D45" s="38" t="str">
        <x:v>EUR/USD</x:v>
      </x:c>
      <x:c r="E45" s="38" t="n">
        <x:v>-0.0045466468</x:v>
      </x:c>
      <x:c r="F45" s="38" t="n">
        <x:v>-3.9009440936</x:v>
      </x:c>
      <x:c r="G45" s="38" t="n">
        <x:v>-3.1176105636</x:v>
      </x:c>
      <x:c r="H45" s="38" t="n">
        <x:v>0.0025743323</x:v>
      </x:c>
      <x:c r="I45" s="30" t="n">
        <x:v>80</x:v>
      </x:c>
      <x:c r="J45" s="38" t="n">
        <x:v>0.1468870405</x:v>
      </x:c>
    </x:row>
    <x:row r="46" ht="19" customHeight="1">
      <x:c r="A46" s="29" t="str">
        <x:v>stagger_1</x:v>
      </x:c>
      <x:c r="B46" s="38" t="str">
        <x:v>STX</x:v>
      </x:c>
      <x:c r="C46" s="38" t="str">
        <x:v>Other FX</x:v>
      </x:c>
      <x:c r="D46" s="38" t="str">
        <x:v>MXN/USD</x:v>
      </x:c>
      <x:c r="E46" s="38" t="n">
        <x:v>-0.0045466468</x:v>
      </x:c>
      <x:c r="F46" s="38" t="n">
        <x:v>1.650820962</x:v>
      </x:c>
      <x:c r="G46" s="38" t="n">
        <x:v>2.0997338129</x:v>
      </x:c>
      <x:c r="H46" s="38" t="n">
        <x:v>0.0390711968</x:v>
      </x:c>
      <x:c r="I46" s="30" t="n">
        <x:v>80</x:v>
      </x:c>
      <x:c r="J46" s="38" t="n">
        <x:v>0.1468870405</x:v>
      </x:c>
    </x:row>
    <x:row r="47" ht="19" customHeight="1">
      <x:c r="A47" s="29" t="str">
        <x:v>stagger_1</x:v>
      </x:c>
      <x:c r="B47" s="38" t="str">
        <x:v>STX</x:v>
      </x:c>
      <x:c r="C47" s="38" t="str">
        <x:v>SPY</x:v>
      </x:c>
      <x:c r="D47" s="38" t="str">
        <x:v>SPY</x:v>
      </x:c>
      <x:c r="E47" s="38" t="n">
        <x:v>-0.0208084688</x:v>
      </x:c>
      <x:c r="F47" s="38" t="n">
        <x:v>1.586204076</x:v>
      </x:c>
      <x:c r="G47" s="38" t="n">
        <x:v>4.1283977511</x:v>
      </x:c>
      <x:c r="H47" s="38" t="n">
        <x:v>0.0000908426</x:v>
      </x:c>
      <x:c r="I47" s="30" t="n">
        <x:v>80</x:v>
      </x:c>
      <x:c r="J47" s="38" t="n">
        <x:v>0.1793246026</x:v>
      </x:c>
    </x:row>
    <x:row r="48" ht="19" customHeight="1">
      <x:c r="A48" s="29" t="str">
        <x:v>stagger_1</x:v>
      </x:c>
      <x:c r="B48" s="38" t="str">
        <x:v>STX</x:v>
      </x:c>
      <x:c r="C48" s="38" t="str">
        <x:v>Primary sector</x:v>
      </x:c>
      <x:c r="D48" s="38" t="str">
        <x:v>XLK</x:v>
      </x:c>
      <x:c r="E48" s="38" t="n">
        <x:v>-8.67361738e-19</x:v>
      </x:c>
      <x:c r="F48" s="38" t="n">
        <x:v>2.5416243202</x:v>
      </x:c>
      <x:c r="G48" s="38" t="n">
        <x:v>6.494761902</x:v>
      </x:c>
      <x:c r="H48" s="38" t="n">
        <x:v>7.1e-9</x:v>
      </x:c>
      <x:c r="I48" s="30" t="n">
        <x:v>80</x:v>
      </x:c>
      <x:c r="J48" s="38" t="n">
        <x:v>0.3509839741</x:v>
      </x:c>
    </x:row>
    <x:row r="49" ht="19" customHeight="1">
      <x:c r="A49" s="29" t="str">
        <x:v>stagger_1</x:v>
      </x:c>
      <x:c r="B49" s="38" t="str">
        <x:v>VLO</x:v>
      </x:c>
      <x:c r="C49" s="38" t="str">
        <x:v>SPY</x:v>
      </x:c>
      <x:c r="D49" s="38" t="str">
        <x:v>SPY</x:v>
      </x:c>
      <x:c r="E49" s="38" t="n">
        <x:v>0.0294052553</x:v>
      </x:c>
      <x:c r="F49" s="38" t="n">
        <x:v>-0.076131771</x:v>
      </x:c>
      <x:c r="G49" s="38" t="n">
        <x:v>-0.2497983861</x:v>
      </x:c>
      <x:c r="H49" s="38" t="n">
        <x:v>0.8033999766</x:v>
      </x:c>
      <x:c r="I49" s="30" t="n">
        <x:v>80</x:v>
      </x:c>
      <x:c r="J49" s="38" t="n">
        <x:v>0.0007993507</x:v>
      </x:c>
    </x:row>
    <x:row r="50" ht="19" customHeight="1">
      <x:c r="A50" s="29" t="str">
        <x:v>stagger_1</x:v>
      </x:c>
      <x:c r="B50" s="38" t="str">
        <x:v>VLO</x:v>
      </x:c>
      <x:c r="C50" s="38" t="str">
        <x:v>Primary sector</x:v>
      </x:c>
      <x:c r="D50" s="38" t="str">
        <x:v>XLE</x:v>
      </x:c>
      <x:c r="E50" s="38" t="n">
        <x:v>-4.33680869e-18</x:v>
      </x:c>
      <x:c r="F50" s="38" t="n">
        <x:v>1.1936531674</x:v>
      </x:c>
      <x:c r="G50" s="38" t="n">
        <x:v>10.9664762889</x:v>
      </x:c>
      <x:c r="H50" s="38" t="n">
        <x:v>1.814737822e-17</x:v>
      </x:c>
      <x:c r="I50" s="30" t="n">
        <x:v>80</x:v>
      </x:c>
      <x:c r="J50" s="38" t="n">
        <x:v>0.6065843698</x:v>
      </x:c>
    </x:row>
    <x:row r="51" ht="19" customHeight="1">
      <x:c r="A51" s="29" t="str">
        <x:v>stagger_1</x:v>
      </x:c>
      <x:c r="B51" s="38" t="str">
        <x:v>CF</x:v>
      </x:c>
      <x:c r="C51" s="38" t="str">
        <x:v>Other FX</x:v>
      </x:c>
      <x:c r="D51" s="38" t="str">
        <x:v>CAD/USD</x:v>
      </x:c>
      <x:c r="E51" s="38" t="n">
        <x:v>0.0224201917</x:v>
      </x:c>
      <x:c r="F51" s="38" t="n">
        <x:v>2.0118855475</x:v>
      </x:c>
      <x:c r="G51" s="38" t="n">
        <x:v>2.3810605015</x:v>
      </x:c>
      <x:c r="H51" s="38" t="n">
        <x:v>0.0197343175</x:v>
      </x:c>
      <x:c r="I51" s="30" t="n">
        <x:v>80</x:v>
      </x:c>
      <x:c r="J51" s="38" t="n">
        <x:v>0.0994010022</x:v>
      </x:c>
    </x:row>
    <x:row r="52" ht="19" customHeight="1">
      <x:c r="A52" s="29" t="str">
        <x:v>stagger_1</x:v>
      </x:c>
      <x:c r="B52" s="38" t="str">
        <x:v>CF</x:v>
      </x:c>
      <x:c r="C52" s="38" t="str">
        <x:v>Other FX</x:v>
      </x:c>
      <x:c r="D52" s="38" t="str">
        <x:v>MXN/USD</x:v>
      </x:c>
      <x:c r="E52" s="38" t="n">
        <x:v>0.0224201917</x:v>
      </x:c>
      <x:c r="F52" s="38" t="n">
        <x:v>-1.1043288681</x:v>
      </x:c>
      <x:c r="G52" s="38" t="n">
        <x:v>-2.4176563682</x:v>
      </x:c>
      <x:c r="H52" s="38" t="n">
        <x:v>0.0179851314</x:v>
      </x:c>
      <x:c r="I52" s="30" t="n">
        <x:v>80</x:v>
      </x:c>
      <x:c r="J52" s="38" t="n">
        <x:v>0.0994010022</x:v>
      </x:c>
    </x:row>
    <x:row r="53" ht="19" customHeight="1">
      <x:c r="A53" s="29" t="str">
        <x:v>stagger_1</x:v>
      </x:c>
      <x:c r="B53" s="38" t="str">
        <x:v>CF</x:v>
      </x:c>
      <x:c r="C53" s="38" t="str">
        <x:v>SPY</x:v>
      </x:c>
      <x:c r="D53" s="38" t="str">
        <x:v>SPY</x:v>
      </x:c>
      <x:c r="E53" s="38" t="n">
        <x:v>0.0055860092</x:v>
      </x:c>
      <x:c r="F53" s="38" t="n">
        <x:v>-0.42581464</x:v>
      </x:c>
      <x:c r="G53" s="38" t="n">
        <x:v>-1.547655598</x:v>
      </x:c>
      <x:c r="H53" s="38" t="n">
        <x:v>0.125753254</x:v>
      </x:c>
      <x:c r="I53" s="30" t="n">
        <x:v>80</x:v>
      </x:c>
      <x:c r="J53" s="38" t="n">
        <x:v>0.0297932802</x:v>
      </x:c>
    </x:row>
    <x:row r="54" ht="19" customHeight="1">
      <x:c r="A54" s="29" t="str">
        <x:v>stagger_1</x:v>
      </x:c>
      <x:c r="B54" s="38" t="str">
        <x:v>CF</x:v>
      </x:c>
      <x:c r="C54" s="38" t="str">
        <x:v>Primary sector</x:v>
      </x:c>
      <x:c r="D54" s="38" t="str">
        <x:v>XLB</x:v>
      </x:c>
      <x:c r="E54" s="38" t="n">
        <x:v>-4.33680869e-19</x:v>
      </x:c>
      <x:c r="F54" s="38" t="n">
        <x:v>0.5684492166</x:v>
      </x:c>
      <x:c r="G54" s="38" t="n">
        <x:v>2.009984258</x:v>
      </x:c>
      <x:c r="H54" s="38" t="n">
        <x:v>0.0478904642</x:v>
      </x:c>
      <x:c r="I54" s="30" t="n">
        <x:v>80</x:v>
      </x:c>
      <x:c r="J54" s="38" t="n">
        <x:v>0.0492446966</x:v>
      </x:c>
    </x:row>
    <x:row r="55" ht="19" customHeight="1">
      <x:c r="A55" s="29" t="str">
        <x:v>stagger_1</x:v>
      </x:c>
      <x:c r="B55" s="38" t="str">
        <x:v>CF</x:v>
      </x:c>
      <x:c r="C55" s="38" t="str">
        <x:v>Other sectors</x:v>
      </x:c>
      <x:c r="D55" s="38" t="str">
        <x:v>XLE</x:v>
      </x:c>
      <x:c r="E55" s="38" t="n">
        <x:v>2.602085214e-18</x:v>
      </x:c>
      <x:c r="F55" s="38" t="n">
        <x:v>0.8014997674</x:v>
      </x:c>
      <x:c r="G55" s="38" t="n">
        <x:v>6.2106225467</x:v>
      </x:c>
      <x:c r="H55" s="38" t="n">
        <x:v>2.48e-8</x:v>
      </x:c>
      <x:c r="I55" s="30" t="n">
        <x:v>80</x:v>
      </x:c>
      <x:c r="J55" s="38" t="n">
        <x:v>0.3365512896</x:v>
      </x:c>
    </x:row>
    <x:row r="56" ht="19" customHeight="1">
      <x:c r="A56" s="29" t="str">
        <x:v>stagger_1</x:v>
      </x:c>
      <x:c r="B56" s="38" t="str">
        <x:v>CF</x:v>
      </x:c>
      <x:c r="C56" s="38" t="str">
        <x:v>Other sectors</x:v>
      </x:c>
      <x:c r="D56" s="38" t="str">
        <x:v>XLY</x:v>
      </x:c>
      <x:c r="E56" s="38" t="n">
        <x:v>2.602085214e-18</x:v>
      </x:c>
      <x:c r="F56" s="38" t="n">
        <x:v>0.6847459634</x:v>
      </x:c>
      <x:c r="G56" s="38" t="n">
        <x:v>2.1793358733</x:v>
      </x:c>
      <x:c r="H56" s="38" t="n">
        <x:v>0.0323641457</x:v>
      </x:c>
      <x:c r="I56" s="30" t="n">
        <x:v>80</x:v>
      </x:c>
      <x:c r="J56" s="38" t="n">
        <x:v>0.3365512896</x:v>
      </x:c>
    </x:row>
    <x:row r="57" ht="19" customHeight="1">
      <x:c r="A57" s="29" t="str">
        <x:v>stagger_1</x:v>
      </x:c>
      <x:c r="B57" s="38" t="str">
        <x:v>NTR</x:v>
      </x:c>
      <x:c r="C57" s="38" t="str">
        <x:v>Home FX</x:v>
      </x:c>
      <x:c r="D57" s="38" t="str">
        <x:v>CAD/USD</x:v>
      </x:c>
      <x:c r="E57" s="38" t="n">
        <x:v>0.0101899771</x:v>
      </x:c>
      <x:c r="F57" s="38" t="n">
        <x:v>1.8947299428</x:v>
      </x:c>
      <x:c r="G57" s="38" t="n">
        <x:v>3.5271035928</x:v>
      </x:c>
      <x:c r="H57" s="38" t="n">
        <x:v>0.0007073531</x:v>
      </x:c>
      <x:c r="I57" s="30" t="n">
        <x:v>80</x:v>
      </x:c>
      <x:c r="J57" s="38" t="n">
        <x:v>0.137554141</x:v>
      </x:c>
    </x:row>
    <x:row r="58" ht="19" customHeight="1">
      <x:c r="A58" s="29" t="str">
        <x:v>stagger_1</x:v>
      </x:c>
      <x:c r="B58" s="38" t="str">
        <x:v>NTR</x:v>
      </x:c>
      <x:c r="C58" s="38" t="str">
        <x:v>Other FX</x:v>
      </x:c>
      <x:c r="D58" s="38" t="str">
        <x:v>AUD/USD</x:v>
      </x:c>
      <x:c r="E58" s="38" t="n">
        <x:v>-0.000135255</x:v>
      </x:c>
      <x:c r="F58" s="38" t="n">
        <x:v>1.4485812864</x:v>
      </x:c>
      <x:c r="G58" s="38" t="n">
        <x:v>3.2862640848</x:v>
      </x:c>
      <x:c r="H58" s="38" t="n">
        <x:v>0.0015304306</x:v>
      </x:c>
      <x:c r="I58" s="30" t="n">
        <x:v>80</x:v>
      </x:c>
      <x:c r="J58" s="38" t="n">
        <x:v>0.1269308913</x:v>
      </x:c>
    </x:row>
    <x:row r="59" ht="19" customHeight="1">
      <x:c r="A59" s="29" t="str">
        <x:v>stagger_1</x:v>
      </x:c>
      <x:c r="B59" s="38" t="str">
        <x:v>NTR</x:v>
      </x:c>
      <x:c r="C59" s="38" t="str">
        <x:v>Other FX</x:v>
      </x:c>
      <x:c r="D59" s="38" t="str">
        <x:v>DKK/USD</x:v>
      </x:c>
      <x:c r="E59" s="38" t="n">
        <x:v>-0.000135255</x:v>
      </x:c>
      <x:c r="F59" s="38" t="n">
        <x:v>-1.3617178234</x:v>
      </x:c>
      <x:c r="G59" s="38" t="n">
        <x:v>-2.623828891</x:v>
      </x:c>
      <x:c r="H59" s="38" t="n">
        <x:v>0.0104793663</x:v>
      </x:c>
      <x:c r="I59" s="30" t="n">
        <x:v>80</x:v>
      </x:c>
      <x:c r="J59" s="38" t="n">
        <x:v>0.1269308913</x:v>
      </x:c>
    </x:row>
    <x:row r="60" ht="19" customHeight="1">
      <x:c r="A60" s="29" t="str">
        <x:v>stagger_1</x:v>
      </x:c>
      <x:c r="B60" s="38" t="str">
        <x:v>NTR</x:v>
      </x:c>
      <x:c r="C60" s="38" t="str">
        <x:v>SPY</x:v>
      </x:c>
      <x:c r="D60" s="38" t="str">
        <x:v>SPY</x:v>
      </x:c>
      <x:c r="E60" s="38" t="n">
        <x:v>0.0033000833</x:v>
      </x:c>
      <x:c r="F60" s="38" t="n">
        <x:v>-0.2515613028</x:v>
      </x:c>
      <x:c r="G60" s="38" t="n">
        <x:v>-1.4264533078</x:v>
      </x:c>
      <x:c r="H60" s="38" t="n">
        <x:v>0.1577280048</x:v>
      </x:c>
      <x:c r="I60" s="30" t="n">
        <x:v>80</x:v>
      </x:c>
      <x:c r="J60" s="38" t="n">
        <x:v>0.0254235636</x:v>
      </x:c>
    </x:row>
    <x:row r="61" ht="19" customHeight="1">
      <x:c r="A61" s="29" t="str">
        <x:v>stagger_1</x:v>
      </x:c>
      <x:c r="B61" s="38" t="str">
        <x:v>NTR</x:v>
      </x:c>
      <x:c r="C61" s="38" t="str">
        <x:v>Primary sector</x:v>
      </x:c>
      <x:c r="D61" s="38" t="str">
        <x:v>XLB</x:v>
      </x:c>
      <x:c r="E61" s="38" t="n">
        <x:v>-8.67361738e-19</x:v>
      </x:c>
      <x:c r="F61" s="38" t="n">
        <x:v>0.4223209168</x:v>
      </x:c>
      <x:c r="G61" s="38" t="n">
        <x:v>2.3507216409</x:v>
      </x:c>
      <x:c r="H61" s="38" t="n">
        <x:v>0.0212641354</x:v>
      </x:c>
      <x:c r="I61" s="30" t="n">
        <x:v>80</x:v>
      </x:c>
      <x:c r="J61" s="38" t="n">
        <x:v>0.0661578354</x:v>
      </x:c>
    </x:row>
    <x:row r="62" ht="19" customHeight="1">
      <x:c r="A62" s="29" t="str">
        <x:v>stagger_1</x:v>
      </x:c>
      <x:c r="B62" s="38" t="str">
        <x:v>NTR</x:v>
      </x:c>
      <x:c r="C62" s="38" t="str">
        <x:v>Other sectors</x:v>
      </x:c>
      <x:c r="D62" s="38" t="str">
        <x:v>XLK</x:v>
      </x:c>
      <x:c r="E62" s="38" t="n">
        <x:v>8.67361738e-19</x:v>
      </x:c>
      <x:c r="F62" s="38" t="n">
        <x:v>-0.5668997003</x:v>
      </x:c>
      <x:c r="G62" s="38" t="n">
        <x:v>-2.7562742013</x:v>
      </x:c>
      <x:c r="H62" s="38" t="n">
        <x:v>0.0072761055</x:v>
      </x:c>
      <x:c r="I62" s="30" t="n">
        <x:v>80</x:v>
      </x:c>
      <x:c r="J62" s="38" t="n">
        <x:v>0.0887536159</x:v>
      </x:c>
    </x:row>
    <x:row r="63" ht="19" customHeight="1">
      <x:c r="A63" s="29" t="str">
        <x:v>stagger_1</x:v>
      </x:c>
      <x:c r="B63" s="38" t="str">
        <x:v>LNN</x:v>
      </x:c>
      <x:c r="C63" s="38" t="str">
        <x:v>Other FX</x:v>
      </x:c>
      <x:c r="D63" s="38" t="str">
        <x:v>SGD/USD</x:v>
      </x:c>
      <x:c r="E63" s="38" t="n">
        <x:v>-0.0008028763</x:v>
      </x:c>
      <x:c r="F63" s="38" t="n">
        <x:v>1.888102965</x:v>
      </x:c>
      <x:c r="G63" s="38" t="n">
        <x:v>2.7141928228</x:v>
      </x:c>
      <x:c r="H63" s="38" t="n">
        <x:v>0.0081747862</x:v>
      </x:c>
      <x:c r="I63" s="30" t="n">
        <x:v>80</x:v>
      </x:c>
      <x:c r="J63" s="38" t="n">
        <x:v>0.0862963002</x:v>
      </x:c>
    </x:row>
    <x:row r="64" ht="19" customHeight="1">
      <x:c r="A64" s="29" t="str">
        <x:v>stagger_1</x:v>
      </x:c>
      <x:c r="B64" s="38" t="str">
        <x:v>LNN</x:v>
      </x:c>
      <x:c r="C64" s="38" t="str">
        <x:v>SPY</x:v>
      </x:c>
      <x:c r="D64" s="38" t="str">
        <x:v>SPY</x:v>
      </x:c>
      <x:c r="E64" s="38" t="n">
        <x:v>-0.0027990203</x:v>
      </x:c>
      <x:c r="F64" s="38" t="n">
        <x:v>0.2133658884</x:v>
      </x:c>
      <x:c r="G64" s="38" t="n">
        <x:v>1.0854049683</x:v>
      </x:c>
      <x:c r="H64" s="38" t="n">
        <x:v>0.2810855915</x:v>
      </x:c>
      <x:c r="I64" s="30" t="n">
        <x:v>80</x:v>
      </x:c>
      <x:c r="J64" s="38" t="n">
        <x:v>0.0148791634</x:v>
      </x:c>
    </x:row>
    <x:row r="65" ht="19" customHeight="1">
      <x:c r="A65" s="29" t="str">
        <x:v>stagger_1</x:v>
      </x:c>
      <x:c r="B65" s="38" t="str">
        <x:v>LNN</x:v>
      </x:c>
      <x:c r="C65" s="38" t="str">
        <x:v>Primary sector</x:v>
      </x:c>
      <x:c r="D65" s="38" t="str">
        <x:v>XLI</x:v>
      </x:c>
      <x:c r="E65" s="38" t="n">
        <x:v>8.67361738e-19</x:v>
      </x:c>
      <x:c r="F65" s="38" t="n">
        <x:v>0.8961643685</x:v>
      </x:c>
      <x:c r="G65" s="38" t="n">
        <x:v>3.4466766612</x:v>
      </x:c>
      <x:c r="H65" s="38" t="n">
        <x:v>0.0009172269</x:v>
      </x:c>
      <x:c r="I65" s="30" t="n">
        <x:v>80</x:v>
      </x:c>
      <x:c r="J65" s="38" t="n">
        <x:v>0.1321721798</x:v>
      </x:c>
    </x:row>
    <x:row r="66" ht="19" customHeight="1">
      <x:c r="A66" s="29" t="str">
        <x:v>stagger_1</x:v>
      </x:c>
      <x:c r="B66" s="38" t="str">
        <x:v>LNN</x:v>
      </x:c>
      <x:c r="C66" s="38" t="str">
        <x:v>Other sectors</x:v>
      </x:c>
      <x:c r="D66" s="38" t="str">
        <x:v>XLC</x:v>
      </x:c>
      <x:c r="E66" s="38" t="n">
        <x:v>2.710505431e-19</x:v>
      </x:c>
      <x:c r="F66" s="38" t="n">
        <x:v>0.5991801149</x:v>
      </x:c>
      <x:c r="G66" s="38" t="n">
        <x:v>2.1421700368</x:v>
      </x:c>
      <x:c r="H66" s="38" t="n">
        <x:v>0.0355624918</x:v>
      </x:c>
      <x:c r="I66" s="30" t="n">
        <x:v>80</x:v>
      </x:c>
      <x:c r="J66" s="38" t="n">
        <x:v>0.2835158198</x:v>
      </x:c>
    </x:row>
    <x:row r="67" ht="19" customHeight="1">
      <x:c r="A67" s="29" t="str">
        <x:v>stagger_1</x:v>
      </x:c>
      <x:c r="B67" s="38" t="str">
        <x:v>LNN</x:v>
      </x:c>
      <x:c r="C67" s="38" t="str">
        <x:v>Other sectors</x:v>
      </x:c>
      <x:c r="D67" s="38" t="str">
        <x:v>XLF</x:v>
      </x:c>
      <x:c r="E67" s="38" t="n">
        <x:v>2.710505431e-19</x:v>
      </x:c>
      <x:c r="F67" s="38" t="n">
        <x:v>1.039359409</x:v>
      </x:c>
      <x:c r="G67" s="38" t="n">
        <x:v>3.2674213457</x:v>
      </x:c>
      <x:c r="H67" s="38" t="n">
        <x:v>0.0016645994</x:v>
      </x:c>
      <x:c r="I67" s="30" t="n">
        <x:v>80</x:v>
      </x:c>
      <x:c r="J67" s="38" t="n">
        <x:v>0.2835158198</x:v>
      </x:c>
    </x:row>
    <x:row r="68" ht="19" customHeight="1">
      <x:c r="A68" s="29" t="str">
        <x:v>stagger_1</x:v>
      </x:c>
      <x:c r="B68" s="38" t="str">
        <x:v>LNN</x:v>
      </x:c>
      <x:c r="C68" s="38" t="str">
        <x:v>Other sectors</x:v>
      </x:c>
      <x:c r="D68" s="38" t="str">
        <x:v>XLK</x:v>
      </x:c>
      <x:c r="E68" s="38" t="n">
        <x:v>2.710505431e-19</x:v>
      </x:c>
      <x:c r="F68" s="38" t="n">
        <x:v>1.6600813404</x:v>
      </x:c>
      <x:c r="G68" s="38" t="n">
        <x:v>3.9040928953</x:v>
      </x:c>
      <x:c r="H68" s="38" t="n">
        <x:v>0.0002109174</x:v>
      </x:c>
      <x:c r="I68" s="30" t="n">
        <x:v>80</x:v>
      </x:c>
      <x:c r="J68" s="38" t="n">
        <x:v>0.2835158198</x:v>
      </x:c>
    </x:row>
    <x:row r="69" ht="19" customHeight="1">
      <x:c r="A69" s="29" t="str">
        <x:v>stagger_1</x:v>
      </x:c>
      <x:c r="B69" s="38" t="str">
        <x:v>LNN</x:v>
      </x:c>
      <x:c r="C69" s="38" t="str">
        <x:v>Other sectors</x:v>
      </x:c>
      <x:c r="D69" s="38" t="str">
        <x:v>XLP</x:v>
      </x:c>
      <x:c r="E69" s="38" t="n">
        <x:v>2.710505431e-19</x:v>
      </x:c>
      <x:c r="F69" s="38" t="n">
        <x:v>0.9999375642</x:v>
      </x:c>
      <x:c r="G69" s="38" t="n">
        <x:v>3.2688081109</x:v>
      </x:c>
      <x:c r="H69" s="38" t="n">
        <x:v>0.0016575225</x:v>
      </x:c>
      <x:c r="I69" s="30" t="n">
        <x:v>80</x:v>
      </x:c>
      <x:c r="J69" s="38" t="n">
        <x:v>0.2835158198</x:v>
      </x:c>
    </x:row>
    <x:row r="70" ht="19" customHeight="1">
      <x:c r="A70" s="29" t="str">
        <x:v>stagger_1</x:v>
      </x:c>
      <x:c r="B70" s="38" t="str">
        <x:v>LNN</x:v>
      </x:c>
      <x:c r="C70" s="38" t="str">
        <x:v>Other sectors</x:v>
      </x:c>
      <x:c r="D70" s="38" t="str">
        <x:v>XLRE</x:v>
      </x:c>
      <x:c r="E70" s="38" t="n">
        <x:v>2.710505431e-19</x:v>
      </x:c>
      <x:c r="F70" s="38" t="n">
        <x:v>-0.5388925079</x:v>
      </x:c>
      <x:c r="G70" s="38" t="n">
        <x:v>-2.1532096798</x:v>
      </x:c>
      <x:c r="H70" s="38" t="n">
        <x:v>0.0346524126</x:v>
      </x:c>
      <x:c r="I70" s="30" t="n">
        <x:v>80</x:v>
      </x:c>
      <x:c r="J70" s="38" t="n">
        <x:v>0.2835158198</x:v>
      </x:c>
    </x:row>
    <x:row r="71" ht="19" customHeight="1">
      <x:c r="A71" s="29" t="str">
        <x:v>stagger_1</x:v>
      </x:c>
      <x:c r="B71" s="38" t="str">
        <x:v>LNN</x:v>
      </x:c>
      <x:c r="C71" s="38" t="str">
        <x:v>Other sectors</x:v>
      </x:c>
      <x:c r="D71" s="38" t="str">
        <x:v>XLV</x:v>
      </x:c>
      <x:c r="E71" s="38" t="n">
        <x:v>2.710505431e-19</x:v>
      </x:c>
      <x:c r="F71" s="38" t="n">
        <x:v>0.7577467229</x:v>
      </x:c>
      <x:c r="G71" s="38" t="n">
        <x:v>2.8662893735</x:v>
      </x:c>
      <x:c r="H71" s="38" t="n">
        <x:v>0.0054419189</x:v>
      </x:c>
      <x:c r="I71" s="30" t="n">
        <x:v>80</x:v>
      </x:c>
      <x:c r="J71" s="38" t="n">
        <x:v>0.2835158198</x:v>
      </x:c>
    </x:row>
    <x:row r="72" ht="19" customHeight="1">
      <x:c r="A72" s="29" t="str">
        <x:v>stagger_1</x:v>
      </x:c>
      <x:c r="B72" s="38" t="str">
        <x:v>LNN</x:v>
      </x:c>
      <x:c r="C72" s="38" t="str">
        <x:v>Other sectors</x:v>
      </x:c>
      <x:c r="D72" s="38" t="str">
        <x:v>XLY</x:v>
      </x:c>
      <x:c r="E72" s="38" t="n">
        <x:v>2.710505431e-19</x:v>
      </x:c>
      <x:c r="F72" s="38" t="n">
        <x:v>1.1227646636</x:v>
      </x:c>
      <x:c r="G72" s="38" t="n">
        <x:v>3.9624275796</x:v>
      </x:c>
      <x:c r="H72" s="38" t="n">
        <x:v>0.000172752</x:v>
      </x:c>
      <x:c r="I72" s="30" t="n">
        <x:v>80</x:v>
      </x:c>
      <x:c r="J72" s="38" t="n">
        <x:v>0.2835158198</x:v>
      </x:c>
    </x:row>
    <x:row r="73" ht="19" customHeight="1">
      <x:c r="A73" s="29" t="str">
        <x:v>stagger_1</x:v>
      </x:c>
      <x:c r="B73" s="38" t="str">
        <x:v>WDC</x:v>
      </x:c>
      <x:c r="C73" s="38" t="str">
        <x:v>Other FX</x:v>
      </x:c>
      <x:c r="D73" s="38" t="str">
        <x:v>AUD/USD</x:v>
      </x:c>
      <x:c r="E73" s="38" t="n">
        <x:v>0.0416502467</x:v>
      </x:c>
      <x:c r="F73" s="38" t="n">
        <x:v>2.5257181379</x:v>
      </x:c>
      <x:c r="G73" s="38" t="n">
        <x:v>2.1685054519</x:v>
      </x:c>
      <x:c r="H73" s="38" t="n">
        <x:v>0.0332491317</x:v>
      </x:c>
      <x:c r="I73" s="30" t="n">
        <x:v>80</x:v>
      </x:c>
      <x:c r="J73" s="38" t="n">
        <x:v>0.1484372705</x:v>
      </x:c>
    </x:row>
    <x:row r="74" ht="19" customHeight="1">
      <x:c r="A74" s="29" t="str">
        <x:v>stagger_1</x:v>
      </x:c>
      <x:c r="B74" s="38" t="str">
        <x:v>WDC</x:v>
      </x:c>
      <x:c r="C74" s="38" t="str">
        <x:v>Other FX</x:v>
      </x:c>
      <x:c r="D74" s="38" t="str">
        <x:v>EUR/USD</x:v>
      </x:c>
      <x:c r="E74" s="38" t="n">
        <x:v>0.0416502467</x:v>
      </x:c>
      <x:c r="F74" s="38" t="n">
        <x:v>-3.3229072264</x:v>
      </x:c>
      <x:c r="G74" s="38" t="n">
        <x:v>-2.4195902659</x:v>
      </x:c>
      <x:c r="H74" s="38" t="n">
        <x:v>0.0179284577</x:v>
      </x:c>
      <x:c r="I74" s="30" t="n">
        <x:v>80</x:v>
      </x:c>
      <x:c r="J74" s="38" t="n">
        <x:v>0.1484372705</x:v>
      </x:c>
    </x:row>
    <x:row r="75" ht="19" customHeight="1">
      <x:c r="A75" s="29" t="str">
        <x:v>stagger_1</x:v>
      </x:c>
      <x:c r="B75" s="38" t="str">
        <x:v>WDC</x:v>
      </x:c>
      <x:c r="C75" s="38" t="str">
        <x:v>Other FX</x:v>
      </x:c>
      <x:c r="D75" s="38" t="str">
        <x:v>MXN/USD</x:v>
      </x:c>
      <x:c r="E75" s="38" t="n">
        <x:v>0.0416502467</x:v>
      </x:c>
      <x:c r="F75" s="38" t="n">
        <x:v>1.9833834298</x:v>
      </x:c>
      <x:c r="G75" s="38" t="n">
        <x:v>2.2984889594</x:v>
      </x:c>
      <x:c r="H75" s="38" t="n">
        <x:v>0.0242842596</x:v>
      </x:c>
      <x:c r="I75" s="30" t="n">
        <x:v>80</x:v>
      </x:c>
      <x:c r="J75" s="38" t="n">
        <x:v>0.1484372705</x:v>
      </x:c>
    </x:row>
    <x:row r="76" ht="19" customHeight="1">
      <x:c r="A76" s="29" t="str">
        <x:v>stagger_1</x:v>
      </x:c>
      <x:c r="B76" s="38" t="str">
        <x:v>WDC</x:v>
      </x:c>
      <x:c r="C76" s="38" t="str">
        <x:v>SPY</x:v>
      </x:c>
      <x:c r="D76" s="38" t="str">
        <x:v>SPY</x:v>
      </x:c>
      <x:c r="E76" s="38" t="n">
        <x:v>-0.0176663389</x:v>
      </x:c>
      <x:c r="F76" s="38" t="n">
        <x:v>1.3466833684</x:v>
      </x:c>
      <x:c r="G76" s="38" t="n">
        <x:v>3.0619080176</x:v>
      </x:c>
      <x:c r="H76" s="38" t="n">
        <x:v>0.0030168533</x:v>
      </x:c>
      <x:c r="I76" s="30" t="n">
        <x:v>80</x:v>
      </x:c>
      <x:c r="J76" s="38" t="n">
        <x:v>0.1072990053</x:v>
      </x:c>
    </x:row>
    <x:row r="77" ht="19" customHeight="1">
      <x:c r="A77" s="29" t="str">
        <x:v>stagger_1</x:v>
      </x:c>
      <x:c r="B77" s="38" t="str">
        <x:v>WDC</x:v>
      </x:c>
      <x:c r="C77" s="38" t="str">
        <x:v>Primary sector</x:v>
      </x:c>
      <x:c r="D77" s="38" t="str">
        <x:v>XLK</x:v>
      </x:c>
      <x:c r="E77" s="38" t="n">
        <x:v>5.204170428e-18</x:v>
      </x:c>
      <x:c r="F77" s="38" t="n">
        <x:v>2.427949857</x:v>
      </x:c>
      <x:c r="G77" s="38" t="n">
        <x:v>5.0232612967</x:v>
      </x:c>
      <x:c r="H77" s="38" t="n">
        <x:v>0.0000031458</x:v>
      </x:c>
      <x:c r="I77" s="30" t="n">
        <x:v>80</x:v>
      </x:c>
      <x:c r="J77" s="38" t="n">
        <x:v>0.2444287815</x:v>
      </x:c>
    </x:row>
    <x:row r="78" ht="19" customHeight="1">
      <x:c r="A78" s="29" t="str">
        <x:v>stagger_1</x:v>
      </x:c>
      <x:c r="B78" s="38" t="str">
        <x:v>WDC</x:v>
      </x:c>
      <x:c r="C78" s="38" t="str">
        <x:v>Other sectors</x:v>
      </x:c>
      <x:c r="D78" s="38" t="str">
        <x:v>XLI</x:v>
      </x:c>
      <x:c r="E78" s="38" t="n">
        <x:v>-6.938893904e-18</x:v>
      </x:c>
      <x:c r="F78" s="38" t="n">
        <x:v>1.3950064892</x:v>
      </x:c>
      <x:c r="G78" s="38" t="n">
        <x:v>2.6862141434</x:v>
      </x:c>
      <x:c r="H78" s="38" t="n">
        <x:v>0.0088271552</x:v>
      </x:c>
      <x:c r="I78" s="30" t="n">
        <x:v>80</x:v>
      </x:c>
      <x:c r="J78" s="38" t="n">
        <x:v>0.0846762098</x:v>
      </x:c>
    </x:row>
    <x:row r="79" ht="19" customHeight="1">
      <x:c r="A79" s="29" t="str">
        <x:v>stagger_1</x:v>
      </x:c>
      <x:c r="B79" s="38" t="str">
        <x:v>ASND</x:v>
      </x:c>
      <x:c r="C79" s="38" t="str">
        <x:v>Home FX</x:v>
      </x:c>
      <x:c r="D79" s="38" t="str">
        <x:v>DKK/USD</x:v>
      </x:c>
      <x:c r="E79" s="38" t="n">
        <x:v>0.0105050814</x:v>
      </x:c>
      <x:c r="F79" s="38" t="n">
        <x:v>0.7807794261</x:v>
      </x:c>
      <x:c r="G79" s="38" t="n">
        <x:v>1.2526086607</x:v>
      </x:c>
      <x:c r="H79" s="38" t="n">
        <x:v>0.2140906941</x:v>
      </x:c>
      <x:c r="I79" s="30" t="n">
        <x:v>80</x:v>
      </x:c>
      <x:c r="J79" s="38" t="n">
        <x:v>0.0197190853</x:v>
      </x:c>
    </x:row>
    <x:row r="80" ht="19" customHeight="1">
      <x:c r="A80" s="29" t="str">
        <x:v>stagger_1</x:v>
      </x:c>
      <x:c r="B80" s="38" t="str">
        <x:v>ASND</x:v>
      </x:c>
      <x:c r="C80" s="38" t="str">
        <x:v>SPY</x:v>
      </x:c>
      <x:c r="D80" s="38" t="str">
        <x:v>SPY</x:v>
      </x:c>
      <x:c r="E80" s="38" t="n">
        <x:v>-0.0039953106</x:v>
      </x:c>
      <x:c r="F80" s="38" t="n">
        <x:v>0.3045576325</x:v>
      </x:c>
      <x:c r="G80" s="38" t="n">
        <x:v>1.0752010747</x:v>
      </x:c>
      <x:c r="H80" s="38" t="n">
        <x:v>0.2855994088</x:v>
      </x:c>
      <x:c r="I80" s="30" t="n">
        <x:v>80</x:v>
      </x:c>
      <x:c r="J80" s="38" t="n">
        <x:v>0.0146047869</x:v>
      </x:c>
    </x:row>
    <x:row r="81" ht="19" customHeight="1">
      <x:c r="A81" s="29" t="str">
        <x:v>stagger_1</x:v>
      </x:c>
      <x:c r="B81" s="38" t="str">
        <x:v>ASND</x:v>
      </x:c>
      <x:c r="C81" s="38" t="str">
        <x:v>Primary sector</x:v>
      </x:c>
      <x:c r="D81" s="38" t="str">
        <x:v>XLV</x:v>
      </x:c>
      <x:c r="E81" s="38" t="n">
        <x:v>5.204170428e-18</x:v>
      </x:c>
      <x:c r="F81" s="38" t="n">
        <x:v>0.3183935032</x:v>
      </x:c>
      <x:c r="G81" s="38" t="n">
        <x:v>0.9701369141</x:v>
      </x:c>
      <x:c r="H81" s="38" t="n">
        <x:v>0.3349770062</x:v>
      </x:c>
      <x:c r="I81" s="30" t="n">
        <x:v>80</x:v>
      </x:c>
      <x:c r="J81" s="38" t="n">
        <x:v>0.0119223681</x:v>
      </x:c>
    </x:row>
    <x:row r="82" ht="19" customHeight="1">
      <x:c r="A82" s="29" t="str">
        <x:v>stagger_1</x:v>
      </x:c>
      <x:c r="B82" s="38" t="str">
        <x:v>DOCN</x:v>
      </x:c>
      <x:c r="C82" s="38" t="str">
        <x:v>SPY</x:v>
      </x:c>
      <x:c r="D82" s="38" t="str">
        <x:v>SPY</x:v>
      </x:c>
      <x:c r="E82" s="38" t="n">
        <x:v>0.0060362455</x:v>
      </x:c>
      <x:c r="F82" s="38" t="n">
        <x:v>1.5461896107</x:v>
      </x:c>
      <x:c r="G82" s="38" t="n">
        <x:v>2.8133153202</x:v>
      </x:c>
      <x:c r="H82" s="38" t="n">
        <x:v>0.0064050057</x:v>
      </x:c>
      <x:c r="I82" s="30" t="n">
        <x:v>70</x:v>
      </x:c>
      <x:c r="J82" s="38" t="n">
        <x:v>0.1042583136</x:v>
      </x:c>
    </x:row>
    <x:row r="83" ht="19" customHeight="1">
      <x:c r="A83" s="29" t="str">
        <x:v>stagger_1</x:v>
      </x:c>
      <x:c r="B83" s="38" t="str">
        <x:v>DOCN</x:v>
      </x:c>
      <x:c r="C83" s="38" t="str">
        <x:v>Primary sector</x:v>
      </x:c>
      <x:c r="D83" s="38" t="str">
        <x:v>XLK</x:v>
      </x:c>
      <x:c r="E83" s="38" t="n">
        <x:v>-0.0026277209</x:v>
      </x:c>
      <x:c r="F83" s="38" t="n">
        <x:v>2.4233237917</x:v>
      </x:c>
      <x:c r="G83" s="38" t="n">
        <x:v>3.8126466071</x:v>
      </x:c>
      <x:c r="H83" s="38" t="n">
        <x:v>0.0002986713</x:v>
      </x:c>
      <x:c r="I83" s="30" t="n">
        <x:v>70</x:v>
      </x:c>
      <x:c r="J83" s="38" t="n">
        <x:v>0.1761198249</x:v>
      </x:c>
    </x:row>
    <x:row r="84" ht="19" customHeight="1">
      <x:c r="A84" s="29" t="str">
        <x:v>stagger_1</x:v>
      </x:c>
      <x:c r="B84" s="38" t="str">
        <x:v>DOCN</x:v>
      </x:c>
      <x:c r="C84" s="38" t="str">
        <x:v>Other sectors</x:v>
      </x:c>
      <x:c r="D84" s="38" t="str">
        <x:v>XLE</x:v>
      </x:c>
      <x:c r="E84" s="38" t="n">
        <x:v>0.0006369668</x:v>
      </x:c>
      <x:c r="F84" s="38" t="n">
        <x:v>0.7941591511</x:v>
      </x:c>
      <x:c r="G84" s="38" t="n">
        <x:v>2.8559634173</x:v>
      </x:c>
      <x:c r="H84" s="38" t="n">
        <x:v>0.0056855704</x:v>
      </x:c>
      <x:c r="I84" s="30" t="n">
        <x:v>70</x:v>
      </x:c>
      <x:c r="J84" s="38" t="n">
        <x:v>0.1071021403</x:v>
      </x:c>
    </x:row>
    <x:row r="85" ht="19" customHeight="1">
      <x:c r="A85" s="29" t="str">
        <x:v>stagger_1</x:v>
      </x:c>
      <x:c r="B85" s="38" t="str">
        <x:v>CME</x:v>
      </x:c>
      <x:c r="C85" s="38" t="str">
        <x:v>Other FX</x:v>
      </x:c>
      <x:c r="D85" s="38" t="str">
        <x:v>SGD/USD</x:v>
      </x:c>
      <x:c r="E85" s="38" t="n">
        <x:v>0.0072845805</x:v>
      </x:c>
      <x:c r="F85" s="38" t="n">
        <x:v>1.4999348669</x:v>
      </x:c>
      <x:c r="G85" s="38" t="n">
        <x:v>2.7966605847</x:v>
      </x:c>
      <x:c r="H85" s="38" t="n">
        <x:v>0.0064995137</x:v>
      </x:c>
      <x:c r="I85" s="30" t="n">
        <x:v>80</x:v>
      </x:c>
      <x:c r="J85" s="38" t="n">
        <x:v>0.0911348287</x:v>
      </x:c>
    </x:row>
    <x:row r="86" ht="19" customHeight="1">
      <x:c r="A86" s="29" t="str">
        <x:v>stagger_1</x:v>
      </x:c>
      <x:c r="B86" s="38" t="str">
        <x:v>CME</x:v>
      </x:c>
      <x:c r="C86" s="38" t="str">
        <x:v>SPY</x:v>
      </x:c>
      <x:c r="D86" s="38" t="str">
        <x:v>SPY</x:v>
      </x:c>
      <x:c r="E86" s="38" t="n">
        <x:v>0.0007258622</x:v>
      </x:c>
      <x:c r="F86" s="38" t="n">
        <x:v>-0.0553315884</x:v>
      </x:c>
      <x:c r="G86" s="38" t="n">
        <x:v>-0.3626627008</x:v>
      </x:c>
      <x:c r="H86" s="38" t="n">
        <x:v>0.7178377281</x:v>
      </x:c>
      <x:c r="I86" s="30" t="n">
        <x:v>80</x:v>
      </x:c>
      <x:c r="J86" s="38" t="n">
        <x:v>0.0016833696</x:v>
      </x:c>
    </x:row>
    <x:row r="87" ht="19" customHeight="1">
      <x:c r="A87" s="29" t="str">
        <x:v>stagger_1</x:v>
      </x:c>
      <x:c r="B87" s="38" t="str">
        <x:v>CME</x:v>
      </x:c>
      <x:c r="C87" s="38" t="str">
        <x:v>Primary sector</x:v>
      </x:c>
      <x:c r="D87" s="38" t="str">
        <x:v>XLF</x:v>
      </x:c>
      <x:c r="E87" s="38" t="n">
        <x:v>-4.33680869e-19</x:v>
      </x:c>
      <x:c r="F87" s="38" t="n">
        <x:v>-0.2582189728</x:v>
      </x:c>
      <x:c r="G87" s="38" t="n">
        <x:v>-1.2681734878</x:v>
      </x:c>
      <x:c r="H87" s="38" t="n">
        <x:v>0.2085082314</x:v>
      </x:c>
      <x:c r="I87" s="30" t="n">
        <x:v>80</x:v>
      </x:c>
      <x:c r="J87" s="38" t="n">
        <x:v>0.0202022242</x:v>
      </x:c>
    </x:row>
    <x:row r="88" ht="19" customHeight="1">
      <x:c r="A88" s="29" t="str">
        <x:v>stagger_1</x:v>
      </x:c>
      <x:c r="B88" s="38" t="str">
        <x:v>CME</x:v>
      </x:c>
      <x:c r="C88" s="38" t="str">
        <x:v>Other sectors</x:v>
      </x:c>
      <x:c r="D88" s="38" t="str">
        <x:v>XLE</x:v>
      </x:c>
      <x:c r="E88" s="38" t="n">
        <x:v>2.168404345e-18</x:v>
      </x:c>
      <x:c r="F88" s="38" t="n">
        <x:v>0.2591096794</x:v>
      </x:c>
      <x:c r="G88" s="38" t="n">
        <x:v>3.2056050172</x:v>
      </x:c>
      <x:c r="H88" s="38" t="n">
        <x:v>0.0019541528</x:v>
      </x:c>
      <x:c r="I88" s="30" t="n">
        <x:v>80</x:v>
      </x:c>
      <x:c r="J88" s="38" t="n">
        <x:v>0.116406665</x:v>
      </x:c>
    </x:row>
    <x:row r="89" ht="19" customHeight="1">
      <x:c r="A89" s="29" t="str">
        <x:v>stagger_1</x:v>
      </x:c>
      <x:c r="B89" s="38" t="str">
        <x:v>NET</x:v>
      </x:c>
      <x:c r="C89" s="38" t="str">
        <x:v>Other FX</x:v>
      </x:c>
      <x:c r="D89" s="38" t="str">
        <x:v>DKK/USD</x:v>
      </x:c>
      <x:c r="E89" s="38" t="n">
        <x:v>0.0312028382</x:v>
      </x:c>
      <x:c r="F89" s="38" t="n">
        <x:v>22.2671919707</x:v>
      </x:c>
      <x:c r="G89" s="38" t="n">
        <x:v>2.6453150659</x:v>
      </x:c>
      <x:c r="H89" s="38" t="n">
        <x:v>0.0098893204</x:v>
      </x:c>
      <x:c r="I89" s="30" t="n">
        <x:v>80</x:v>
      </x:c>
      <x:c r="J89" s="38" t="n">
        <x:v>0.0934213447</x:v>
      </x:c>
    </x:row>
    <x:row r="90" ht="19" customHeight="1">
      <x:c r="A90" s="29" t="str">
        <x:v>stagger_1</x:v>
      </x:c>
      <x:c r="B90" s="38" t="str">
        <x:v>NET</x:v>
      </x:c>
      <x:c r="C90" s="38" t="str">
        <x:v>Other FX</x:v>
      </x:c>
      <x:c r="D90" s="38" t="str">
        <x:v>EUR/USD</x:v>
      </x:c>
      <x:c r="E90" s="38" t="n">
        <x:v>0.0312028382</x:v>
      </x:c>
      <x:c r="F90" s="38" t="n">
        <x:v>-22.6211709966</x:v>
      </x:c>
      <x:c r="G90" s="38" t="n">
        <x:v>-2.7314936994</x:v>
      </x:c>
      <x:c r="H90" s="38" t="n">
        <x:v>0.0078139711</x:v>
      </x:c>
      <x:c r="I90" s="30" t="n">
        <x:v>80</x:v>
      </x:c>
      <x:c r="J90" s="38" t="n">
        <x:v>0.0934213447</x:v>
      </x:c>
    </x:row>
    <x:row r="91" ht="19" customHeight="1">
      <x:c r="A91" s="29" t="str">
        <x:v>stagger_1</x:v>
      </x:c>
      <x:c r="B91" s="38" t="str">
        <x:v>NET</x:v>
      </x:c>
      <x:c r="C91" s="38" t="str">
        <x:v>SPY</x:v>
      </x:c>
      <x:c r="D91" s="38" t="str">
        <x:v>SPY</x:v>
      </x:c>
      <x:c r="E91" s="38" t="n">
        <x:v>-0.0145522149</x:v>
      </x:c>
      <x:c r="F91" s="38" t="n">
        <x:v>1.1092975084</x:v>
      </x:c>
      <x:c r="G91" s="38" t="n">
        <x:v>2.9425472107</x:v>
      </x:c>
      <x:c r="H91" s="38" t="n">
        <x:v>0.0042851693</x:v>
      </x:c>
      <x:c r="I91" s="30" t="n">
        <x:v>80</x:v>
      </x:c>
      <x:c r="J91" s="38" t="n">
        <x:v>0.0999160577</x:v>
      </x:c>
    </x:row>
    <x:row r="92" ht="19" customHeight="1">
      <x:c r="A92" s="29" t="str">
        <x:v>stagger_1</x:v>
      </x:c>
      <x:c r="B92" s="38" t="str">
        <x:v>NET</x:v>
      </x:c>
      <x:c r="C92" s="38" t="str">
        <x:v>Primary sector</x:v>
      </x:c>
      <x:c r="D92" s="38" t="str">
        <x:v>XLK</x:v>
      </x:c>
      <x:c r="E92" s="38" t="n">
        <x:v>-1.040834086e-17</x:v>
      </x:c>
      <x:c r="F92" s="38" t="n">
        <x:v>-0.024684752</x:v>
      </x:c>
      <x:c r="G92" s="38" t="n">
        <x:v>-0.0517927241</x:v>
      </x:c>
      <x:c r="H92" s="38" t="n">
        <x:v>0.9588262647</x:v>
      </x:c>
      <x:c r="I92" s="30" t="n">
        <x:v>80</x:v>
      </x:c>
      <x:c r="J92" s="38" t="n">
        <x:v>0.0000343897</x:v>
      </x:c>
    </x:row>
    <x:row r="93" ht="19" customHeight="1">
      <x:c r="A93" s="29" t="str">
        <x:v>stagger_1</x:v>
      </x:c>
      <x:c r="B93" s="38" t="str">
        <x:v>NET</x:v>
      </x:c>
      <x:c r="C93" s="38" t="str">
        <x:v>Other sectors</x:v>
      </x:c>
      <x:c r="D93" s="38" t="str">
        <x:v>XLE</x:v>
      </x:c>
      <x:c r="E93" s="38" t="n">
        <x:v>1.734723476e-18</x:v>
      </x:c>
      <x:c r="F93" s="38" t="n">
        <x:v>0.4953575796</x:v>
      </x:c>
      <x:c r="G93" s="38" t="n">
        <x:v>2.427525782</x:v>
      </x:c>
      <x:c r="H93" s="38" t="n">
        <x:v>0.0175692311</x:v>
      </x:c>
      <x:c r="I93" s="30" t="n">
        <x:v>80</x:v>
      </x:c>
      <x:c r="J93" s="38" t="n">
        <x:v>0.1802605534</x:v>
      </x:c>
    </x:row>
    <x:row r="94" ht="19" customHeight="1">
      <x:c r="A94" s="29" t="str">
        <x:v>stagger_1</x:v>
      </x:c>
      <x:c r="B94" s="38" t="str">
        <x:v>NET</x:v>
      </x:c>
      <x:c r="C94" s="38" t="str">
        <x:v>Other sectors</x:v>
      </x:c>
      <x:c r="D94" s="38" t="str">
        <x:v>XLP</x:v>
      </x:c>
      <x:c r="E94" s="38" t="n">
        <x:v>1.734723476e-18</x:v>
      </x:c>
      <x:c r="F94" s="38" t="n">
        <x:v>-0.9890599922</x:v>
      </x:c>
      <x:c r="G94" s="38" t="n">
        <x:v>-2.2062798946</x:v>
      </x:c>
      <x:c r="H94" s="38" t="n">
        <x:v>0.0303852494</x:v>
      </x:c>
      <x:c r="I94" s="30" t="n">
        <x:v>80</x:v>
      </x:c>
      <x:c r="J94" s="38" t="n">
        <x:v>0.1802605534</x:v>
      </x:c>
    </x:row>
    <x:row r="95" ht="19" customHeight="1">
      <x:c r="A95" s="29" t="str">
        <x:v>stagger_1</x:v>
      </x:c>
      <x:c r="B95" s="38" t="str">
        <x:v>NET</x:v>
      </x:c>
      <x:c r="C95" s="38" t="str">
        <x:v>Other sectors</x:v>
      </x:c>
      <x:c r="D95" s="38" t="str">
        <x:v>XLY</x:v>
      </x:c>
      <x:c r="E95" s="38" t="n">
        <x:v>1.734723476e-18</x:v>
      </x:c>
      <x:c r="F95" s="38" t="n">
        <x:v>1.4358589052</x:v>
      </x:c>
      <x:c r="G95" s="38" t="n">
        <x:v>2.8959180379</x:v>
      </x:c>
      <x:c r="H95" s="38" t="n">
        <x:v>0.0049342459</x:v>
      </x:c>
      <x:c r="I95" s="30" t="n">
        <x:v>80</x:v>
      </x:c>
      <x:c r="J95" s="38" t="n">
        <x:v>0.1802605534</x:v>
      </x:c>
    </x:row>
    <x:row r="96" ht="19" customHeight="1">
      <x:c r="A96" s="29" t="str">
        <x:v>stagger_1</x:v>
      </x:c>
      <x:c r="B96" s="38" t="str">
        <x:v>MRNA</x:v>
      </x:c>
      <x:c r="C96" s="38" t="str">
        <x:v>Other FX</x:v>
      </x:c>
      <x:c r="D96" s="38" t="str">
        <x:v>MXN/USD</x:v>
      </x:c>
      <x:c r="E96" s="38" t="n">
        <x:v>-0.0114706814</x:v>
      </x:c>
      <x:c r="F96" s="38" t="n">
        <x:v>2.5484491166</x:v>
      </x:c>
      <x:c r="G96" s="38" t="n">
        <x:v>3.419231435</x:v>
      </x:c>
      <x:c r="H96" s="38" t="n">
        <x:v>0.0010014215</x:v>
      </x:c>
      <x:c r="I96" s="30" t="n">
        <x:v>80</x:v>
      </x:c>
      <x:c r="J96" s="38" t="n">
        <x:v>0.1303489189</x:v>
      </x:c>
    </x:row>
    <x:row r="97" ht="19" customHeight="1">
      <x:c r="A97" s="29" t="str">
        <x:v>stagger_1</x:v>
      </x:c>
      <x:c r="B97" s="38" t="str">
        <x:v>MRNA</x:v>
      </x:c>
      <x:c r="C97" s="38" t="str">
        <x:v>SPY</x:v>
      </x:c>
      <x:c r="D97" s="38" t="str">
        <x:v>SPY</x:v>
      </x:c>
      <x:c r="E97" s="38" t="n">
        <x:v>-0.0006683046</x:v>
      </x:c>
      <x:c r="F97" s="38" t="n">
        <x:v>0.0509440423</x:v>
      </x:c>
      <x:c r="G97" s="38" t="n">
        <x:v>0.1038298074</x:v>
      </x:c>
      <x:c r="H97" s="38" t="n">
        <x:v>0.9175709197</x:v>
      </x:c>
      <x:c r="I97" s="30" t="n">
        <x:v>80</x:v>
      </x:c>
      <x:c r="J97" s="38" t="n">
        <x:v>0.0001381941</x:v>
      </x:c>
    </x:row>
    <x:row r="98" ht="19" customHeight="1">
      <x:c r="A98" s="29" t="str">
        <x:v>stagger_1</x:v>
      </x:c>
      <x:c r="B98" s="38" t="str">
        <x:v>MRNA</x:v>
      </x:c>
      <x:c r="C98" s="38" t="str">
        <x:v>Primary sector</x:v>
      </x:c>
      <x:c r="D98" s="38" t="str">
        <x:v>XLV</x:v>
      </x:c>
      <x:c r="E98" s="38" t="n">
        <x:v>-8.67361738e-19</x:v>
      </x:c>
      <x:c r="F98" s="38" t="n">
        <x:v>0.6645743861</x:v>
      </x:c>
      <x:c r="G98" s="38" t="n">
        <x:v>1.172218318</x:v>
      </x:c>
      <x:c r="H98" s="38" t="n">
        <x:v>0.2446773038</x:v>
      </x:c>
      <x:c r="I98" s="30" t="n">
        <x:v>80</x:v>
      </x:c>
      <x:c r="J98" s="38" t="n">
        <x:v>0.0173116402</x:v>
      </x:c>
    </x:row>
    <x:row r="99" ht="19" customHeight="1">
      <x:c r="A99" s="29" t="str">
        <x:v>stagger_1</x:v>
      </x:c>
      <x:c r="B99" s="38" t="str">
        <x:v>AXON</x:v>
      </x:c>
      <x:c r="C99" s="38" t="str">
        <x:v>Other FX</x:v>
      </x:c>
      <x:c r="D99" s="38" t="str">
        <x:v>AUD/USD</x:v>
      </x:c>
      <x:c r="E99" s="38" t="n">
        <x:v>0.0177436326</x:v>
      </x:c>
      <x:c r="F99" s="38" t="n">
        <x:v>-2.1216407686</x:v>
      </x:c>
      <x:c r="G99" s="38" t="n">
        <x:v>-2.1392560576</x:v>
      </x:c>
      <x:c r="H99" s="38" t="n">
        <x:v>0.0355837067</x:v>
      </x:c>
      <x:c r="I99" s="30" t="n">
        <x:v>80</x:v>
      </x:c>
      <x:c r="J99" s="38" t="n">
        <x:v>0.1102315095</x:v>
      </x:c>
    </x:row>
    <x:row r="100" ht="19" customHeight="1">
      <x:c r="A100" s="29" t="str">
        <x:v>stagger_1</x:v>
      </x:c>
      <x:c r="B100" s="38" t="str">
        <x:v>AXON</x:v>
      </x:c>
      <x:c r="C100" s="38" t="str">
        <x:v>Other FX</x:v>
      </x:c>
      <x:c r="D100" s="38" t="str">
        <x:v>SGD/USD</x:v>
      </x:c>
      <x:c r="E100" s="38" t="n">
        <x:v>0.0177436326</x:v>
      </x:c>
      <x:c r="F100" s="38" t="n">
        <x:v>5.7749233989</x:v>
      </x:c>
      <x:c r="G100" s="38" t="n">
        <x:v>3.0758685761</x:v>
      </x:c>
      <x:c r="H100" s="38" t="n">
        <x:v>0.0029050657</x:v>
      </x:c>
      <x:c r="I100" s="30" t="n">
        <x:v>80</x:v>
      </x:c>
      <x:c r="J100" s="38" t="n">
        <x:v>0.1102315095</x:v>
      </x:c>
    </x:row>
    <x:row r="101" ht="19" customHeight="1">
      <x:c r="A101" s="29" t="str">
        <x:v>stagger_1</x:v>
      </x:c>
      <x:c r="B101" s="38" t="str">
        <x:v>AXON</x:v>
      </x:c>
      <x:c r="C101" s="38" t="str">
        <x:v>SPY</x:v>
      </x:c>
      <x:c r="D101" s="38" t="str">
        <x:v>SPY</x:v>
      </x:c>
      <x:c r="E101" s="38" t="n">
        <x:v>-0.0104226527</x:v>
      </x:c>
      <x:c r="F101" s="38" t="n">
        <x:v>0.7945060427</x:v>
      </x:c>
      <x:c r="G101" s="38" t="n">
        <x:v>2.3622694839</x:v>
      </x:c>
      <x:c r="H101" s="38" t="n">
        <x:v>0.0206570074</x:v>
      </x:c>
      <x:c r="I101" s="30" t="n">
        <x:v>80</x:v>
      </x:c>
      <x:c r="J101" s="38" t="n">
        <x:v>0.0667659242</x:v>
      </x:c>
    </x:row>
    <x:row r="102" ht="19" customHeight="1">
      <x:c r="A102" s="29" t="str">
        <x:v>stagger_1</x:v>
      </x:c>
      <x:c r="B102" s="38" t="str">
        <x:v>AXON</x:v>
      </x:c>
      <x:c r="C102" s="38" t="str">
        <x:v>Primary sector</x:v>
      </x:c>
      <x:c r="D102" s="38" t="str">
        <x:v>XLI</x:v>
      </x:c>
      <x:c r="E102" s="38" t="n">
        <x:v>1.734723476e-18</x:v>
      </x:c>
      <x:c r="F102" s="38" t="n">
        <x:v>1.1949539185</x:v>
      </x:c>
      <x:c r="G102" s="38" t="n">
        <x:v>2.6092638727</x:v>
      </x:c>
      <x:c r="H102" s="38" t="n">
        <x:v>0.0108730788</x:v>
      </x:c>
      <x:c r="I102" s="30" t="n">
        <x:v>80</x:v>
      </x:c>
      <x:c r="J102" s="38" t="n">
        <x:v>0.0802782432</x:v>
      </x:c>
    </x:row>
    <x:row r="103" ht="19" customHeight="1">
      <x:c r="A103" s="29" t="str">
        <x:v>stagger_1</x:v>
      </x:c>
      <x:c r="B103" s="38" t="str">
        <x:v>AXON</x:v>
      </x:c>
      <x:c r="C103" s="38" t="str">
        <x:v>Other sectors</x:v>
      </x:c>
      <x:c r="D103" s="38" t="str">
        <x:v>XLY</x:v>
      </x:c>
      <x:c r="E103" s="38" t="n">
        <x:v>2.168404345e-18</x:v>
      </x:c>
      <x:c r="F103" s="38" t="n">
        <x:v>1.035841757</x:v>
      </x:c>
      <x:c r="G103" s="38" t="n">
        <x:v>2.4006601233</x:v>
      </x:c>
      <x:c r="H103" s="38" t="n">
        <x:v>0.0187478768</x:v>
      </x:c>
      <x:c r="I103" s="30" t="n">
        <x:v>80</x:v>
      </x:c>
      <x:c r="J103" s="38" t="n">
        <x:v>0.0688031398</x:v>
      </x:c>
    </x:row>
    <x:row r="104" ht="19" customHeight="1">
      <x:c r="A104" s="29" t="str">
        <x:v>stagger_1</x:v>
      </x:c>
      <x:c r="B104" s="38" t="str">
        <x:v>NFLX</x:v>
      </x:c>
      <x:c r="C104" s="38" t="str">
        <x:v>Other FX</x:v>
      </x:c>
      <x:c r="D104" s="38" t="str">
        <x:v>DKK/USD</x:v>
      </x:c>
      <x:c r="E104" s="38" t="n">
        <x:v>0.0060230889</x:v>
      </x:c>
      <x:c r="F104" s="38" t="n">
        <x:v>1.8073990469</x:v>
      </x:c>
      <x:c r="G104" s="38" t="n">
        <x:v>2.7220371204</x:v>
      </x:c>
      <x:c r="H104" s="38" t="n">
        <x:v>0.0079999465</x:v>
      </x:c>
      <x:c r="I104" s="30" t="n">
        <x:v>80</x:v>
      </x:c>
      <x:c r="J104" s="38" t="n">
        <x:v>0.0867524958</x:v>
      </x:c>
    </x:row>
    <x:row r="105" ht="19" customHeight="1">
      <x:c r="A105" s="29" t="str">
        <x:v>stagger_1</x:v>
      </x:c>
      <x:c r="B105" s="38" t="str">
        <x:v>NFLX</x:v>
      </x:c>
      <x:c r="C105" s="38" t="str">
        <x:v>SPY</x:v>
      </x:c>
      <x:c r="D105" s="38" t="str">
        <x:v>SPY</x:v>
      </x:c>
      <x:c r="E105" s="38" t="n">
        <x:v>-0.0103671804</x:v>
      </x:c>
      <x:c r="F105" s="38" t="n">
        <x:v>0.7902774555</x:v>
      </x:c>
      <x:c r="G105" s="38" t="n">
        <x:v>2.7204569036</x:v>
      </x:c>
      <x:c r="H105" s="38" t="n">
        <x:v>0.0080348906</x:v>
      </x:c>
      <x:c r="I105" s="30" t="n">
        <x:v>80</x:v>
      </x:c>
      <x:c r="J105" s="38" t="n">
        <x:v>0.086660527</x:v>
      </x:c>
    </x:row>
    <x:row r="106" ht="19" customHeight="1">
      <x:c r="A106" s="29" t="str">
        <x:v>stagger_1</x:v>
      </x:c>
      <x:c r="B106" s="38" t="str">
        <x:v>NFLX</x:v>
      </x:c>
      <x:c r="C106" s="38" t="str">
        <x:v>Primary sector</x:v>
      </x:c>
      <x:c r="D106" s="38" t="str">
        <x:v>XLC</x:v>
      </x:c>
      <x:c r="E106" s="38" t="n">
        <x:v>-2.602085214e-18</x:v>
      </x:c>
      <x:c r="F106" s="38" t="n">
        <x:v>0.9954936722</x:v>
      </x:c>
      <x:c r="G106" s="38" t="n">
        <x:v>2.4702613035</x:v>
      </x:c>
      <x:c r="H106" s="38" t="n">
        <x:v>0.0156840752</x:v>
      </x:c>
      <x:c r="I106" s="30" t="n">
        <x:v>80</x:v>
      </x:c>
      <x:c r="J106" s="38" t="n">
        <x:v>0.0725568602</x:v>
      </x:c>
    </x:row>
    <x:row r="107" ht="19" customHeight="1">
      <x:c r="A107" s="29" t="str">
        <x:v>stagger_1</x:v>
      </x:c>
      <x:c r="B107" s="38" t="str">
        <x:v>NFLX</x:v>
      </x:c>
      <x:c r="C107" s="38" t="str">
        <x:v>Other sectors</x:v>
      </x:c>
      <x:c r="D107" s="38" t="str">
        <x:v>XLK</x:v>
      </x:c>
      <x:c r="E107" s="38" t="n">
        <x:v>-7.372574773e-18</x:v>
      </x:c>
      <x:c r="F107" s="38" t="n">
        <x:v>1.0130131857</x:v>
      </x:c>
      <x:c r="G107" s="38" t="n">
        <x:v>2.807322906</x:v>
      </x:c>
      <x:c r="H107" s="38" t="n">
        <x:v>0.0063255493</x:v>
      </x:c>
      <x:c r="I107" s="30" t="n">
        <x:v>80</x:v>
      </x:c>
      <x:c r="J107" s="38" t="n">
        <x:v>0.1183413166</x:v>
      </x:c>
    </x:row>
    <x:row r="108" ht="19" customHeight="1">
      <x:c r="A108" s="29" t="str">
        <x:v>stagger_1</x:v>
      </x:c>
      <x:c r="B108" s="38" t="str">
        <x:v>NFLX</x:v>
      </x:c>
      <x:c r="C108" s="38" t="str">
        <x:v>Other sectors</x:v>
      </x:c>
      <x:c r="D108" s="38" t="str">
        <x:v>XLU</x:v>
      </x:c>
      <x:c r="E108" s="38" t="n">
        <x:v>-7.372574773e-18</x:v>
      </x:c>
      <x:c r="F108" s="38" t="n">
        <x:v>0.7045190575</x:v>
      </x:c>
      <x:c r="G108" s="38" t="n">
        <x:v>2.508906077</x:v>
      </x:c>
      <x:c r="H108" s="38" t="n">
        <x:v>0.0142118579</x:v>
      </x:c>
      <x:c r="I108" s="30" t="n">
        <x:v>80</x:v>
      </x:c>
      <x:c r="J108" s="38" t="n">
        <x:v>0.1183413166</x:v>
      </x:c>
    </x:row>
    <x:row r="109" ht="19" customHeight="1">
      <x:c r="A109" s="29" t="str">
        <x:v>stagger_1</x:v>
      </x:c>
      <x:c r="B109" s="38" t="str">
        <x:v>CMCSA</x:v>
      </x:c>
      <x:c r="C109" s="38" t="str">
        <x:v>Other FX</x:v>
      </x:c>
      <x:c r="D109" s="38" t="str">
        <x:v>SGD/USD</x:v>
      </x:c>
      <x:c r="E109" s="38" t="n">
        <x:v>-0.0071829135</x:v>
      </x:c>
      <x:c r="F109" s="38" t="n">
        <x:v>2.8442789654</x:v>
      </x:c>
      <x:c r="G109" s="38" t="n">
        <x:v>4.6425648422</x:v>
      </x:c>
      <x:c r="H109" s="38" t="n">
        <x:v>0.0000136907</x:v>
      </x:c>
      <x:c r="I109" s="30" t="n">
        <x:v>80</x:v>
      </x:c>
      <x:c r="J109" s="38" t="n">
        <x:v>0.2165009584</x:v>
      </x:c>
    </x:row>
    <x:row r="110" ht="19" customHeight="1">
      <x:c r="A110" s="29" t="str">
        <x:v>stagger_1</x:v>
      </x:c>
      <x:c r="B110" s="38" t="str">
        <x:v>CMCSA</x:v>
      </x:c>
      <x:c r="C110" s="38" t="str">
        <x:v>SPY</x:v>
      </x:c>
      <x:c r="D110" s="38" t="str">
        <x:v>SPY</x:v>
      </x:c>
      <x:c r="E110" s="38" t="n">
        <x:v>-0.0017378155</x:v>
      </x:c>
      <x:c r="F110" s="38" t="n">
        <x:v>0.132471543</x:v>
      </x:c>
      <x:c r="G110" s="38" t="n">
        <x:v>0.7622836672</x:v>
      </x:c>
      <x:c r="H110" s="38" t="n">
        <x:v>0.4481897316</x:v>
      </x:c>
      <x:c r="I110" s="30" t="n">
        <x:v>80</x:v>
      </x:c>
      <x:c r="J110" s="38" t="n">
        <x:v>0.0073946097</x:v>
      </x:c>
    </x:row>
    <x:row r="111" ht="19" customHeight="1">
      <x:c r="A111" s="29" t="str">
        <x:v>stagger_1</x:v>
      </x:c>
      <x:c r="B111" s="38" t="str">
        <x:v>CMCSA</x:v>
      </x:c>
      <x:c r="C111" s="38" t="str">
        <x:v>Primary sector</x:v>
      </x:c>
      <x:c r="D111" s="38" t="str">
        <x:v>XLC</x:v>
      </x:c>
      <x:c r="E111" s="38" t="n">
        <x:v>0</x:v>
      </x:c>
      <x:c r="F111" s="38" t="n">
        <x:v>0.9646492543</x:v>
      </x:c>
      <x:c r="G111" s="38" t="n">
        <x:v>4.2825906692</x:v>
      </x:c>
      <x:c r="H111" s="38" t="n">
        <x:v>0.0000521389</x:v>
      </x:c>
      <x:c r="I111" s="30" t="n">
        <x:v>80</x:v>
      </x:c>
      <x:c r="J111" s="38" t="n">
        <x:v>0.1903723467</x:v>
      </x:c>
    </x:row>
    <x:row r="112" ht="19" customHeight="1">
      <x:c r="A112" s="29" t="str">
        <x:v>stagger_1</x:v>
      </x:c>
      <x:c r="B112" s="38" t="str">
        <x:v>CMCSA</x:v>
      </x:c>
      <x:c r="C112" s="38" t="str">
        <x:v>Other sectors</x:v>
      </x:c>
      <x:c r="D112" s="38" t="str">
        <x:v>XLE</x:v>
      </x:c>
      <x:c r="E112" s="38" t="n">
        <x:v>-4.33680869e-18</x:v>
      </x:c>
      <x:c r="F112" s="38" t="n">
        <x:v>0.3452709527</x:v>
      </x:c>
      <x:c r="G112" s="38" t="n">
        <x:v>4.3163064352</x:v>
      </x:c>
      <x:c r="H112" s="38" t="n">
        <x:v>0.0000461111</x:v>
      </x:c>
      <x:c r="I112" s="30" t="n">
        <x:v>80</x:v>
      </x:c>
      <x:c r="J112" s="38" t="n">
        <x:v>0.1928014551</x:v>
      </x:c>
    </x:row>
    <x:row r="113" ht="19" customHeight="1">
      <x:c r="A113" s="29" t="str">
        <x:v>stagger_1</x:v>
      </x:c>
      <x:c r="B113" s="38" t="str">
        <x:v>MU</x:v>
      </x:c>
      <x:c r="C113" s="38" t="str">
        <x:v>Other FX</x:v>
      </x:c>
      <x:c r="D113" s="38" t="str">
        <x:v>AUD/USD</x:v>
      </x:c>
      <x:c r="E113" s="38" t="n">
        <x:v>0.0430698215</x:v>
      </x:c>
      <x:c r="F113" s="38" t="n">
        <x:v>2.4633857752</x:v>
      </x:c>
      <x:c r="G113" s="38" t="n">
        <x:v>2.0988487988</x:v>
      </x:c>
      <x:c r="H113" s="38" t="n">
        <x:v>0.0391515432</x:v>
      </x:c>
      <x:c r="I113" s="30" t="n">
        <x:v>80</x:v>
      </x:c>
      <x:c r="J113" s="38" t="n">
        <x:v>0.1542500214</x:v>
      </x:c>
    </x:row>
    <x:row r="114" ht="19" customHeight="1">
      <x:c r="A114" s="29" t="str">
        <x:v>stagger_1</x:v>
      </x:c>
      <x:c r="B114" s="38" t="str">
        <x:v>MU</x:v>
      </x:c>
      <x:c r="C114" s="38" t="str">
        <x:v>Other FX</x:v>
      </x:c>
      <x:c r="D114" s="38" t="str">
        <x:v>EUR/USD</x:v>
      </x:c>
      <x:c r="E114" s="38" t="n">
        <x:v>0.0430698215</x:v>
      </x:c>
      <x:c r="F114" s="38" t="n">
        <x:v>-2.9949378817</x:v>
      </x:c>
      <x:c r="G114" s="38" t="n">
        <x:v>-2.1641358531</x:v>
      </x:c>
      <x:c r="H114" s="38" t="n">
        <x:v>0.0335951573</x:v>
      </x:c>
      <x:c r="I114" s="30" t="n">
        <x:v>80</x:v>
      </x:c>
      <x:c r="J114" s="38" t="n">
        <x:v>0.1542500214</x:v>
      </x:c>
    </x:row>
    <x:row r="115" ht="19" customHeight="1">
      <x:c r="A115" s="29" t="str">
        <x:v>stagger_1</x:v>
      </x:c>
      <x:c r="B115" s="38" t="str">
        <x:v>MU</x:v>
      </x:c>
      <x:c r="C115" s="38" t="str">
        <x:v>Other FX</x:v>
      </x:c>
      <x:c r="D115" s="38" t="str">
        <x:v>MXN/USD</x:v>
      </x:c>
      <x:c r="E115" s="38" t="n">
        <x:v>0.0430698215</x:v>
      </x:c>
      <x:c r="F115" s="38" t="n">
        <x:v>2.1245911193</x:v>
      </x:c>
      <x:c r="G115" s="38" t="n">
        <x:v>2.4433416136</x:v>
      </x:c>
      <x:c r="H115" s="38" t="n">
        <x:v>0.0168724117</x:v>
      </x:c>
      <x:c r="I115" s="30" t="n">
        <x:v>80</x:v>
      </x:c>
      <x:c r="J115" s="38" t="n">
        <x:v>0.1542500214</x:v>
      </x:c>
    </x:row>
    <x:row r="116" ht="19" customHeight="1">
      <x:c r="A116" s="29" t="str">
        <x:v>stagger_1</x:v>
      </x:c>
      <x:c r="B116" s="38" t="str">
        <x:v>MU</x:v>
      </x:c>
      <x:c r="C116" s="38" t="str">
        <x:v>SPY</x:v>
      </x:c>
      <x:c r="D116" s="38" t="str">
        <x:v>SPY</x:v>
      </x:c>
      <x:c r="E116" s="38" t="n">
        <x:v>-0.0169350845</x:v>
      </x:c>
      <x:c r="F116" s="38" t="n">
        <x:v>1.2909407438</x:v>
      </x:c>
      <x:c r="G116" s="38" t="n">
        <x:v>2.8962727089</x:v>
      </x:c>
      <x:c r="H116" s="38" t="n">
        <x:v>0.0048977814</x:v>
      </x:c>
      <x:c r="I116" s="30" t="n">
        <x:v>80</x:v>
      </x:c>
      <x:c r="J116" s="38" t="n">
        <x:v>0.0971009537</x:v>
      </x:c>
    </x:row>
    <x:row r="117" ht="19" customHeight="1">
      <x:c r="A117" s="29" t="str">
        <x:v>stagger_1</x:v>
      </x:c>
      <x:c r="B117" s="38" t="str">
        <x:v>MU</x:v>
      </x:c>
      <x:c r="C117" s="38" t="str">
        <x:v>Primary sector</x:v>
      </x:c>
      <x:c r="D117" s="38" t="str">
        <x:v>XLK</x:v>
      </x:c>
      <x:c r="E117" s="38" t="n">
        <x:v>3.469446952e-18</x:v>
      </x:c>
      <x:c r="F117" s="38" t="n">
        <x:v>2.4189716525</x:v>
      </x:c>
      <x:c r="G117" s="38" t="n">
        <x:v>4.9118111752</x:v>
      </x:c>
      <x:c r="H117" s="38" t="n">
        <x:v>0.0000048655</x:v>
      </x:c>
      <x:c r="I117" s="30" t="n">
        <x:v>80</x:v>
      </x:c>
      <x:c r="J117" s="38" t="n">
        <x:v>0.2362367589</x:v>
      </x:c>
    </x:row>
    <x:row r="118" ht="19" customHeight="1">
      <x:c r="A118" s="29" t="str">
        <x:v>stagger_1</x:v>
      </x:c>
      <x:c r="B118" s="38" t="str">
        <x:v>MU</x:v>
      </x:c>
      <x:c r="C118" s="38" t="str">
        <x:v>Other sectors</x:v>
      </x:c>
      <x:c r="D118" s="38" t="str">
        <x:v>XLY</x:v>
      </x:c>
      <x:c r="E118" s="38" t="n">
        <x:v>-3.469446952e-18</x:v>
      </x:c>
      <x:c r="F118" s="38" t="n">
        <x:v>-1.4154113196</x:v>
      </x:c>
      <x:c r="G118" s="38" t="n">
        <x:v>-2.744811384</x:v>
      </x:c>
      <x:c r="H118" s="38" t="n">
        <x:v>0.0075114989</x:v>
      </x:c>
      <x:c r="I118" s="30" t="n">
        <x:v>80</x:v>
      </x:c>
      <x:c r="J118" s="38" t="n">
        <x:v>0.0880818207</x:v>
      </x:c>
    </x:row>
    <x:row r="119" ht="19" customHeight="1">
      <x:c r="A119" s="29" t="str">
        <x:v>stagger_1</x:v>
      </x:c>
      <x:c r="B119" s="38" t="str">
        <x:v>NEM</x:v>
      </x:c>
      <x:c r="C119" s="38" t="str">
        <x:v>Other FX</x:v>
      </x:c>
      <x:c r="D119" s="38" t="str">
        <x:v>AUD/USD</x:v>
      </x:c>
      <x:c r="E119" s="38" t="n">
        <x:v>0.0138721399</x:v>
      </x:c>
      <x:c r="F119" s="38" t="n">
        <x:v>3.4605771185</x:v>
      </x:c>
      <x:c r="G119" s="38" t="n">
        <x:v>6.8038800975</x:v>
      </x:c>
      <x:c r="H119" s="38" t="n">
        <x:v>1.9e-9</x:v>
      </x:c>
      <x:c r="I119" s="30" t="n">
        <x:v>80</x:v>
      </x:c>
      <x:c r="J119" s="38" t="n">
        <x:v>0.3724494918</x:v>
      </x:c>
    </x:row>
    <x:row r="120" ht="19" customHeight="1">
      <x:c r="A120" s="29" t="str">
        <x:v>stagger_1</x:v>
      </x:c>
      <x:c r="B120" s="38" t="str">
        <x:v>NEM</x:v>
      </x:c>
      <x:c r="C120" s="38" t="str">
        <x:v>SPY</x:v>
      </x:c>
      <x:c r="D120" s="38" t="str">
        <x:v>SPY</x:v>
      </x:c>
      <x:c r="E120" s="38" t="n">
        <x:v>0.0013706167</x:v>
      </x:c>
      <x:c r="F120" s="38" t="n">
        <x:v>-0.1044804315</x:v>
      </x:c>
      <x:c r="G120" s="38" t="n">
        <x:v>-0.3814828501</x:v>
      </x:c>
      <x:c r="H120" s="38" t="n">
        <x:v>0.7038822164</x:v>
      </x:c>
      <x:c r="I120" s="30" t="n">
        <x:v>80</x:v>
      </x:c>
      <x:c r="J120" s="38" t="n">
        <x:v>0.001862284</x:v>
      </x:c>
    </x:row>
    <x:row r="121" ht="19" customHeight="1">
      <x:c r="A121" s="29" t="str">
        <x:v>stagger_1</x:v>
      </x:c>
      <x:c r="B121" s="38" t="str">
        <x:v>NEM</x:v>
      </x:c>
      <x:c r="C121" s="38" t="str">
        <x:v>Primary sector</x:v>
      </x:c>
      <x:c r="D121" s="38" t="str">
        <x:v>XLB</x:v>
      </x:c>
      <x:c r="E121" s="38" t="n">
        <x:v>1.734723476e-18</x:v>
      </x:c>
      <x:c r="F121" s="38" t="n">
        <x:v>0.490383411</x:v>
      </x:c>
      <x:c r="G121" s="38" t="n">
        <x:v>1.7307758696</x:v>
      </x:c>
      <x:c r="H121" s="38" t="n">
        <x:v>0.0874460652</x:v>
      </x:c>
      <x:c r="I121" s="30" t="n">
        <x:v>80</x:v>
      </x:c>
      <x:c r="J121" s="38" t="n">
        <x:v>0.0369845481</x:v>
      </x:c>
    </x:row>
    <x:row r="122" ht="19" customHeight="1">
      <x:c r="A122" s="29" t="str">
        <x:v>stagger_1</x:v>
      </x:c>
      <x:c r="B122" s="38" t="str">
        <x:v>PGR</x:v>
      </x:c>
      <x:c r="C122" s="38" t="str">
        <x:v>Other FX</x:v>
      </x:c>
      <x:c r="D122" s="38" t="str">
        <x:v>SGD/USD</x:v>
      </x:c>
      <x:c r="E122" s="38" t="n">
        <x:v>0.0105775454</x:v>
      </x:c>
      <x:c r="F122" s="38" t="n">
        <x:v>1.1225843735</x:v>
      </x:c>
      <x:c r="G122" s="38" t="n">
        <x:v>2.1914576231</x:v>
      </x:c>
      <x:c r="H122" s="38" t="n">
        <x:v>0.0314026782</x:v>
      </x:c>
      <x:c r="I122" s="30" t="n">
        <x:v>80</x:v>
      </x:c>
      <x:c r="J122" s="38" t="n">
        <x:v>0.0579993031</x:v>
      </x:c>
    </x:row>
    <x:row r="123" ht="19" customHeight="1">
      <x:c r="A123" s="29" t="str">
        <x:v>stagger_1</x:v>
      </x:c>
      <x:c r="B123" s="38" t="str">
        <x:v>PGR</x:v>
      </x:c>
      <x:c r="C123" s="38" t="str">
        <x:v>SPY</x:v>
      </x:c>
      <x:c r="D123" s="38" t="str">
        <x:v>SPY</x:v>
      </x:c>
      <x:c r="E123" s="38" t="n">
        <x:v>-0.0012848422</x:v>
      </x:c>
      <x:c r="F123" s="38" t="n">
        <x:v>0.0979419451</x:v>
      </x:c>
      <x:c r="G123" s="38" t="n">
        <x:v>0.6735014007</x:v>
      </x:c>
      <x:c r="H123" s="38" t="n">
        <x:v>0.5026191999</x:v>
      </x:c>
      <x:c r="I123" s="30" t="n">
        <x:v>80</x:v>
      </x:c>
      <x:c r="J123" s="38" t="n">
        <x:v>0.0057818139</x:v>
      </x:c>
    </x:row>
    <x:row r="124" ht="19" customHeight="1">
      <x:c r="A124" s="29" t="str">
        <x:v>stagger_1</x:v>
      </x:c>
      <x:c r="B124" s="38" t="str">
        <x:v>PGR</x:v>
      </x:c>
      <x:c r="C124" s="38" t="str">
        <x:v>Primary sector</x:v>
      </x:c>
      <x:c r="D124" s="38" t="str">
        <x:v>XLF</x:v>
      </x:c>
      <x:c r="E124" s="38" t="n">
        <x:v>3.469446952e-18</x:v>
      </x:c>
      <x:c r="F124" s="38" t="n">
        <x:v>0.5001049531</x:v>
      </x:c>
      <x:c r="G124" s="38" t="n">
        <x:v>2.6642360033</x:v>
      </x:c>
      <x:c r="H124" s="38" t="n">
        <x:v>0.0093724777</x:v>
      </x:c>
      <x:c r="I124" s="30" t="n">
        <x:v>80</x:v>
      </x:c>
      <x:c r="J124" s="38" t="n">
        <x:v>0.083411369</x:v>
      </x:c>
    </x:row>
    <x:row r="125" ht="19" customHeight="1">
      <x:c r="A125" s="29" t="str">
        <x:v>stagger_1</x:v>
      </x:c>
      <x:c r="B125" s="38" t="str">
        <x:v>PGR</x:v>
      </x:c>
      <x:c r="C125" s="38" t="str">
        <x:v>Other sectors</x:v>
      </x:c>
      <x:c r="D125" s="38" t="str">
        <x:v>XLP</x:v>
      </x:c>
      <x:c r="E125" s="38" t="n">
        <x:v>-1.301042607e-18</x:v>
      </x:c>
      <x:c r="F125" s="38" t="n">
        <x:v>0.4003509544</x:v>
      </x:c>
      <x:c r="G125" s="38" t="n">
        <x:v>2.3216389965</x:v>
      </x:c>
      <x:c r="H125" s="38" t="n">
        <x:v>0.0228638772</x:v>
      </x:c>
      <x:c r="I125" s="30" t="n">
        <x:v>80</x:v>
      </x:c>
      <x:c r="J125" s="38" t="n">
        <x:v>0.0646361331</x:v>
      </x:c>
    </x:row>
    <x:row r="126" ht="19" customHeight="1">
      <x:c r="A126" s="29" t="str">
        <x:v>stagger_1</x:v>
      </x:c>
      <x:c r="B126" s="38" t="str">
        <x:v>ORKA</x:v>
      </x:c>
      <x:c r="C126" s="38" t="str">
        <x:v>Other FX</x:v>
      </x:c>
      <x:c r="D126" s="38" t="str">
        <x:v>AUD/USD</x:v>
      </x:c>
      <x:c r="E126" s="38" t="n">
        <x:v>0.0361215417</x:v>
      </x:c>
      <x:c r="F126" s="38" t="n">
        <x:v>4.5666173757</x:v>
      </x:c>
      <x:c r="G126" s="38" t="n">
        <x:v>3.0542128994</x:v>
      </x:c>
      <x:c r="H126" s="38" t="n">
        <x:v>0.0030984167</x:v>
      </x:c>
      <x:c r="I126" s="30" t="n">
        <x:v>80</x:v>
      </x:c>
      <x:c r="J126" s="38" t="n">
        <x:v>0.1179662332</x:v>
      </x:c>
    </x:row>
    <x:row r="127" ht="19" customHeight="1">
      <x:c r="A127" s="29" t="str">
        <x:v>stagger_1</x:v>
      </x:c>
      <x:c r="B127" s="38" t="str">
        <x:v>ORKA</x:v>
      </x:c>
      <x:c r="C127" s="38" t="str">
        <x:v>Other FX</x:v>
      </x:c>
      <x:c r="D127" s="38" t="str">
        <x:v>SGD/USD</x:v>
      </x:c>
      <x:c r="E127" s="38" t="n">
        <x:v>0.0361215417</x:v>
      </x:c>
      <x:c r="F127" s="38" t="n">
        <x:v>-8.3558896296</x:v>
      </x:c>
      <x:c r="G127" s="38" t="n">
        <x:v>-2.9520792086</x:v>
      </x:c>
      <x:c r="H127" s="38" t="n">
        <x:v>0.0041821984</x:v>
      </x:c>
      <x:c r="I127" s="30" t="n">
        <x:v>80</x:v>
      </x:c>
      <x:c r="J127" s="38" t="n">
        <x:v>0.1179662332</x:v>
      </x:c>
    </x:row>
    <x:row r="128" ht="19" customHeight="1">
      <x:c r="A128" s="29" t="str">
        <x:v>stagger_1</x:v>
      </x:c>
      <x:c r="B128" s="38" t="str">
        <x:v>ORKA</x:v>
      </x:c>
      <x:c r="C128" s="38" t="str">
        <x:v>SPY</x:v>
      </x:c>
      <x:c r="D128" s="38" t="str">
        <x:v>SPY</x:v>
      </x:c>
      <x:c r="E128" s="38" t="n">
        <x:v>-0.0012549922</x:v>
      </x:c>
      <x:c r="F128" s="38" t="n">
        <x:v>0.0956665213</x:v>
      </x:c>
      <x:c r="G128" s="38" t="n">
        <x:v>0.1823029842</x:v>
      </x:c>
      <x:c r="H128" s="38" t="n">
        <x:v>0.8558179309</x:v>
      </x:c>
      <x:c r="I128" s="30" t="n">
        <x:v>80</x:v>
      </x:c>
      <x:c r="J128" s="38" t="n">
        <x:v>0.0004259003</x:v>
      </x:c>
    </x:row>
    <x:row r="129" ht="19" customHeight="1">
      <x:c r="A129" s="29" t="str">
        <x:v>stagger_1</x:v>
      </x:c>
      <x:c r="B129" s="38" t="str">
        <x:v>ORKA</x:v>
      </x:c>
      <x:c r="C129" s="38" t="str">
        <x:v>Primary sector</x:v>
      </x:c>
      <x:c r="D129" s="38" t="str">
        <x:v>XLV</x:v>
      </x:c>
      <x:c r="E129" s="38" t="n">
        <x:v>5.204170428e-18</x:v>
      </x:c>
      <x:c r="F129" s="38" t="n">
        <x:v>-0.6191424401</x:v>
      </x:c>
      <x:c r="G129" s="38" t="n">
        <x:v>-1.0189191951</x:v>
      </x:c>
      <x:c r="H129" s="38" t="n">
        <x:v>0.3113913674</x:v>
      </x:c>
      <x:c r="I129" s="30" t="n">
        <x:v>80</x:v>
      </x:c>
      <x:c r="J129" s="38" t="n">
        <x:v>0.0131353747</x:v>
      </x:c>
    </x:row>
    <x:row r="130" ht="19" customHeight="1">
      <x:c r="A130" s="29" t="str">
        <x:v>stagger_1</x:v>
      </x:c>
      <x:c r="B130" s="38" t="str">
        <x:v>ORKA</x:v>
      </x:c>
      <x:c r="C130" s="38" t="str">
        <x:v>Other sectors</x:v>
      </x:c>
      <x:c r="D130" s="38" t="str">
        <x:v>XLC</x:v>
      </x:c>
      <x:c r="E130" s="38" t="n">
        <x:v>0</x:v>
      </x:c>
      <x:c r="F130" s="38" t="n">
        <x:v>-1.9328131364</x:v>
      </x:c>
      <x:c r="G130" s="38" t="n">
        <x:v>-2.3590503721</x:v>
      </x:c>
      <x:c r="H130" s="38" t="n">
        <x:v>0.0209628467</x:v>
      </x:c>
      <x:c r="I130" s="30" t="n">
        <x:v>80</x:v>
      </x:c>
      <x:c r="J130" s="38" t="n">
        <x:v>0.161593662</x:v>
      </x:c>
    </x:row>
    <x:row r="131" ht="19" customHeight="1">
      <x:c r="A131" s="29" t="str">
        <x:v>stagger_1</x:v>
      </x:c>
      <x:c r="B131" s="38" t="str">
        <x:v>ORKA</x:v>
      </x:c>
      <x:c r="C131" s="38" t="str">
        <x:v>Other sectors</x:v>
      </x:c>
      <x:c r="D131" s="38" t="str">
        <x:v>XLF</x:v>
      </x:c>
      <x:c r="E131" s="38" t="n">
        <x:v>0</x:v>
      </x:c>
      <x:c r="F131" s="38" t="n">
        <x:v>-2.1074237515</x:v>
      </x:c>
      <x:c r="G131" s="38" t="n">
        <x:v>-2.2385758092</x:v>
      </x:c>
      <x:c r="H131" s="38" t="n">
        <x:v>0.0281907726</x:v>
      </x:c>
      <x:c r="I131" s="30" t="n">
        <x:v>80</x:v>
      </x:c>
      <x:c r="J131" s="38" t="n">
        <x:v>0.161593662</x:v>
      </x:c>
    </x:row>
    <x:row r="132" ht="19" customHeight="1">
      <x:c r="A132" s="29" t="str">
        <x:v>stagger_1</x:v>
      </x:c>
      <x:c r="B132" s="38" t="str">
        <x:v>ORKA</x:v>
      </x:c>
      <x:c r="C132" s="38" t="str">
        <x:v>Other sectors</x:v>
      </x:c>
      <x:c r="D132" s="38" t="str">
        <x:v>XLK</x:v>
      </x:c>
      <x:c r="E132" s="38" t="n">
        <x:v>0</x:v>
      </x:c>
      <x:c r="F132" s="38" t="n">
        <x:v>-2.6010717692</x:v>
      </x:c>
      <x:c r="G132" s="38" t="n">
        <x:v>-2.3160134997</x:v>
      </x:c>
      <x:c r="H132" s="38" t="n">
        <x:v>0.0233300562</x:v>
      </x:c>
      <x:c r="I132" s="30" t="n">
        <x:v>80</x:v>
      </x:c>
      <x:c r="J132" s="38" t="n">
        <x:v>0.161593662</x:v>
      </x:c>
    </x:row>
    <x:row r="133" ht="19" customHeight="1">
      <x:c r="A133" s="29" t="str">
        <x:v>stagger_1</x:v>
      </x:c>
      <x:c r="B133" s="38" t="str">
        <x:v>ORKA</x:v>
      </x:c>
      <x:c r="C133" s="38" t="str">
        <x:v>Other sectors</x:v>
      </x:c>
      <x:c r="D133" s="38" t="str">
        <x:v>XLP</x:v>
      </x:c>
      <x:c r="E133" s="38" t="n">
        <x:v>0</x:v>
      </x:c>
      <x:c r="F133" s="38" t="n">
        <x:v>-2.0155857811</x:v>
      </x:c>
      <x:c r="G133" s="38" t="n">
        <x:v>-2.3835812772</x:v>
      </x:c>
      <x:c r="H133" s="38" t="n">
        <x:v>0.0197112974</x:v>
      </x:c>
      <x:c r="I133" s="30" t="n">
        <x:v>80</x:v>
      </x:c>
      <x:c r="J133" s="38" t="n">
        <x:v>0.161593662</x:v>
      </x:c>
    </x:row>
    <x:row r="134" ht="19" customHeight="1">
      <x:c r="A134" s="29" t="str">
        <x:v>stagger_1</x:v>
      </x:c>
      <x:c r="B134" s="38" t="str">
        <x:v>ORKA</x:v>
      </x:c>
      <x:c r="C134" s="38" t="str">
        <x:v>Other sectors</x:v>
      </x:c>
      <x:c r="D134" s="38" t="str">
        <x:v>XLY</x:v>
      </x:c>
      <x:c r="E134" s="38" t="n">
        <x:v>0</x:v>
      </x:c>
      <x:c r="F134" s="38" t="n">
        <x:v>-1.5886206871</x:v>
      </x:c>
      <x:c r="G134" s="38" t="n">
        <x:v>-2.1040060317</x:v>
      </x:c>
      <x:c r="H134" s="38" t="n">
        <x:v>0.0387755648</x:v>
      </x:c>
      <x:c r="I134" s="30" t="n">
        <x:v>80</x:v>
      </x:c>
      <x:c r="J134" s="38" t="n">
        <x:v>0.161593662</x:v>
      </x:c>
    </x:row>
    <x:row r="135" ht="19" customHeight="1">
      <x:c r="A135" s="29" t="str">
        <x:v>stagger_1</x:v>
      </x:c>
      <x:c r="B135" s="38" t="str">
        <x:v>UPST</x:v>
      </x:c>
      <x:c r="C135" s="38" t="str">
        <x:v>Other FX</x:v>
      </x:c>
      <x:c r="D135" s="38" t="str">
        <x:v>DKK/USD</x:v>
      </x:c>
      <x:c r="E135" s="38" t="n">
        <x:v>-0.0070520857</x:v>
      </x:c>
      <x:c r="F135" s="38" t="n">
        <x:v>51.2324180288</x:v>
      </x:c>
      <x:c r="G135" s="38" t="n">
        <x:v>3.3492466245</x:v>
      </x:c>
      <x:c r="H135" s="38" t="n">
        <x:v>0.0013079203</x:v>
      </x:c>
      <x:c r="I135" s="30" t="n">
        <x:v>73</x:v>
      </x:c>
      <x:c r="J135" s="38" t="n">
        <x:v>0.1405463147</x:v>
      </x:c>
    </x:row>
    <x:row r="136" ht="19" customHeight="1">
      <x:c r="A136" s="29" t="str">
        <x:v>stagger_1</x:v>
      </x:c>
      <x:c r="B136" s="38" t="str">
        <x:v>UPST</x:v>
      </x:c>
      <x:c r="C136" s="38" t="str">
        <x:v>Other FX</x:v>
      </x:c>
      <x:c r="D136" s="38" t="str">
        <x:v>EUR/USD</x:v>
      </x:c>
      <x:c r="E136" s="38" t="n">
        <x:v>-0.0070520857</x:v>
      </x:c>
      <x:c r="F136" s="38" t="n">
        <x:v>-49.3012082119</x:v>
      </x:c>
      <x:c r="G136" s="38" t="n">
        <x:v>-3.2808276026</x:v>
      </x:c>
      <x:c r="H136" s="38" t="n">
        <x:v>0.0016155253</x:v>
      </x:c>
      <x:c r="I136" s="30" t="n">
        <x:v>73</x:v>
      </x:c>
      <x:c r="J136" s="38" t="n">
        <x:v>0.1405463147</x:v>
      </x:c>
    </x:row>
    <x:row r="137" ht="19" customHeight="1">
      <x:c r="A137" s="29" t="str">
        <x:v>stagger_1</x:v>
      </x:c>
      <x:c r="B137" s="38" t="str">
        <x:v>UPST</x:v>
      </x:c>
      <x:c r="C137" s="38" t="str">
        <x:v>SPY</x:v>
      </x:c>
      <x:c r="D137" s="38" t="str">
        <x:v>SPY</x:v>
      </x:c>
      <x:c r="E137" s="38" t="n">
        <x:v>-0.0189833615</x:v>
      </x:c>
      <x:c r="F137" s="38" t="n">
        <x:v>1.5236416536</x:v>
      </x:c>
      <x:c r="G137" s="38" t="n">
        <x:v>2.1805475766</x:v>
      </x:c>
      <x:c r="H137" s="38" t="n">
        <x:v>0.0325322974</x:v>
      </x:c>
      <x:c r="I137" s="30" t="n">
        <x:v>73</x:v>
      </x:c>
      <x:c r="J137" s="38" t="n">
        <x:v>0.062765508</x:v>
      </x:c>
    </x:row>
    <x:row r="138" ht="19" customHeight="1">
      <x:c r="A138" s="29" t="str">
        <x:v>stagger_1</x:v>
      </x:c>
      <x:c r="B138" s="38" t="str">
        <x:v>UPST</x:v>
      </x:c>
      <x:c r="C138" s="38" t="str">
        <x:v>Primary sector</x:v>
      </x:c>
      <x:c r="D138" s="38" t="str">
        <x:v>XLF</x:v>
      </x:c>
      <x:c r="E138" s="38" t="n">
        <x:v>0.0017450013</x:v>
      </x:c>
      <x:c r="F138" s="38" t="n">
        <x:v>2.0745981762</x:v>
      </x:c>
      <x:c r="G138" s="38" t="n">
        <x:v>2.2434073145</x:v>
      </x:c>
      <x:c r="H138" s="38" t="n">
        <x:v>0.0279917325</x:v>
      </x:c>
      <x:c r="I138" s="30" t="n">
        <x:v>73</x:v>
      </x:c>
      <x:c r="J138" s="38" t="n">
        <x:v>0.0661934234</x:v>
      </x:c>
    </x:row>
    <x:row r="139" ht="19" customHeight="1">
      <x:c r="A139" s="29" t="str">
        <x:v>stagger_1</x:v>
      </x:c>
      <x:c r="B139" s="38" t="str">
        <x:v>UPST</x:v>
      </x:c>
      <x:c r="C139" s="38" t="str">
        <x:v>Other sectors</x:v>
      </x:c>
      <x:c r="D139" s="38" t="str">
        <x:v>XLP</x:v>
      </x:c>
      <x:c r="E139" s="38" t="n">
        <x:v>-0.0007989524</x:v>
      </x:c>
      <x:c r="F139" s="38" t="n">
        <x:v>-1.8872210557</x:v>
      </x:c>
      <x:c r="G139" s="38" t="n">
        <x:v>-2.2583322293</x:v>
      </x:c>
      <x:c r="H139" s="38" t="n">
        <x:v>0.02699932</x:v>
      </x:c>
      <x:c r="I139" s="30" t="n">
        <x:v>73</x:v>
      </x:c>
      <x:c r="J139" s="38" t="n">
        <x:v>0.067017873</x:v>
      </x:c>
    </x:row>
    <x:row r="140" ht="19" customHeight="1">
      <x:c r="A140" s="29" t="str">
        <x:v>stagger_1</x:v>
      </x:c>
      <x:c r="B140" s="38" t="str">
        <x:v>PG</x:v>
      </x:c>
      <x:c r="C140" s="38" t="str">
        <x:v>Other FX</x:v>
      </x:c>
      <x:c r="D140" s="38" t="str">
        <x:v>CAD/USD</x:v>
      </x:c>
      <x:c r="E140" s="38" t="n">
        <x:v>-0.0005165634</x:v>
      </x:c>
      <x:c r="F140" s="38" t="n">
        <x:v>-0.9687631594</x:v>
      </x:c>
      <x:c r="G140" s="38" t="n">
        <x:v>-2.2232106375</x:v>
      </x:c>
      <x:c r="H140" s="38" t="n">
        <x:v>0.0291342522</x:v>
      </x:c>
      <x:c r="I140" s="30" t="n">
        <x:v>80</x:v>
      </x:c>
      <x:c r="J140" s="38" t="n">
        <x:v>0.2065284777</x:v>
      </x:c>
    </x:row>
    <x:row r="141" ht="19" customHeight="1">
      <x:c r="A141" s="29" t="str">
        <x:v>stagger_1</x:v>
      </x:c>
      <x:c r="B141" s="38" t="str">
        <x:v>PG</x:v>
      </x:c>
      <x:c r="C141" s="38" t="str">
        <x:v>Other FX</x:v>
      </x:c>
      <x:c r="D141" s="38" t="str">
        <x:v>SGD/USD</x:v>
      </x:c>
      <x:c r="E141" s="38" t="n">
        <x:v>-0.0005165634</x:v>
      </x:c>
      <x:c r="F141" s="38" t="n">
        <x:v>2.4338357843</x:v>
      </x:c>
      <x:c r="G141" s="38" t="n">
        <x:v>4.4682021792</x:v>
      </x:c>
      <x:c r="H141" s="38" t="n">
        <x:v>0.0000267038</x:v>
      </x:c>
      <x:c r="I141" s="30" t="n">
        <x:v>80</x:v>
      </x:c>
      <x:c r="J141" s="38" t="n">
        <x:v>0.2065284777</x:v>
      </x:c>
    </x:row>
    <x:row r="142" ht="19" customHeight="1">
      <x:c r="A142" s="29" t="str">
        <x:v>stagger_1</x:v>
      </x:c>
      <x:c r="B142" s="38" t="str">
        <x:v>PG</x:v>
      </x:c>
      <x:c r="C142" s="38" t="str">
        <x:v>SPY</x:v>
      </x:c>
      <x:c r="D142" s="38" t="str">
        <x:v>SPY</x:v>
      </x:c>
      <x:c r="E142" s="38" t="n">
        <x:v>-0.004024406</x:v>
      </x:c>
      <x:c r="F142" s="38" t="n">
        <x:v>0.3067755355</x:v>
      </x:c>
      <x:c r="G142" s="38" t="n">
        <x:v>2.4747077627</x:v>
      </x:c>
      <x:c r="H142" s="38" t="n">
        <x:v>0.0155045312</x:v>
      </x:c>
      <x:c r="I142" s="30" t="n">
        <x:v>80</x:v>
      </x:c>
      <x:c r="J142" s="38" t="n">
        <x:v>0.0727992667</x:v>
      </x:c>
    </x:row>
    <x:row r="143" ht="19" customHeight="1">
      <x:c r="A143" s="29" t="str">
        <x:v>stagger_1</x:v>
      </x:c>
      <x:c r="B143" s="38" t="str">
        <x:v>PG</x:v>
      </x:c>
      <x:c r="C143" s="38" t="str">
        <x:v>Primary sector</x:v>
      </x:c>
      <x:c r="D143" s="38" t="str">
        <x:v>XLP</x:v>
      </x:c>
      <x:c r="E143" s="38" t="n">
        <x:v>2.168404345e-19</x:v>
      </x:c>
      <x:c r="F143" s="38" t="n">
        <x:v>0.8437402003</x:v>
      </x:c>
      <x:c r="G143" s="38" t="n">
        <x:v>6.6543247317</x:v>
      </x:c>
      <x:c r="H143" s="38" t="n">
        <x:v>3.6e-9</x:v>
      </x:c>
      <x:c r="I143" s="30" t="n">
        <x:v>80</x:v>
      </x:c>
      <x:c r="J143" s="38" t="n">
        <x:v>0.3621199215</x:v>
      </x:c>
    </x:row>
    <x:row r="144" ht="19" customHeight="1">
      <x:c r="A144" s="29" t="str">
        <x:v>stagger_1</x:v>
      </x:c>
      <x:c r="B144" s="38" t="str">
        <x:v>F</x:v>
      </x:c>
      <x:c r="C144" s="38" t="str">
        <x:v>Other FX</x:v>
      </x:c>
      <x:c r="D144" s="38" t="str">
        <x:v>AUD/USD</x:v>
      </x:c>
      <x:c r="E144" s="38" t="n">
        <x:v>0.0083014702</x:v>
      </x:c>
      <x:c r="F144" s="38" t="n">
        <x:v>1.4746781711</x:v>
      </x:c>
      <x:c r="G144" s="38" t="n">
        <x:v>2.7053962272</x:v>
      </x:c>
      <x:c r="H144" s="38" t="n">
        <x:v>0.0083960718</x:v>
      </x:c>
      <x:c r="I144" s="30" t="n">
        <x:v>80</x:v>
      </x:c>
      <x:c r="J144" s="38" t="n">
        <x:v>0.225300977</x:v>
      </x:c>
    </x:row>
    <x:row r="145" ht="19" customHeight="1">
      <x:c r="A145" s="29" t="str">
        <x:v>stagger_1</x:v>
      </x:c>
      <x:c r="B145" s="38" t="str">
        <x:v>F</x:v>
      </x:c>
      <x:c r="C145" s="38" t="str">
        <x:v>Other FX</x:v>
      </x:c>
      <x:c r="D145" s="38" t="str">
        <x:v>MXN/USD</x:v>
      </x:c>
      <x:c r="E145" s="38" t="n">
        <x:v>0.0083014702</x:v>
      </x:c>
      <x:c r="F145" s="38" t="n">
        <x:v>0.9194587731</x:v>
      </x:c>
      <x:c r="G145" s="38" t="n">
        <x:v>2.0603782615</x:v>
      </x:c>
      <x:c r="H145" s="38" t="n">
        <x:v>0.0427403567</x:v>
      </x:c>
      <x:c r="I145" s="30" t="n">
        <x:v>80</x:v>
      </x:c>
      <x:c r="J145" s="38" t="n">
        <x:v>0.225300977</x:v>
      </x:c>
    </x:row>
    <x:row r="146" ht="19" customHeight="1">
      <x:c r="A146" s="29" t="str">
        <x:v>stagger_1</x:v>
      </x:c>
      <x:c r="B146" s="38" t="str">
        <x:v>F</x:v>
      </x:c>
      <x:c r="C146" s="38" t="str">
        <x:v>SPY</x:v>
      </x:c>
      <x:c r="D146" s="38" t="str">
        <x:v>SPY</x:v>
      </x:c>
      <x:c r="E146" s="38" t="n">
        <x:v>-0.0101799187</x:v>
      </x:c>
      <x:c r="F146" s="38" t="n">
        <x:v>0.776002732</x:v>
      </x:c>
      <x:c r="G146" s="38" t="n">
        <x:v>3.2487739526</x:v>
      </x:c>
      <x:c r="H146" s="38" t="n">
        <x:v>0.0017109399</x:v>
      </x:c>
      <x:c r="I146" s="30" t="n">
        <x:v>80</x:v>
      </x:c>
      <x:c r="J146" s="38" t="n">
        <x:v>0.1191868099</x:v>
      </x:c>
    </x:row>
    <x:row r="147" ht="19" customHeight="1">
      <x:c r="A147" s="29" t="str">
        <x:v>stagger_1</x:v>
      </x:c>
      <x:c r="B147" s="38" t="str">
        <x:v>F</x:v>
      </x:c>
      <x:c r="C147" s="38" t="str">
        <x:v>Primary sector</x:v>
      </x:c>
      <x:c r="D147" s="38" t="str">
        <x:v>XLY</x:v>
      </x:c>
      <x:c r="E147" s="38" t="n">
        <x:v>8.67361738e-19</x:v>
      </x:c>
      <x:c r="F147" s="38" t="n">
        <x:v>0.5234717012</x:v>
      </x:c>
      <x:c r="G147" s="38" t="n">
        <x:v>1.6068490718</x:v>
      </x:c>
      <x:c r="H147" s="38" t="n">
        <x:v>0.1121284249</x:v>
      </x:c>
      <x:c r="I147" s="30" t="n">
        <x:v>80</x:v>
      </x:c>
      <x:c r="J147" s="38" t="n">
        <x:v>0.0320414621</x:v>
      </x:c>
    </x:row>
    <x:row r="148" ht="19" customHeight="1">
      <x:c r="A148" s="29" t="str">
        <x:v>stagger_1</x:v>
      </x:c>
      <x:c r="B148" s="38" t="str">
        <x:v>HPE</x:v>
      </x:c>
      <x:c r="C148" s="38" t="str">
        <x:v>SPY</x:v>
      </x:c>
      <x:c r="D148" s="38" t="str">
        <x:v>SPY</x:v>
      </x:c>
      <x:c r="E148" s="38" t="n">
        <x:v>0.0136453296</x:v>
      </x:c>
      <x:c r="F148" s="38" t="n">
        <x:v>1.2852879621</x:v>
      </x:c>
      <x:c r="G148" s="38" t="n">
        <x:v>4.4400478875</x:v>
      </x:c>
      <x:c r="H148" s="38" t="n">
        <x:v>0.0000292486</x:v>
      </x:c>
      <x:c r="I148" s="30" t="n">
        <x:v>80</x:v>
      </x:c>
      <x:c r="J148" s="38" t="n">
        <x:v>0.2017522581</x:v>
      </x:c>
    </x:row>
    <x:row r="149" ht="19" customHeight="1">
      <x:c r="A149" s="29" t="str">
        <x:v>stagger_1</x:v>
      </x:c>
      <x:c r="B149" s="38" t="str">
        <x:v>HPE</x:v>
      </x:c>
      <x:c r="C149" s="38" t="str">
        <x:v>Primary sector</x:v>
      </x:c>
      <x:c r="D149" s="38" t="str">
        <x:v>XLK</x:v>
      </x:c>
      <x:c r="E149" s="38" t="n">
        <x:v>3.469446952e-18</x:v>
      </x:c>
      <x:c r="F149" s="38" t="n">
        <x:v>1.2533752245</x:v>
      </x:c>
      <x:c r="G149" s="38" t="n">
        <x:v>3.7154385286</x:v>
      </x:c>
      <x:c r="H149" s="38" t="n">
        <x:v>0.0003795701</x:v>
      </x:c>
      <x:c r="I149" s="30" t="n">
        <x:v>80</x:v>
      </x:c>
      <x:c r="J149" s="38" t="n">
        <x:v>0.1503682929</x:v>
      </x:c>
    </x:row>
    <x:row r="150" ht="19" customHeight="1">
      <x:c r="A150" s="29" t="str">
        <x:v>stagger_1</x:v>
      </x:c>
      <x:c r="B150" s="38" t="str">
        <x:v>HPE</x:v>
      </x:c>
      <x:c r="C150" s="38" t="str">
        <x:v>Other sectors</x:v>
      </x:c>
      <x:c r="D150" s="38" t="str">
        <x:v>XLC</x:v>
      </x:c>
      <x:c r="E150" s="38" t="n">
        <x:v>-6.938893904e-18</x:v>
      </x:c>
      <x:c r="F150" s="38" t="n">
        <x:v>-1.0202042528</x:v>
      </x:c>
      <x:c r="G150" s="38" t="n">
        <x:v>-3.0807909442</x:v>
      </x:c>
      <x:c r="H150" s="38" t="n">
        <x:v>0.0028859255</x:v>
      </x:c>
      <x:c r="I150" s="30" t="n">
        <x:v>80</x:v>
      </x:c>
      <x:c r="J150" s="38" t="n">
        <x:v>0.2911903466</x:v>
      </x:c>
    </x:row>
    <x:row r="151" ht="19" customHeight="1">
      <x:c r="A151" s="29" t="str">
        <x:v>stagger_1</x:v>
      </x:c>
      <x:c r="B151" s="38" t="str">
        <x:v>HPE</x:v>
      </x:c>
      <x:c r="C151" s="38" t="str">
        <x:v>Other sectors</x:v>
      </x:c>
      <x:c r="D151" s="38" t="str">
        <x:v>XLE</x:v>
      </x:c>
      <x:c r="E151" s="38" t="n">
        <x:v>-6.938893904e-18</x:v>
      </x:c>
      <x:c r="F151" s="38" t="n">
        <x:v>0.3303200197</x:v>
      </x:c>
      <x:c r="G151" s="38" t="n">
        <x:v>2.4250843484</x:v>
      </x:c>
      <x:c r="H151" s="38" t="n">
        <x:v>0.017711502</x:v>
      </x:c>
      <x:c r="I151" s="30" t="n">
        <x:v>80</x:v>
      </x:c>
      <x:c r="J151" s="38" t="n">
        <x:v>0.2911903466</x:v>
      </x:c>
    </x:row>
    <x:row r="152" ht="19" customHeight="1">
      <x:c r="A152" s="29" t="str">
        <x:v>stagger_1</x:v>
      </x:c>
      <x:c r="B152" s="38" t="str">
        <x:v>HPE</x:v>
      </x:c>
      <x:c r="C152" s="38" t="str">
        <x:v>Other sectors</x:v>
      </x:c>
      <x:c r="D152" s="38" t="str">
        <x:v>XLF</x:v>
      </x:c>
      <x:c r="E152" s="38" t="n">
        <x:v>-6.938893904e-18</x:v>
      </x:c>
      <x:c r="F152" s="38" t="n">
        <x:v>1.0723565201</x:v>
      </x:c>
      <x:c r="G152" s="38" t="n">
        <x:v>3.2738566455</x:v>
      </x:c>
      <x:c r="H152" s="38" t="n">
        <x:v>0.0016063952</x:v>
      </x:c>
      <x:c r="I152" s="30" t="n">
        <x:v>80</x:v>
      </x:c>
      <x:c r="J152" s="38" t="n">
        <x:v>0.2911903466</x:v>
      </x:c>
    </x:row>
    <x:row r="153" ht="19" customHeight="1">
      <x:c r="A153" s="29" t="str">
        <x:v>stagger_1</x:v>
      </x:c>
      <x:c r="B153" s="38" t="str">
        <x:v>HPE</x:v>
      </x:c>
      <x:c r="C153" s="38" t="str">
        <x:v>Other sectors</x:v>
      </x:c>
      <x:c r="D153" s="38" t="str">
        <x:v>XLRE</x:v>
      </x:c>
      <x:c r="E153" s="38" t="n">
        <x:v>-6.938893904e-18</x:v>
      </x:c>
      <x:c r="F153" s="38" t="n">
        <x:v>-0.6525762875</x:v>
      </x:c>
      <x:c r="G153" s="38" t="n">
        <x:v>-2.3903583377</x:v>
      </x:c>
      <x:c r="H153" s="38" t="n">
        <x:v>0.0193427719</x:v>
      </x:c>
      <x:c r="I153" s="30" t="n">
        <x:v>80</x:v>
      </x:c>
      <x:c r="J153" s="38" t="n">
        <x:v>0.2911903466</x:v>
      </x:c>
    </x:row>
    <x:row r="154" ht="19" customHeight="1">
      <x:c r="A154" s="29" t="str">
        <x:v>stagger_1</x:v>
      </x:c>
      <x:c r="B154" s="38" t="str">
        <x:v>BA</x:v>
      </x:c>
      <x:c r="C154" s="38" t="str">
        <x:v>Other FX</x:v>
      </x:c>
      <x:c r="D154" s="38" t="str">
        <x:v>MXN/USD</x:v>
      </x:c>
      <x:c r="E154" s="38" t="n">
        <x:v>-0.0026567673</x:v>
      </x:c>
      <x:c r="F154" s="38" t="n">
        <x:v>1.1757238986</x:v>
      </x:c>
      <x:c r="G154" s="38" t="n">
        <x:v>3.0665215852</x:v>
      </x:c>
      <x:c r="H154" s="38" t="n">
        <x:v>0.0029871002</x:v>
      </x:c>
      <x:c r="I154" s="30" t="n">
        <x:v>80</x:v>
      </x:c>
      <x:c r="J154" s="38" t="n">
        <x:v>0.3188809759</x:v>
      </x:c>
    </x:row>
    <x:row r="155" ht="19" customHeight="1">
      <x:c r="A155" s="29" t="str">
        <x:v>stagger_1</x:v>
      </x:c>
      <x:c r="B155" s="38" t="str">
        <x:v>BA</x:v>
      </x:c>
      <x:c r="C155" s="38" t="str">
        <x:v>Other FX</x:v>
      </x:c>
      <x:c r="D155" s="38" t="str">
        <x:v>SGD/USD</x:v>
      </x:c>
      <x:c r="E155" s="38" t="n">
        <x:v>-0.0026567673</x:v>
      </x:c>
      <x:c r="F155" s="38" t="n">
        <x:v>2.7149153353</x:v>
      </x:c>
      <x:c r="G155" s="38" t="n">
        <x:v>3.0622915068</x:v>
      </x:c>
      <x:c r="H155" s="38" t="n">
        <x:v>0.0030249295</x:v>
      </x:c>
      <x:c r="I155" s="30" t="n">
        <x:v>80</x:v>
      </x:c>
      <x:c r="J155" s="38" t="n">
        <x:v>0.3188809759</x:v>
      </x:c>
    </x:row>
    <x:row r="156" ht="19" customHeight="1">
      <x:c r="A156" s="29" t="str">
        <x:v>stagger_1</x:v>
      </x:c>
      <x:c r="B156" s="38" t="str">
        <x:v>BA</x:v>
      </x:c>
      <x:c r="C156" s="38" t="str">
        <x:v>SPY</x:v>
      </x:c>
      <x:c r="D156" s="38" t="str">
        <x:v>SPY</x:v>
      </x:c>
      <x:c r="E156" s="38" t="n">
        <x:v>-0.007003982</x:v>
      </x:c>
      <x:c r="F156" s="38" t="n">
        <x:v>0.5339049664</x:v>
      </x:c>
      <x:c r="G156" s="38" t="n">
        <x:v>2.5221916716</x:v>
      </x:c>
      <x:c r="H156" s="38" t="n">
        <x:v>0.0136990656</x:v>
      </x:c>
      <x:c r="I156" s="30" t="n">
        <x:v>80</x:v>
      </x:c>
      <x:c r="J156" s="38" t="n">
        <x:v>0.0754070819</x:v>
      </x:c>
    </x:row>
    <x:row r="157" ht="19" customHeight="1">
      <x:c r="A157" s="29" t="str">
        <x:v>stagger_1</x:v>
      </x:c>
      <x:c r="B157" s="38" t="str">
        <x:v>BA</x:v>
      </x:c>
      <x:c r="C157" s="38" t="str">
        <x:v>Primary sector</x:v>
      </x:c>
      <x:c r="D157" s="38" t="str">
        <x:v>XLI</x:v>
      </x:c>
      <x:c r="E157" s="38" t="n">
        <x:v>5.312590645e-18</x:v>
      </x:c>
      <x:c r="F157" s="38" t="n">
        <x:v>0.2084742872</x:v>
      </x:c>
      <x:c r="G157" s="38" t="n">
        <x:v>0.695781755</x:v>
      </x:c>
      <x:c r="H157" s="38" t="n">
        <x:v>0.4886334798</x:v>
      </x:c>
      <x:c r="I157" s="30" t="n">
        <x:v>80</x:v>
      </x:c>
      <x:c r="J157" s="38" t="n">
        <x:v>0.0061682834</x:v>
      </x:c>
    </x:row>
    <x:row r="158" ht="19" customHeight="1">
      <x:c r="A158" s="29" t="str">
        <x:v>stagger_1</x:v>
      </x:c>
      <x:c r="B158" s="38" t="str">
        <x:v>HII</x:v>
      </x:c>
      <x:c r="C158" s="38" t="str">
        <x:v>Other FX</x:v>
      </x:c>
      <x:c r="D158" s="38" t="str">
        <x:v>AUD/USD</x:v>
      </x:c>
      <x:c r="E158" s="38" t="n">
        <x:v>0.0090574248</x:v>
      </x:c>
      <x:c r="F158" s="38" t="n">
        <x:v>1.7449135935</x:v>
      </x:c>
      <x:c r="G158" s="38" t="n">
        <x:v>3.9324677456</x:v>
      </x:c>
      <x:c r="H158" s="38" t="n">
        <x:v>0.0001809595</x:v>
      </x:c>
      <x:c r="I158" s="30" t="n">
        <x:v>80</x:v>
      </x:c>
      <x:c r="J158" s="38" t="n">
        <x:v>0.1654567802</x:v>
      </x:c>
    </x:row>
    <x:row r="159" ht="19" customHeight="1">
      <x:c r="A159" s="29" t="str">
        <x:v>stagger_1</x:v>
      </x:c>
      <x:c r="B159" s="38" t="str">
        <x:v>HII</x:v>
      </x:c>
      <x:c r="C159" s="38" t="str">
        <x:v>SPY</x:v>
      </x:c>
      <x:c r="D159" s="38" t="str">
        <x:v>SPY</x:v>
      </x:c>
      <x:c r="E159" s="38" t="n">
        <x:v>0.0047828537</x:v>
      </x:c>
      <x:c r="F159" s="38" t="n">
        <x:v>-0.3645910783</x:v>
      </x:c>
      <x:c r="G159" s="38" t="n">
        <x:v>-1.5477216882</x:v>
      </x:c>
      <x:c r="H159" s="38" t="n">
        <x:v>0.1257373391</x:v>
      </x:c>
      <x:c r="I159" s="30" t="n">
        <x:v>80</x:v>
      </x:c>
      <x:c r="J159" s="38" t="n">
        <x:v>0.029795749</x:v>
      </x:c>
    </x:row>
    <x:row r="160" ht="19" customHeight="1">
      <x:c r="A160" s="29" t="str">
        <x:v>stagger_1</x:v>
      </x:c>
      <x:c r="B160" s="38" t="str">
        <x:v>HII</x:v>
      </x:c>
      <x:c r="C160" s="38" t="str">
        <x:v>Primary sector</x:v>
      </x:c>
      <x:c r="D160" s="38" t="str">
        <x:v>XLI</x:v>
      </x:c>
      <x:c r="E160" s="38" t="n">
        <x:v>1.734723476e-18</x:v>
      </x:c>
      <x:c r="F160" s="38" t="n">
        <x:v>0.8169778171</x:v>
      </x:c>
      <x:c r="G160" s="38" t="n">
        <x:v>2.5417918709</x:v>
      </x:c>
      <x:c r="H160" s="38" t="n">
        <x:v>0.0130106983</x:v>
      </x:c>
      <x:c r="I160" s="30" t="n">
        <x:v>80</x:v>
      </x:c>
      <x:c r="J160" s="38" t="n">
        <x:v>0.0764936291</x:v>
      </x:c>
    </x:row>
    <x:row r="161" ht="19" customHeight="1">
      <x:c r="A161" s="29" t="str">
        <x:v>stagger_1</x:v>
      </x:c>
      <x:c r="B161" s="38" t="str">
        <x:v>HII</x:v>
      </x:c>
      <x:c r="C161" s="38" t="str">
        <x:v>Other sectors</x:v>
      </x:c>
      <x:c r="D161" s="38" t="str">
        <x:v>XLF</x:v>
      </x:c>
      <x:c r="E161" s="38" t="n">
        <x:v>-1.734723476e-18</x:v>
      </x:c>
      <x:c r="F161" s="38" t="n">
        <x:v>-0.9944817973</x:v>
      </x:c>
      <x:c r="G161" s="38" t="n">
        <x:v>-2.8180807796</x:v>
      </x:c>
      <x:c r="H161" s="38" t="n">
        <x:v>0.0061550158</x:v>
      </x:c>
      <x:c r="I161" s="30" t="n">
        <x:v>80</x:v>
      </x:c>
      <x:c r="J161" s="38" t="n">
        <x:v>0.1364392761</x:v>
      </x:c>
    </x:row>
    <x:row r="162" ht="19" customHeight="1">
      <x:c r="A162" s="29" t="str">
        <x:v>stagger_1</x:v>
      </x:c>
      <x:c r="B162" s="38" t="str">
        <x:v>HII</x:v>
      </x:c>
      <x:c r="C162" s="38" t="str">
        <x:v>Other sectors</x:v>
      </x:c>
      <x:c r="D162" s="38" t="str">
        <x:v>XLK</x:v>
      </x:c>
      <x:c r="E162" s="38" t="n">
        <x:v>-1.734723476e-18</x:v>
      </x:c>
      <x:c r="F162" s="38" t="n">
        <x:v>-1.0021628652</x:v>
      </x:c>
      <x:c r="G162" s="38" t="n">
        <x:v>-2.7072733962</x:v>
      </x:c>
      <x:c r="H162" s="38" t="n">
        <x:v>0.0083745142</x:v>
      </x:c>
      <x:c r="I162" s="30" t="n">
        <x:v>80</x:v>
      </x:c>
      <x:c r="J162" s="38" t="n">
        <x:v>0.1364392761</x:v>
      </x:c>
    </x:row>
    <x:row r="163" ht="19" customHeight="1">
      <x:c r="A163" s="29" t="str">
        <x:v>stagger_1</x:v>
      </x:c>
      <x:c r="B163" s="38" t="str">
        <x:v>HII</x:v>
      </x:c>
      <x:c r="C163" s="38" t="str">
        <x:v>Other sectors</x:v>
      </x:c>
      <x:c r="D163" s="38" t="str">
        <x:v>XLRE</x:v>
      </x:c>
      <x:c r="E163" s="38" t="n">
        <x:v>-1.734723476e-18</x:v>
      </x:c>
      <x:c r="F163" s="38" t="n">
        <x:v>-0.6178993788</x:v>
      </x:c>
      <x:c r="G163" s="38" t="n">
        <x:v>-2.1769688669</x:v>
      </x:c>
      <x:c r="H163" s="38" t="n">
        <x:v>0.0325877571</x:v>
      </x:c>
      <x:c r="I163" s="30" t="n">
        <x:v>80</x:v>
      </x:c>
      <x:c r="J163" s="38" t="n">
        <x:v>0.1364392761</x:v>
      </x:c>
    </x:row>
    <x:row r="164" ht="19" customHeight="1">
      <x:c r="A164" s="29" t="str">
        <x:v>stagger_1</x:v>
      </x:c>
      <x:c r="B164" s="38" t="str">
        <x:v>AMD</x:v>
      </x:c>
      <x:c r="C164" s="38" t="str">
        <x:v>Other FX</x:v>
      </x:c>
      <x:c r="D164" s="38" t="str">
        <x:v>DKK/USD</x:v>
      </x:c>
      <x:c r="E164" s="38" t="n">
        <x:v>0.0336391319</x:v>
      </x:c>
      <x:c r="F164" s="38" t="n">
        <x:v>24.5315905321</x:v>
      </x:c>
      <x:c r="G164" s="38" t="n">
        <x:v>2.6136011461</x:v>
      </x:c>
      <x:c r="H164" s="38" t="n">
        <x:v>0.0107713035</x:v>
      </x:c>
      <x:c r="I164" s="30" t="n">
        <x:v>80</x:v>
      </x:c>
      <x:c r="J164" s="38" t="n">
        <x:v>0.1064934966</x:v>
      </x:c>
    </x:row>
    <x:row r="165" ht="19" customHeight="1">
      <x:c r="A165" s="29" t="str">
        <x:v>stagger_1</x:v>
      </x:c>
      <x:c r="B165" s="38" t="str">
        <x:v>AMD</x:v>
      </x:c>
      <x:c r="C165" s="38" t="str">
        <x:v>Other FX</x:v>
      </x:c>
      <x:c r="D165" s="38" t="str">
        <x:v>EUR/USD</x:v>
      </x:c>
      <x:c r="E165" s="38" t="n">
        <x:v>0.0336391319</x:v>
      </x:c>
      <x:c r="F165" s="38" t="n">
        <x:v>-22.5368701236</x:v>
      </x:c>
      <x:c r="G165" s="38" t="n">
        <x:v>-2.4405087839</x:v>
      </x:c>
      <x:c r="H165" s="38" t="n">
        <x:v>0.0169643679</x:v>
      </x:c>
      <x:c r="I165" s="30" t="n">
        <x:v>80</x:v>
      </x:c>
      <x:c r="J165" s="38" t="n">
        <x:v>0.1064934966</x:v>
      </x:c>
    </x:row>
    <x:row r="166" ht="19" customHeight="1">
      <x:c r="A166" s="29" t="str">
        <x:v>stagger_1</x:v>
      </x:c>
      <x:c r="B166" s="38" t="str">
        <x:v>AMD</x:v>
      </x:c>
      <x:c r="C166" s="38" t="str">
        <x:v>SPY</x:v>
      </x:c>
      <x:c r="D166" s="38" t="str">
        <x:v>SPY</x:v>
      </x:c>
      <x:c r="E166" s="38" t="n">
        <x:v>-0.0258910729</x:v>
      </x:c>
      <x:c r="F166" s="38" t="n">
        <x:v>1.9736447617</x:v>
      </x:c>
      <x:c r="G166" s="38" t="n">
        <x:v>5.158558408</x:v>
      </x:c>
      <x:c r="H166" s="38" t="n">
        <x:v>0.000001842</x:v>
      </x:c>
      <x:c r="I166" s="30" t="n">
        <x:v>80</x:v>
      </x:c>
      <x:c r="J166" s="38" t="n">
        <x:v>0.2543785533</x:v>
      </x:c>
    </x:row>
    <x:row r="167" ht="19" customHeight="1">
      <x:c r="A167" s="29" t="str">
        <x:v>stagger_1</x:v>
      </x:c>
      <x:c r="B167" s="38" t="str">
        <x:v>AMD</x:v>
      </x:c>
      <x:c r="C167" s="38" t="str">
        <x:v>Primary sector</x:v>
      </x:c>
      <x:c r="D167" s="38" t="str">
        <x:v>XLK</x:v>
      </x:c>
      <x:c r="E167" s="38" t="n">
        <x:v>7.806255642e-18</x:v>
      </x:c>
      <x:c r="F167" s="38" t="n">
        <x:v>2.6601838974</x:v>
      </x:c>
      <x:c r="G167" s="38" t="n">
        <x:v>7.0285683518</x:v>
      </x:c>
      <x:c r="H167" s="38" t="n">
        <x:v>7e-10</x:v>
      </x:c>
      <x:c r="I167" s="30" t="n">
        <x:v>80</x:v>
      </x:c>
      <x:c r="J167" s="38" t="n">
        <x:v>0.3877588172</x:v>
      </x:c>
    </x:row>
    <x:row r="168" ht="19" customHeight="1">
      <x:c r="A168" s="29" t="str">
        <x:v>stagger_1</x:v>
      </x:c>
      <x:c r="B168" s="38" t="str">
        <x:v>LLY</x:v>
      </x:c>
      <x:c r="C168" s="38" t="str">
        <x:v>SPY</x:v>
      </x:c>
      <x:c r="D168" s="38" t="str">
        <x:v>SPY</x:v>
      </x:c>
      <x:c r="E168" s="38" t="n">
        <x:v>0.0193120832</x:v>
      </x:c>
      <x:c r="F168" s="38" t="n">
        <x:v>0.4170006213</x:v>
      </x:c>
      <x:c r="G168" s="38" t="n">
        <x:v>1.7089718676</x:v>
      </x:c>
      <x:c r="H168" s="38" t="n">
        <x:v>0.0914324924</x:v>
      </x:c>
      <x:c r="I168" s="30" t="n">
        <x:v>80</x:v>
      </x:c>
      <x:c r="J168" s="38" t="n">
        <x:v>0.0360919888</x:v>
      </x:c>
    </x:row>
    <x:row r="169" ht="19" customHeight="1">
      <x:c r="A169" s="29" t="str">
        <x:v>stagger_1</x:v>
      </x:c>
      <x:c r="B169" s="38" t="str">
        <x:v>LLY</x:v>
      </x:c>
      <x:c r="C169" s="38" t="str">
        <x:v>Primary sector</x:v>
      </x:c>
      <x:c r="D169" s="38" t="str">
        <x:v>XLV</x:v>
      </x:c>
      <x:c r="E169" s="38" t="n">
        <x:v>1.301042607e-18</x:v>
      </x:c>
      <x:c r="F169" s="38" t="n">
        <x:v>1.3772468691</x:v>
      </x:c>
      <x:c r="G169" s="38" t="n">
        <x:v>5.7902414913</x:v>
      </x:c>
      <x:c r="H169" s="38" t="n">
        <x:v>1.405e-7</x:v>
      </x:c>
      <x:c r="I169" s="30" t="n">
        <x:v>80</x:v>
      </x:c>
      <x:c r="J169" s="38" t="n">
        <x:v>0.3006171387</x:v>
      </x:c>
    </x:row>
    <x:row r="170" ht="19" customHeight="1">
      <x:c r="A170" s="29" t="str">
        <x:v>stagger_1</x:v>
      </x:c>
      <x:c r="B170" s="38" t="str">
        <x:v>LLY</x:v>
      </x:c>
      <x:c r="C170" s="38" t="str">
        <x:v>Other sectors</x:v>
      </x:c>
      <x:c r="D170" s="38" t="str">
        <x:v>XLU</x:v>
      </x:c>
      <x:c r="E170" s="38" t="n">
        <x:v>-2.602085214e-18</x:v>
      </x:c>
      <x:c r="F170" s="38" t="n">
        <x:v>-0.5383526869</x:v>
      </x:c>
      <x:c r="G170" s="38" t="n">
        <x:v>-2.8944132652</x:v>
      </x:c>
      <x:c r="H170" s="38" t="n">
        <x:v>0.0049395676</x:v>
      </x:c>
      <x:c r="I170" s="30" t="n">
        <x:v>80</x:v>
      </x:c>
      <x:c r="J170" s="38" t="n">
        <x:v>0.1548375384</x:v>
      </x:c>
    </x:row>
    <x:row r="171" ht="19" customHeight="1">
      <x:c r="A171" s="29" t="str">
        <x:v>stagger_1</x:v>
      </x:c>
      <x:c r="B171" s="38" t="str">
        <x:v>LLY</x:v>
      </x:c>
      <x:c r="C171" s="38" t="str">
        <x:v>Other sectors</x:v>
      </x:c>
      <x:c r="D171" s="38" t="str">
        <x:v>XLY</x:v>
      </x:c>
      <x:c r="E171" s="38" t="n">
        <x:v>-2.602085214e-18</x:v>
      </x:c>
      <x:c r="F171" s="38" t="n">
        <x:v>-0.6645312872</x:v>
      </x:c>
      <x:c r="G171" s="38" t="n">
        <x:v>-2.5356633619</x:v>
      </x:c>
      <x:c r="H171" s="38" t="n">
        <x:v>0.0132492895</x:v>
      </x:c>
      <x:c r="I171" s="30" t="n">
        <x:v>80</x:v>
      </x:c>
      <x:c r="J171" s="38" t="n">
        <x:v>0.1548375384</x:v>
      </x:c>
    </x:row>
    <x:row r="172" ht="19" customHeight="1">
      <x:c r="A172" s="29" t="str">
        <x:v>stagger_1</x:v>
      </x:c>
      <x:c r="B172" s="38" t="str">
        <x:v>WELL</x:v>
      </x:c>
      <x:c r="C172" s="38" t="str">
        <x:v>Other FX</x:v>
      </x:c>
      <x:c r="D172" s="38" t="str">
        <x:v>AUD/USD</x:v>
      </x:c>
      <x:c r="E172" s="38" t="n">
        <x:v>0.0218605613</x:v>
      </x:c>
      <x:c r="F172" s="38" t="n">
        <x:v>1.2466373392</x:v>
      </x:c>
      <x:c r="G172" s="38" t="n">
        <x:v>3.602797225</x:v>
      </x:c>
      <x:c r="H172" s="38" t="n">
        <x:v>0.0005520742</x:v>
      </x:c>
      <x:c r="I172" s="30" t="n">
        <x:v>80</x:v>
      </x:c>
      <x:c r="J172" s="38" t="n">
        <x:v>0.1426701116</x:v>
      </x:c>
    </x:row>
    <x:row r="173" ht="19" customHeight="1">
      <x:c r="A173" s="29" t="str">
        <x:v>stagger_1</x:v>
      </x:c>
      <x:c r="B173" s="38" t="str">
        <x:v>WELL</x:v>
      </x:c>
      <x:c r="C173" s="38" t="str">
        <x:v>SPY</x:v>
      </x:c>
      <x:c r="D173" s="38" t="str">
        <x:v>SPY</x:v>
      </x:c>
      <x:c r="E173" s="38" t="n">
        <x:v>-0.0048401784</x:v>
      </x:c>
      <x:c r="F173" s="38" t="n">
        <x:v>0.3689608673</x:v>
      </x:c>
      <x:c r="G173" s="38" t="n">
        <x:v>2.0299541392</x:v>
      </x:c>
      <x:c r="H173" s="38" t="n">
        <x:v>0.0457708901</x:v>
      </x:c>
      <x:c r="I173" s="30" t="n">
        <x:v>80</x:v>
      </x:c>
      <x:c r="J173" s="38" t="n">
        <x:v>0.0501787383</x:v>
      </x:c>
    </x:row>
    <x:row r="174" ht="19" customHeight="1">
      <x:c r="A174" s="29" t="str">
        <x:v>stagger_1</x:v>
      </x:c>
      <x:c r="B174" s="38" t="str">
        <x:v>WELL</x:v>
      </x:c>
      <x:c r="C174" s="38" t="str">
        <x:v>Primary sector</x:v>
      </x:c>
      <x:c r="D174" s="38" t="str">
        <x:v>XLRE</x:v>
      </x:c>
      <x:c r="E174" s="38" t="n">
        <x:v>-1.734723476e-18</x:v>
      </x:c>
      <x:c r="F174" s="38" t="n">
        <x:v>0.9029098857</x:v>
      </x:c>
      <x:c r="G174" s="38" t="n">
        <x:v>4.9192427563</x:v>
      </x:c>
      <x:c r="H174" s="38" t="n">
        <x:v>0.0000047267</x:v>
      </x:c>
      <x:c r="I174" s="30" t="n">
        <x:v>80</x:v>
      </x:c>
      <x:c r="J174" s="38" t="n">
        <x:v>0.2367827601</x:v>
      </x:c>
    </x:row>
    <x:row r="175" ht="19" customHeight="1">
      <x:c r="A175" s="29" t="str">
        <x:v>stagger_1</x:v>
      </x:c>
      <x:c r="B175" s="38" t="str">
        <x:v>WELL</x:v>
      </x:c>
      <x:c r="C175" s="38" t="str">
        <x:v>Other sectors</x:v>
      </x:c>
      <x:c r="D175" s="38" t="str">
        <x:v>XLB</x:v>
      </x:c>
      <x:c r="E175" s="38" t="n">
        <x:v>-3.469446952e-18</x:v>
      </x:c>
      <x:c r="F175" s="38" t="n">
        <x:v>-0.7639729894</x:v>
      </x:c>
      <x:c r="G175" s="38" t="n">
        <x:v>-4.513872438</x:v>
      </x:c>
      <x:c r="H175" s="38" t="n">
        <x:v>0.0000228573</x:v>
      </x:c>
      <x:c r="I175" s="30" t="n">
        <x:v>80</x:v>
      </x:c>
      <x:c r="J175" s="38" t="n">
        <x:v>0.2622636197</x:v>
      </x:c>
    </x:row>
    <x:row r="176" ht="19" customHeight="1">
      <x:c r="A176" s="29" t="str">
        <x:v>stagger_1</x:v>
      </x:c>
      <x:c r="B176" s="38" t="str">
        <x:v>WELL</x:v>
      </x:c>
      <x:c r="C176" s="38" t="str">
        <x:v>Other sectors</x:v>
      </x:c>
      <x:c r="D176" s="38" t="str">
        <x:v>XLK</x:v>
      </x:c>
      <x:c r="E176" s="38" t="n">
        <x:v>-3.469446952e-18</x:v>
      </x:c>
      <x:c r="F176" s="38" t="n">
        <x:v>-0.8783955743</x:v>
      </x:c>
      <x:c r="G176" s="38" t="n">
        <x:v>-4.2649936913</x:v>
      </x:c>
      <x:c r="H176" s="38" t="n">
        <x:v>0.0000568964</x:v>
      </x:c>
      <x:c r="I176" s="30" t="n">
        <x:v>80</x:v>
      </x:c>
      <x:c r="J176" s="38" t="n">
        <x:v>0.2622636197</x:v>
      </x:c>
    </x:row>
    <x:row r="177" ht="19" customHeight="1">
      <x:c r="A177" s="29" t="str">
        <x:v>stagger_1</x:v>
      </x:c>
      <x:c r="B177" s="38" t="str">
        <x:v>WELL</x:v>
      </x:c>
      <x:c r="C177" s="38" t="str">
        <x:v>Other sectors</x:v>
      </x:c>
      <x:c r="D177" s="38" t="str">
        <x:v>XLY</x:v>
      </x:c>
      <x:c r="E177" s="38" t="n">
        <x:v>-3.469446952e-18</x:v>
      </x:c>
      <x:c r="F177" s="38" t="n">
        <x:v>-0.4723060404</x:v>
      </x:c>
      <x:c r="G177" s="38" t="n">
        <x:v>-2.3815327972</x:v>
      </x:c>
      <x:c r="H177" s="38" t="n">
        <x:v>0.0197440243</x:v>
      </x:c>
      <x:c r="I177" s="30" t="n">
        <x:v>80</x:v>
      </x:c>
      <x:c r="J177" s="38" t="n">
        <x:v>0.2622636197</x:v>
      </x:c>
    </x:row>
    <x:row r="178" ht="19" customHeight="1">
      <x:c r="A178" s="29" t="str">
        <x:v>stagger_1</x:v>
      </x:c>
      <x:c r="B178" s="38" t="str">
        <x:v>NOK</x:v>
      </x:c>
      <x:c r="C178" s="38" t="str">
        <x:v>Home FX</x:v>
      </x:c>
      <x:c r="D178" s="38" t="str">
        <x:v>EUR/USD</x:v>
      </x:c>
      <x:c r="E178" s="38" t="n">
        <x:v>0.0177614985</x:v>
      </x:c>
      <x:c r="F178" s="38" t="n">
        <x:v>0.3739468287</x:v>
      </x:c>
      <x:c r="G178" s="38" t="n">
        <x:v>0.4725763587</x:v>
      </x:c>
      <x:c r="H178" s="38" t="n">
        <x:v>0.6378350903</x:v>
      </x:c>
      <x:c r="I178" s="30" t="n">
        <x:v>80</x:v>
      </x:c>
      <x:c r="J178" s="38" t="n">
        <x:v>0.0028550104</x:v>
      </x:c>
    </x:row>
    <x:row r="179" ht="19" customHeight="1">
      <x:c r="A179" s="29" t="str">
        <x:v>stagger_1</x:v>
      </x:c>
      <x:c r="B179" s="38" t="str">
        <x:v>NOK</x:v>
      </x:c>
      <x:c r="C179" s="38" t="str">
        <x:v>SPY</x:v>
      </x:c>
      <x:c r="D179" s="38" t="str">
        <x:v>SPY</x:v>
      </x:c>
      <x:c r="E179" s="38" t="n">
        <x:v>-0.0127457495</x:v>
      </x:c>
      <x:c r="F179" s="38" t="n">
        <x:v>0.9715928689</x:v>
      </x:c>
      <x:c r="G179" s="38" t="n">
        <x:v>2.7651454426</x:v>
      </x:c>
      <x:c r="H179" s="38" t="n">
        <x:v>0.0070985836</x:v>
      </x:c>
      <x:c r="I179" s="30" t="n">
        <x:v>80</x:v>
      </x:c>
      <x:c r="J179" s="38" t="n">
        <x:v>0.0892747671</x:v>
      </x:c>
    </x:row>
    <x:row r="180" ht="19" customHeight="1">
      <x:c r="A180" s="29" t="str">
        <x:v>stagger_1</x:v>
      </x:c>
      <x:c r="B180" s="38" t="str">
        <x:v>NOK</x:v>
      </x:c>
      <x:c r="C180" s="38" t="str">
        <x:v>Primary sector</x:v>
      </x:c>
      <x:c r="D180" s="38" t="str">
        <x:v>XLK</x:v>
      </x:c>
      <x:c r="E180" s="38" t="n">
        <x:v>1.734723476e-18</x:v>
      </x:c>
      <x:c r="F180" s="38" t="n">
        <x:v>1.5276014886</x:v>
      </x:c>
      <x:c r="G180" s="38" t="n">
        <x:v>3.7333716514</x:v>
      </x:c>
      <x:c r="H180" s="38" t="n">
        <x:v>0.0003573671</x:v>
      </x:c>
      <x:c r="I180" s="30" t="n">
        <x:v>80</x:v>
      </x:c>
      <x:c r="J180" s="38" t="n">
        <x:v>0.1516027562</x:v>
      </x:c>
    </x:row>
    <x:row r="181" ht="19" customHeight="1">
      <x:c r="A181" s="29" t="str">
        <x:v>stagger_1</x:v>
      </x:c>
      <x:c r="B181" s="38" t="str">
        <x:v>NOK</x:v>
      </x:c>
      <x:c r="C181" s="38" t="str">
        <x:v>Other sectors</x:v>
      </x:c>
      <x:c r="D181" s="38" t="str">
        <x:v>XLE</x:v>
      </x:c>
      <x:c r="E181" s="38" t="n">
        <x:v>-9.107298249e-18</x:v>
      </x:c>
      <x:c r="F181" s="38" t="n">
        <x:v>0.3927158483</x:v>
      </x:c>
      <x:c r="G181" s="38" t="n">
        <x:v>2.1959883676</x:v>
      </x:c>
      <x:c r="H181" s="38" t="n">
        <x:v>0.0310640802</x:v>
      </x:c>
      <x:c r="I181" s="30" t="n">
        <x:v>80</x:v>
      </x:c>
      <x:c r="J181" s="38" t="n">
        <x:v>0.058225395</x:v>
      </x:c>
    </x:row>
    <x:row r="182" ht="19" customHeight="1">
      <x:c r="A182" s="29" t="str">
        <x:v>stagger_1</x:v>
      </x:c>
      <x:c r="B182" s="38" t="str">
        <x:v>MSFT</x:v>
      </x:c>
      <x:c r="C182" s="38" t="str">
        <x:v>Other FX</x:v>
      </x:c>
      <x:c r="D182" s="38" t="str">
        <x:v>DKK/USD</x:v>
      </x:c>
      <x:c r="E182" s="38" t="n">
        <x:v>0.0110700191</x:v>
      </x:c>
      <x:c r="F182" s="38" t="n">
        <x:v>13.6976269848</x:v>
      </x:c>
      <x:c r="G182" s="38" t="n">
        <x:v>3.1251819693</x:v>
      </x:c>
      <x:c r="H182" s="38" t="n">
        <x:v>0.0025058984</x:v>
      </x:c>
      <x:c r="I182" s="30" t="n">
        <x:v>80</x:v>
      </x:c>
      <x:c r="J182" s="38" t="n">
        <x:v>0.1659096736</x:v>
      </x:c>
    </x:row>
    <x:row r="183" ht="19" customHeight="1">
      <x:c r="A183" s="29" t="str">
        <x:v>stagger_1</x:v>
      </x:c>
      <x:c r="B183" s="38" t="str">
        <x:v>MSFT</x:v>
      </x:c>
      <x:c r="C183" s="38" t="str">
        <x:v>Other FX</x:v>
      </x:c>
      <x:c r="D183" s="38" t="str">
        <x:v>EUR/USD</x:v>
      </x:c>
      <x:c r="E183" s="38" t="n">
        <x:v>0.0110700191</x:v>
      </x:c>
      <x:c r="F183" s="38" t="n">
        <x:v>-12.3492944523</x:v>
      </x:c>
      <x:c r="G183" s="38" t="n">
        <x:v>-2.8638171726</x:v>
      </x:c>
      <x:c r="H183" s="38" t="n">
        <x:v>0.0053909566</x:v>
      </x:c>
      <x:c r="I183" s="30" t="n">
        <x:v>80</x:v>
      </x:c>
      <x:c r="J183" s="38" t="n">
        <x:v>0.1659096736</x:v>
      </x:c>
    </x:row>
    <x:row r="184" ht="19" customHeight="1">
      <x:c r="A184" s="29" t="str">
        <x:v>stagger_1</x:v>
      </x:c>
      <x:c r="B184" s="38" t="str">
        <x:v>MSFT</x:v>
      </x:c>
      <x:c r="C184" s="38" t="str">
        <x:v>SPY</x:v>
      </x:c>
      <x:c r="D184" s="38" t="str">
        <x:v>SPY</x:v>
      </x:c>
      <x:c r="E184" s="38" t="n">
        <x:v>-0.0125091632</x:v>
      </x:c>
      <x:c r="F184" s="38" t="n">
        <x:v>0.9535581834</x:v>
      </x:c>
      <x:c r="G184" s="38" t="n">
        <x:v>5.4026901446</x:v>
      </x:c>
      <x:c r="H184" s="38" t="n">
        <x:v>6.907e-7</x:v>
      </x:c>
      <x:c r="I184" s="30" t="n">
        <x:v>80</x:v>
      </x:c>
      <x:c r="J184" s="38" t="n">
        <x:v>0.2723138031</x:v>
      </x:c>
    </x:row>
    <x:row r="185" ht="19" customHeight="1">
      <x:c r="A185" s="29" t="str">
        <x:v>stagger_1</x:v>
      </x:c>
      <x:c r="B185" s="38" t="str">
        <x:v>MSFT</x:v>
      </x:c>
      <x:c r="C185" s="38" t="str">
        <x:v>Primary sector</x:v>
      </x:c>
      <x:c r="D185" s="38" t="str">
        <x:v>XLK</x:v>
      </x:c>
      <x:c r="E185" s="38" t="n">
        <x:v>6.071532166e-18</x:v>
      </x:c>
      <x:c r="F185" s="38" t="n">
        <x:v>0.4703515339</x:v>
      </x:c>
      <x:c r="G185" s="38" t="n">
        <x:v>2.1705915395</x:v>
      </x:c>
      <x:c r="H185" s="38" t="n">
        <x:v>0.0330040549</x:v>
      </x:c>
      <x:c r="I185" s="30" t="n">
        <x:v>80</x:v>
      </x:c>
      <x:c r="J185" s="38" t="n">
        <x:v>0.0569626893</x:v>
      </x:c>
    </x:row>
    <x:row r="186" ht="19" customHeight="1">
      <x:c r="A186" s="29" t="str">
        <x:v>stagger_1</x:v>
      </x:c>
      <x:c r="B186" s="38" t="str">
        <x:v>MSFT</x:v>
      </x:c>
      <x:c r="C186" s="38" t="str">
        <x:v>Other sectors</x:v>
      </x:c>
      <x:c r="D186" s="38" t="str">
        <x:v>XLI</x:v>
      </x:c>
      <x:c r="E186" s="38" t="n">
        <x:v>-3.469446952e-18</x:v>
      </x:c>
      <x:c r="F186" s="38" t="n">
        <x:v>-0.6965924641</x:v>
      </x:c>
      <x:c r="G186" s="38" t="n">
        <x:v>-3.0257986713</x:v>
      </x:c>
      <x:c r="H186" s="38" t="n">
        <x:v>0.0033579478</x:v>
      </x:c>
      <x:c r="I186" s="30" t="n">
        <x:v>80</x:v>
      </x:c>
      <x:c r="J186" s="38" t="n">
        <x:v>0.1050474388</x:v>
      </x:c>
    </x:row>
    <x:row r="187" ht="19" customHeight="1">
      <x:c r="A187" s="29" t="str">
        <x:v>stagger_1</x:v>
      </x:c>
      <x:c r="B187" s="38" t="str">
        <x:v>GOOGL</x:v>
      </x:c>
      <x:c r="C187" s="38" t="str">
        <x:v>Other FX</x:v>
      </x:c>
      <x:c r="D187" s="38" t="str">
        <x:v>AUD/USD</x:v>
      </x:c>
      <x:c r="E187" s="38" t="n">
        <x:v>0.0244258556</x:v>
      </x:c>
      <x:c r="F187" s="38" t="n">
        <x:v>1.7128202349</x:v>
      </x:c>
      <x:c r="G187" s="38" t="n">
        <x:v>2.4945815882</x:v>
      </x:c>
      <x:c r="H187" s="38" t="n">
        <x:v>0.0148114223</x:v>
      </x:c>
      <x:c r="I187" s="30" t="n">
        <x:v>80</x:v>
      </x:c>
      <x:c r="J187" s="38" t="n">
        <x:v>0.1947474894</x:v>
      </x:c>
    </x:row>
    <x:row r="188" ht="19" customHeight="1">
      <x:c r="A188" s="29" t="str">
        <x:v>stagger_1</x:v>
      </x:c>
      <x:c r="B188" s="38" t="str">
        <x:v>GOOGL</x:v>
      </x:c>
      <x:c r="C188" s="38" t="str">
        <x:v>Other FX</x:v>
      </x:c>
      <x:c r="D188" s="38" t="str">
        <x:v>DKK/USD</x:v>
      </x:c>
      <x:c r="E188" s="38" t="n">
        <x:v>0.0244258556</x:v>
      </x:c>
      <x:c r="F188" s="38" t="n">
        <x:v>18.0221232497</x:v>
      </x:c>
      <x:c r="G188" s="38" t="n">
        <x:v>3.1354878826</x:v>
      </x:c>
      <x:c r="H188" s="38" t="n">
        <x:v>0.0024501228</x:v>
      </x:c>
      <x:c r="I188" s="30" t="n">
        <x:v>80</x:v>
      </x:c>
      <x:c r="J188" s="38" t="n">
        <x:v>0.1947474894</x:v>
      </x:c>
    </x:row>
    <x:row r="189" ht="19" customHeight="1">
      <x:c r="A189" s="29" t="str">
        <x:v>stagger_1</x:v>
      </x:c>
      <x:c r="B189" s="38" t="str">
        <x:v>GOOGL</x:v>
      </x:c>
      <x:c r="C189" s="38" t="str">
        <x:v>Other FX</x:v>
      </x:c>
      <x:c r="D189" s="38" t="str">
        <x:v>EUR/USD</x:v>
      </x:c>
      <x:c r="E189" s="38" t="n">
        <x:v>0.0244258556</x:v>
      </x:c>
      <x:c r="F189" s="38" t="n">
        <x:v>-16.6753474859</x:v>
      </x:c>
      <x:c r="G189" s="38" t="n">
        <x:v>-3.1235150679</x:v>
      </x:c>
      <x:c r="H189" s="38" t="n">
        <x:v>0.0025399078</x:v>
      </x:c>
      <x:c r="I189" s="30" t="n">
        <x:v>80</x:v>
      </x:c>
      <x:c r="J189" s="38" t="n">
        <x:v>0.1947474894</x:v>
      </x:c>
    </x:row>
    <x:row r="190" ht="19" customHeight="1">
      <x:c r="A190" s="29" t="str">
        <x:v>stagger_1</x:v>
      </x:c>
      <x:c r="B190" s="38" t="str">
        <x:v>GOOGL</x:v>
      </x:c>
      <x:c r="C190" s="38" t="str">
        <x:v>Other FX</x:v>
      </x:c>
      <x:c r="D190" s="38" t="str">
        <x:v>SGD/USD</x:v>
      </x:c>
      <x:c r="E190" s="38" t="n">
        <x:v>0.0244258556</x:v>
      </x:c>
      <x:c r="F190" s="38" t="n">
        <x:v>-3.864358875</x:v>
      </x:c>
      <x:c r="G190" s="38" t="n">
        <x:v>-2.2272480453</x:v>
      </x:c>
      <x:c r="H190" s="38" t="n">
        <x:v>0.02893075</x:v>
      </x:c>
      <x:c r="I190" s="30" t="n">
        <x:v>80</x:v>
      </x:c>
      <x:c r="J190" s="38" t="n">
        <x:v>0.1947474894</x:v>
      </x:c>
    </x:row>
    <x:row r="191" ht="19" customHeight="1">
      <x:c r="A191" s="29" t="str">
        <x:v>stagger_1</x:v>
      </x:c>
      <x:c r="B191" s="38" t="str">
        <x:v>GOOGL</x:v>
      </x:c>
      <x:c r="C191" s="38" t="str">
        <x:v>SPY</x:v>
      </x:c>
      <x:c r="D191" s="38" t="str">
        <x:v>SPY</x:v>
      </x:c>
      <x:c r="E191" s="38" t="n">
        <x:v>-0.0130210623</x:v>
      </x:c>
      <x:c r="F191" s="38" t="n">
        <x:v>0.9925796269</x:v>
      </x:c>
      <x:c r="G191" s="38" t="n">
        <x:v>4.787104072</x:v>
      </x:c>
      <x:c r="H191" s="38" t="n">
        <x:v>0.0000078836</x:v>
      </x:c>
      <x:c r="I191" s="30" t="n">
        <x:v>80</x:v>
      </x:c>
      <x:c r="J191" s="38" t="n">
        <x:v>0.2270827463</x:v>
      </x:c>
    </x:row>
    <x:row r="192" ht="19" customHeight="1">
      <x:c r="A192" s="29" t="str">
        <x:v>stagger_1</x:v>
      </x:c>
      <x:c r="B192" s="38" t="str">
        <x:v>GOOGL</x:v>
      </x:c>
      <x:c r="C192" s="38" t="str">
        <x:v>Primary sector</x:v>
      </x:c>
      <x:c r="D192" s="38" t="str">
        <x:v>XLC</x:v>
      </x:c>
      <x:c r="E192" s="38" t="n">
        <x:v>2.602085214e-18</x:v>
      </x:c>
      <x:c r="F192" s="38" t="n">
        <x:v>0.7211353211</x:v>
      </x:c>
      <x:c r="G192" s="38" t="n">
        <x:v>2.5100192545</x:v>
      </x:c>
      <x:c r="H192" s="38" t="n">
        <x:v>0.0141429006</x:v>
      </x:c>
      <x:c r="I192" s="30" t="n">
        <x:v>80</x:v>
      </x:c>
      <x:c r="J192" s="38" t="n">
        <x:v>0.0747352546</x:v>
      </x:c>
    </x:row>
    <x:row r="193" ht="19" customHeight="1">
      <x:c r="A193" s="29" t="str">
        <x:v>stagger_1</x:v>
      </x:c>
      <x:c r="B193" s="38" t="str">
        <x:v>GOOGL</x:v>
      </x:c>
      <x:c r="C193" s="38" t="str">
        <x:v>Other sectors</x:v>
      </x:c>
      <x:c r="D193" s="38" t="str">
        <x:v>XLF</x:v>
      </x:c>
      <x:c r="E193" s="38" t="n">
        <x:v>-1.734723476e-18</x:v>
      </x:c>
      <x:c r="F193" s="38" t="n">
        <x:v>-0.6695132584</x:v>
      </x:c>
      <x:c r="G193" s="38" t="n">
        <x:v>-2.7730595799</x:v>
      </x:c>
      <x:c r="H193" s="38" t="n">
        <x:v>0.0069625597</x:v>
      </x:c>
      <x:c r="I193" s="30" t="n">
        <x:v>80</x:v>
      </x:c>
      <x:c r="J193" s="38" t="n">
        <x:v>0.2045583581</x:v>
      </x:c>
    </x:row>
    <x:row r="194" ht="19" customHeight="1">
      <x:c r="A194" s="29" t="str">
        <x:v>stagger_1</x:v>
      </x:c>
      <x:c r="B194" s="38" t="str">
        <x:v>GOOGL</x:v>
      </x:c>
      <x:c r="C194" s="38" t="str">
        <x:v>Other sectors</x:v>
      </x:c>
      <x:c r="D194" s="38" t="str">
        <x:v>XLP</x:v>
      </x:c>
      <x:c r="E194" s="38" t="n">
        <x:v>-1.734723476e-18</x:v>
      </x:c>
      <x:c r="F194" s="38" t="n">
        <x:v>-0.7844789443</x:v>
      </x:c>
      <x:c r="G194" s="38" t="n">
        <x:v>-3.4206913517</x:v>
      </x:c>
      <x:c r="H194" s="38" t="n">
        <x:v>0.0010023039</x:v>
      </x:c>
      <x:c r="I194" s="30" t="n">
        <x:v>80</x:v>
      </x:c>
      <x:c r="J194" s="38" t="n">
        <x:v>0.2045583581</x:v>
      </x:c>
    </x:row>
    <x:row r="195" ht="19" customHeight="1">
      <x:c r="A195" s="29" t="str">
        <x:v>stagger_1</x:v>
      </x:c>
      <x:c r="B195" s="38" t="str">
        <x:v>COST</x:v>
      </x:c>
      <x:c r="C195" s="38" t="str">
        <x:v>Other FX</x:v>
      </x:c>
      <x:c r="D195" s="38" t="str">
        <x:v>EUR/USD</x:v>
      </x:c>
      <x:c r="E195" s="38" t="n">
        <x:v>0.0107186907</x:v>
      </x:c>
      <x:c r="F195" s="38" t="n">
        <x:v>-1.1743614956</x:v>
      </x:c>
      <x:c r="G195" s="38" t="n">
        <x:v>-2.3215054931</x:v>
      </x:c>
      <x:c r="H195" s="38" t="n">
        <x:v>0.0229060047</x:v>
      </x:c>
      <x:c r="I195" s="30" t="n">
        <x:v>80</x:v>
      </x:c>
      <x:c r="J195" s="38" t="n">
        <x:v>0.1904784921</x:v>
      </x:c>
    </x:row>
    <x:row r="196" ht="19" customHeight="1">
      <x:c r="A196" s="29" t="str">
        <x:v>stagger_1</x:v>
      </x:c>
      <x:c r="B196" s="38" t="str">
        <x:v>COST</x:v>
      </x:c>
      <x:c r="C196" s="38" t="str">
        <x:v>Other FX</x:v>
      </x:c>
      <x:c r="D196" s="38" t="str">
        <x:v>SGD/USD</x:v>
      </x:c>
      <x:c r="E196" s="38" t="n">
        <x:v>0.0107186907</x:v>
      </x:c>
      <x:c r="F196" s="38" t="n">
        <x:v>3.3399788611</x:v>
      </x:c>
      <x:c r="G196" s="38" t="n">
        <x:v>4.0399900284</x:v>
      </x:c>
      <x:c r="H196" s="38" t="n">
        <x:v>0.0001254715</x:v>
      </x:c>
      <x:c r="I196" s="30" t="n">
        <x:v>80</x:v>
      </x:c>
      <x:c r="J196" s="38" t="n">
        <x:v>0.1904784921</x:v>
      </x:c>
    </x:row>
    <x:row r="197" ht="19" customHeight="1">
      <x:c r="A197" s="29" t="str">
        <x:v>stagger_1</x:v>
      </x:c>
      <x:c r="B197" s="38" t="str">
        <x:v>COST</x:v>
      </x:c>
      <x:c r="C197" s="38" t="str">
        <x:v>SPY</x:v>
      </x:c>
      <x:c r="D197" s="38" t="str">
        <x:v>SPY</x:v>
      </x:c>
      <x:c r="E197" s="38" t="n">
        <x:v>-0.0054498193</x:v>
      </x:c>
      <x:c r="F197" s="38" t="n">
        <x:v>0.4154330444</x:v>
      </x:c>
      <x:c r="G197" s="38" t="n">
        <x:v>3.008339174</x:v>
      </x:c>
      <x:c r="H197" s="38" t="n">
        <x:v>0.0035354093</x:v>
      </x:c>
      <x:c r="I197" s="30" t="n">
        <x:v>80</x:v>
      </x:c>
      <x:c r="J197" s="38" t="n">
        <x:v>0.1039643161</x:v>
      </x:c>
    </x:row>
    <x:row r="198" ht="19" customHeight="1">
      <x:c r="A198" s="29" t="str">
        <x:v>stagger_1</x:v>
      </x:c>
      <x:c r="B198" s="38" t="str">
        <x:v>COST</x:v>
      </x:c>
      <x:c r="C198" s="38" t="str">
        <x:v>Primary sector</x:v>
      </x:c>
      <x:c r="D198" s="38" t="str">
        <x:v>XLP</x:v>
      </x:c>
      <x:c r="E198" s="38" t="n">
        <x:v>2.602085214e-18</x:v>
      </x:c>
      <x:c r="F198" s="38" t="n">
        <x:v>0.4689132039</x:v>
      </x:c>
      <x:c r="G198" s="38" t="n">
        <x:v>2.779648644</x:v>
      </x:c>
      <x:c r="H198" s="38" t="n">
        <x:v>0.006816879</x:v>
      </x:c>
      <x:c r="I198" s="30" t="n">
        <x:v>80</x:v>
      </x:c>
      <x:c r="J198" s="38" t="n">
        <x:v>0.0901290896</x:v>
      </x:c>
    </x:row>
    <x:row r="199" ht="19" customHeight="1">
      <x:c r="A199" s="29" t="str">
        <x:v>stagger_1</x:v>
      </x:c>
      <x:c r="B199" s="38" t="str">
        <x:v>COST</x:v>
      </x:c>
      <x:c r="C199" s="38" t="str">
        <x:v>Other sectors</x:v>
      </x:c>
      <x:c r="D199" s="38" t="str">
        <x:v>XLI</x:v>
      </x:c>
      <x:c r="E199" s="38" t="n">
        <x:v>0</x:v>
      </x:c>
      <x:c r="F199" s="38" t="n">
        <x:v>-0.4455073949</x:v>
      </x:c>
      <x:c r="G199" s="38" t="n">
        <x:v>-2.5683011922</x:v>
      </x:c>
      <x:c r="H199" s="38" t="n">
        <x:v>0.0121549477</x:v>
      </x:c>
      <x:c r="I199" s="30" t="n">
        <x:v>80</x:v>
      </x:c>
      <x:c r="J199" s="38" t="n">
        <x:v>0.1632264473</x:v>
      </x:c>
    </x:row>
    <x:row r="200" ht="19" customHeight="1">
      <x:c r="A200" s="29" t="str">
        <x:v>stagger_1</x:v>
      </x:c>
      <x:c r="B200" s="38" t="str">
        <x:v>COST</x:v>
      </x:c>
      <x:c r="C200" s="38" t="str">
        <x:v>Other sectors</x:v>
      </x:c>
      <x:c r="D200" s="38" t="str">
        <x:v>XLY</x:v>
      </x:c>
      <x:c r="E200" s="38" t="n">
        <x:v>0</x:v>
      </x:c>
      <x:c r="F200" s="38" t="n">
        <x:v>0.4353245063</x:v>
      </x:c>
      <x:c r="G200" s="38" t="n">
        <x:v>2.5703681111</x:v>
      </x:c>
      <x:c r="H200" s="38" t="n">
        <x:v>0.0120884744</x:v>
      </x:c>
      <x:c r="I200" s="30" t="n">
        <x:v>80</x:v>
      </x:c>
      <x:c r="J200" s="38" t="n">
        <x:v>0.1632264473</x:v>
      </x:c>
    </x:row>
    <x:row r="201" ht="19" customHeight="1">
      <x:c r="A201" s="29" t="str">
        <x:v>stagger_1</x:v>
      </x:c>
      <x:c r="B201" s="38" t="str">
        <x:v>HD</x:v>
      </x:c>
      <x:c r="C201" s="38" t="str">
        <x:v>Other FX</x:v>
      </x:c>
      <x:c r="D201" s="38" t="str">
        <x:v>SGD/USD</x:v>
      </x:c>
      <x:c r="E201" s="38" t="n">
        <x:v>0.0015014173</x:v>
      </x:c>
      <x:c r="F201" s="38" t="n">
        <x:v>2.3561679509</x:v>
      </x:c>
      <x:c r="G201" s="38" t="n">
        <x:v>3.6739160223</x:v>
      </x:c>
      <x:c r="H201" s="38" t="n">
        <x:v>0.0004361307</x:v>
      </x:c>
      <x:c r="I201" s="30" t="n">
        <x:v>80</x:v>
      </x:c>
      <x:c r="J201" s="38" t="n">
        <x:v>0.1475191726</x:v>
      </x:c>
    </x:row>
    <x:row r="202" ht="19" customHeight="1">
      <x:c r="A202" s="29" t="str">
        <x:v>stagger_1</x:v>
      </x:c>
      <x:c r="B202" s="38" t="str">
        <x:v>HD</x:v>
      </x:c>
      <x:c r="C202" s="38" t="str">
        <x:v>SPY</x:v>
      </x:c>
      <x:c r="D202" s="38" t="str">
        <x:v>SPY</x:v>
      </x:c>
      <x:c r="E202" s="38" t="n">
        <x:v>-0.0086667477</x:v>
      </x:c>
      <x:c r="F202" s="38" t="n">
        <x:v>0.6606555609</x:v>
      </x:c>
      <x:c r="G202" s="38" t="n">
        <x:v>3.966350773</x:v>
      </x:c>
      <x:c r="H202" s="38" t="n">
        <x:v>0.000160846</x:v>
      </x:c>
      <x:c r="I202" s="30" t="n">
        <x:v>80</x:v>
      </x:c>
      <x:c r="J202" s="38" t="n">
        <x:v>0.1678396789</x:v>
      </x:c>
    </x:row>
    <x:row r="203" ht="19" customHeight="1">
      <x:c r="A203" s="29" t="str">
        <x:v>stagger_1</x:v>
      </x:c>
      <x:c r="B203" s="38" t="str">
        <x:v>HD</x:v>
      </x:c>
      <x:c r="C203" s="38" t="str">
        <x:v>Primary sector</x:v>
      </x:c>
      <x:c r="D203" s="38" t="str">
        <x:v>XLY</x:v>
      </x:c>
      <x:c r="E203" s="38" t="n">
        <x:v>6.071532166e-18</x:v>
      </x:c>
      <x:c r="F203" s="38" t="n">
        <x:v>0.7190861113</x:v>
      </x:c>
      <x:c r="G203" s="38" t="n">
        <x:v>3.3279969904</x:v>
      </x:c>
      <x:c r="H203" s="38" t="n">
        <x:v>0.00133673</x:v>
      </x:c>
      <x:c r="I203" s="30" t="n">
        <x:v>80</x:v>
      </x:c>
      <x:c r="J203" s="38" t="n">
        <x:v>0.124338971</x:v>
      </x:c>
    </x:row>
    <x:row r="204" ht="19" customHeight="1">
      <x:c r="A204" s="29" t="str">
        <x:v>stagger_1</x:v>
      </x:c>
      <x:c r="B204" s="38" t="str">
        <x:v>HD</x:v>
      </x:c>
      <x:c r="C204" s="38" t="str">
        <x:v>Other sectors</x:v>
      </x:c>
      <x:c r="D204" s="38" t="str">
        <x:v>XLI</x:v>
      </x:c>
      <x:c r="E204" s="38" t="n">
        <x:v>-4.33680869e-19</x:v>
      </x:c>
      <x:c r="F204" s="38" t="n">
        <x:v>0.5266019149</x:v>
      </x:c>
      <x:c r="G204" s="38" t="n">
        <x:v>2.4709160625</x:v>
      </x:c>
      <x:c r="H204" s="38" t="n">
        <x:v>0.0156575201</x:v>
      </x:c>
      <x:c r="I204" s="30" t="n">
        <x:v>80</x:v>
      </x:c>
      <x:c r="J204" s="38" t="n">
        <x:v>0.0725925361</x:v>
      </x:c>
    </x:row>
    <x:row r="205" ht="19" customHeight="1">
      <x:c r="A205" s="29" t="str">
        <x:v>stagger_1</x:v>
      </x:c>
      <x:c r="B205" s="38" t="str">
        <x:v>KO</x:v>
      </x:c>
      <x:c r="C205" s="38" t="str">
        <x:v>Other FX</x:v>
      </x:c>
      <x:c r="D205" s="38" t="str">
        <x:v>SGD/USD</x:v>
      </x:c>
      <x:c r="E205" s="38" t="n">
        <x:v>0.0090490715</x:v>
      </x:c>
      <x:c r="F205" s="38" t="n">
        <x:v>2.0268713764</x:v>
      </x:c>
      <x:c r="G205" s="38" t="n">
        <x:v>5.0308114945</x:v>
      </x:c>
      <x:c r="H205" s="38" t="n">
        <x:v>0.0000030537</x:v>
      </x:c>
      <x:c r="I205" s="30" t="n">
        <x:v>80</x:v>
      </x:c>
      <x:c r="J205" s="38" t="n">
        <x:v>0.244983966</x:v>
      </x:c>
    </x:row>
    <x:row r="206" ht="19" customHeight="1">
      <x:c r="A206" s="29" t="str">
        <x:v>stagger_1</x:v>
      </x:c>
      <x:c r="B206" s="38" t="str">
        <x:v>KO</x:v>
      </x:c>
      <x:c r="C206" s="38" t="str">
        <x:v>SPY</x:v>
      </x:c>
      <x:c r="D206" s="38" t="str">
        <x:v>SPY</x:v>
      </x:c>
      <x:c r="E206" s="38" t="n">
        <x:v>-0.0008959864</x:v>
      </x:c>
      <x:c r="F206" s="38" t="n">
        <x:v>0.0682999471</x:v>
      </x:c>
      <x:c r="G206" s="38" t="n">
        <x:v>0.5967851643</x:v>
      </x:c>
      <x:c r="H206" s="38" t="n">
        <x:v>0.5523791228</x:v>
      </x:c>
      <x:c r="I206" s="30" t="n">
        <x:v>80</x:v>
      </x:c>
      <x:c r="J206" s="38" t="n">
        <x:v>0.004545304</x:v>
      </x:c>
    </x:row>
    <x:row r="207" ht="19" customHeight="1">
      <x:c r="A207" s="29" t="str">
        <x:v>stagger_1</x:v>
      </x:c>
      <x:c r="B207" s="38" t="str">
        <x:v>KO</x:v>
      </x:c>
      <x:c r="C207" s="38" t="str">
        <x:v>Primary sector</x:v>
      </x:c>
      <x:c r="D207" s="38" t="str">
        <x:v>XLP</x:v>
      </x:c>
      <x:c r="E207" s="38" t="n">
        <x:v>-4.33680869e-19</x:v>
      </x:c>
      <x:c r="F207" s="38" t="n">
        <x:v>0.8003655635</x:v>
      </x:c>
      <x:c r="G207" s="38" t="n">
        <x:v>6.9479659269</x:v>
      </x:c>
      <x:c r="H207" s="38" t="n">
        <x:v>1e-9</x:v>
      </x:c>
      <x:c r="I207" s="30" t="n">
        <x:v>80</x:v>
      </x:c>
      <x:c r="J207" s="38" t="n">
        <x:v>0.3822967705</x:v>
      </x:c>
    </x:row>
    <x:row r="208" ht="19" customHeight="1">
      <x:c r="A208" s="29" t="str">
        <x:v>stagger_1</x:v>
      </x:c>
      <x:c r="B208" s="38" t="str">
        <x:v>KO</x:v>
      </x:c>
      <x:c r="C208" s="38" t="str">
        <x:v>Other sectors</x:v>
      </x:c>
      <x:c r="D208" s="38" t="str">
        <x:v>XLB</x:v>
      </x:c>
      <x:c r="E208" s="38" t="n">
        <x:v>-9.757819552e-19</x:v>
      </x:c>
      <x:c r="F208" s="38" t="n">
        <x:v>-0.2660681814</x:v>
      </x:c>
      <x:c r="G208" s="38" t="n">
        <x:v>-3.0711801017</x:v>
      </x:c>
      <x:c r="H208" s="38" t="n">
        <x:v>0.0029575996</x:v>
      </x:c>
      <x:c r="I208" s="30" t="n">
        <x:v>80</x:v>
      </x:c>
      <x:c r="J208" s="38" t="n">
        <x:v>0.2744821286</x:v>
      </x:c>
    </x:row>
    <x:row r="209" ht="19" customHeight="1">
      <x:c r="A209" s="29" t="str">
        <x:v>stagger_1</x:v>
      </x:c>
      <x:c r="B209" s="38" t="str">
        <x:v>KO</x:v>
      </x:c>
      <x:c r="C209" s="38" t="str">
        <x:v>Other sectors</x:v>
      </x:c>
      <x:c r="D209" s="38" t="str">
        <x:v>XLC</x:v>
      </x:c>
      <x:c r="E209" s="38" t="n">
        <x:v>-9.757819552e-19</x:v>
      </x:c>
      <x:c r="F209" s="38" t="n">
        <x:v>-0.4873241608</x:v>
      </x:c>
      <x:c r="G209" s="38" t="n">
        <x:v>-4.332275377</x:v>
      </x:c>
      <x:c r="H209" s="38" t="n">
        <x:v>0.0000445818</x:v>
      </x:c>
      <x:c r="I209" s="30" t="n">
        <x:v>80</x:v>
      </x:c>
      <x:c r="J209" s="38" t="n">
        <x:v>0.2744821286</x:v>
      </x:c>
    </x:row>
    <x:row r="210" ht="19" customHeight="1">
      <x:c r="A210" s="29" t="str">
        <x:v>stagger_1</x:v>
      </x:c>
      <x:c r="B210" s="38" t="str">
        <x:v>KO</x:v>
      </x:c>
      <x:c r="C210" s="38" t="str">
        <x:v>Other sectors</x:v>
      </x:c>
      <x:c r="D210" s="38" t="str">
        <x:v>XLE</x:v>
      </x:c>
      <x:c r="E210" s="38" t="n">
        <x:v>-9.757819552e-19</x:v>
      </x:c>
      <x:c r="F210" s="38" t="n">
        <x:v>0.130854144</x:v>
      </x:c>
      <x:c r="G210" s="38" t="n">
        <x:v>2.7953834999</x:v>
      </x:c>
      <x:c r="H210" s="38" t="n">
        <x:v>0.0065600239</x:v>
      </x:c>
      <x:c r="I210" s="30" t="n">
        <x:v>80</x:v>
      </x:c>
      <x:c r="J210" s="38" t="n">
        <x:v>0.2744821286</x:v>
      </x:c>
    </x:row>
    <x:row r="211" ht="19" customHeight="1">
      <x:c r="A211" s="29" t="str">
        <x:v>stagger_1</x:v>
      </x:c>
      <x:c r="B211" s="38" t="str">
        <x:v>JNJ</x:v>
      </x:c>
      <x:c r="C211" s="38" t="str">
        <x:v>Other FX</x:v>
      </x:c>
      <x:c r="D211" s="38" t="str">
        <x:v>SGD/USD</x:v>
      </x:c>
      <x:c r="E211" s="38" t="n">
        <x:v>0.0108159637</x:v>
      </x:c>
      <x:c r="F211" s="38" t="n">
        <x:v>1.1485951872</x:v>
      </x:c>
      <x:c r="G211" s="38" t="n">
        <x:v>2.2969384554</x:v>
      </x:c>
      <x:c r="H211" s="38" t="n">
        <x:v>0.0243053327</x:v>
      </x:c>
      <x:c r="I211" s="30" t="n">
        <x:v>80</x:v>
      </x:c>
      <x:c r="J211" s="38" t="n">
        <x:v>0.0633547593</x:v>
      </x:c>
    </x:row>
    <x:row r="212" ht="19" customHeight="1">
      <x:c r="A212" s="29" t="str">
        <x:v>stagger_1</x:v>
      </x:c>
      <x:c r="B212" s="38" t="str">
        <x:v>JNJ</x:v>
      </x:c>
      <x:c r="C212" s="38" t="str">
        <x:v>SPY</x:v>
      </x:c>
      <x:c r="D212" s="38" t="str">
        <x:v>SPY</x:v>
      </x:c>
      <x:c r="E212" s="38" t="n">
        <x:v>0.000971265</x:v>
      </x:c>
      <x:c r="F212" s="38" t="n">
        <x:v>-0.0740383376</x:v>
      </x:c>
      <x:c r="G212" s="38" t="n">
        <x:v>-0.5209424738</x:v>
      </x:c>
      <x:c r="H212" s="38" t="n">
        <x:v>0.6038826661</x:v>
      </x:c>
      <x:c r="I212" s="30" t="n">
        <x:v>80</x:v>
      </x:c>
      <x:c r="J212" s="38" t="n">
        <x:v>0.0034671812</x:v>
      </x:c>
    </x:row>
    <x:row r="213" ht="19" customHeight="1">
      <x:c r="A213" s="29" t="str">
        <x:v>stagger_1</x:v>
      </x:c>
      <x:c r="B213" s="38" t="str">
        <x:v>JNJ</x:v>
      </x:c>
      <x:c r="C213" s="38" t="str">
        <x:v>Primary sector</x:v>
      </x:c>
      <x:c r="D213" s="38" t="str">
        <x:v>XLV</x:v>
      </x:c>
      <x:c r="E213" s="38" t="n">
        <x:v>0</x:v>
      </x:c>
      <x:c r="F213" s="38" t="n">
        <x:v>0.9830388219</x:v>
      </x:c>
      <x:c r="G213" s="38" t="n">
        <x:v>8.0119160061</x:v>
      </x:c>
      <x:c r="H213" s="38" t="n">
        <x:v>0</x:v>
      </x:c>
      <x:c r="I213" s="30" t="n">
        <x:v>80</x:v>
      </x:c>
      <x:c r="J213" s="38" t="n">
        <x:v>0.4514412954</x:v>
      </x:c>
    </x:row>
    <x:row r="214" ht="19" customHeight="1">
      <x:c r="A214" s="29" t="str">
        <x:v>stagger_1</x:v>
      </x:c>
      <x:c r="B214" s="38" t="str">
        <x:v>JNJ</x:v>
      </x:c>
      <x:c r="C214" s="38" t="str">
        <x:v>Other sectors</x:v>
      </x:c>
      <x:c r="D214" s="38" t="str">
        <x:v>XLP</x:v>
      </x:c>
      <x:c r="E214" s="38" t="n">
        <x:v>-1.084202172e-18</x:v>
      </x:c>
      <x:c r="F214" s="38" t="n">
        <x:v>0.279168135</x:v>
      </x:c>
      <x:c r="G214" s="38" t="n">
        <x:v>2.1302394807</x:v>
      </x:c>
      <x:c r="H214" s="38" t="n">
        <x:v>0.0363039115</x:v>
      </x:c>
      <x:c r="I214" s="30" t="n">
        <x:v>80</x:v>
      </x:c>
      <x:c r="J214" s="38" t="n">
        <x:v>0.054979823</x:v>
      </x:c>
    </x:row>
    <x:row r="215" ht="19" customHeight="1">
      <x:c r="A215" s="29" t="str">
        <x:v>stagger_1</x:v>
      </x:c>
      <x:c r="B215" s="38" t="str">
        <x:v>BRK-B</x:v>
      </x:c>
      <x:c r="C215" s="38" t="str">
        <x:v>Other FX</x:v>
      </x:c>
      <x:c r="D215" s="38" t="str">
        <x:v>EUR/USD</x:v>
      </x:c>
      <x:c r="E215" s="38" t="n">
        <x:v>0.0104754059</x:v>
      </x:c>
      <x:c r="F215" s="38" t="n">
        <x:v>0.6995190025</x:v>
      </x:c>
      <x:c r="G215" s="38" t="n">
        <x:v>2.9748117462</x:v>
      </x:c>
      <x:c r="H215" s="38" t="n">
        <x:v>0.0039008072</x:v>
      </x:c>
      <x:c r="I215" s="30" t="n">
        <x:v>80</x:v>
      </x:c>
      <x:c r="J215" s="38" t="n">
        <x:v>0.1018947078</x:v>
      </x:c>
    </x:row>
    <x:row r="216" ht="19" customHeight="1">
      <x:c r="A216" s="29" t="str">
        <x:v>stagger_1</x:v>
      </x:c>
      <x:c r="B216" s="38" t="str">
        <x:v>BRK-B</x:v>
      </x:c>
      <x:c r="C216" s="38" t="str">
        <x:v>SPY</x:v>
      </x:c>
      <x:c r="D216" s="38" t="str">
        <x:v>SPY</x:v>
      </x:c>
      <x:c r="E216" s="38" t="n">
        <x:v>-0.003504375</x:v>
      </x:c>
      <x:c r="F216" s="38" t="n">
        <x:v>0.2671342112</x:v>
      </x:c>
      <x:c r="G216" s="38" t="n">
        <x:v>2.5404915254</x:v>
      </x:c>
      <x:c r="H216" s="38" t="n">
        <x:v>0.0130553825</x:v>
      </x:c>
      <x:c r="I216" s="30" t="n">
        <x:v>80</x:v>
      </x:c>
      <x:c r="J216" s="38" t="n">
        <x:v>0.0764213627</x:v>
      </x:c>
    </x:row>
    <x:row r="217" ht="19" customHeight="1">
      <x:c r="A217" s="29" t="str">
        <x:v>stagger_1</x:v>
      </x:c>
      <x:c r="B217" s="38" t="str">
        <x:v>BRK-B</x:v>
      </x:c>
      <x:c r="C217" s="38" t="str">
        <x:v>Primary sector</x:v>
      </x:c>
      <x:c r="D217" s="38" t="str">
        <x:v>XLF</x:v>
      </x:c>
      <x:c r="E217" s="38" t="n">
        <x:v>8.67361738e-19</x:v>
      </x:c>
      <x:c r="F217" s="38" t="n">
        <x:v>0.4479513093</x:v>
      </x:c>
      <x:c r="G217" s="38" t="n">
        <x:v>3.3836791567</x:v>
      </x:c>
      <x:c r="H217" s="38" t="n">
        <x:v>0.0011213552</x:v>
      </x:c>
      <x:c r="I217" s="30" t="n">
        <x:v>80</x:v>
      </x:c>
      <x:c r="J217" s="38" t="n">
        <x:v>0.127997498</x:v>
      </x:c>
    </x:row>
    <x:row r="218" ht="19" customHeight="1">
      <x:c r="A218" s="29" t="str">
        <x:v>stagger_1</x:v>
      </x:c>
      <x:c r="B218" s="38" t="str">
        <x:v>BRK-B</x:v>
      </x:c>
      <x:c r="C218" s="38" t="str">
        <x:v>Other sectors</x:v>
      </x:c>
      <x:c r="D218" s="38" t="str">
        <x:v>XLP</x:v>
      </x:c>
      <x:c r="E218" s="38" t="n">
        <x:v>-1.084202172e-18</x:v>
      </x:c>
      <x:c r="F218" s="38" t="n">
        <x:v>0.4062432469</x:v>
      </x:c>
      <x:c r="G218" s="38" t="n">
        <x:v>3.4711092205</x:v>
      </x:c>
      <x:c r="H218" s="38" t="n">
        <x:v>0.0008479414</x:v>
      </x:c>
      <x:c r="I218" s="30" t="n">
        <x:v>80</x:v>
      </x:c>
      <x:c r="J218" s="38" t="n">
        <x:v>0.1338010733</x:v>
      </x:c>
    </x:row>
  </x:sheetData>
  <x:pageMargins left="0.7" right="0.7" top="0.75" bottom="0.75" header="0.3" footer="0.3"/>
</x:worksheet>
</file>

<file path=xl/worksheets/sheet11.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21"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19" customHeight="1">
      <x:c r="A1" s="23"/>
      <x:c r="B1" s="23"/>
      <x:c r="C1" s="23"/>
      <x:c r="D1" s="23"/>
      <x:c r="E1" s="23"/>
      <x:c r="F1" s="23"/>
      <x:c r="G1" s="23"/>
      <x:c r="H1" s="23"/>
      <x:c r="I1" s="23"/>
      <x:c r="J1" s="23"/>
    </x:row>
    <x:row r="2" ht="19" customHeight="1">
      <x:c r="A2" s="34" t="str">
        <x:v>Backward elimination audit</x:v>
      </x:c>
      <x:c r="B2" s="23"/>
      <x:c r="C2" s="23"/>
      <x:c r="D2" s="23"/>
      <x:c r="E2" s="23"/>
      <x:c r="F2" s="23"/>
      <x:c r="G2" s="23"/>
      <x:c r="H2" s="23"/>
      <x:c r="I2" s="23"/>
      <x:c r="J2" s="23"/>
    </x:row>
    <x:row r="3" ht="19" customHeight="1">
      <x:c r="A3" s="27"/>
      <x:c r="B3" s="23"/>
      <x:c r="C3" s="23"/>
      <x:c r="D3" s="23"/>
      <x:c r="E3" s="23"/>
      <x:c r="F3" s="23"/>
      <x:c r="G3" s="23"/>
      <x:c r="H3" s="23"/>
      <x:c r="I3" s="23"/>
      <x:c r="J3" s="23"/>
    </x:row>
    <x:row r="4" ht="19" customHeight="1">
      <x:c r="A4" s="23"/>
      <x:c r="B4" s="23"/>
      <x:c r="C4" s="23"/>
      <x:c r="D4" s="23"/>
      <x:c r="E4" s="23"/>
      <x:c r="F4" s="23"/>
      <x:c r="G4" s="23"/>
      <x:c r="H4" s="23"/>
      <x:c r="I4" s="23"/>
      <x:c r="J4" s="23"/>
    </x:row>
    <x:row r="5" ht="42" customHeight="1">
      <x:c r="A5" s="35" t="str">
        <x:v>stagger</x:v>
      </x:c>
      <x:c r="B5" s="35" t="str">
        <x:v>ticker</x:v>
      </x:c>
      <x:c r="C5" s="35" t="str">
        <x:v>stage</x:v>
      </x:c>
      <x:c r="D5" s="35" t="str">
        <x:v>iteration</x:v>
      </x:c>
      <x:c r="E5" s="35" t="str">
        <x:v>factor</x:v>
      </x:c>
      <x:c r="F5" s="35" t="str">
        <x:v>beta</x:v>
      </x:c>
      <x:c r="G5" s="35" t="str">
        <x:v>t_stat</x:v>
      </x:c>
      <x:c r="H5" s="35" t="str">
        <x:v>removed</x:v>
      </x:c>
      <x:c r="I5" s="35" t="str">
        <x:v>final_fit</x:v>
      </x:c>
      <x:c r="J5" s="35" t="str">
        <x:v>r_squared</x:v>
      </x:c>
    </x:row>
    <x:row r="6" ht="19" customHeight="1">
      <x:c r="A6" s="29" t="str">
        <x:v>stagger_1</x:v>
      </x:c>
      <x:c r="B6" s="38" t="str">
        <x:v>VST</x:v>
      </x:c>
      <x:c r="C6" s="38" t="str">
        <x:v>Other FX</x:v>
      </x:c>
      <x:c r="D6" s="30" t="n">
        <x:v>1</x:v>
      </x:c>
      <x:c r="E6" s="38" t="str">
        <x:v>AUD/USD</x:v>
      </x:c>
      <x:c r="F6" s="38" t="n">
        <x:v>0.0483646726</x:v>
      </x:c>
      <x:c r="G6" s="38" t="n">
        <x:v>0.0499845331</x:v>
      </x:c>
      <x:c r="H6" s="42" t="b">
        <x:v>1</x:v>
      </x:c>
      <x:c r="I6" s="42" t="b">
        <x:v>0</x:v>
      </x:c>
      <x:c r="J6" s="38" t="n">
        <x:v>0.0626205779</x:v>
      </x:c>
    </x:row>
    <x:row r="7" ht="19" customHeight="1">
      <x:c r="A7" s="29" t="str">
        <x:v>stagger_1</x:v>
      </x:c>
      <x:c r="B7" s="38" t="str">
        <x:v>VST</x:v>
      </x:c>
      <x:c r="C7" s="38" t="str">
        <x:v>Other FX</x:v>
      </x:c>
      <x:c r="D7" s="30" t="n">
        <x:v>1</x:v>
      </x:c>
      <x:c r="E7" s="38" t="str">
        <x:v>CAD/USD</x:v>
      </x:c>
      <x:c r="F7" s="38" t="n">
        <x:v>-0.4426495539</x:v>
      </x:c>
      <x:c r="G7" s="38" t="n">
        <x:v>-0.3788470671</x:v>
      </x:c>
      <x:c r="H7" s="42" t="b">
        <x:v>0</x:v>
      </x:c>
      <x:c r="I7" s="42" t="b">
        <x:v>0</x:v>
      </x:c>
      <x:c r="J7" s="38" t="n">
        <x:v>0.0626205779</x:v>
      </x:c>
    </x:row>
    <x:row r="8" ht="19" customHeight="1">
      <x:c r="A8" s="29" t="str">
        <x:v>stagger_1</x:v>
      </x:c>
      <x:c r="B8" s="38" t="str">
        <x:v>VST</x:v>
      </x:c>
      <x:c r="C8" s="38" t="str">
        <x:v>Other FX</x:v>
      </x:c>
      <x:c r="D8" s="30" t="n">
        <x:v>1</x:v>
      </x:c>
      <x:c r="E8" s="38" t="str">
        <x:v>DKK/USD</x:v>
      </x:c>
      <x:c r="F8" s="38" t="n">
        <x:v>1.7757980346</x:v>
      </x:c>
      <x:c r="G8" s="38" t="n">
        <x:v>0.2183114605</x:v>
      </x:c>
      <x:c r="H8" s="42" t="b">
        <x:v>0</x:v>
      </x:c>
      <x:c r="I8" s="42" t="b">
        <x:v>0</x:v>
      </x:c>
      <x:c r="J8" s="38" t="n">
        <x:v>0.0626205779</x:v>
      </x:c>
    </x:row>
    <x:row r="9" ht="19" customHeight="1">
      <x:c r="A9" s="29" t="str">
        <x:v>stagger_1</x:v>
      </x:c>
      <x:c r="B9" s="38" t="str">
        <x:v>VST</x:v>
      </x:c>
      <x:c r="C9" s="38" t="str">
        <x:v>Other FX</x:v>
      </x:c>
      <x:c r="D9" s="30" t="n">
        <x:v>1</x:v>
      </x:c>
      <x:c r="E9" s="38" t="str">
        <x:v>EUR/USD</x:v>
      </x:c>
      <x:c r="F9" s="38" t="n">
        <x:v>-3.071740058</x:v>
      </x:c>
      <x:c r="G9" s="38" t="n">
        <x:v>-0.4128410701</x:v>
      </x:c>
      <x:c r="H9" s="42" t="b">
        <x:v>0</x:v>
      </x:c>
      <x:c r="I9" s="42" t="b">
        <x:v>0</x:v>
      </x:c>
      <x:c r="J9" s="38" t="n">
        <x:v>0.0626205779</x:v>
      </x:c>
    </x:row>
    <x:row r="10" ht="19" customHeight="1">
      <x:c r="A10" s="29" t="str">
        <x:v>stagger_1</x:v>
      </x:c>
      <x:c r="B10" s="38" t="str">
        <x:v>VST</x:v>
      </x:c>
      <x:c r="C10" s="38" t="str">
        <x:v>Other FX</x:v>
      </x:c>
      <x:c r="D10" s="30" t="n">
        <x:v>1</x:v>
      </x:c>
      <x:c r="E10" s="38" t="str">
        <x:v>MXN/USD</x:v>
      </x:c>
      <x:c r="F10" s="38" t="n">
        <x:v>0.92969998</x:v>
      </x:c>
      <x:c r="G10" s="38" t="n">
        <x:v>1.4997926395</x:v>
      </x:c>
      <x:c r="H10" s="42" t="b">
        <x:v>0</x:v>
      </x:c>
      <x:c r="I10" s="42" t="b">
        <x:v>0</x:v>
      </x:c>
      <x:c r="J10" s="38" t="n">
        <x:v>0.0626205779</x:v>
      </x:c>
    </x:row>
    <x:row r="11" ht="19" customHeight="1">
      <x:c r="A11" s="29" t="str">
        <x:v>stagger_1</x:v>
      </x:c>
      <x:c r="B11" s="38" t="str">
        <x:v>VST</x:v>
      </x:c>
      <x:c r="C11" s="38" t="str">
        <x:v>Other FX</x:v>
      </x:c>
      <x:c r="D11" s="30" t="n">
        <x:v>1</x:v>
      </x:c>
      <x:c r="E11" s="38" t="str">
        <x:v>SGD/USD</x:v>
      </x:c>
      <x:c r="F11" s="38" t="n">
        <x:v>1.9509495945</x:v>
      </x:c>
      <x:c r="G11" s="38" t="n">
        <x:v>0.8327677887</x:v>
      </x:c>
      <x:c r="H11" s="42" t="b">
        <x:v>0</x:v>
      </x:c>
      <x:c r="I11" s="42" t="b">
        <x:v>0</x:v>
      </x:c>
      <x:c r="J11" s="38" t="n">
        <x:v>0.0626205779</x:v>
      </x:c>
    </x:row>
    <x:row r="12" ht="19" customHeight="1">
      <x:c r="A12" s="29" t="str">
        <x:v>stagger_1</x:v>
      </x:c>
      <x:c r="B12" s="38" t="str">
        <x:v>VST</x:v>
      </x:c>
      <x:c r="C12" s="38" t="str">
        <x:v>Other FX</x:v>
      </x:c>
      <x:c r="D12" s="30" t="n">
        <x:v>2</x:v>
      </x:c>
      <x:c r="E12" s="38" t="str">
        <x:v>CAD/USD</x:v>
      </x:c>
      <x:c r="F12" s="38" t="n">
        <x:v>-0.4284377715</x:v>
      </x:c>
      <x:c r="G12" s="38" t="n">
        <x:v>-0.3806216743</x:v>
      </x:c>
      <x:c r="H12" s="42" t="b">
        <x:v>0</x:v>
      </x:c>
      <x:c r="I12" s="42" t="b">
        <x:v>0</x:v>
      </x:c>
      <x:c r="J12" s="38" t="n">
        <x:v>0.0625884957</x:v>
      </x:c>
    </x:row>
    <x:row r="13" ht="19" customHeight="1">
      <x:c r="A13" s="29" t="str">
        <x:v>stagger_1</x:v>
      </x:c>
      <x:c r="B13" s="38" t="str">
        <x:v>VST</x:v>
      </x:c>
      <x:c r="C13" s="38" t="str">
        <x:v>Other FX</x:v>
      </x:c>
      <x:c r="D13" s="30" t="n">
        <x:v>2</x:v>
      </x:c>
      <x:c r="E13" s="38" t="str">
        <x:v>DKK/USD</x:v>
      </x:c>
      <x:c r="F13" s="38" t="n">
        <x:v>1.7739072681</x:v>
      </x:c>
      <x:c r="G13" s="38" t="n">
        <x:v>0.2195662433</x:v>
      </x:c>
      <x:c r="H13" s="42" t="b">
        <x:v>1</x:v>
      </x:c>
      <x:c r="I13" s="42" t="b">
        <x:v>0</x:v>
      </x:c>
      <x:c r="J13" s="38" t="n">
        <x:v>0.0625884957</x:v>
      </x:c>
    </x:row>
    <x:row r="14" ht="19" customHeight="1">
      <x:c r="A14" s="29" t="str">
        <x:v>stagger_1</x:v>
      </x:c>
      <x:c r="B14" s="38" t="str">
        <x:v>VST</x:v>
      </x:c>
      <x:c r="C14" s="38" t="str">
        <x:v>Other FX</x:v>
      </x:c>
      <x:c r="D14" s="30" t="n">
        <x:v>2</x:v>
      </x:c>
      <x:c r="E14" s="38" t="str">
        <x:v>EUR/USD</x:v>
      </x:c>
      <x:c r="F14" s="38" t="n">
        <x:v>-3.0708345521</x:v>
      </x:c>
      <x:c r="G14" s="38" t="n">
        <x:v>-0.415530721</x:v>
      </x:c>
      <x:c r="H14" s="42" t="b">
        <x:v>0</x:v>
      </x:c>
      <x:c r="I14" s="42" t="b">
        <x:v>0</x:v>
      </x:c>
      <x:c r="J14" s="38" t="n">
        <x:v>0.0625884957</x:v>
      </x:c>
    </x:row>
    <x:row r="15" ht="19" customHeight="1">
      <x:c r="A15" s="29" t="str">
        <x:v>stagger_1</x:v>
      </x:c>
      <x:c r="B15" s="38" t="str">
        <x:v>VST</x:v>
      </x:c>
      <x:c r="C15" s="38" t="str">
        <x:v>Other FX</x:v>
      </x:c>
      <x:c r="D15" s="30" t="n">
        <x:v>2</x:v>
      </x:c>
      <x:c r="E15" s="38" t="str">
        <x:v>MXN/USD</x:v>
      </x:c>
      <x:c r="F15" s="38" t="n">
        <x:v>0.9355098145</x:v>
      </x:c>
      <x:c r="G15" s="38" t="n">
        <x:v>1.5468770773</x:v>
      </x:c>
      <x:c r="H15" s="42" t="b">
        <x:v>0</x:v>
      </x:c>
      <x:c r="I15" s="42" t="b">
        <x:v>0</x:v>
      </x:c>
      <x:c r="J15" s="38" t="n">
        <x:v>0.0625884957</x:v>
      </x:c>
    </x:row>
    <x:row r="16" ht="19" customHeight="1">
      <x:c r="A16" s="29" t="str">
        <x:v>stagger_1</x:v>
      </x:c>
      <x:c r="B16" s="38" t="str">
        <x:v>VST</x:v>
      </x:c>
      <x:c r="C16" s="38" t="str">
        <x:v>Other FX</x:v>
      </x:c>
      <x:c r="D16" s="30" t="n">
        <x:v>2</x:v>
      </x:c>
      <x:c r="E16" s="38" t="str">
        <x:v>SGD/USD</x:v>
      </x:c>
      <x:c r="F16" s="38" t="n">
        <x:v>2.0051935408</x:v>
      </x:c>
      <x:c r="G16" s="38" t="n">
        <x:v>0.9723662631</x:v>
      </x:c>
      <x:c r="H16" s="42" t="b">
        <x:v>0</x:v>
      </x:c>
      <x:c r="I16" s="42" t="b">
        <x:v>0</x:v>
      </x:c>
      <x:c r="J16" s="38" t="n">
        <x:v>0.0625884957</x:v>
      </x:c>
    </x:row>
    <x:row r="17" ht="19" customHeight="1">
      <x:c r="A17" s="29" t="str">
        <x:v>stagger_1</x:v>
      </x:c>
      <x:c r="B17" s="38" t="str">
        <x:v>VST</x:v>
      </x:c>
      <x:c r="C17" s="38" t="str">
        <x:v>Other FX</x:v>
      </x:c>
      <x:c r="D17" s="30" t="n">
        <x:v>3</x:v>
      </x:c>
      <x:c r="E17" s="38" t="str">
        <x:v>CAD/USD</x:v>
      </x:c>
      <x:c r="F17" s="38" t="n">
        <x:v>-0.4033712967</x:v>
      </x:c>
      <x:c r="G17" s="38" t="n">
        <x:v>-0.3625178163</x:v>
      </x:c>
      <x:c r="H17" s="42" t="b">
        <x:v>1</x:v>
      </x:c>
      <x:c r="I17" s="42" t="b">
        <x:v>0</x:v>
      </x:c>
      <x:c r="J17" s="38" t="n">
        <x:v>0.0619777932</x:v>
      </x:c>
    </x:row>
    <x:row r="18" ht="19" customHeight="1">
      <x:c r="A18" s="29" t="str">
        <x:v>stagger_1</x:v>
      </x:c>
      <x:c r="B18" s="38" t="str">
        <x:v>VST</x:v>
      </x:c>
      <x:c r="C18" s="38" t="str">
        <x:v>Other FX</x:v>
      </x:c>
      <x:c r="D18" s="30" t="n">
        <x:v>3</x:v>
      </x:c>
      <x:c r="E18" s="38" t="str">
        <x:v>EUR/USD</x:v>
      </x:c>
      <x:c r="F18" s="38" t="n">
        <x:v>-1.4689656303</x:v>
      </x:c>
      <x:c r="G18" s="38" t="n">
        <x:v>-1.2546425471</x:v>
      </x:c>
      <x:c r="H18" s="42" t="b">
        <x:v>0</x:v>
      </x:c>
      <x:c r="I18" s="42" t="b">
        <x:v>0</x:v>
      </x:c>
      <x:c r="J18" s="38" t="n">
        <x:v>0.0619777932</x:v>
      </x:c>
    </x:row>
    <x:row r="19" ht="19" customHeight="1">
      <x:c r="A19" s="29" t="str">
        <x:v>stagger_1</x:v>
      </x:c>
      <x:c r="B19" s="38" t="str">
        <x:v>VST</x:v>
      </x:c>
      <x:c r="C19" s="38" t="str">
        <x:v>Other FX</x:v>
      </x:c>
      <x:c r="D19" s="30" t="n">
        <x:v>3</x:v>
      </x:c>
      <x:c r="E19" s="38" t="str">
        <x:v>MXN/USD</x:v>
      </x:c>
      <x:c r="F19" s="38" t="n">
        <x:v>0.9762834295</x:v>
      </x:c>
      <x:c r="G19" s="38" t="n">
        <x:v>1.7071077113</x:v>
      </x:c>
      <x:c r="H19" s="42" t="b">
        <x:v>0</x:v>
      </x:c>
      <x:c r="I19" s="42" t="b">
        <x:v>0</x:v>
      </x:c>
      <x:c r="J19" s="38" t="n">
        <x:v>0.0619777932</x:v>
      </x:c>
    </x:row>
    <x:row r="20" ht="19" customHeight="1">
      <x:c r="A20" s="29" t="str">
        <x:v>stagger_1</x:v>
      </x:c>
      <x:c r="B20" s="38" t="str">
        <x:v>VST</x:v>
      </x:c>
      <x:c r="C20" s="38" t="str">
        <x:v>Other FX</x:v>
      </x:c>
      <x:c r="D20" s="30" t="n">
        <x:v>3</x:v>
      </x:c>
      <x:c r="E20" s="38" t="str">
        <x:v>SGD/USD</x:v>
      </x:c>
      <x:c r="F20" s="38" t="n">
        <x:v>2.2003382405</x:v>
      </x:c>
      <x:c r="G20" s="38" t="n">
        <x:v>1.1900291027</x:v>
      </x:c>
      <x:c r="H20" s="42" t="b">
        <x:v>0</x:v>
      </x:c>
      <x:c r="I20" s="42" t="b">
        <x:v>0</x:v>
      </x:c>
      <x:c r="J20" s="38" t="n">
        <x:v>0.0619777932</x:v>
      </x:c>
    </x:row>
    <x:row r="21" ht="19" customHeight="1">
      <x:c r="A21" s="29" t="str">
        <x:v>stagger_1</x:v>
      </x:c>
      <x:c r="B21" s="38" t="str">
        <x:v>VST</x:v>
      </x:c>
      <x:c r="C21" s="38" t="str">
        <x:v>Other FX</x:v>
      </x:c>
      <x:c r="D21" s="30" t="n">
        <x:v>4</x:v>
      </x:c>
      <x:c r="E21" s="38" t="str">
        <x:v>EUR/USD</x:v>
      </x:c>
      <x:c r="F21" s="38" t="n">
        <x:v>-1.5709835574</x:v>
      </x:c>
      <x:c r="G21" s="38" t="n">
        <x:v>-1.3902657305</x:v>
      </x:c>
      <x:c r="H21" s="42" t="b">
        <x:v>0</x:v>
      </x:c>
      <x:c r="I21" s="42" t="b">
        <x:v>0</x:v>
      </x:c>
      <x:c r="J21" s="38" t="n">
        <x:v>0.0603341386</x:v>
      </x:c>
    </x:row>
    <x:row r="22" ht="19" customHeight="1">
      <x:c r="A22" s="29" t="str">
        <x:v>stagger_1</x:v>
      </x:c>
      <x:c r="B22" s="38" t="str">
        <x:v>VST</x:v>
      </x:c>
      <x:c r="C22" s="38" t="str">
        <x:v>Other FX</x:v>
      </x:c>
      <x:c r="D22" s="30" t="n">
        <x:v>4</x:v>
      </x:c>
      <x:c r="E22" s="38" t="str">
        <x:v>MXN/USD</x:v>
      </x:c>
      <x:c r="F22" s="38" t="n">
        <x:v>0.9635789939</x:v>
      </x:c>
      <x:c r="G22" s="38" t="n">
        <x:v>1.6977950978</x:v>
      </x:c>
      <x:c r="H22" s="42" t="b">
        <x:v>0</x:v>
      </x:c>
      <x:c r="I22" s="42" t="b">
        <x:v>0</x:v>
      </x:c>
      <x:c r="J22" s="38" t="n">
        <x:v>0.0603341386</x:v>
      </x:c>
    </x:row>
    <x:row r="23" ht="19" customHeight="1">
      <x:c r="A23" s="29" t="str">
        <x:v>stagger_1</x:v>
      </x:c>
      <x:c r="B23" s="38" t="str">
        <x:v>VST</x:v>
      </x:c>
      <x:c r="C23" s="38" t="str">
        <x:v>Other FX</x:v>
      </x:c>
      <x:c r="D23" s="30" t="n">
        <x:v>4</x:v>
      </x:c>
      <x:c r="E23" s="38" t="str">
        <x:v>SGD/USD</x:v>
      </x:c>
      <x:c r="F23" s="38" t="n">
        <x:v>2.0676586598</x:v>
      </x:c>
      <x:c r="G23" s="38" t="n">
        <x:v>1.1474199527</x:v>
      </x:c>
      <x:c r="H23" s="42" t="b">
        <x:v>1</x:v>
      </x:c>
      <x:c r="I23" s="42" t="b">
        <x:v>0</x:v>
      </x:c>
      <x:c r="J23" s="38" t="n">
        <x:v>0.0603341386</x:v>
      </x:c>
    </x:row>
    <x:row r="24" ht="19" customHeight="1">
      <x:c r="A24" s="29" t="str">
        <x:v>stagger_1</x:v>
      </x:c>
      <x:c r="B24" s="38" t="str">
        <x:v>VST</x:v>
      </x:c>
      <x:c r="C24" s="38" t="str">
        <x:v>Other FX</x:v>
      </x:c>
      <x:c r="D24" s="30" t="n">
        <x:v>5</x:v>
      </x:c>
      <x:c r="E24" s="38" t="str">
        <x:v>EUR/USD</x:v>
      </x:c>
      <x:c r="F24" s="38" t="n">
        <x:v>-0.6494852331</x:v>
      </x:c>
      <x:c r="G24" s="38" t="n">
        <x:v>-0.8153717185</x:v>
      </x:c>
      <x:c r="H24" s="42" t="b">
        <x:v>1</x:v>
      </x:c>
      <x:c r="I24" s="42" t="b">
        <x:v>0</x:v>
      </x:c>
      <x:c r="J24" s="38" t="n">
        <x:v>0.0440560034</x:v>
      </x:c>
    </x:row>
    <x:row r="25" ht="19" customHeight="1">
      <x:c r="A25" s="29" t="str">
        <x:v>stagger_1</x:v>
      </x:c>
      <x:c r="B25" s="38" t="str">
        <x:v>VST</x:v>
      </x:c>
      <x:c r="C25" s="38" t="str">
        <x:v>Other FX</x:v>
      </x:c>
      <x:c r="D25" s="30" t="n">
        <x:v>5</x:v>
      </x:c>
      <x:c r="E25" s="38" t="str">
        <x:v>MXN/USD</x:v>
      </x:c>
      <x:c r="F25" s="38" t="n">
        <x:v>1.0557939872</x:v>
      </x:c>
      <x:c r="G25" s="38" t="n">
        <x:v>1.8753600074</x:v>
      </x:c>
      <x:c r="H25" s="42" t="b">
        <x:v>0</x:v>
      </x:c>
      <x:c r="I25" s="42" t="b">
        <x:v>0</x:v>
      </x:c>
      <x:c r="J25" s="38" t="n">
        <x:v>0.0440560034</x:v>
      </x:c>
    </x:row>
    <x:row r="26" ht="19" customHeight="1">
      <x:c r="A26" s="29" t="str">
        <x:v>stagger_1</x:v>
      </x:c>
      <x:c r="B26" s="38" t="str">
        <x:v>VST</x:v>
      </x:c>
      <x:c r="C26" s="38" t="str">
        <x:v>Other FX</x:v>
      </x:c>
      <x:c r="D26" s="30" t="n">
        <x:v>6</x:v>
      </x:c>
      <x:c r="E26" s="38" t="str">
        <x:v>MXN/USD</x:v>
      </x:c>
      <x:c r="F26" s="38" t="n">
        <x:v>0.818896962</x:v>
      </x:c>
      <x:c r="G26" s="38" t="n">
        <x:v>1.7018419417</x:v>
      </x:c>
      <x:c r="H26" s="42" t="b">
        <x:v>1</x:v>
      </x:c>
      <x:c r="I26" s="42" t="b">
        <x:v>0</x:v>
      </x:c>
      <x:c r="J26" s="38" t="n">
        <x:v>0.035802221</x:v>
      </x:c>
    </x:row>
    <x:row r="27" ht="19" customHeight="1">
      <x:c r="A27" s="29" t="str">
        <x:v>stagger_1</x:v>
      </x:c>
      <x:c r="B27" s="38" t="str">
        <x:v>VST</x:v>
      </x:c>
      <x:c r="C27" s="38" t="str">
        <x:v>Other sectors</x:v>
      </x:c>
      <x:c r="D27" s="30" t="n">
        <x:v>1</x:v>
      </x:c>
      <x:c r="E27" s="38" t="str">
        <x:v>XLB</x:v>
      </x:c>
      <x:c r="F27" s="38" t="n">
        <x:v>-0.0563050688</x:v>
      </x:c>
      <x:c r="G27" s="38" t="n">
        <x:v>-0.1108498174</x:v>
      </x:c>
      <x:c r="H27" s="42" t="b">
        <x:v>1</x:v>
      </x:c>
      <x:c r="I27" s="42" t="b">
        <x:v>0</x:v>
      </x:c>
      <x:c r="J27" s="38" t="n">
        <x:v>0.2458103551</x:v>
      </x:c>
    </x:row>
    <x:row r="28" ht="19" customHeight="1">
      <x:c r="A28" s="29" t="str">
        <x:v>stagger_1</x:v>
      </x:c>
      <x:c r="B28" s="38" t="str">
        <x:v>VST</x:v>
      </x:c>
      <x:c r="C28" s="38" t="str">
        <x:v>Other sectors</x:v>
      </x:c>
      <x:c r="D28" s="30" t="n">
        <x:v>1</x:v>
      </x:c>
      <x:c r="E28" s="38" t="str">
        <x:v>XLC</x:v>
      </x:c>
      <x:c r="F28" s="38" t="n">
        <x:v>0.3399984414</x:v>
      </x:c>
      <x:c r="G28" s="38" t="n">
        <x:v>0.7184372124</x:v>
      </x:c>
      <x:c r="H28" s="42" t="b">
        <x:v>0</x:v>
      </x:c>
      <x:c r="I28" s="42" t="b">
        <x:v>0</x:v>
      </x:c>
      <x:c r="J28" s="38" t="n">
        <x:v>0.2458103551</x:v>
      </x:c>
    </x:row>
    <x:row r="29" ht="19" customHeight="1">
      <x:c r="A29" s="29" t="str">
        <x:v>stagger_1</x:v>
      </x:c>
      <x:c r="B29" s="38" t="str">
        <x:v>VST</x:v>
      </x:c>
      <x:c r="C29" s="38" t="str">
        <x:v>Other sectors</x:v>
      </x:c>
      <x:c r="D29" s="30" t="n">
        <x:v>1</x:v>
      </x:c>
      <x:c r="E29" s="38" t="str">
        <x:v>XLE</x:v>
      </x:c>
      <x:c r="F29" s="38" t="n">
        <x:v>-0.0768296794</x:v>
      </x:c>
      <x:c r="G29" s="38" t="n">
        <x:v>-0.4058455273</x:v>
      </x:c>
      <x:c r="H29" s="42" t="b">
        <x:v>0</x:v>
      </x:c>
      <x:c r="I29" s="42" t="b">
        <x:v>0</x:v>
      </x:c>
      <x:c r="J29" s="38" t="n">
        <x:v>0.2458103551</x:v>
      </x:c>
    </x:row>
    <x:row r="30" ht="19" customHeight="1">
      <x:c r="A30" s="29" t="str">
        <x:v>stagger_1</x:v>
      </x:c>
      <x:c r="B30" s="38" t="str">
        <x:v>VST</x:v>
      </x:c>
      <x:c r="C30" s="38" t="str">
        <x:v>Other sectors</x:v>
      </x:c>
      <x:c r="D30" s="30" t="n">
        <x:v>1</x:v>
      </x:c>
      <x:c r="E30" s="38" t="str">
        <x:v>XLF</x:v>
      </x:c>
      <x:c r="F30" s="38" t="n">
        <x:v>-0.3573914215</x:v>
      </x:c>
      <x:c r="G30" s="38" t="n">
        <x:v>-0.6668724613</x:v>
      </x:c>
      <x:c r="H30" s="42" t="b">
        <x:v>0</x:v>
      </x:c>
      <x:c r="I30" s="42" t="b">
        <x:v>0</x:v>
      </x:c>
      <x:c r="J30" s="38" t="n">
        <x:v>0.2458103551</x:v>
      </x:c>
    </x:row>
    <x:row r="31" ht="19" customHeight="1">
      <x:c r="A31" s="29" t="str">
        <x:v>stagger_1</x:v>
      </x:c>
      <x:c r="B31" s="38" t="str">
        <x:v>VST</x:v>
      </x:c>
      <x:c r="C31" s="38" t="str">
        <x:v>Other sectors</x:v>
      </x:c>
      <x:c r="D31" s="30" t="n">
        <x:v>1</x:v>
      </x:c>
      <x:c r="E31" s="38" t="str">
        <x:v>XLI</x:v>
      </x:c>
      <x:c r="F31" s="38" t="n">
        <x:v>1.0780224052</x:v>
      </x:c>
      <x:c r="G31" s="38" t="n">
        <x:v>1.648514798</x:v>
      </x:c>
      <x:c r="H31" s="42" t="b">
        <x:v>0</x:v>
      </x:c>
      <x:c r="I31" s="42" t="b">
        <x:v>0</x:v>
      </x:c>
      <x:c r="J31" s="38" t="n">
        <x:v>0.2458103551</x:v>
      </x:c>
    </x:row>
    <x:row r="32" ht="19" customHeight="1">
      <x:c r="A32" s="29" t="str">
        <x:v>stagger_1</x:v>
      </x:c>
      <x:c r="B32" s="38" t="str">
        <x:v>VST</x:v>
      </x:c>
      <x:c r="C32" s="38" t="str">
        <x:v>Other sectors</x:v>
      </x:c>
      <x:c r="D32" s="30" t="n">
        <x:v>1</x:v>
      </x:c>
      <x:c r="E32" s="38" t="str">
        <x:v>XLK</x:v>
      </x:c>
      <x:c r="F32" s="38" t="n">
        <x:v>-0.6642589786</x:v>
      </x:c>
      <x:c r="G32" s="38" t="n">
        <x:v>-0.841017137</x:v>
      </x:c>
      <x:c r="H32" s="42" t="b">
        <x:v>0</x:v>
      </x:c>
      <x:c r="I32" s="42" t="b">
        <x:v>0</x:v>
      </x:c>
      <x:c r="J32" s="38" t="n">
        <x:v>0.2458103551</x:v>
      </x:c>
    </x:row>
    <x:row r="33" ht="19" customHeight="1">
      <x:c r="A33" s="29" t="str">
        <x:v>stagger_1</x:v>
      </x:c>
      <x:c r="B33" s="38" t="str">
        <x:v>VST</x:v>
      </x:c>
      <x:c r="C33" s="38" t="str">
        <x:v>Other sectors</x:v>
      </x:c>
      <x:c r="D33" s="30" t="n">
        <x:v>1</x:v>
      </x:c>
      <x:c r="E33" s="38" t="str">
        <x:v>XLP</x:v>
      </x:c>
      <x:c r="F33" s="38" t="n">
        <x:v>-0.5780593883</x:v>
      </x:c>
      <x:c r="G33" s="38" t="n">
        <x:v>-1.063588924</x:v>
      </x:c>
      <x:c r="H33" s="42" t="b">
        <x:v>0</x:v>
      </x:c>
      <x:c r="I33" s="42" t="b">
        <x:v>0</x:v>
      </x:c>
      <x:c r="J33" s="38" t="n">
        <x:v>0.2458103551</x:v>
      </x:c>
    </x:row>
    <x:row r="34" ht="19" customHeight="1">
      <x:c r="A34" s="29" t="str">
        <x:v>stagger_1</x:v>
      </x:c>
      <x:c r="B34" s="38" t="str">
        <x:v>VST</x:v>
      </x:c>
      <x:c r="C34" s="38" t="str">
        <x:v>Other sectors</x:v>
      </x:c>
      <x:c r="D34" s="30" t="n">
        <x:v>1</x:v>
      </x:c>
      <x:c r="E34" s="38" t="str">
        <x:v>XLRE</x:v>
      </x:c>
      <x:c r="F34" s="38" t="n">
        <x:v>-0.7045020266</x:v>
      </x:c>
      <x:c r="G34" s="38" t="n">
        <x:v>-1.707202083</x:v>
      </x:c>
      <x:c r="H34" s="42" t="b">
        <x:v>0</x:v>
      </x:c>
      <x:c r="I34" s="42" t="b">
        <x:v>0</x:v>
      </x:c>
      <x:c r="J34" s="38" t="n">
        <x:v>0.2458103551</x:v>
      </x:c>
    </x:row>
    <x:row r="35" ht="19" customHeight="1">
      <x:c r="A35" s="29" t="str">
        <x:v>stagger_1</x:v>
      </x:c>
      <x:c r="B35" s="38" t="str">
        <x:v>VST</x:v>
      </x:c>
      <x:c r="C35" s="38" t="str">
        <x:v>Other sectors</x:v>
      </x:c>
      <x:c r="D35" s="30" t="n">
        <x:v>1</x:v>
      </x:c>
      <x:c r="E35" s="38" t="str">
        <x:v>XLV</x:v>
      </x:c>
      <x:c r="F35" s="38" t="n">
        <x:v>-0.801564708</x:v>
      </x:c>
      <x:c r="G35" s="38" t="n">
        <x:v>-1.7476751752</x:v>
      </x:c>
      <x:c r="H35" s="42" t="b">
        <x:v>0</x:v>
      </x:c>
      <x:c r="I35" s="42" t="b">
        <x:v>0</x:v>
      </x:c>
      <x:c r="J35" s="38" t="n">
        <x:v>0.2458103551</x:v>
      </x:c>
    </x:row>
    <x:row r="36" ht="19" customHeight="1">
      <x:c r="A36" s="29" t="str">
        <x:v>stagger_1</x:v>
      </x:c>
      <x:c r="B36" s="38" t="str">
        <x:v>VST</x:v>
      </x:c>
      <x:c r="C36" s="38" t="str">
        <x:v>Other sectors</x:v>
      </x:c>
      <x:c r="D36" s="30" t="n">
        <x:v>1</x:v>
      </x:c>
      <x:c r="E36" s="38" t="str">
        <x:v>XLY</x:v>
      </x:c>
      <x:c r="F36" s="38" t="n">
        <x:v>0.0729787185</x:v>
      </x:c>
      <x:c r="G36" s="38" t="n">
        <x:v>0.1403635297</x:v>
      </x:c>
      <x:c r="H36" s="42" t="b">
        <x:v>0</x:v>
      </x:c>
      <x:c r="I36" s="42" t="b">
        <x:v>0</x:v>
      </x:c>
      <x:c r="J36" s="38" t="n">
        <x:v>0.2458103551</x:v>
      </x:c>
    </x:row>
    <x:row r="37" ht="19" customHeight="1">
      <x:c r="A37" s="29" t="str">
        <x:v>stagger_1</x:v>
      </x:c>
      <x:c r="B37" s="38" t="str">
        <x:v>VST</x:v>
      </x:c>
      <x:c r="C37" s="38" t="str">
        <x:v>Other sectors</x:v>
      </x:c>
      <x:c r="D37" s="30" t="n">
        <x:v>2</x:v>
      </x:c>
      <x:c r="E37" s="38" t="str">
        <x:v>XLC</x:v>
      </x:c>
      <x:c r="F37" s="38" t="n">
        <x:v>0.340603307</x:v>
      </x:c>
      <x:c r="G37" s="38" t="n">
        <x:v>0.7248955467</x:v>
      </x:c>
      <x:c r="H37" s="42" t="b">
        <x:v>0</x:v>
      </x:c>
      <x:c r="I37" s="42" t="b">
        <x:v>0</x:v>
      </x:c>
      <x:c r="J37" s="38" t="n">
        <x:v>0.2456760472</x:v>
      </x:c>
    </x:row>
    <x:row r="38" ht="19" customHeight="1">
      <x:c r="A38" s="29" t="str">
        <x:v>stagger_1</x:v>
      </x:c>
      <x:c r="B38" s="38" t="str">
        <x:v>VST</x:v>
      </x:c>
      <x:c r="C38" s="38" t="str">
        <x:v>Other sectors</x:v>
      </x:c>
      <x:c r="D38" s="30" t="n">
        <x:v>2</x:v>
      </x:c>
      <x:c r="E38" s="38" t="str">
        <x:v>XLE</x:v>
      </x:c>
      <x:c r="F38" s="38" t="n">
        <x:v>-0.0817935817</x:v>
      </x:c>
      <x:c r="G38" s="38" t="n">
        <x:v>-0.4478581279</x:v>
      </x:c>
      <x:c r="H38" s="42" t="b">
        <x:v>0</x:v>
      </x:c>
      <x:c r="I38" s="42" t="b">
        <x:v>0</x:v>
      </x:c>
      <x:c r="J38" s="38" t="n">
        <x:v>0.2456760472</x:v>
      </x:c>
    </x:row>
    <x:row r="39" ht="19" customHeight="1">
      <x:c r="A39" s="29" t="str">
        <x:v>stagger_1</x:v>
      </x:c>
      <x:c r="B39" s="38" t="str">
        <x:v>VST</x:v>
      </x:c>
      <x:c r="C39" s="38" t="str">
        <x:v>Other sectors</x:v>
      </x:c>
      <x:c r="D39" s="30" t="n">
        <x:v>2</x:v>
      </x:c>
      <x:c r="E39" s="38" t="str">
        <x:v>XLF</x:v>
      </x:c>
      <x:c r="F39" s="38" t="n">
        <x:v>-0.3620595816</x:v>
      </x:c>
      <x:c r="G39" s="38" t="n">
        <x:v>-0.6825107527</x:v>
      </x:c>
      <x:c r="H39" s="42" t="b">
        <x:v>0</x:v>
      </x:c>
      <x:c r="I39" s="42" t="b">
        <x:v>0</x:v>
      </x:c>
      <x:c r="J39" s="38" t="n">
        <x:v>0.2456760472</x:v>
      </x:c>
    </x:row>
    <x:row r="40" ht="19" customHeight="1">
      <x:c r="A40" s="29" t="str">
        <x:v>stagger_1</x:v>
      </x:c>
      <x:c r="B40" s="38" t="str">
        <x:v>VST</x:v>
      </x:c>
      <x:c r="C40" s="38" t="str">
        <x:v>Other sectors</x:v>
      </x:c>
      <x:c r="D40" s="30" t="n">
        <x:v>2</x:v>
      </x:c>
      <x:c r="E40" s="38" t="str">
        <x:v>XLI</x:v>
      </x:c>
      <x:c r="F40" s="38" t="n">
        <x:v>1.0270962428</x:v>
      </x:c>
      <x:c r="G40" s="38" t="n">
        <x:v>2.2227930912</x:v>
      </x:c>
      <x:c r="H40" s="42" t="b">
        <x:v>0</x:v>
      </x:c>
      <x:c r="I40" s="42" t="b">
        <x:v>0</x:v>
      </x:c>
      <x:c r="J40" s="38" t="n">
        <x:v>0.2456760472</x:v>
      </x:c>
    </x:row>
    <x:row r="41" ht="19" customHeight="1">
      <x:c r="A41" s="29" t="str">
        <x:v>stagger_1</x:v>
      </x:c>
      <x:c r="B41" s="38" t="str">
        <x:v>VST</x:v>
      </x:c>
      <x:c r="C41" s="38" t="str">
        <x:v>Other sectors</x:v>
      </x:c>
      <x:c r="D41" s="30" t="n">
        <x:v>2</x:v>
      </x:c>
      <x:c r="E41" s="38" t="str">
        <x:v>XLK</x:v>
      </x:c>
      <x:c r="F41" s="38" t="n">
        <x:v>-0.664206967</x:v>
      </x:c>
      <x:c r="G41" s="38" t="n">
        <x:v>-0.8469479539</x:v>
      </x:c>
      <x:c r="H41" s="42" t="b">
        <x:v>0</x:v>
      </x:c>
      <x:c r="I41" s="42" t="b">
        <x:v>0</x:v>
      </x:c>
      <x:c r="J41" s="38" t="n">
        <x:v>0.2456760472</x:v>
      </x:c>
    </x:row>
    <x:row r="42" ht="19" customHeight="1">
      <x:c r="A42" s="29" t="str">
        <x:v>stagger_1</x:v>
      </x:c>
      <x:c r="B42" s="38" t="str">
        <x:v>VST</x:v>
      </x:c>
      <x:c r="C42" s="38" t="str">
        <x:v>Other sectors</x:v>
      </x:c>
      <x:c r="D42" s="30" t="n">
        <x:v>2</x:v>
      </x:c>
      <x:c r="E42" s="38" t="str">
        <x:v>XLP</x:v>
      </x:c>
      <x:c r="F42" s="38" t="n">
        <x:v>-0.5846444923</x:v>
      </x:c>
      <x:c r="G42" s="38" t="n">
        <x:v>-1.0899056202</x:v>
      </x:c>
      <x:c r="H42" s="42" t="b">
        <x:v>0</x:v>
      </x:c>
      <x:c r="I42" s="42" t="b">
        <x:v>0</x:v>
      </x:c>
      <x:c r="J42" s="38" t="n">
        <x:v>0.2456760472</x:v>
      </x:c>
    </x:row>
    <x:row r="43" ht="19" customHeight="1">
      <x:c r="A43" s="29" t="str">
        <x:v>stagger_1</x:v>
      </x:c>
      <x:c r="B43" s="38" t="str">
        <x:v>VST</x:v>
      </x:c>
      <x:c r="C43" s="38" t="str">
        <x:v>Other sectors</x:v>
      </x:c>
      <x:c r="D43" s="30" t="n">
        <x:v>2</x:v>
      </x:c>
      <x:c r="E43" s="38" t="str">
        <x:v>XLRE</x:v>
      </x:c>
      <x:c r="F43" s="38" t="n">
        <x:v>-0.7100343838</x:v>
      </x:c>
      <x:c r="G43" s="38" t="n">
        <x:v>-1.7456917063</x:v>
      </x:c>
      <x:c r="H43" s="42" t="b">
        <x:v>0</x:v>
      </x:c>
      <x:c r="I43" s="42" t="b">
        <x:v>0</x:v>
      </x:c>
      <x:c r="J43" s="38" t="n">
        <x:v>0.2456760472</x:v>
      </x:c>
    </x:row>
    <x:row r="44" ht="19" customHeight="1">
      <x:c r="A44" s="29" t="str">
        <x:v>stagger_1</x:v>
      </x:c>
      <x:c r="B44" s="38" t="str">
        <x:v>VST</x:v>
      </x:c>
      <x:c r="C44" s="38" t="str">
        <x:v>Other sectors</x:v>
      </x:c>
      <x:c r="D44" s="30" t="n">
        <x:v>2</x:v>
      </x:c>
      <x:c r="E44" s="38" t="str">
        <x:v>XLV</x:v>
      </x:c>
      <x:c r="F44" s="38" t="n">
        <x:v>-0.8057770232</x:v>
      </x:c>
      <x:c r="G44" s="38" t="n">
        <x:v>-1.7754914637</x:v>
      </x:c>
      <x:c r="H44" s="42" t="b">
        <x:v>0</x:v>
      </x:c>
      <x:c r="I44" s="42" t="b">
        <x:v>0</x:v>
      </x:c>
      <x:c r="J44" s="38" t="n">
        <x:v>0.2456760472</x:v>
      </x:c>
    </x:row>
    <x:row r="45" ht="19" customHeight="1">
      <x:c r="A45" s="29" t="str">
        <x:v>stagger_1</x:v>
      </x:c>
      <x:c r="B45" s="38" t="str">
        <x:v>VST</x:v>
      </x:c>
      <x:c r="C45" s="38" t="str">
        <x:v>Other sectors</x:v>
      </x:c>
      <x:c r="D45" s="30" t="n">
        <x:v>2</x:v>
      </x:c>
      <x:c r="E45" s="38" t="str">
        <x:v>XLY</x:v>
      </x:c>
      <x:c r="F45" s="38" t="n">
        <x:v>0.0675881148</x:v>
      </x:c>
      <x:c r="G45" s="38" t="n">
        <x:v>0.1314989255</x:v>
      </x:c>
      <x:c r="H45" s="42" t="b">
        <x:v>1</x:v>
      </x:c>
      <x:c r="I45" s="42" t="b">
        <x:v>0</x:v>
      </x:c>
      <x:c r="J45" s="38" t="n">
        <x:v>0.2456760472</x:v>
      </x:c>
    </x:row>
    <x:row r="46" ht="19" customHeight="1">
      <x:c r="A46" s="29" t="str">
        <x:v>stagger_1</x:v>
      </x:c>
      <x:c r="B46" s="38" t="str">
        <x:v>VST</x:v>
      </x:c>
      <x:c r="C46" s="38" t="str">
        <x:v>Other sectors</x:v>
      </x:c>
      <x:c r="D46" s="30" t="n">
        <x:v>3</x:v>
      </x:c>
      <x:c r="E46" s="38" t="str">
        <x:v>XLC</x:v>
      </x:c>
      <x:c r="F46" s="38" t="n">
        <x:v>0.3437568247</x:v>
      </x:c>
      <x:c r="G46" s="38" t="n">
        <x:v>0.7376847671</x:v>
      </x:c>
      <x:c r="H46" s="42" t="b">
        <x:v>0</x:v>
      </x:c>
      <x:c r="I46" s="42" t="b">
        <x:v>0</x:v>
      </x:c>
      <x:c r="J46" s="38" t="n">
        <x:v>0.245489708</x:v>
      </x:c>
    </x:row>
    <x:row r="47" ht="19" customHeight="1">
      <x:c r="A47" s="29" t="str">
        <x:v>stagger_1</x:v>
      </x:c>
      <x:c r="B47" s="38" t="str">
        <x:v>VST</x:v>
      </x:c>
      <x:c r="C47" s="38" t="str">
        <x:v>Other sectors</x:v>
      </x:c>
      <x:c r="D47" s="30" t="n">
        <x:v>3</x:v>
      </x:c>
      <x:c r="E47" s="38" t="str">
        <x:v>XLE</x:v>
      </x:c>
      <x:c r="F47" s="38" t="n">
        <x:v>-0.0924069521</x:v>
      </x:c>
      <x:c r="G47" s="38" t="n">
        <x:v>-0.5679834706</x:v>
      </x:c>
      <x:c r="H47" s="42" t="b">
        <x:v>1</x:v>
      </x:c>
      <x:c r="I47" s="42" t="b">
        <x:v>0</x:v>
      </x:c>
      <x:c r="J47" s="38" t="n">
        <x:v>0.245489708</x:v>
      </x:c>
    </x:row>
    <x:row r="48" ht="19" customHeight="1">
      <x:c r="A48" s="29" t="str">
        <x:v>stagger_1</x:v>
      </x:c>
      <x:c r="B48" s="38" t="str">
        <x:v>VST</x:v>
      </x:c>
      <x:c r="C48" s="38" t="str">
        <x:v>Other sectors</x:v>
      </x:c>
      <x:c r="D48" s="30" t="n">
        <x:v>3</x:v>
      </x:c>
      <x:c r="E48" s="38" t="str">
        <x:v>XLF</x:v>
      </x:c>
      <x:c r="F48" s="38" t="n">
        <x:v>-0.3841722059</x:v>
      </x:c>
      <x:c r="G48" s="38" t="n">
        <x:v>-0.768913284</x:v>
      </x:c>
      <x:c r="H48" s="42" t="b">
        <x:v>0</x:v>
      </x:c>
      <x:c r="I48" s="42" t="b">
        <x:v>0</x:v>
      </x:c>
      <x:c r="J48" s="38" t="n">
        <x:v>0.245489708</x:v>
      </x:c>
    </x:row>
    <x:row r="49" ht="19" customHeight="1">
      <x:c r="A49" s="29" t="str">
        <x:v>stagger_1</x:v>
      </x:c>
      <x:c r="B49" s="38" t="str">
        <x:v>VST</x:v>
      </x:c>
      <x:c r="C49" s="38" t="str">
        <x:v>Other sectors</x:v>
      </x:c>
      <x:c r="D49" s="30" t="n">
        <x:v>3</x:v>
      </x:c>
      <x:c r="E49" s="38" t="str">
        <x:v>XLI</x:v>
      </x:c>
      <x:c r="F49" s="38" t="n">
        <x:v>1.0211336163</x:v>
      </x:c>
      <x:c r="G49" s="38" t="n">
        <x:v>2.2361357092</x:v>
      </x:c>
      <x:c r="H49" s="42" t="b">
        <x:v>0</x:v>
      </x:c>
      <x:c r="I49" s="42" t="b">
        <x:v>0</x:v>
      </x:c>
      <x:c r="J49" s="38" t="n">
        <x:v>0.245489708</x:v>
      </x:c>
    </x:row>
    <x:row r="50" ht="19" customHeight="1">
      <x:c r="A50" s="29" t="str">
        <x:v>stagger_1</x:v>
      </x:c>
      <x:c r="B50" s="38" t="str">
        <x:v>VST</x:v>
      </x:c>
      <x:c r="C50" s="38" t="str">
        <x:v>Other sectors</x:v>
      </x:c>
      <x:c r="D50" s="30" t="n">
        <x:v>3</x:v>
      </x:c>
      <x:c r="E50" s="38" t="str">
        <x:v>XLK</x:v>
      </x:c>
      <x:c r="F50" s="38" t="n">
        <x:v>-0.7179532766</x:v>
      </x:c>
      <x:c r="G50" s="38" t="n">
        <x:v>-1.08018109</x:v>
      </x:c>
      <x:c r="H50" s="42" t="b">
        <x:v>0</x:v>
      </x:c>
      <x:c r="I50" s="42" t="b">
        <x:v>0</x:v>
      </x:c>
      <x:c r="J50" s="38" t="n">
        <x:v>0.245489708</x:v>
      </x:c>
    </x:row>
    <x:row r="51" ht="19" customHeight="1">
      <x:c r="A51" s="29" t="str">
        <x:v>stagger_1</x:v>
      </x:c>
      <x:c r="B51" s="38" t="str">
        <x:v>VST</x:v>
      </x:c>
      <x:c r="C51" s="38" t="str">
        <x:v>Other sectors</x:v>
      </x:c>
      <x:c r="D51" s="30" t="n">
        <x:v>3</x:v>
      </x:c>
      <x:c r="E51" s="38" t="str">
        <x:v>XLP</x:v>
      </x:c>
      <x:c r="F51" s="38" t="n">
        <x:v>-0.6067276484</x:v>
      </x:c>
      <x:c r="G51" s="38" t="n">
        <x:v>-1.1992688614</x:v>
      </x:c>
      <x:c r="H51" s="42" t="b">
        <x:v>0</x:v>
      </x:c>
      <x:c r="I51" s="42" t="b">
        <x:v>0</x:v>
      </x:c>
      <x:c r="J51" s="38" t="n">
        <x:v>0.245489708</x:v>
      </x:c>
    </x:row>
    <x:row r="52" ht="19" customHeight="1">
      <x:c r="A52" s="29" t="str">
        <x:v>stagger_1</x:v>
      </x:c>
      <x:c r="B52" s="38" t="str">
        <x:v>VST</x:v>
      </x:c>
      <x:c r="C52" s="38" t="str">
        <x:v>Other sectors</x:v>
      </x:c>
      <x:c r="D52" s="30" t="n">
        <x:v>3</x:v>
      </x:c>
      <x:c r="E52" s="38" t="str">
        <x:v>XLRE</x:v>
      </x:c>
      <x:c r="F52" s="38" t="n">
        <x:v>-0.6957528208</x:v>
      </x:c>
      <x:c r="G52" s="38" t="n">
        <x:v>-1.7874409607</x:v>
      </x:c>
      <x:c r="H52" s="42" t="b">
        <x:v>0</x:v>
      </x:c>
      <x:c r="I52" s="42" t="b">
        <x:v>0</x:v>
      </x:c>
      <x:c r="J52" s="38" t="n">
        <x:v>0.245489708</x:v>
      </x:c>
    </x:row>
    <x:row r="53" ht="19" customHeight="1">
      <x:c r="A53" s="29" t="str">
        <x:v>stagger_1</x:v>
      </x:c>
      <x:c r="B53" s="38" t="str">
        <x:v>VST</x:v>
      </x:c>
      <x:c r="C53" s="38" t="str">
        <x:v>Other sectors</x:v>
      </x:c>
      <x:c r="D53" s="30" t="n">
        <x:v>3</x:v>
      </x:c>
      <x:c r="E53" s="38" t="str">
        <x:v>XLV</x:v>
      </x:c>
      <x:c r="F53" s="38" t="n">
        <x:v>-0.8356822321</x:v>
      </x:c>
      <x:c r="G53" s="38" t="n">
        <x:v>-2.1426989411</x:v>
      </x:c>
      <x:c r="H53" s="42" t="b">
        <x:v>0</x:v>
      </x:c>
      <x:c r="I53" s="42" t="b">
        <x:v>0</x:v>
      </x:c>
      <x:c r="J53" s="38" t="n">
        <x:v>0.245489708</x:v>
      </x:c>
    </x:row>
    <x:row r="54" ht="19" customHeight="1">
      <x:c r="A54" s="29" t="str">
        <x:v>stagger_1</x:v>
      </x:c>
      <x:c r="B54" s="38" t="str">
        <x:v>VST</x:v>
      </x:c>
      <x:c r="C54" s="38" t="str">
        <x:v>Other sectors</x:v>
      </x:c>
      <x:c r="D54" s="30" t="n">
        <x:v>4</x:v>
      </x:c>
      <x:c r="E54" s="38" t="str">
        <x:v>XLC</x:v>
      </x:c>
      <x:c r="F54" s="38" t="n">
        <x:v>0.3728496281</x:v>
      </x:c>
      <x:c r="G54" s="38" t="n">
        <x:v>0.8088079283</x:v>
      </x:c>
      <x:c r="H54" s="42" t="b">
        <x:v>0</x:v>
      </x:c>
      <x:c r="I54" s="42" t="b">
        <x:v>0</x:v>
      </x:c>
      <x:c r="J54" s="38" t="n">
        <x:v>0.2420614128</x:v>
      </x:c>
    </x:row>
    <x:row r="55" ht="19" customHeight="1">
      <x:c r="A55" s="29" t="str">
        <x:v>stagger_1</x:v>
      </x:c>
      <x:c r="B55" s="38" t="str">
        <x:v>VST</x:v>
      </x:c>
      <x:c r="C55" s="38" t="str">
        <x:v>Other sectors</x:v>
      </x:c>
      <x:c r="D55" s="30" t="n">
        <x:v>4</x:v>
      </x:c>
      <x:c r="E55" s="38" t="str">
        <x:v>XLF</x:v>
      </x:c>
      <x:c r="F55" s="38" t="n">
        <x:v>-0.380710877</x:v>
      </x:c>
      <x:c r="G55" s="38" t="n">
        <x:v>-0.7656524282</x:v>
      </x:c>
      <x:c r="H55" s="42" t="b">
        <x:v>1</x:v>
      </x:c>
      <x:c r="I55" s="42" t="b">
        <x:v>0</x:v>
      </x:c>
      <x:c r="J55" s="38" t="n">
        <x:v>0.2420614128</x:v>
      </x:c>
    </x:row>
    <x:row r="56" ht="19" customHeight="1">
      <x:c r="A56" s="29" t="str">
        <x:v>stagger_1</x:v>
      </x:c>
      <x:c r="B56" s="38" t="str">
        <x:v>VST</x:v>
      </x:c>
      <x:c r="C56" s="38" t="str">
        <x:v>Other sectors</x:v>
      </x:c>
      <x:c r="D56" s="30" t="n">
        <x:v>4</x:v>
      </x:c>
      <x:c r="E56" s="38" t="str">
        <x:v>XLI</x:v>
      </x:c>
      <x:c r="F56" s="38" t="n">
        <x:v>1.0138931911</x:v>
      </x:c>
      <x:c r="G56" s="38" t="n">
        <x:v>2.2316686939</x:v>
      </x:c>
      <x:c r="H56" s="42" t="b">
        <x:v>0</x:v>
      </x:c>
      <x:c r="I56" s="42" t="b">
        <x:v>0</x:v>
      </x:c>
      <x:c r="J56" s="38" t="n">
        <x:v>0.2420614128</x:v>
      </x:c>
    </x:row>
    <x:row r="57" ht="19" customHeight="1">
      <x:c r="A57" s="29" t="str">
        <x:v>stagger_1</x:v>
      </x:c>
      <x:c r="B57" s="38" t="str">
        <x:v>VST</x:v>
      </x:c>
      <x:c r="C57" s="38" t="str">
        <x:v>Other sectors</x:v>
      </x:c>
      <x:c r="D57" s="30" t="n">
        <x:v>4</x:v>
      </x:c>
      <x:c r="E57" s="38" t="str">
        <x:v>XLK</x:v>
      </x:c>
      <x:c r="F57" s="38" t="n">
        <x:v>-0.607585505</x:v>
      </x:c>
      <x:c r="G57" s="38" t="n">
        <x:v>-0.9604206164</x:v>
      </x:c>
      <x:c r="H57" s="42" t="b">
        <x:v>0</x:v>
      </x:c>
      <x:c r="I57" s="42" t="b">
        <x:v>0</x:v>
      </x:c>
      <x:c r="J57" s="38" t="n">
        <x:v>0.2420614128</x:v>
      </x:c>
    </x:row>
    <x:row r="58" ht="19" customHeight="1">
      <x:c r="A58" s="29" t="str">
        <x:v>stagger_1</x:v>
      </x:c>
      <x:c r="B58" s="38" t="str">
        <x:v>VST</x:v>
      </x:c>
      <x:c r="C58" s="38" t="str">
        <x:v>Other sectors</x:v>
      </x:c>
      <x:c r="D58" s="30" t="n">
        <x:v>4</x:v>
      </x:c>
      <x:c r="E58" s="38" t="str">
        <x:v>XLP</x:v>
      </x:c>
      <x:c r="F58" s="38" t="n">
        <x:v>-0.5893102071</x:v>
      </x:c>
      <x:c r="G58" s="38" t="n">
        <x:v>-1.1725156787</x:v>
      </x:c>
      <x:c r="H58" s="42" t="b">
        <x:v>0</x:v>
      </x:c>
      <x:c r="I58" s="42" t="b">
        <x:v>0</x:v>
      </x:c>
      <x:c r="J58" s="38" t="n">
        <x:v>0.2420614128</x:v>
      </x:c>
    </x:row>
    <x:row r="59" ht="19" customHeight="1">
      <x:c r="A59" s="29" t="str">
        <x:v>stagger_1</x:v>
      </x:c>
      <x:c r="B59" s="38" t="str">
        <x:v>VST</x:v>
      </x:c>
      <x:c r="C59" s="38" t="str">
        <x:v>Other sectors</x:v>
      </x:c>
      <x:c r="D59" s="30" t="n">
        <x:v>4</x:v>
      </x:c>
      <x:c r="E59" s="38" t="str">
        <x:v>XLRE</x:v>
      </x:c>
      <x:c r="F59" s="38" t="n">
        <x:v>-0.6839575809</x:v>
      </x:c>
      <x:c r="G59" s="38" t="n">
        <x:v>-1.7679806827</x:v>
      </x:c>
      <x:c r="H59" s="42" t="b">
        <x:v>0</x:v>
      </x:c>
      <x:c r="I59" s="42" t="b">
        <x:v>0</x:v>
      </x:c>
      <x:c r="J59" s="38" t="n">
        <x:v>0.2420614128</x:v>
      </x:c>
    </x:row>
    <x:row r="60" ht="19" customHeight="1">
      <x:c r="A60" s="29" t="str">
        <x:v>stagger_1</x:v>
      </x:c>
      <x:c r="B60" s="38" t="str">
        <x:v>VST</x:v>
      </x:c>
      <x:c r="C60" s="38" t="str">
        <x:v>Other sectors</x:v>
      </x:c>
      <x:c r="D60" s="30" t="n">
        <x:v>4</x:v>
      </x:c>
      <x:c r="E60" s="38" t="str">
        <x:v>XLV</x:v>
      </x:c>
      <x:c r="F60" s="38" t="n">
        <x:v>-0.8257645396</x:v>
      </x:c>
      <x:c r="G60" s="38" t="n">
        <x:v>-2.1294358286</x:v>
      </x:c>
      <x:c r="H60" s="42" t="b">
        <x:v>0</x:v>
      </x:c>
      <x:c r="I60" s="42" t="b">
        <x:v>0</x:v>
      </x:c>
      <x:c r="J60" s="38" t="n">
        <x:v>0.2420614128</x:v>
      </x:c>
    </x:row>
    <x:row r="61" ht="19" customHeight="1">
      <x:c r="A61" s="29" t="str">
        <x:v>stagger_1</x:v>
      </x:c>
      <x:c r="B61" s="38" t="str">
        <x:v>VST</x:v>
      </x:c>
      <x:c r="C61" s="38" t="str">
        <x:v>Other sectors</x:v>
      </x:c>
      <x:c r="D61" s="30" t="n">
        <x:v>5</x:v>
      </x:c>
      <x:c r="E61" s="38" t="str">
        <x:v>XLC</x:v>
      </x:c>
      <x:c r="F61" s="38" t="n">
        <x:v>0.4507759632</x:v>
      </x:c>
      <x:c r="G61" s="38" t="n">
        <x:v>1.0054448388</x:v>
      </x:c>
      <x:c r="H61" s="42" t="b">
        <x:v>0</x:v>
      </x:c>
      <x:c r="I61" s="42" t="b">
        <x:v>0</x:v>
      </x:c>
      <x:c r="J61" s="38" t="n">
        <x:v>0.2358902806</x:v>
      </x:c>
    </x:row>
    <x:row r="62" ht="19" customHeight="1">
      <x:c r="A62" s="29" t="str">
        <x:v>stagger_1</x:v>
      </x:c>
      <x:c r="B62" s="38" t="str">
        <x:v>VST</x:v>
      </x:c>
      <x:c r="C62" s="38" t="str">
        <x:v>Other sectors</x:v>
      </x:c>
      <x:c r="D62" s="30" t="n">
        <x:v>5</x:v>
      </x:c>
      <x:c r="E62" s="38" t="str">
        <x:v>XLI</x:v>
      </x:c>
      <x:c r="F62" s="38" t="n">
        <x:v>0.9346928653</x:v>
      </x:c>
      <x:c r="G62" s="38" t="n">
        <x:v>2.1188488344</x:v>
      </x:c>
      <x:c r="H62" s="42" t="b">
        <x:v>0</x:v>
      </x:c>
      <x:c r="I62" s="42" t="b">
        <x:v>0</x:v>
      </x:c>
      <x:c r="J62" s="38" t="n">
        <x:v>0.2358902806</x:v>
      </x:c>
    </x:row>
    <x:row r="63" ht="19" customHeight="1">
      <x:c r="A63" s="29" t="str">
        <x:v>stagger_1</x:v>
      </x:c>
      <x:c r="B63" s="38" t="str">
        <x:v>VST</x:v>
      </x:c>
      <x:c r="C63" s="38" t="str">
        <x:v>Other sectors</x:v>
      </x:c>
      <x:c r="D63" s="30" t="n">
        <x:v>5</x:v>
      </x:c>
      <x:c r="E63" s="38" t="str">
        <x:v>XLK</x:v>
      </x:c>
      <x:c r="F63" s="38" t="n">
        <x:v>-0.3209795942</x:v>
      </x:c>
      <x:c r="G63" s="38" t="n">
        <x:v>-0.6311734831</x:v>
      </x:c>
      <x:c r="H63" s="42" t="b">
        <x:v>1</x:v>
      </x:c>
      <x:c r="I63" s="42" t="b">
        <x:v>0</x:v>
      </x:c>
      <x:c r="J63" s="38" t="n">
        <x:v>0.2358902806</x:v>
      </x:c>
    </x:row>
    <x:row r="64" ht="19" customHeight="1">
      <x:c r="A64" s="29" t="str">
        <x:v>stagger_1</x:v>
      </x:c>
      <x:c r="B64" s="38" t="str">
        <x:v>VST</x:v>
      </x:c>
      <x:c r="C64" s="38" t="str">
        <x:v>Other sectors</x:v>
      </x:c>
      <x:c r="D64" s="30" t="n">
        <x:v>5</x:v>
      </x:c>
      <x:c r="E64" s="38" t="str">
        <x:v>XLP</x:v>
      </x:c>
      <x:c r="F64" s="38" t="n">
        <x:v>-0.4225919143</x:v>
      </x:c>
      <x:c r="G64" s="38" t="n">
        <x:v>-0.9355578108</x:v>
      </x:c>
      <x:c r="H64" s="42" t="b">
        <x:v>0</x:v>
      </x:c>
      <x:c r="I64" s="42" t="b">
        <x:v>0</x:v>
      </x:c>
      <x:c r="J64" s="38" t="n">
        <x:v>0.2358902806</x:v>
      </x:c>
    </x:row>
    <x:row r="65" ht="19" customHeight="1">
      <x:c r="A65" s="29" t="str">
        <x:v>stagger_1</x:v>
      </x:c>
      <x:c r="B65" s="38" t="str">
        <x:v>VST</x:v>
      </x:c>
      <x:c r="C65" s="38" t="str">
        <x:v>Other sectors</x:v>
      </x:c>
      <x:c r="D65" s="30" t="n">
        <x:v>5</x:v>
      </x:c>
      <x:c r="E65" s="38" t="str">
        <x:v>XLRE</x:v>
      </x:c>
      <x:c r="F65" s="38" t="n">
        <x:v>-0.6992330651</x:v>
      </x:c>
      <x:c r="G65" s="38" t="n">
        <x:v>-1.8150263619</x:v>
      </x:c>
      <x:c r="H65" s="42" t="b">
        <x:v>0</x:v>
      </x:c>
      <x:c r="I65" s="42" t="b">
        <x:v>0</x:v>
      </x:c>
      <x:c r="J65" s="38" t="n">
        <x:v>0.2358902806</x:v>
      </x:c>
    </x:row>
    <x:row r="66" ht="19" customHeight="1">
      <x:c r="A66" s="29" t="str">
        <x:v>stagger_1</x:v>
      </x:c>
      <x:c r="B66" s="38" t="str">
        <x:v>VST</x:v>
      </x:c>
      <x:c r="C66" s="38" t="str">
        <x:v>Other sectors</x:v>
      </x:c>
      <x:c r="D66" s="30" t="n">
        <x:v>5</x:v>
      </x:c>
      <x:c r="E66" s="38" t="str">
        <x:v>XLV</x:v>
      </x:c>
      <x:c r="F66" s="38" t="n">
        <x:v>-0.8139571783</x:v>
      </x:c>
      <x:c r="G66" s="38" t="n">
        <x:v>-2.1066282136</x:v>
      </x:c>
      <x:c r="H66" s="42" t="b">
        <x:v>0</x:v>
      </x:c>
      <x:c r="I66" s="42" t="b">
        <x:v>0</x:v>
      </x:c>
      <x:c r="J66" s="38" t="n">
        <x:v>0.2358902806</x:v>
      </x:c>
    </x:row>
    <x:row r="67" ht="19" customHeight="1">
      <x:c r="A67" s="29" t="str">
        <x:v>stagger_1</x:v>
      </x:c>
      <x:c r="B67" s="38" t="str">
        <x:v>VST</x:v>
      </x:c>
      <x:c r="C67" s="38" t="str">
        <x:v>Other sectors</x:v>
      </x:c>
      <x:c r="D67" s="30" t="n">
        <x:v>6</x:v>
      </x:c>
      <x:c r="E67" s="38" t="str">
        <x:v>XLC</x:v>
      </x:c>
      <x:c r="F67" s="38" t="n">
        <x:v>0.6020599736</x:v>
      </x:c>
      <x:c r="G67" s="38" t="n">
        <x:v>1.5955272431</x:v>
      </x:c>
      <x:c r="H67" s="42" t="b">
        <x:v>0</x:v>
      </x:c>
      <x:c r="I67" s="42" t="b">
        <x:v>0</x:v>
      </x:c>
      <x:c r="J67" s="38" t="n">
        <x:v>0.2317203353</x:v>
      </x:c>
    </x:row>
    <x:row r="68" ht="19" customHeight="1">
      <x:c r="A68" s="29" t="str">
        <x:v>stagger_1</x:v>
      </x:c>
      <x:c r="B68" s="38" t="str">
        <x:v>VST</x:v>
      </x:c>
      <x:c r="C68" s="38" t="str">
        <x:v>Other sectors</x:v>
      </x:c>
      <x:c r="D68" s="30" t="n">
        <x:v>6</x:v>
      </x:c>
      <x:c r="E68" s="38" t="str">
        <x:v>XLI</x:v>
      </x:c>
      <x:c r="F68" s="38" t="n">
        <x:v>1.0333461942</x:v>
      </x:c>
      <x:c r="G68" s="38" t="n">
        <x:v>2.5152431049</x:v>
      </x:c>
      <x:c r="H68" s="42" t="b">
        <x:v>0</x:v>
      </x:c>
      <x:c r="I68" s="42" t="b">
        <x:v>0</x:v>
      </x:c>
      <x:c r="J68" s="38" t="n">
        <x:v>0.2317203353</x:v>
      </x:c>
    </x:row>
    <x:row r="69" ht="19" customHeight="1">
      <x:c r="A69" s="29" t="str">
        <x:v>stagger_1</x:v>
      </x:c>
      <x:c r="B69" s="38" t="str">
        <x:v>VST</x:v>
      </x:c>
      <x:c r="C69" s="38" t="str">
        <x:v>Other sectors</x:v>
      </x:c>
      <x:c r="D69" s="30" t="n">
        <x:v>6</x:v>
      </x:c>
      <x:c r="E69" s="38" t="str">
        <x:v>XLP</x:v>
      </x:c>
      <x:c r="F69" s="38" t="n">
        <x:v>-0.4066779649</x:v>
      </x:c>
      <x:c r="G69" s="38" t="n">
        <x:v>-0.9054205234</x:v>
      </x:c>
      <x:c r="H69" s="42" t="b">
        <x:v>1</x:v>
      </x:c>
      <x:c r="I69" s="42" t="b">
        <x:v>0</x:v>
      </x:c>
      <x:c r="J69" s="38" t="n">
        <x:v>0.2317203353</x:v>
      </x:c>
    </x:row>
    <x:row r="70" ht="19" customHeight="1">
      <x:c r="A70" s="29" t="str">
        <x:v>stagger_1</x:v>
      </x:c>
      <x:c r="B70" s="38" t="str">
        <x:v>VST</x:v>
      </x:c>
      <x:c r="C70" s="38" t="str">
        <x:v>Other sectors</x:v>
      </x:c>
      <x:c r="D70" s="30" t="n">
        <x:v>6</x:v>
      </x:c>
      <x:c r="E70" s="38" t="str">
        <x:v>XLRE</x:v>
      </x:c>
      <x:c r="F70" s="38" t="n">
        <x:v>-0.6258681912</x:v>
      </x:c>
      <x:c r="G70" s="38" t="n">
        <x:v>-1.7109705053</x:v>
      </x:c>
      <x:c r="H70" s="42" t="b">
        <x:v>0</x:v>
      </x:c>
      <x:c r="I70" s="42" t="b">
        <x:v>0</x:v>
      </x:c>
      <x:c r="J70" s="38" t="n">
        <x:v>0.2317203353</x:v>
      </x:c>
    </x:row>
    <x:row r="71" ht="19" customHeight="1">
      <x:c r="A71" s="29" t="str">
        <x:v>stagger_1</x:v>
      </x:c>
      <x:c r="B71" s="38" t="str">
        <x:v>VST</x:v>
      </x:c>
      <x:c r="C71" s="38" t="str">
        <x:v>Other sectors</x:v>
      </x:c>
      <x:c r="D71" s="30" t="n">
        <x:v>6</x:v>
      </x:c>
      <x:c r="E71" s="38" t="str">
        <x:v>XLV</x:v>
      </x:c>
      <x:c r="F71" s="38" t="n">
        <x:v>-0.707426279</x:v>
      </x:c>
      <x:c r="G71" s="38" t="n">
        <x:v>-2.0437034249</x:v>
      </x:c>
      <x:c r="H71" s="42" t="b">
        <x:v>0</x:v>
      </x:c>
      <x:c r="I71" s="42" t="b">
        <x:v>0</x:v>
      </x:c>
      <x:c r="J71" s="38" t="n">
        <x:v>0.2317203353</x:v>
      </x:c>
    </x:row>
    <x:row r="72" ht="19" customHeight="1">
      <x:c r="A72" s="29" t="str">
        <x:v>stagger_1</x:v>
      </x:c>
      <x:c r="B72" s="38" t="str">
        <x:v>VST</x:v>
      </x:c>
      <x:c r="C72" s="38" t="str">
        <x:v>Other sectors</x:v>
      </x:c>
      <x:c r="D72" s="30" t="n">
        <x:v>7</x:v>
      </x:c>
      <x:c r="E72" s="38" t="str">
        <x:v>XLC</x:v>
      </x:c>
      <x:c r="F72" s="38" t="n">
        <x:v>0.5514186601</x:v>
      </x:c>
      <x:c r="G72" s="38" t="n">
        <x:v>1.4794228783</x:v>
      </x:c>
      <x:c r="H72" s="42" t="b">
        <x:v>1</x:v>
      </x:c>
      <x:c r="I72" s="42" t="b">
        <x:v>0</x:v>
      </x:c>
      <x:c r="J72" s="38" t="n">
        <x:v>0.2232091845</x:v>
      </x:c>
    </x:row>
    <x:row r="73" ht="19" customHeight="1">
      <x:c r="A73" s="29" t="str">
        <x:v>stagger_1</x:v>
      </x:c>
      <x:c r="B73" s="38" t="str">
        <x:v>VST</x:v>
      </x:c>
      <x:c r="C73" s="38" t="str">
        <x:v>Other sectors</x:v>
      </x:c>
      <x:c r="D73" s="30" t="n">
        <x:v>7</x:v>
      </x:c>
      <x:c r="E73" s="38" t="str">
        <x:v>XLI</x:v>
      </x:c>
      <x:c r="F73" s="38" t="n">
        <x:v>0.8971969194</x:v>
      </x:c>
      <x:c r="G73" s="38" t="n">
        <x:v>2.349508971</x:v>
      </x:c>
      <x:c r="H73" s="42" t="b">
        <x:v>0</x:v>
      </x:c>
      <x:c r="I73" s="42" t="b">
        <x:v>0</x:v>
      </x:c>
      <x:c r="J73" s="38" t="n">
        <x:v>0.2232091845</x:v>
      </x:c>
    </x:row>
    <x:row r="74" ht="19" customHeight="1">
      <x:c r="A74" s="29" t="str">
        <x:v>stagger_1</x:v>
      </x:c>
      <x:c r="B74" s="38" t="str">
        <x:v>VST</x:v>
      </x:c>
      <x:c r="C74" s="38" t="str">
        <x:v>Other sectors</x:v>
      </x:c>
      <x:c r="D74" s="30" t="n">
        <x:v>7</x:v>
      </x:c>
      <x:c r="E74" s="38" t="str">
        <x:v>XLRE</x:v>
      </x:c>
      <x:c r="F74" s="38" t="n">
        <x:v>-0.7610602595</x:v>
      </x:c>
      <x:c r="G74" s="38" t="n">
        <x:v>-2.2818071809</x:v>
      </x:c>
      <x:c r="H74" s="42" t="b">
        <x:v>0</x:v>
      </x:c>
      <x:c r="I74" s="42" t="b">
        <x:v>0</x:v>
      </x:c>
      <x:c r="J74" s="38" t="n">
        <x:v>0.2232091845</x:v>
      </x:c>
    </x:row>
    <x:row r="75" ht="19" customHeight="1">
      <x:c r="A75" s="29" t="str">
        <x:v>stagger_1</x:v>
      </x:c>
      <x:c r="B75" s="38" t="str">
        <x:v>VST</x:v>
      </x:c>
      <x:c r="C75" s="38" t="str">
        <x:v>Other sectors</x:v>
      </x:c>
      <x:c r="D75" s="30" t="n">
        <x:v>7</x:v>
      </x:c>
      <x:c r="E75" s="38" t="str">
        <x:v>XLV</x:v>
      </x:c>
      <x:c r="F75" s="38" t="n">
        <x:v>-0.8062522051</x:v>
      </x:c>
      <x:c r="G75" s="38" t="n">
        <x:v>-2.4573730925</x:v>
      </x:c>
      <x:c r="H75" s="42" t="b">
        <x:v>0</x:v>
      </x:c>
      <x:c r="I75" s="42" t="b">
        <x:v>0</x:v>
      </x:c>
      <x:c r="J75" s="38" t="n">
        <x:v>0.2232091845</x:v>
      </x:c>
    </x:row>
    <x:row r="76" ht="19" customHeight="1">
      <x:c r="A76" s="29" t="str">
        <x:v>stagger_1</x:v>
      </x:c>
      <x:c r="B76" s="38" t="str">
        <x:v>VST</x:v>
      </x:c>
      <x:c r="C76" s="38" t="str">
        <x:v>Other sectors</x:v>
      </x:c>
      <x:c r="D76" s="30" t="n">
        <x:v>8</x:v>
      </x:c>
      <x:c r="E76" s="38" t="str">
        <x:v>XLI</x:v>
      </x:c>
      <x:c r="F76" s="38" t="n">
        <x:v>0.8169156576</x:v>
      </x:c>
      <x:c r="G76" s="38" t="n">
        <x:v>2.1445020329</x:v>
      </x:c>
      <x:c r="H76" s="42" t="b">
        <x:v>0</x:v>
      </x:c>
      <x:c r="I76" s="42" t="b">
        <x:v>1</x:v>
      </x:c>
      <x:c r="J76" s="38" t="n">
        <x:v>0.2005404393</x:v>
      </x:c>
    </x:row>
    <x:row r="77" ht="19" customHeight="1">
      <x:c r="A77" s="29" t="str">
        <x:v>stagger_1</x:v>
      </x:c>
      <x:c r="B77" s="38" t="str">
        <x:v>VST</x:v>
      </x:c>
      <x:c r="C77" s="38" t="str">
        <x:v>Other sectors</x:v>
      </x:c>
      <x:c r="D77" s="30" t="n">
        <x:v>8</x:v>
      </x:c>
      <x:c r="E77" s="38" t="str">
        <x:v>XLRE</x:v>
      </x:c>
      <x:c r="F77" s="38" t="n">
        <x:v>-0.7542327724</x:v>
      </x:c>
      <x:c r="G77" s="38" t="n">
        <x:v>-2.2440722171</x:v>
      </x:c>
      <x:c r="H77" s="42" t="b">
        <x:v>0</x:v>
      </x:c>
      <x:c r="I77" s="42" t="b">
        <x:v>1</x:v>
      </x:c>
      <x:c r="J77" s="38" t="n">
        <x:v>0.2005404393</x:v>
      </x:c>
    </x:row>
    <x:row r="78" ht="19" customHeight="1">
      <x:c r="A78" s="29" t="str">
        <x:v>stagger_1</x:v>
      </x:c>
      <x:c r="B78" s="38" t="str">
        <x:v>VST</x:v>
      </x:c>
      <x:c r="C78" s="38" t="str">
        <x:v>Other sectors</x:v>
      </x:c>
      <x:c r="D78" s="30" t="n">
        <x:v>8</x:v>
      </x:c>
      <x:c r="E78" s="38" t="str">
        <x:v>XLV</x:v>
      </x:c>
      <x:c r="F78" s="38" t="n">
        <x:v>-0.799347608</x:v>
      </x:c>
      <x:c r="G78" s="38" t="n">
        <x:v>-2.4177409207</x:v>
      </x:c>
      <x:c r="H78" s="42" t="b">
        <x:v>0</x:v>
      </x:c>
      <x:c r="I78" s="42" t="b">
        <x:v>1</x:v>
      </x:c>
      <x:c r="J78" s="38" t="n">
        <x:v>0.2005404393</x:v>
      </x:c>
    </x:row>
    <x:row r="79" ht="19" customHeight="1">
      <x:c r="A79" s="29" t="str">
        <x:v>stagger_1</x:v>
      </x:c>
      <x:c r="B79" s="38" t="str">
        <x:v>VIST</x:v>
      </x:c>
      <x:c r="C79" s="38" t="str">
        <x:v>Other FX</x:v>
      </x:c>
      <x:c r="D79" s="30" t="n">
        <x:v>1</x:v>
      </x:c>
      <x:c r="E79" s="38" t="str">
        <x:v>AUD/USD</x:v>
      </x:c>
      <x:c r="F79" s="38" t="n">
        <x:v>0.3175500663</x:v>
      </x:c>
      <x:c r="G79" s="38" t="n">
        <x:v>0.3163526808</x:v>
      </x:c>
      <x:c r="H79" s="42" t="b">
        <x:v>0</x:v>
      </x:c>
      <x:c r="I79" s="42" t="b">
        <x:v>0</x:v>
      </x:c>
      <x:c r="J79" s="38" t="n">
        <x:v>0.0356797537</x:v>
      </x:c>
    </x:row>
    <x:row r="80" ht="19" customHeight="1">
      <x:c r="A80" s="29" t="str">
        <x:v>stagger_1</x:v>
      </x:c>
      <x:c r="B80" s="38" t="str">
        <x:v>VIST</x:v>
      </x:c>
      <x:c r="C80" s="38" t="str">
        <x:v>Other FX</x:v>
      </x:c>
      <x:c r="D80" s="30" t="n">
        <x:v>1</x:v>
      </x:c>
      <x:c r="E80" s="38" t="str">
        <x:v>CAD/USD</x:v>
      </x:c>
      <x:c r="F80" s="38" t="n">
        <x:v>1.6119066072</x:v>
      </x:c>
      <x:c r="G80" s="38" t="n">
        <x:v>1.306503911</x:v>
      </x:c>
      <x:c r="H80" s="42" t="b">
        <x:v>0</x:v>
      </x:c>
      <x:c r="I80" s="42" t="b">
        <x:v>0</x:v>
      </x:c>
      <x:c r="J80" s="38" t="n">
        <x:v>0.0356797537</x:v>
      </x:c>
    </x:row>
    <x:row r="81" ht="19" customHeight="1">
      <x:c r="A81" s="29" t="str">
        <x:v>stagger_1</x:v>
      </x:c>
      <x:c r="B81" s="38" t="str">
        <x:v>VIST</x:v>
      </x:c>
      <x:c r="C81" s="38" t="str">
        <x:v>Other FX</x:v>
      </x:c>
      <x:c r="D81" s="30" t="n">
        <x:v>1</x:v>
      </x:c>
      <x:c r="E81" s="38" t="str">
        <x:v>DKK/USD</x:v>
      </x:c>
      <x:c r="F81" s="38" t="n">
        <x:v>-5.0307291112</x:v>
      </x:c>
      <x:c r="G81" s="38" t="n">
        <x:v>-0.6143700563</x:v>
      </x:c>
      <x:c r="H81" s="42" t="b">
        <x:v>0</x:v>
      </x:c>
      <x:c r="I81" s="42" t="b">
        <x:v>0</x:v>
      </x:c>
      <x:c r="J81" s="38" t="n">
        <x:v>0.0356797537</x:v>
      </x:c>
    </x:row>
    <x:row r="82" ht="19" customHeight="1">
      <x:c r="A82" s="29" t="str">
        <x:v>stagger_1</x:v>
      </x:c>
      <x:c r="B82" s="38" t="str">
        <x:v>VIST</x:v>
      </x:c>
      <x:c r="C82" s="38" t="str">
        <x:v>Other FX</x:v>
      </x:c>
      <x:c r="D82" s="30" t="n">
        <x:v>1</x:v>
      </x:c>
      <x:c r="E82" s="38" t="str">
        <x:v>EUR/USD</x:v>
      </x:c>
      <x:c r="F82" s="38" t="n">
        <x:v>3.8006161502</x:v>
      </x:c>
      <x:c r="G82" s="38" t="n">
        <x:v>0.501304672</x:v>
      </x:c>
      <x:c r="H82" s="42" t="b">
        <x:v>0</x:v>
      </x:c>
      <x:c r="I82" s="42" t="b">
        <x:v>0</x:v>
      </x:c>
      <x:c r="J82" s="38" t="n">
        <x:v>0.0356797537</x:v>
      </x:c>
    </x:row>
    <x:row r="83" ht="19" customHeight="1">
      <x:c r="A83" s="29" t="str">
        <x:v>stagger_1</x:v>
      </x:c>
      <x:c r="B83" s="38" t="str">
        <x:v>VIST</x:v>
      </x:c>
      <x:c r="C83" s="38" t="str">
        <x:v>Other FX</x:v>
      </x:c>
      <x:c r="D83" s="30" t="n">
        <x:v>1</x:v>
      </x:c>
      <x:c r="E83" s="38" t="str">
        <x:v>SGD/USD</x:v>
      </x:c>
      <x:c r="F83" s="38" t="n">
        <x:v>-0.5648209103</x:v>
      </x:c>
      <x:c r="G83" s="38" t="n">
        <x:v>-0.2296123874</x:v>
      </x:c>
      <x:c r="H83" s="42" t="b">
        <x:v>1</x:v>
      </x:c>
      <x:c r="I83" s="42" t="b">
        <x:v>0</x:v>
      </x:c>
      <x:c r="J83" s="38" t="n">
        <x:v>0.0356797537</x:v>
      </x:c>
    </x:row>
    <x:row r="84" ht="19" customHeight="1">
      <x:c r="A84" s="29" t="str">
        <x:v>stagger_1</x:v>
      </x:c>
      <x:c r="B84" s="38" t="str">
        <x:v>VIST</x:v>
      </x:c>
      <x:c r="C84" s="38" t="str">
        <x:v>Other FX</x:v>
      </x:c>
      <x:c r="D84" s="30" t="n">
        <x:v>2</x:v>
      </x:c>
      <x:c r="E84" s="38" t="str">
        <x:v>AUD/USD</x:v>
      </x:c>
      <x:c r="F84" s="38" t="n">
        <x:v>0.2129827366</x:v>
      </x:c>
      <x:c r="G84" s="38" t="n">
        <x:v>0.2396120009</x:v>
      </x:c>
      <x:c r="H84" s="42" t="b">
        <x:v>1</x:v>
      </x:c>
      <x:c r="I84" s="42" t="b">
        <x:v>0</x:v>
      </x:c>
      <x:c r="J84" s="38" t="n">
        <x:v>0.0349927166</x:v>
      </x:c>
    </x:row>
    <x:row r="85" ht="19" customHeight="1">
      <x:c r="A85" s="29" t="str">
        <x:v>stagger_1</x:v>
      </x:c>
      <x:c r="B85" s="38" t="str">
        <x:v>VIST</x:v>
      </x:c>
      <x:c r="C85" s="38" t="str">
        <x:v>Other FX</x:v>
      </x:c>
      <x:c r="D85" s="30" t="n">
        <x:v>2</x:v>
      </x:c>
      <x:c r="E85" s="38" t="str">
        <x:v>CAD/USD</x:v>
      </x:c>
      <x:c r="F85" s="38" t="n">
        <x:v>1.6105945787</x:v>
      </x:c>
      <x:c r="G85" s="38" t="n">
        <x:v>1.3137775862</x:v>
      </x:c>
      <x:c r="H85" s="42" t="b">
        <x:v>0</x:v>
      </x:c>
      <x:c r="I85" s="42" t="b">
        <x:v>0</x:v>
      </x:c>
      <x:c r="J85" s="38" t="n">
        <x:v>0.0349927166</x:v>
      </x:c>
    </x:row>
    <x:row r="86" ht="19" customHeight="1">
      <x:c r="A86" s="29" t="str">
        <x:v>stagger_1</x:v>
      </x:c>
      <x:c r="B86" s="38" t="str">
        <x:v>VIST</x:v>
      </x:c>
      <x:c r="C86" s="38" t="str">
        <x:v>Other FX</x:v>
      </x:c>
      <x:c r="D86" s="30" t="n">
        <x:v>2</x:v>
      </x:c>
      <x:c r="E86" s="38" t="str">
        <x:v>DKK/USD</x:v>
      </x:c>
      <x:c r="F86" s="38" t="n">
        <x:v>-5.7282798941</x:v>
      </x:c>
      <x:c r="G86" s="38" t="n">
        <x:v>-0.7581241284</x:v>
      </x:c>
      <x:c r="H86" s="42" t="b">
        <x:v>0</x:v>
      </x:c>
      <x:c r="I86" s="42" t="b">
        <x:v>0</x:v>
      </x:c>
      <x:c r="J86" s="38" t="n">
        <x:v>0.0349927166</x:v>
      </x:c>
    </x:row>
    <x:row r="87" ht="19" customHeight="1">
      <x:c r="A87" s="29" t="str">
        <x:v>stagger_1</x:v>
      </x:c>
      <x:c r="B87" s="38" t="str">
        <x:v>VIST</x:v>
      </x:c>
      <x:c r="C87" s="38" t="str">
        <x:v>Other FX</x:v>
      </x:c>
      <x:c r="D87" s="30" t="n">
        <x:v>2</x:v>
      </x:c>
      <x:c r="E87" s="38" t="str">
        <x:v>EUR/USD</x:v>
      </x:c>
      <x:c r="F87" s="38" t="n">
        <x:v>4.2901698787</x:v>
      </x:c>
      <x:c r="G87" s="38" t="n">
        <x:v>0.5934348807</x:v>
      </x:c>
      <x:c r="H87" s="42" t="b">
        <x:v>0</x:v>
      </x:c>
      <x:c r="I87" s="42" t="b">
        <x:v>0</x:v>
      </x:c>
      <x:c r="J87" s="38" t="n">
        <x:v>0.0349927166</x:v>
      </x:c>
    </x:row>
    <x:row r="88" ht="19" customHeight="1">
      <x:c r="A88" s="29" t="str">
        <x:v>stagger_1</x:v>
      </x:c>
      <x:c r="B88" s="38" t="str">
        <x:v>VIST</x:v>
      </x:c>
      <x:c r="C88" s="38" t="str">
        <x:v>Other FX</x:v>
      </x:c>
      <x:c r="D88" s="30" t="n">
        <x:v>3</x:v>
      </x:c>
      <x:c r="E88" s="38" t="str">
        <x:v>CAD/USD</x:v>
      </x:c>
      <x:c r="F88" s="38" t="n">
        <x:v>1.6917037552</x:v>
      </x:c>
      <x:c r="G88" s="38" t="n">
        <x:v>1.4447437091</x:v>
      </x:c>
      <x:c r="H88" s="42" t="b">
        <x:v>0</x:v>
      </x:c>
      <x:c r="I88" s="42" t="b">
        <x:v>0</x:v>
      </x:c>
      <x:c r="J88" s="38" t="n">
        <x:v>0.0342539853</x:v>
      </x:c>
    </x:row>
    <x:row r="89" ht="19" customHeight="1">
      <x:c r="A89" s="29" t="str">
        <x:v>stagger_1</x:v>
      </x:c>
      <x:c r="B89" s="38" t="str">
        <x:v>VIST</x:v>
      </x:c>
      <x:c r="C89" s="38" t="str">
        <x:v>Other FX</x:v>
      </x:c>
      <x:c r="D89" s="30" t="n">
        <x:v>3</x:v>
      </x:c>
      <x:c r="E89" s="38" t="str">
        <x:v>DKK/USD</x:v>
      </x:c>
      <x:c r="F89" s="38" t="n">
        <x:v>-5.238373145</x:v>
      </x:c>
      <x:c r="G89" s="38" t="n">
        <x:v>-0.7246606375</x:v>
      </x:c>
      <x:c r="H89" s="42" t="b">
        <x:v>0</x:v>
      </x:c>
      <x:c r="I89" s="42" t="b">
        <x:v>0</x:v>
      </x:c>
      <x:c r="J89" s="38" t="n">
        <x:v>0.0342539853</x:v>
      </x:c>
    </x:row>
    <x:row r="90" ht="19" customHeight="1">
      <x:c r="A90" s="29" t="str">
        <x:v>stagger_1</x:v>
      </x:c>
      <x:c r="B90" s="38" t="str">
        <x:v>VIST</x:v>
      </x:c>
      <x:c r="C90" s="38" t="str">
        <x:v>Other FX</x:v>
      </x:c>
      <x:c r="D90" s="30" t="n">
        <x:v>3</x:v>
      </x:c>
      <x:c r="E90" s="38" t="str">
        <x:v>EUR/USD</x:v>
      </x:c>
      <x:c r="F90" s="38" t="n">
        <x:v>3.931514406</x:v>
      </x:c>
      <x:c r="G90" s="38" t="n">
        <x:v>0.5593486186</x:v>
      </x:c>
      <x:c r="H90" s="42" t="b">
        <x:v>1</x:v>
      </x:c>
      <x:c r="I90" s="42" t="b">
        <x:v>0</x:v>
      </x:c>
      <x:c r="J90" s="38" t="n">
        <x:v>0.0342539853</x:v>
      </x:c>
    </x:row>
    <x:row r="91" ht="19" customHeight="1">
      <x:c r="A91" s="29" t="str">
        <x:v>stagger_1</x:v>
      </x:c>
      <x:c r="B91" s="38" t="str">
        <x:v>VIST</x:v>
      </x:c>
      <x:c r="C91" s="38" t="str">
        <x:v>Other FX</x:v>
      </x:c>
      <x:c r="D91" s="30" t="n">
        <x:v>4</x:v>
      </x:c>
      <x:c r="E91" s="38" t="str">
        <x:v>CAD/USD</x:v>
      </x:c>
      <x:c r="F91" s="38" t="n">
        <x:v>1.6092033539</x:v>
      </x:c>
      <x:c r="G91" s="38" t="n">
        <x:v>1.3915437894</x:v>
      </x:c>
      <x:c r="H91" s="42" t="b">
        <x:v>0</x:v>
      </x:c>
      <x:c r="I91" s="42" t="b">
        <x:v>0</x:v>
      </x:c>
      <x:c r="J91" s="38" t="n">
        <x:v>0.0302782774</x:v>
      </x:c>
    </x:row>
    <x:row r="92" ht="19" customHeight="1">
      <x:c r="A92" s="29" t="str">
        <x:v>stagger_1</x:v>
      </x:c>
      <x:c r="B92" s="38" t="str">
        <x:v>VIST</x:v>
      </x:c>
      <x:c r="C92" s="38" t="str">
        <x:v>Other FX</x:v>
      </x:c>
      <x:c r="D92" s="30" t="n">
        <x:v>4</x:v>
      </x:c>
      <x:c r="E92" s="38" t="str">
        <x:v>DKK/USD</x:v>
      </x:c>
      <x:c r="F92" s="38" t="n">
        <x:v>-1.2266721992</x:v>
      </x:c>
      <x:c r="G92" s="38" t="n">
        <x:v>-1.3644297709</x:v>
      </x:c>
      <x:c r="H92" s="42" t="b">
        <x:v>1</x:v>
      </x:c>
      <x:c r="I92" s="42" t="b">
        <x:v>0</x:v>
      </x:c>
      <x:c r="J92" s="38" t="n">
        <x:v>0.0302782774</x:v>
      </x:c>
    </x:row>
    <x:row r="93" ht="19" customHeight="1">
      <x:c r="A93" s="29" t="str">
        <x:v>stagger_1</x:v>
      </x:c>
      <x:c r="B93" s="38" t="str">
        <x:v>VIST</x:v>
      </x:c>
      <x:c r="C93" s="38" t="str">
        <x:v>Other FX</x:v>
      </x:c>
      <x:c r="D93" s="30" t="n">
        <x:v>5</x:v>
      </x:c>
      <x:c r="E93" s="38" t="str">
        <x:v>CAD/USD</x:v>
      </x:c>
      <x:c r="F93" s="38" t="n">
        <x:v>0.6937847947</x:v>
      </x:c>
      <x:c r="G93" s="38" t="n">
        <x:v>0.732547858</x:v>
      </x:c>
      <x:c r="H93" s="42" t="b">
        <x:v>1</x:v>
      </x:c>
      <x:c r="I93" s="42" t="b">
        <x:v>0</x:v>
      </x:c>
      <x:c r="J93" s="38" t="n">
        <x:v>0.0068328166</x:v>
      </x:c>
    </x:row>
    <x:row r="94" ht="19" customHeight="1">
      <x:c r="A94" s="29" t="str">
        <x:v>stagger_1</x:v>
      </x:c>
      <x:c r="B94" s="38" t="str">
        <x:v>VIST</x:v>
      </x:c>
      <x:c r="C94" s="38" t="str">
        <x:v>Other sectors</x:v>
      </x:c>
      <x:c r="D94" s="30" t="n">
        <x:v>1</x:v>
      </x:c>
      <x:c r="E94" s="38" t="str">
        <x:v>XLB</x:v>
      </x:c>
      <x:c r="F94" s="38" t="n">
        <x:v>0.0815163206</x:v>
      </x:c>
      <x:c r="G94" s="38" t="n">
        <x:v>0.1556155525</x:v>
      </x:c>
      <x:c r="H94" s="42" t="b">
        <x:v>1</x:v>
      </x:c>
      <x:c r="I94" s="42" t="b">
        <x:v>0</x:v>
      </x:c>
      <x:c r="J94" s="38" t="n">
        <x:v>0.1602916728</x:v>
      </x:c>
    </x:row>
    <x:row r="95" ht="19" customHeight="1">
      <x:c r="A95" s="29" t="str">
        <x:v>stagger_1</x:v>
      </x:c>
      <x:c r="B95" s="38" t="str">
        <x:v>VIST</x:v>
      </x:c>
      <x:c r="C95" s="38" t="str">
        <x:v>Other sectors</x:v>
      </x:c>
      <x:c r="D95" s="30" t="n">
        <x:v>1</x:v>
      </x:c>
      <x:c r="E95" s="38" t="str">
        <x:v>XLC</x:v>
      </x:c>
      <x:c r="F95" s="38" t="n">
        <x:v>-1.0491329777</x:v>
      </x:c>
      <x:c r="G95" s="38" t="n">
        <x:v>-2.0494598073</x:v>
      </x:c>
      <x:c r="H95" s="42" t="b">
        <x:v>0</x:v>
      </x:c>
      <x:c r="I95" s="42" t="b">
        <x:v>0</x:v>
      </x:c>
      <x:c r="J95" s="38" t="n">
        <x:v>0.1602916728</x:v>
      </x:c>
    </x:row>
    <x:row r="96" ht="19" customHeight="1">
      <x:c r="A96" s="29" t="str">
        <x:v>stagger_1</x:v>
      </x:c>
      <x:c r="B96" s="38" t="str">
        <x:v>VIST</x:v>
      </x:c>
      <x:c r="C96" s="38" t="str">
        <x:v>Other sectors</x:v>
      </x:c>
      <x:c r="D96" s="30" t="n">
        <x:v>1</x:v>
      </x:c>
      <x:c r="E96" s="38" t="str">
        <x:v>XLF</x:v>
      </x:c>
      <x:c r="F96" s="38" t="n">
        <x:v>-0.669058785</x:v>
      </x:c>
      <x:c r="G96" s="38" t="n">
        <x:v>-1.1729026085</x:v>
      </x:c>
      <x:c r="H96" s="42" t="b">
        <x:v>0</x:v>
      </x:c>
      <x:c r="I96" s="42" t="b">
        <x:v>0</x:v>
      </x:c>
      <x:c r="J96" s="38" t="n">
        <x:v>0.1602916728</x:v>
      </x:c>
    </x:row>
    <x:row r="97" ht="19" customHeight="1">
      <x:c r="A97" s="29" t="str">
        <x:v>stagger_1</x:v>
      </x:c>
      <x:c r="B97" s="38" t="str">
        <x:v>VIST</x:v>
      </x:c>
      <x:c r="C97" s="38" t="str">
        <x:v>Other sectors</x:v>
      </x:c>
      <x:c r="D97" s="30" t="n">
        <x:v>1</x:v>
      </x:c>
      <x:c r="E97" s="38" t="str">
        <x:v>XLI</x:v>
      </x:c>
      <x:c r="F97" s="38" t="n">
        <x:v>-0.3256039758</x:v>
      </x:c>
      <x:c r="G97" s="38" t="n">
        <x:v>-0.4738668796</x:v>
      </x:c>
      <x:c r="H97" s="42" t="b">
        <x:v>0</x:v>
      </x:c>
      <x:c r="I97" s="42" t="b">
        <x:v>0</x:v>
      </x:c>
      <x:c r="J97" s="38" t="n">
        <x:v>0.1602916728</x:v>
      </x:c>
    </x:row>
    <x:row r="98" ht="19" customHeight="1">
      <x:c r="A98" s="29" t="str">
        <x:v>stagger_1</x:v>
      </x:c>
      <x:c r="B98" s="38" t="str">
        <x:v>VIST</x:v>
      </x:c>
      <x:c r="C98" s="38" t="str">
        <x:v>Other sectors</x:v>
      </x:c>
      <x:c r="D98" s="30" t="n">
        <x:v>1</x:v>
      </x:c>
      <x:c r="E98" s="38" t="str">
        <x:v>XLK</x:v>
      </x:c>
      <x:c r="F98" s="38" t="n">
        <x:v>-0.8311494789</x:v>
      </x:c>
      <x:c r="G98" s="38" t="n">
        <x:v>-1.0766204049</x:v>
      </x:c>
      <x:c r="H98" s="42" t="b">
        <x:v>0</x:v>
      </x:c>
      <x:c r="I98" s="42" t="b">
        <x:v>0</x:v>
      </x:c>
      <x:c r="J98" s="38" t="n">
        <x:v>0.1602916728</x:v>
      </x:c>
    </x:row>
    <x:row r="99" ht="19" customHeight="1">
      <x:c r="A99" s="29" t="str">
        <x:v>stagger_1</x:v>
      </x:c>
      <x:c r="B99" s="38" t="str">
        <x:v>VIST</x:v>
      </x:c>
      <x:c r="C99" s="38" t="str">
        <x:v>Other sectors</x:v>
      </x:c>
      <x:c r="D99" s="30" t="n">
        <x:v>1</x:v>
      </x:c>
      <x:c r="E99" s="38" t="str">
        <x:v>XLP</x:v>
      </x:c>
      <x:c r="F99" s="38" t="n">
        <x:v>-0.2501172596</x:v>
      </x:c>
      <x:c r="G99" s="38" t="n">
        <x:v>-0.4402075954</x:v>
      </x:c>
      <x:c r="H99" s="42" t="b">
        <x:v>0</x:v>
      </x:c>
      <x:c r="I99" s="42" t="b">
        <x:v>0</x:v>
      </x:c>
      <x:c r="J99" s="38" t="n">
        <x:v>0.1602916728</x:v>
      </x:c>
    </x:row>
    <x:row r="100" ht="19" customHeight="1">
      <x:c r="A100" s="29" t="str">
        <x:v>stagger_1</x:v>
      </x:c>
      <x:c r="B100" s="38" t="str">
        <x:v>VIST</x:v>
      </x:c>
      <x:c r="C100" s="38" t="str">
        <x:v>Other sectors</x:v>
      </x:c>
      <x:c r="D100" s="30" t="n">
        <x:v>1</x:v>
      </x:c>
      <x:c r="E100" s="38" t="str">
        <x:v>XLRE</x:v>
      </x:c>
      <x:c r="F100" s="38" t="n">
        <x:v>-0.3695569972</x:v>
      </x:c>
      <x:c r="G100" s="38" t="n">
        <x:v>-0.807177246</x:v>
      </x:c>
      <x:c r="H100" s="42" t="b">
        <x:v>0</x:v>
      </x:c>
      <x:c r="I100" s="42" t="b">
        <x:v>0</x:v>
      </x:c>
      <x:c r="J100" s="38" t="n">
        <x:v>0.1602916728</x:v>
      </x:c>
    </x:row>
    <x:row r="101" ht="19" customHeight="1">
      <x:c r="A101" s="29" t="str">
        <x:v>stagger_1</x:v>
      </x:c>
      <x:c r="B101" s="38" t="str">
        <x:v>VIST</x:v>
      </x:c>
      <x:c r="C101" s="38" t="str">
        <x:v>Other sectors</x:v>
      </x:c>
      <x:c r="D101" s="30" t="n">
        <x:v>1</x:v>
      </x:c>
      <x:c r="E101" s="38" t="str">
        <x:v>XLU</x:v>
      </x:c>
      <x:c r="F101" s="38" t="n">
        <x:v>-0.064856941</x:v>
      </x:c>
      <x:c r="G101" s="38" t="n">
        <x:v>-0.1813800176</x:v>
      </x:c>
      <x:c r="H101" s="42" t="b">
        <x:v>0</x:v>
      </x:c>
      <x:c r="I101" s="42" t="b">
        <x:v>0</x:v>
      </x:c>
      <x:c r="J101" s="38" t="n">
        <x:v>0.1602916728</x:v>
      </x:c>
    </x:row>
    <x:row r="102" ht="19" customHeight="1">
      <x:c r="A102" s="29" t="str">
        <x:v>stagger_1</x:v>
      </x:c>
      <x:c r="B102" s="38" t="str">
        <x:v>VIST</x:v>
      </x:c>
      <x:c r="C102" s="38" t="str">
        <x:v>Other sectors</x:v>
      </x:c>
      <x:c r="D102" s="30" t="n">
        <x:v>1</x:v>
      </x:c>
      <x:c r="E102" s="38" t="str">
        <x:v>XLV</x:v>
      </x:c>
      <x:c r="F102" s="38" t="n">
        <x:v>-0.7866892237</x:v>
      </x:c>
      <x:c r="G102" s="38" t="n">
        <x:v>-1.6667670736</x:v>
      </x:c>
      <x:c r="H102" s="42" t="b">
        <x:v>0</x:v>
      </x:c>
      <x:c r="I102" s="42" t="b">
        <x:v>0</x:v>
      </x:c>
      <x:c r="J102" s="38" t="n">
        <x:v>0.1602916728</x:v>
      </x:c>
    </x:row>
    <x:row r="103" ht="19" customHeight="1">
      <x:c r="A103" s="29" t="str">
        <x:v>stagger_1</x:v>
      </x:c>
      <x:c r="B103" s="38" t="str">
        <x:v>VIST</x:v>
      </x:c>
      <x:c r="C103" s="38" t="str">
        <x:v>Other sectors</x:v>
      </x:c>
      <x:c r="D103" s="30" t="n">
        <x:v>1</x:v>
      </x:c>
      <x:c r="E103" s="38" t="str">
        <x:v>XLY</x:v>
      </x:c>
      <x:c r="F103" s="38" t="n">
        <x:v>0.1810473907</x:v>
      </x:c>
      <x:c r="G103" s="38" t="n">
        <x:v>0.3653923671</x:v>
      </x:c>
      <x:c r="H103" s="42" t="b">
        <x:v>0</x:v>
      </x:c>
      <x:c r="I103" s="42" t="b">
        <x:v>0</x:v>
      </x:c>
      <x:c r="J103" s="38" t="n">
        <x:v>0.1602916728</x:v>
      </x:c>
    </x:row>
    <x:row r="104" ht="19" customHeight="1">
      <x:c r="A104" s="29" t="str">
        <x:v>stagger_1</x:v>
      </x:c>
      <x:c r="B104" s="38" t="str">
        <x:v>VIST</x:v>
      </x:c>
      <x:c r="C104" s="38" t="str">
        <x:v>Other sectors</x:v>
      </x:c>
      <x:c r="D104" s="30" t="n">
        <x:v>2</x:v>
      </x:c>
      <x:c r="E104" s="38" t="str">
        <x:v>XLC</x:v>
      </x:c>
      <x:c r="F104" s="38" t="n">
        <x:v>-1.0515015414</x:v>
      </x:c>
      <x:c r="G104" s="38" t="n">
        <x:v>-2.0694699046</x:v>
      </x:c>
      <x:c r="H104" s="42" t="b">
        <x:v>0</x:v>
      </x:c>
      <x:c r="I104" s="42" t="b">
        <x:v>0</x:v>
      </x:c>
      <x:c r="J104" s="38" t="n">
        <x:v>0.1599969693</x:v>
      </x:c>
    </x:row>
    <x:row r="105" ht="19" customHeight="1">
      <x:c r="A105" s="29" t="str">
        <x:v>stagger_1</x:v>
      </x:c>
      <x:c r="B105" s="38" t="str">
        <x:v>VIST</x:v>
      </x:c>
      <x:c r="C105" s="38" t="str">
        <x:v>Other sectors</x:v>
      </x:c>
      <x:c r="D105" s="30" t="n">
        <x:v>2</x:v>
      </x:c>
      <x:c r="E105" s="38" t="str">
        <x:v>XLF</x:v>
      </x:c>
      <x:c r="F105" s="38" t="n">
        <x:v>-0.6655288029</x:v>
      </x:c>
      <x:c r="G105" s="38" t="n">
        <x:v>-1.1758623126</x:v>
      </x:c>
      <x:c r="H105" s="42" t="b">
        <x:v>0</x:v>
      </x:c>
      <x:c r="I105" s="42" t="b">
        <x:v>0</x:v>
      </x:c>
      <x:c r="J105" s="38" t="n">
        <x:v>0.1599969693</x:v>
      </x:c>
    </x:row>
    <x:row r="106" ht="19" customHeight="1">
      <x:c r="A106" s="29" t="str">
        <x:v>stagger_1</x:v>
      </x:c>
      <x:c r="B106" s="38" t="str">
        <x:v>VIST</x:v>
      </x:c>
      <x:c r="C106" s="38" t="str">
        <x:v>Other sectors</x:v>
      </x:c>
      <x:c r="D106" s="30" t="n">
        <x:v>2</x:v>
      </x:c>
      <x:c r="E106" s="38" t="str">
        <x:v>XLI</x:v>
      </x:c>
      <x:c r="F106" s="38" t="n">
        <x:v>-0.2521477785</x:v>
      </x:c>
      <x:c r="G106" s="38" t="n">
        <x:v>-0.5085425392</x:v>
      </x:c>
      <x:c r="H106" s="42" t="b">
        <x:v>0</x:v>
      </x:c>
      <x:c r="I106" s="42" t="b">
        <x:v>0</x:v>
      </x:c>
      <x:c r="J106" s="38" t="n">
        <x:v>0.1599969693</x:v>
      </x:c>
    </x:row>
    <x:row r="107" ht="19" customHeight="1">
      <x:c r="A107" s="29" t="str">
        <x:v>stagger_1</x:v>
      </x:c>
      <x:c r="B107" s="38" t="str">
        <x:v>VIST</x:v>
      </x:c>
      <x:c r="C107" s="38" t="str">
        <x:v>Other sectors</x:v>
      </x:c>
      <x:c r="D107" s="30" t="n">
        <x:v>2</x:v>
      </x:c>
      <x:c r="E107" s="38" t="str">
        <x:v>XLK</x:v>
      </x:c>
      <x:c r="F107" s="38" t="n">
        <x:v>-0.8453861587</x:v>
      </x:c>
      <x:c r="G107" s="38" t="n">
        <x:v>-1.1106009101</x:v>
      </x:c>
      <x:c r="H107" s="42" t="b">
        <x:v>0</x:v>
      </x:c>
      <x:c r="I107" s="42" t="b">
        <x:v>0</x:v>
      </x:c>
      <x:c r="J107" s="38" t="n">
        <x:v>0.1599969693</x:v>
      </x:c>
    </x:row>
    <x:row r="108" ht="19" customHeight="1">
      <x:c r="A108" s="29" t="str">
        <x:v>stagger_1</x:v>
      </x:c>
      <x:c r="B108" s="38" t="str">
        <x:v>VIST</x:v>
      </x:c>
      <x:c r="C108" s="38" t="str">
        <x:v>Other sectors</x:v>
      </x:c>
      <x:c r="D108" s="30" t="n">
        <x:v>2</x:v>
      </x:c>
      <x:c r="E108" s="38" t="str">
        <x:v>XLP</x:v>
      </x:c>
      <x:c r="F108" s="38" t="n">
        <x:v>-0.2445361794</x:v>
      </x:c>
      <x:c r="G108" s="38" t="n">
        <x:v>-0.4342823618</x:v>
      </x:c>
      <x:c r="H108" s="42" t="b">
        <x:v>0</x:v>
      </x:c>
      <x:c r="I108" s="42" t="b">
        <x:v>0</x:v>
      </x:c>
      <x:c r="J108" s="38" t="n">
        <x:v>0.1599969693</x:v>
      </x:c>
    </x:row>
    <x:row r="109" ht="19" customHeight="1">
      <x:c r="A109" s="29" t="str">
        <x:v>stagger_1</x:v>
      </x:c>
      <x:c r="B109" s="38" t="str">
        <x:v>VIST</x:v>
      </x:c>
      <x:c r="C109" s="38" t="str">
        <x:v>Other sectors</x:v>
      </x:c>
      <x:c r="D109" s="30" t="n">
        <x:v>2</x:v>
      </x:c>
      <x:c r="E109" s="38" t="str">
        <x:v>XLRE</x:v>
      </x:c>
      <x:c r="F109" s="38" t="n">
        <x:v>-0.3602828617</x:v>
      </x:c>
      <x:c r="G109" s="38" t="n">
        <x:v>-0.7992639647</x:v>
      </x:c>
      <x:c r="H109" s="42" t="b">
        <x:v>0</x:v>
      </x:c>
      <x:c r="I109" s="42" t="b">
        <x:v>0</x:v>
      </x:c>
      <x:c r="J109" s="38" t="n">
        <x:v>0.1599969693</x:v>
      </x:c>
    </x:row>
    <x:row r="110" ht="19" customHeight="1">
      <x:c r="A110" s="29" t="str">
        <x:v>stagger_1</x:v>
      </x:c>
      <x:c r="B110" s="38" t="str">
        <x:v>VIST</x:v>
      </x:c>
      <x:c r="C110" s="38" t="str">
        <x:v>Other sectors</x:v>
      </x:c>
      <x:c r="D110" s="30" t="n">
        <x:v>2</x:v>
      </x:c>
      <x:c r="E110" s="38" t="str">
        <x:v>XLU</x:v>
      </x:c>
      <x:c r="F110" s="38" t="n">
        <x:v>-0.0651611036</x:v>
      </x:c>
      <x:c r="G110" s="38" t="n">
        <x:v>-0.1835169472</x:v>
      </x:c>
      <x:c r="H110" s="42" t="b">
        <x:v>1</x:v>
      </x:c>
      <x:c r="I110" s="42" t="b">
        <x:v>0</x:v>
      </x:c>
      <x:c r="J110" s="38" t="n">
        <x:v>0.1599969693</x:v>
      </x:c>
    </x:row>
    <x:row r="111" ht="19" customHeight="1">
      <x:c r="A111" s="29" t="str">
        <x:v>stagger_1</x:v>
      </x:c>
      <x:c r="B111" s="38" t="str">
        <x:v>VIST</x:v>
      </x:c>
      <x:c r="C111" s="38" t="str">
        <x:v>Other sectors</x:v>
      </x:c>
      <x:c r="D111" s="30" t="n">
        <x:v>2</x:v>
      </x:c>
      <x:c r="E111" s="38" t="str">
        <x:v>XLV</x:v>
      </x:c>
      <x:c r="F111" s="38" t="n">
        <x:v>-0.7852110386</x:v>
      </x:c>
      <x:c r="G111" s="38" t="n">
        <x:v>-1.675692618</x:v>
      </x:c>
      <x:c r="H111" s="42" t="b">
        <x:v>0</x:v>
      </x:c>
      <x:c r="I111" s="42" t="b">
        <x:v>0</x:v>
      </x:c>
      <x:c r="J111" s="38" t="n">
        <x:v>0.1599969693</x:v>
      </x:c>
    </x:row>
    <x:row r="112" ht="19" customHeight="1">
      <x:c r="A112" s="29" t="str">
        <x:v>stagger_1</x:v>
      </x:c>
      <x:c r="B112" s="38" t="str">
        <x:v>VIST</x:v>
      </x:c>
      <x:c r="C112" s="38" t="str">
        <x:v>Other sectors</x:v>
      </x:c>
      <x:c r="D112" s="30" t="n">
        <x:v>2</x:v>
      </x:c>
      <x:c r="E112" s="38" t="str">
        <x:v>XLY</x:v>
      </x:c>
      <x:c r="F112" s="38" t="n">
        <x:v>0.179870828</x:v>
      </x:c>
      <x:c r="G112" s="38" t="n">
        <x:v>0.3656173355</x:v>
      </x:c>
      <x:c r="H112" s="42" t="b">
        <x:v>0</x:v>
      </x:c>
      <x:c r="I112" s="42" t="b">
        <x:v>0</x:v>
      </x:c>
      <x:c r="J112" s="38" t="n">
        <x:v>0.1599969693</x:v>
      </x:c>
    </x:row>
    <x:row r="113" ht="19" customHeight="1">
      <x:c r="A113" s="29" t="str">
        <x:v>stagger_1</x:v>
      </x:c>
      <x:c r="B113" s="38" t="str">
        <x:v>VIST</x:v>
      </x:c>
      <x:c r="C113" s="38" t="str">
        <x:v>Other sectors</x:v>
      </x:c>
      <x:c r="D113" s="30" t="n">
        <x:v>3</x:v>
      </x:c>
      <x:c r="E113" s="38" t="str">
        <x:v>XLC</x:v>
      </x:c>
      <x:c r="F113" s="38" t="n">
        <x:v>-1.0323904325</x:v>
      </x:c>
      <x:c r="G113" s="38" t="n">
        <x:v>-2.0901989527</x:v>
      </x:c>
      <x:c r="H113" s="42" t="b">
        <x:v>0</x:v>
      </x:c>
      <x:c r="I113" s="42" t="b">
        <x:v>0</x:v>
      </x:c>
      <x:c r="J113" s="38" t="n">
        <x:v>0.1595928262</x:v>
      </x:c>
    </x:row>
    <x:row r="114" ht="19" customHeight="1">
      <x:c r="A114" s="29" t="str">
        <x:v>stagger_1</x:v>
      </x:c>
      <x:c r="B114" s="38" t="str">
        <x:v>VIST</x:v>
      </x:c>
      <x:c r="C114" s="38" t="str">
        <x:v>Other sectors</x:v>
      </x:c>
      <x:c r="D114" s="30" t="n">
        <x:v>3</x:v>
      </x:c>
      <x:c r="E114" s="38" t="str">
        <x:v>XLF</x:v>
      </x:c>
      <x:c r="F114" s="38" t="n">
        <x:v>-0.6467725076</x:v>
      </x:c>
      <x:c r="G114" s="38" t="n">
        <x:v>-1.169810655</x:v>
      </x:c>
      <x:c r="H114" s="42" t="b">
        <x:v>0</x:v>
      </x:c>
      <x:c r="I114" s="42" t="b">
        <x:v>0</x:v>
      </x:c>
      <x:c r="J114" s="38" t="n">
        <x:v>0.1595928262</x:v>
      </x:c>
    </x:row>
    <x:row r="115" ht="19" customHeight="1">
      <x:c r="A115" s="29" t="str">
        <x:v>stagger_1</x:v>
      </x:c>
      <x:c r="B115" s="38" t="str">
        <x:v>VIST</x:v>
      </x:c>
      <x:c r="C115" s="38" t="str">
        <x:v>Other sectors</x:v>
      </x:c>
      <x:c r="D115" s="30" t="n">
        <x:v>3</x:v>
      </x:c>
      <x:c r="E115" s="38" t="str">
        <x:v>XLI</x:v>
      </x:c>
      <x:c r="F115" s="38" t="n">
        <x:v>-0.2655683075</x:v>
      </x:c>
      <x:c r="G115" s="38" t="n">
        <x:v>-0.5452553852</x:v>
      </x:c>
      <x:c r="H115" s="42" t="b">
        <x:v>0</x:v>
      </x:c>
      <x:c r="I115" s="42" t="b">
        <x:v>0</x:v>
      </x:c>
      <x:c r="J115" s="38" t="n">
        <x:v>0.1595928262</x:v>
      </x:c>
    </x:row>
    <x:row r="116" ht="19" customHeight="1">
      <x:c r="A116" s="29" t="str">
        <x:v>stagger_1</x:v>
      </x:c>
      <x:c r="B116" s="38" t="str">
        <x:v>VIST</x:v>
      </x:c>
      <x:c r="C116" s="38" t="str">
        <x:v>Other sectors</x:v>
      </x:c>
      <x:c r="D116" s="30" t="n">
        <x:v>3</x:v>
      </x:c>
      <x:c r="E116" s="38" t="str">
        <x:v>XLK</x:v>
      </x:c>
      <x:c r="F116" s="38" t="n">
        <x:v>-0.813938552</x:v>
      </x:c>
      <x:c r="G116" s="38" t="n">
        <x:v>-1.1050035887</x:v>
      </x:c>
      <x:c r="H116" s="42" t="b">
        <x:v>0</x:v>
      </x:c>
      <x:c r="I116" s="42" t="b">
        <x:v>0</x:v>
      </x:c>
      <x:c r="J116" s="38" t="n">
        <x:v>0.1595928262</x:v>
      </x:c>
    </x:row>
    <x:row r="117" ht="19" customHeight="1">
      <x:c r="A117" s="29" t="str">
        <x:v>stagger_1</x:v>
      </x:c>
      <x:c r="B117" s="38" t="str">
        <x:v>VIST</x:v>
      </x:c>
      <x:c r="C117" s="38" t="str">
        <x:v>Other sectors</x:v>
      </x:c>
      <x:c r="D117" s="30" t="n">
        <x:v>3</x:v>
      </x:c>
      <x:c r="E117" s="38" t="str">
        <x:v>XLP</x:v>
      </x:c>
      <x:c r="F117" s="38" t="n">
        <x:v>-0.2569128096</x:v>
      </x:c>
      <x:c r="G117" s="38" t="n">
        <x:v>-0.4627305159</x:v>
      </x:c>
      <x:c r="H117" s="42" t="b">
        <x:v>0</x:v>
      </x:c>
      <x:c r="I117" s="42" t="b">
        <x:v>0</x:v>
      </x:c>
      <x:c r="J117" s="38" t="n">
        <x:v>0.1595928262</x:v>
      </x:c>
    </x:row>
    <x:row r="118" ht="19" customHeight="1">
      <x:c r="A118" s="29" t="str">
        <x:v>stagger_1</x:v>
      </x:c>
      <x:c r="B118" s="38" t="str">
        <x:v>VIST</x:v>
      </x:c>
      <x:c r="C118" s="38" t="str">
        <x:v>Other sectors</x:v>
      </x:c>
      <x:c r="D118" s="30" t="n">
        <x:v>3</x:v>
      </x:c>
      <x:c r="E118" s="38" t="str">
        <x:v>XLRE</x:v>
      </x:c>
      <x:c r="F118" s="38" t="n">
        <x:v>-0.3847346759</x:v>
      </x:c>
      <x:c r="G118" s="38" t="n">
        <x:v>-0.899572832</x:v>
      </x:c>
      <x:c r="H118" s="42" t="b">
        <x:v>0</x:v>
      </x:c>
      <x:c r="I118" s="42" t="b">
        <x:v>0</x:v>
      </x:c>
      <x:c r="J118" s="38" t="n">
        <x:v>0.1595928262</x:v>
      </x:c>
    </x:row>
    <x:row r="119" ht="19" customHeight="1">
      <x:c r="A119" s="29" t="str">
        <x:v>stagger_1</x:v>
      </x:c>
      <x:c r="B119" s="38" t="str">
        <x:v>VIST</x:v>
      </x:c>
      <x:c r="C119" s="38" t="str">
        <x:v>Other sectors</x:v>
      </x:c>
      <x:c r="D119" s="30" t="n">
        <x:v>3</x:v>
      </x:c>
      <x:c r="E119" s="38" t="str">
        <x:v>XLV</x:v>
      </x:c>
      <x:c r="F119" s="38" t="n">
        <x:v>-0.7756071498</x:v>
      </x:c>
      <x:c r="G119" s="38" t="n">
        <x:v>-1.6770688691</x:v>
      </x:c>
      <x:c r="H119" s="42" t="b">
        <x:v>0</x:v>
      </x:c>
      <x:c r="I119" s="42" t="b">
        <x:v>0</x:v>
      </x:c>
      <x:c r="J119" s="38" t="n">
        <x:v>0.1595928262</x:v>
      </x:c>
    </x:row>
    <x:row r="120" ht="19" customHeight="1">
      <x:c r="A120" s="29" t="str">
        <x:v>stagger_1</x:v>
      </x:c>
      <x:c r="B120" s="38" t="str">
        <x:v>VIST</x:v>
      </x:c>
      <x:c r="C120" s="38" t="str">
        <x:v>Other sectors</x:v>
      </x:c>
      <x:c r="D120" s="30" t="n">
        <x:v>3</x:v>
      </x:c>
      <x:c r="E120" s="38" t="str">
        <x:v>XLY</x:v>
      </x:c>
      <x:c r="F120" s="38" t="n">
        <x:v>0.1890480727</x:v>
      </x:c>
      <x:c r="G120" s="38" t="n">
        <x:v>0.388928121</x:v>
      </x:c>
      <x:c r="H120" s="42" t="b">
        <x:v>1</x:v>
      </x:c>
      <x:c r="I120" s="42" t="b">
        <x:v>0</x:v>
      </x:c>
      <x:c r="J120" s="38" t="n">
        <x:v>0.1595928262</x:v>
      </x:c>
    </x:row>
    <x:row r="121" ht="19" customHeight="1">
      <x:c r="A121" s="29" t="str">
        <x:v>stagger_1</x:v>
      </x:c>
      <x:c r="B121" s="38" t="str">
        <x:v>VIST</x:v>
      </x:c>
      <x:c r="C121" s="38" t="str">
        <x:v>Other sectors</x:v>
      </x:c>
      <x:c r="D121" s="30" t="n">
        <x:v>4</x:v>
      </x:c>
      <x:c r="E121" s="38" t="str">
        <x:v>XLC</x:v>
      </x:c>
      <x:c r="F121" s="38" t="n">
        <x:v>-1.014223628</x:v>
      </x:c>
      <x:c r="G121" s="38" t="n">
        <x:v>-2.0749283204</x:v>
      </x:c>
      <x:c r="H121" s="42" t="b">
        <x:v>0</x:v>
      </x:c>
      <x:c r="I121" s="42" t="b">
        <x:v>0</x:v>
      </x:c>
      <x:c r="J121" s="38" t="n">
        <x:v>0.1578023436</x:v>
      </x:c>
    </x:row>
    <x:row r="122" ht="19" customHeight="1">
      <x:c r="A122" s="29" t="str">
        <x:v>stagger_1</x:v>
      </x:c>
      <x:c r="B122" s="38" t="str">
        <x:v>VIST</x:v>
      </x:c>
      <x:c r="C122" s="38" t="str">
        <x:v>Other sectors</x:v>
      </x:c>
      <x:c r="D122" s="30" t="n">
        <x:v>4</x:v>
      </x:c>
      <x:c r="E122" s="38" t="str">
        <x:v>XLF</x:v>
      </x:c>
      <x:c r="F122" s="38" t="n">
        <x:v>-0.7075108932</x:v>
      </x:c>
      <x:c r="G122" s="38" t="n">
        <x:v>-1.3419217714</x:v>
      </x:c>
      <x:c r="H122" s="42" t="b">
        <x:v>0</x:v>
      </x:c>
      <x:c r="I122" s="42" t="b">
        <x:v>0</x:v>
      </x:c>
      <x:c r="J122" s="38" t="n">
        <x:v>0.1578023436</x:v>
      </x:c>
    </x:row>
    <x:row r="123" ht="19" customHeight="1">
      <x:c r="A123" s="29" t="str">
        <x:v>stagger_1</x:v>
      </x:c>
      <x:c r="B123" s="38" t="str">
        <x:v>VIST</x:v>
      </x:c>
      <x:c r="C123" s="38" t="str">
        <x:v>Other sectors</x:v>
      </x:c>
      <x:c r="D123" s="30" t="n">
        <x:v>4</x:v>
      </x:c>
      <x:c r="E123" s="38" t="str">
        <x:v>XLI</x:v>
      </x:c>
      <x:c r="F123" s="38" t="n">
        <x:v>-0.2845721635</x:v>
      </x:c>
      <x:c r="G123" s="38" t="n">
        <x:v>-0.5907280852</x:v>
      </x:c>
      <x:c r="H123" s="42" t="b">
        <x:v>0</x:v>
      </x:c>
      <x:c r="I123" s="42" t="b">
        <x:v>0</x:v>
      </x:c>
      <x:c r="J123" s="38" t="n">
        <x:v>0.1578023436</x:v>
      </x:c>
    </x:row>
    <x:row r="124" ht="19" customHeight="1">
      <x:c r="A124" s="29" t="str">
        <x:v>stagger_1</x:v>
      </x:c>
      <x:c r="B124" s="38" t="str">
        <x:v>VIST</x:v>
      </x:c>
      <x:c r="C124" s="38" t="str">
        <x:v>Other sectors</x:v>
      </x:c>
      <x:c r="D124" s="30" t="n">
        <x:v>4</x:v>
      </x:c>
      <x:c r="E124" s="38" t="str">
        <x:v>XLK</x:v>
      </x:c>
      <x:c r="F124" s="38" t="n">
        <x:v>-0.9288139972</x:v>
      </x:c>
      <x:c r="G124" s="38" t="n">
        <x:v>-1.3846515941</x:v>
      </x:c>
      <x:c r="H124" s="42" t="b">
        <x:v>0</x:v>
      </x:c>
      <x:c r="I124" s="42" t="b">
        <x:v>0</x:v>
      </x:c>
      <x:c r="J124" s="38" t="n">
        <x:v>0.1578023436</x:v>
      </x:c>
    </x:row>
    <x:row r="125" ht="19" customHeight="1">
      <x:c r="A125" s="29" t="str">
        <x:v>stagger_1</x:v>
      </x:c>
      <x:c r="B125" s="38" t="str">
        <x:v>VIST</x:v>
      </x:c>
      <x:c r="C125" s="38" t="str">
        <x:v>Other sectors</x:v>
      </x:c>
      <x:c r="D125" s="30" t="n">
        <x:v>4</x:v>
      </x:c>
      <x:c r="E125" s="38" t="str">
        <x:v>XLP</x:v>
      </x:c>
      <x:c r="F125" s="38" t="n">
        <x:v>-0.3130852929</x:v>
      </x:c>
      <x:c r="G125" s="38" t="n">
        <x:v>-0.5874826584</x:v>
      </x:c>
      <x:c r="H125" s="42" t="b">
        <x:v>1</x:v>
      </x:c>
      <x:c r="I125" s="42" t="b">
        <x:v>0</x:v>
      </x:c>
      <x:c r="J125" s="38" t="n">
        <x:v>0.1578023436</x:v>
      </x:c>
    </x:row>
    <x:row r="126" ht="19" customHeight="1">
      <x:c r="A126" s="29" t="str">
        <x:v>stagger_1</x:v>
      </x:c>
      <x:c r="B126" s="38" t="str">
        <x:v>VIST</x:v>
      </x:c>
      <x:c r="C126" s="38" t="str">
        <x:v>Other sectors</x:v>
      </x:c>
      <x:c r="D126" s="30" t="n">
        <x:v>4</x:v>
      </x:c>
      <x:c r="E126" s="38" t="str">
        <x:v>XLRE</x:v>
      </x:c>
      <x:c r="F126" s="38" t="n">
        <x:v>-0.3409989886</x:v>
      </x:c>
      <x:c r="G126" s="38" t="n">
        <x:v>-0.8313025788</x:v>
      </x:c>
      <x:c r="H126" s="42" t="b">
        <x:v>0</x:v>
      </x:c>
      <x:c r="I126" s="42" t="b">
        <x:v>0</x:v>
      </x:c>
      <x:c r="J126" s="38" t="n">
        <x:v>0.1578023436</x:v>
      </x:c>
    </x:row>
    <x:row r="127" ht="19" customHeight="1">
      <x:c r="A127" s="29" t="str">
        <x:v>stagger_1</x:v>
      </x:c>
      <x:c r="B127" s="38" t="str">
        <x:v>VIST</x:v>
      </x:c>
      <x:c r="C127" s="38" t="str">
        <x:v>Other sectors</x:v>
      </x:c>
      <x:c r="D127" s="30" t="n">
        <x:v>4</x:v>
      </x:c>
      <x:c r="E127" s="38" t="str">
        <x:v>XLV</x:v>
      </x:c>
      <x:c r="F127" s="38" t="n">
        <x:v>-0.8560677267</x:v>
      </x:c>
      <x:c r="G127" s="38" t="n">
        <x:v>-2.081968437</x:v>
      </x:c>
      <x:c r="H127" s="42" t="b">
        <x:v>0</x:v>
      </x:c>
      <x:c r="I127" s="42" t="b">
        <x:v>0</x:v>
      </x:c>
      <x:c r="J127" s="38" t="n">
        <x:v>0.1578023436</x:v>
      </x:c>
    </x:row>
    <x:row r="128" ht="19" customHeight="1">
      <x:c r="A128" s="29" t="str">
        <x:v>stagger_1</x:v>
      </x:c>
      <x:c r="B128" s="38" t="str">
        <x:v>VIST</x:v>
      </x:c>
      <x:c r="C128" s="38" t="str">
        <x:v>Other sectors</x:v>
      </x:c>
      <x:c r="D128" s="30" t="n">
        <x:v>5</x:v>
      </x:c>
      <x:c r="E128" s="38" t="str">
        <x:v>XLC</x:v>
      </x:c>
      <x:c r="F128" s="38" t="n">
        <x:v>-1.0107940084</x:v>
      </x:c>
      <x:c r="G128" s="38" t="n">
        <x:v>-2.0773982963</x:v>
      </x:c>
      <x:c r="H128" s="42" t="b">
        <x:v>0</x:v>
      </x:c>
      <x:c r="I128" s="42" t="b">
        <x:v>0</x:v>
      </x:c>
      <x:c r="J128" s="38" t="n">
        <x:v>0.1537652239</x:v>
      </x:c>
    </x:row>
    <x:row r="129" ht="19" customHeight="1">
      <x:c r="A129" s="29" t="str">
        <x:v>stagger_1</x:v>
      </x:c>
      <x:c r="B129" s="38" t="str">
        <x:v>VIST</x:v>
      </x:c>
      <x:c r="C129" s="38" t="str">
        <x:v>Other sectors</x:v>
      </x:c>
      <x:c r="D129" s="30" t="n">
        <x:v>5</x:v>
      </x:c>
      <x:c r="E129" s="38" t="str">
        <x:v>XLF</x:v>
      </x:c>
      <x:c r="F129" s="38" t="n">
        <x:v>-0.5733186944</x:v>
      </x:c>
      <x:c r="G129" s="38" t="n">
        <x:v>-1.2119573994</x:v>
      </x:c>
      <x:c r="H129" s="42" t="b">
        <x:v>0</x:v>
      </x:c>
      <x:c r="I129" s="42" t="b">
        <x:v>0</x:v>
      </x:c>
      <x:c r="J129" s="38" t="n">
        <x:v>0.1537652239</x:v>
      </x:c>
    </x:row>
    <x:row r="130" ht="19" customHeight="1">
      <x:c r="A130" s="29" t="str">
        <x:v>stagger_1</x:v>
      </x:c>
      <x:c r="B130" s="38" t="str">
        <x:v>VIST</x:v>
      </x:c>
      <x:c r="C130" s="38" t="str">
        <x:v>Other sectors</x:v>
      </x:c>
      <x:c r="D130" s="30" t="n">
        <x:v>5</x:v>
      </x:c>
      <x:c r="E130" s="38" t="str">
        <x:v>XLI</x:v>
      </x:c>
      <x:c r="F130" s="38" t="n">
        <x:v>-0.3924536123</x:v>
      </x:c>
      <x:c r="G130" s="38" t="n">
        <x:v>-0.8851886643</x:v>
      </x:c>
      <x:c r="H130" s="42" t="b">
        <x:v>1</x:v>
      </x:c>
      <x:c r="I130" s="42" t="b">
        <x:v>0</x:v>
      </x:c>
      <x:c r="J130" s="38" t="n">
        <x:v>0.1537652239</x:v>
      </x:c>
    </x:row>
    <x:row r="131" ht="19" customHeight="1">
      <x:c r="A131" s="29" t="str">
        <x:v>stagger_1</x:v>
      </x:c>
      <x:c r="B131" s="38" t="str">
        <x:v>VIST</x:v>
      </x:c>
      <x:c r="C131" s="38" t="str">
        <x:v>Other sectors</x:v>
      </x:c>
      <x:c r="D131" s="30" t="n">
        <x:v>5</x:v>
      </x:c>
      <x:c r="E131" s="38" t="str">
        <x:v>XLK</x:v>
      </x:c>
      <x:c r="F131" s="38" t="n">
        <x:v>-0.8118094504</x:v>
      </x:c>
      <x:c r="G131" s="38" t="n">
        <x:v>-1.2730976686</x:v>
      </x:c>
      <x:c r="H131" s="42" t="b">
        <x:v>0</x:v>
      </x:c>
      <x:c r="I131" s="42" t="b">
        <x:v>0</x:v>
      </x:c>
      <x:c r="J131" s="38" t="n">
        <x:v>0.1537652239</x:v>
      </x:c>
    </x:row>
    <x:row r="132" ht="19" customHeight="1">
      <x:c r="A132" s="29" t="str">
        <x:v>stagger_1</x:v>
      </x:c>
      <x:c r="B132" s="38" t="str">
        <x:v>VIST</x:v>
      </x:c>
      <x:c r="C132" s="38" t="str">
        <x:v>Other sectors</x:v>
      </x:c>
      <x:c r="D132" s="30" t="n">
        <x:v>5</x:v>
      </x:c>
      <x:c r="E132" s="38" t="str">
        <x:v>XLRE</x:v>
      </x:c>
      <x:c r="F132" s="38" t="n">
        <x:v>-0.4270107712</x:v>
      </x:c>
      <x:c r="G132" s="38" t="n">
        <x:v>-1.1194165421</x:v>
      </x:c>
      <x:c r="H132" s="42" t="b">
        <x:v>0</x:v>
      </x:c>
      <x:c r="I132" s="42" t="b">
        <x:v>0</x:v>
      </x:c>
      <x:c r="J132" s="38" t="n">
        <x:v>0.1537652239</x:v>
      </x:c>
    </x:row>
    <x:row r="133" ht="19" customHeight="1">
      <x:c r="A133" s="29" t="str">
        <x:v>stagger_1</x:v>
      </x:c>
      <x:c r="B133" s="38" t="str">
        <x:v>VIST</x:v>
      </x:c>
      <x:c r="C133" s="38" t="str">
        <x:v>Other sectors</x:v>
      </x:c>
      <x:c r="D133" s="30" t="n">
        <x:v>5</x:v>
      </x:c>
      <x:c r="E133" s="38" t="str">
        <x:v>XLV</x:v>
      </x:c>
      <x:c r="F133" s="38" t="n">
        <x:v>-0.9082108638</x:v>
      </x:c>
      <x:c r="G133" s="38" t="n">
        <x:v>-2.2723262376</x:v>
      </x:c>
      <x:c r="H133" s="42" t="b">
        <x:v>0</x:v>
      </x:c>
      <x:c r="I133" s="42" t="b">
        <x:v>0</x:v>
      </x:c>
      <x:c r="J133" s="38" t="n">
        <x:v>0.1537652239</x:v>
      </x:c>
    </x:row>
    <x:row r="134" ht="19" customHeight="1">
      <x:c r="A134" s="29" t="str">
        <x:v>stagger_1</x:v>
      </x:c>
      <x:c r="B134" s="38" t="str">
        <x:v>VIST</x:v>
      </x:c>
      <x:c r="C134" s="38" t="str">
        <x:v>Other sectors</x:v>
      </x:c>
      <x:c r="D134" s="30" t="n">
        <x:v>6</x:v>
      </x:c>
      <x:c r="E134" s="38" t="str">
        <x:v>XLC</x:v>
      </x:c>
      <x:c r="F134" s="38" t="n">
        <x:v>-0.8835736999</x:v>
      </x:c>
      <x:c r="G134" s="38" t="n">
        <x:v>-1.9035292442</x:v>
      </x:c>
      <x:c r="H134" s="42" t="b">
        <x:v>0</x:v>
      </x:c>
      <x:c r="I134" s="42" t="b">
        <x:v>0</x:v>
      </x:c>
      <x:c r="J134" s="38" t="n">
        <x:v>0.1446820067</x:v>
      </x:c>
    </x:row>
    <x:row r="135" ht="19" customHeight="1">
      <x:c r="A135" s="29" t="str">
        <x:v>stagger_1</x:v>
      </x:c>
      <x:c r="B135" s="38" t="str">
        <x:v>VIST</x:v>
      </x:c>
      <x:c r="C135" s="38" t="str">
        <x:v>Other sectors</x:v>
      </x:c>
      <x:c r="D135" s="30" t="n">
        <x:v>6</x:v>
      </x:c>
      <x:c r="E135" s="38" t="str">
        <x:v>XLF</x:v>
      </x:c>
      <x:c r="F135" s="38" t="n">
        <x:v>-0.6047463559</x:v>
      </x:c>
      <x:c r="G135" s="38" t="n">
        <x:v>-1.2838881969</x:v>
      </x:c>
      <x:c r="H135" s="42" t="b">
        <x:v>0</x:v>
      </x:c>
      <x:c r="I135" s="42" t="b">
        <x:v>0</x:v>
      </x:c>
      <x:c r="J135" s="38" t="n">
        <x:v>0.1446820067</x:v>
      </x:c>
    </x:row>
    <x:row r="136" ht="19" customHeight="1">
      <x:c r="A136" s="29" t="str">
        <x:v>stagger_1</x:v>
      </x:c>
      <x:c r="B136" s="38" t="str">
        <x:v>VIST</x:v>
      </x:c>
      <x:c r="C136" s="38" t="str">
        <x:v>Other sectors</x:v>
      </x:c>
      <x:c r="D136" s="30" t="n">
        <x:v>6</x:v>
      </x:c>
      <x:c r="E136" s="38" t="str">
        <x:v>XLK</x:v>
      </x:c>
      <x:c r="F136" s="38" t="n">
        <x:v>-0.6477500177</x:v>
      </x:c>
      <x:c r="G136" s="38" t="n">
        <x:v>-1.0632045565</x:v>
      </x:c>
      <x:c r="H136" s="42" t="b">
        <x:v>1</x:v>
      </x:c>
      <x:c r="I136" s="42" t="b">
        <x:v>0</x:v>
      </x:c>
      <x:c r="J136" s="38" t="n">
        <x:v>0.1446820067</x:v>
      </x:c>
    </x:row>
    <x:row r="137" ht="19" customHeight="1">
      <x:c r="A137" s="29" t="str">
        <x:v>stagger_1</x:v>
      </x:c>
      <x:c r="B137" s="38" t="str">
        <x:v>VIST</x:v>
      </x:c>
      <x:c r="C137" s="38" t="str">
        <x:v>Other sectors</x:v>
      </x:c>
      <x:c r="D137" s="30" t="n">
        <x:v>6</x:v>
      </x:c>
      <x:c r="E137" s="38" t="str">
        <x:v>XLRE</x:v>
      </x:c>
      <x:c r="F137" s="38" t="n">
        <x:v>-0.449349261</x:v>
      </x:c>
      <x:c r="G137" s="38" t="n">
        <x:v>-1.1822938899</x:v>
      </x:c>
      <x:c r="H137" s="42" t="b">
        <x:v>0</x:v>
      </x:c>
      <x:c r="I137" s="42" t="b">
        <x:v>0</x:v>
      </x:c>
      <x:c r="J137" s="38" t="n">
        <x:v>0.1446820067</x:v>
      </x:c>
    </x:row>
    <x:row r="138" ht="19" customHeight="1">
      <x:c r="A138" s="29" t="str">
        <x:v>stagger_1</x:v>
      </x:c>
      <x:c r="B138" s="38" t="str">
        <x:v>VIST</x:v>
      </x:c>
      <x:c r="C138" s="38" t="str">
        <x:v>Other sectors</x:v>
      </x:c>
      <x:c r="D138" s="30" t="n">
        <x:v>6</x:v>
      </x:c>
      <x:c r="E138" s="38" t="str">
        <x:v>XLV</x:v>
      </x:c>
      <x:c r="F138" s="38" t="n">
        <x:v>-0.8636139751</x:v>
      </x:c>
      <x:c r="G138" s="38" t="n">
        <x:v>-2.1813117586</x:v>
      </x:c>
      <x:c r="H138" s="42" t="b">
        <x:v>0</x:v>
      </x:c>
      <x:c r="I138" s="42" t="b">
        <x:v>0</x:v>
      </x:c>
      <x:c r="J138" s="38" t="n">
        <x:v>0.1446820067</x:v>
      </x:c>
    </x:row>
    <x:row r="139" ht="19" customHeight="1">
      <x:c r="A139" s="29" t="str">
        <x:v>stagger_1</x:v>
      </x:c>
      <x:c r="B139" s="38" t="str">
        <x:v>VIST</x:v>
      </x:c>
      <x:c r="C139" s="38" t="str">
        <x:v>Other sectors</x:v>
      </x:c>
      <x:c r="D139" s="30" t="n">
        <x:v>7</x:v>
      </x:c>
      <x:c r="E139" s="38" t="str">
        <x:v>XLC</x:v>
      </x:c>
      <x:c r="F139" s="38" t="n">
        <x:v>-0.6203979893</x:v>
      </x:c>
      <x:c r="G139" s="38" t="n">
        <x:v>-1.5785821537</x:v>
      </x:c>
      <x:c r="H139" s="42" t="b">
        <x:v>0</x:v>
      </x:c>
      <x:c r="I139" s="42" t="b">
        <x:v>0</x:v>
      </x:c>
      <x:c r="J139" s="38" t="n">
        <x:v>0.131616401</x:v>
      </x:c>
    </x:row>
    <x:row r="140" ht="19" customHeight="1">
      <x:c r="A140" s="29" t="str">
        <x:v>stagger_1</x:v>
      </x:c>
      <x:c r="B140" s="38" t="str">
        <x:v>VIST</x:v>
      </x:c>
      <x:c r="C140" s="38" t="str">
        <x:v>Other sectors</x:v>
      </x:c>
      <x:c r="D140" s="30" t="n">
        <x:v>7</x:v>
      </x:c>
      <x:c r="E140" s="38" t="str">
        <x:v>XLF</x:v>
      </x:c>
      <x:c r="F140" s="38" t="n">
        <x:v>-0.3108814066</x:v>
      </x:c>
      <x:c r="G140" s="38" t="n">
        <x:v>-0.8143807163</x:v>
      </x:c>
      <x:c r="H140" s="42" t="b">
        <x:v>1</x:v>
      </x:c>
      <x:c r="I140" s="42" t="b">
        <x:v>0</x:v>
      </x:c>
      <x:c r="J140" s="38" t="n">
        <x:v>0.131616401</x:v>
      </x:c>
    </x:row>
    <x:row r="141" ht="19" customHeight="1">
      <x:c r="A141" s="29" t="str">
        <x:v>stagger_1</x:v>
      </x:c>
      <x:c r="B141" s="38" t="str">
        <x:v>VIST</x:v>
      </x:c>
      <x:c r="C141" s="38" t="str">
        <x:v>Other sectors</x:v>
      </x:c>
      <x:c r="D141" s="30" t="n">
        <x:v>7</x:v>
      </x:c>
      <x:c r="E141" s="38" t="str">
        <x:v>XLRE</x:v>
      </x:c>
      <x:c r="F141" s="38" t="n">
        <x:v>-0.2901525824</x:v>
      </x:c>
      <x:c r="G141" s="38" t="n">
        <x:v>-0.8298813586</x:v>
      </x:c>
      <x:c r="H141" s="42" t="b">
        <x:v>0</x:v>
      </x:c>
      <x:c r="I141" s="42" t="b">
        <x:v>0</x:v>
      </x:c>
      <x:c r="J141" s="38" t="n">
        <x:v>0.131616401</x:v>
      </x:c>
    </x:row>
    <x:row r="142" ht="19" customHeight="1">
      <x:c r="A142" s="29" t="str">
        <x:v>stagger_1</x:v>
      </x:c>
      <x:c r="B142" s="38" t="str">
        <x:v>VIST</x:v>
      </x:c>
      <x:c r="C142" s="38" t="str">
        <x:v>Other sectors</x:v>
      </x:c>
      <x:c r="D142" s="30" t="n">
        <x:v>7</x:v>
      </x:c>
      <x:c r="E142" s="38" t="str">
        <x:v>XLV</x:v>
      </x:c>
      <x:c r="F142" s="38" t="n">
        <x:v>-0.6708281311</x:v>
      </x:c>
      <x:c r="G142" s="38" t="n">
        <x:v>-1.9043698532</x:v>
      </x:c>
      <x:c r="H142" s="42" t="b">
        <x:v>0</x:v>
      </x:c>
      <x:c r="I142" s="42" t="b">
        <x:v>0</x:v>
      </x:c>
      <x:c r="J142" s="38" t="n">
        <x:v>0.131616401</x:v>
      </x:c>
    </x:row>
    <x:row r="143" ht="19" customHeight="1">
      <x:c r="A143" s="29" t="str">
        <x:v>stagger_1</x:v>
      </x:c>
      <x:c r="B143" s="38" t="str">
        <x:v>VIST</x:v>
      </x:c>
      <x:c r="C143" s="38" t="str">
        <x:v>Other sectors</x:v>
      </x:c>
      <x:c r="D143" s="30" t="n">
        <x:v>8</x:v>
      </x:c>
      <x:c r="E143" s="38" t="str">
        <x:v>XLC</x:v>
      </x:c>
      <x:c r="F143" s="38" t="n">
        <x:v>-0.6383985921</x:v>
      </x:c>
      <x:c r="G143" s="38" t="n">
        <x:v>-1.6305760999</x:v>
      </x:c>
      <x:c r="H143" s="42" t="b">
        <x:v>0</x:v>
      </x:c>
      <x:c r="I143" s="42" t="b">
        <x:v>0</x:v>
      </x:c>
      <x:c r="J143" s="38" t="n">
        <x:v>0.1239373896</x:v>
      </x:c>
    </x:row>
    <x:row r="144" ht="19" customHeight="1">
      <x:c r="A144" s="29" t="str">
        <x:v>stagger_1</x:v>
      </x:c>
      <x:c r="B144" s="38" t="str">
        <x:v>VIST</x:v>
      </x:c>
      <x:c r="C144" s="38" t="str">
        <x:v>Other sectors</x:v>
      </x:c>
      <x:c r="D144" s="30" t="n">
        <x:v>8</x:v>
      </x:c>
      <x:c r="E144" s="38" t="str">
        <x:v>XLRE</x:v>
      </x:c>
      <x:c r="F144" s="38" t="n">
        <x:v>-0.3334378585</x:v>
      </x:c>
      <x:c r="G144" s="38" t="n">
        <x:v>-0.9670436948</x:v>
      </x:c>
      <x:c r="H144" s="42" t="b">
        <x:v>1</x:v>
      </x:c>
      <x:c r="I144" s="42" t="b">
        <x:v>0</x:v>
      </x:c>
      <x:c r="J144" s="38" t="n">
        <x:v>0.1239373896</x:v>
      </x:c>
    </x:row>
    <x:row r="145" ht="19" customHeight="1">
      <x:c r="A145" s="29" t="str">
        <x:v>stagger_1</x:v>
      </x:c>
      <x:c r="B145" s="38" t="str">
        <x:v>VIST</x:v>
      </x:c>
      <x:c r="C145" s="38" t="str">
        <x:v>Other sectors</x:v>
      </x:c>
      <x:c r="D145" s="30" t="n">
        <x:v>8</x:v>
      </x:c>
      <x:c r="E145" s="38" t="str">
        <x:v>XLV</x:v>
      </x:c>
      <x:c r="F145" s="38" t="n">
        <x:v>-0.7131031621</x:v>
      </x:c>
      <x:c r="G145" s="38" t="n">
        <x:v>-2.0512777158</x:v>
      </x:c>
      <x:c r="H145" s="42" t="b">
        <x:v>0</x:v>
      </x:c>
      <x:c r="I145" s="42" t="b">
        <x:v>0</x:v>
      </x:c>
      <x:c r="J145" s="38" t="n">
        <x:v>0.1239373896</x:v>
      </x:c>
    </x:row>
    <x:row r="146" ht="19" customHeight="1">
      <x:c r="A146" s="29" t="str">
        <x:v>stagger_1</x:v>
      </x:c>
      <x:c r="B146" s="38" t="str">
        <x:v>VIST</x:v>
      </x:c>
      <x:c r="C146" s="38" t="str">
        <x:v>Other sectors</x:v>
      </x:c>
      <x:c r="D146" s="30" t="n">
        <x:v>9</x:v>
      </x:c>
      <x:c r="E146" s="38" t="str">
        <x:v>XLC</x:v>
      </x:c>
      <x:c r="F146" s="38" t="n">
        <x:v>-0.6312329932</x:v>
      </x:c>
      <x:c r="G146" s="38" t="n">
        <x:v>-1.6132420351</x:v>
      </x:c>
      <x:c r="H146" s="42" t="b">
        <x:v>1</x:v>
      </x:c>
      <x:c r="I146" s="42" t="b">
        <x:v>0</x:v>
      </x:c>
      <x:c r="J146" s="38" t="n">
        <x:v>0.1131575141</x:v>
      </x:c>
    </x:row>
    <x:row r="147" ht="19" customHeight="1">
      <x:c r="A147" s="29" t="str">
        <x:v>stagger_1</x:v>
      </x:c>
      <x:c r="B147" s="38" t="str">
        <x:v>VIST</x:v>
      </x:c>
      <x:c r="C147" s="38" t="str">
        <x:v>Other sectors</x:v>
      </x:c>
      <x:c r="D147" s="30" t="n">
        <x:v>9</x:v>
      </x:c>
      <x:c r="E147" s="38" t="str">
        <x:v>XLV</x:v>
      </x:c>
      <x:c r="F147" s="38" t="n">
        <x:v>-0.8516400096</x:v>
      </x:c>
      <x:c r="G147" s="38" t="n">
        <x:v>-2.6898265709</x:v>
      </x:c>
      <x:c r="H147" s="42" t="b">
        <x:v>0</x:v>
      </x:c>
      <x:c r="I147" s="42" t="b">
        <x:v>0</x:v>
      </x:c>
      <x:c r="J147" s="38" t="n">
        <x:v>0.1131575141</x:v>
      </x:c>
    </x:row>
    <x:row r="148" ht="19" customHeight="1">
      <x:c r="A148" s="29" t="str">
        <x:v>stagger_1</x:v>
      </x:c>
      <x:c r="B148" s="38" t="str">
        <x:v>VIST</x:v>
      </x:c>
      <x:c r="C148" s="38" t="str">
        <x:v>Other sectors</x:v>
      </x:c>
      <x:c r="D148" s="30" t="n">
        <x:v>10</x:v>
      </x:c>
      <x:c r="E148" s="38" t="str">
        <x:v>XLV</x:v>
      </x:c>
      <x:c r="F148" s="38" t="n">
        <x:v>-0.8508837427</x:v>
      </x:c>
      <x:c r="G148" s="38" t="n">
        <x:v>-2.6602517451</x:v>
      </x:c>
      <x:c r="H148" s="42" t="b">
        <x:v>0</x:v>
      </x:c>
      <x:c r="I148" s="42" t="b">
        <x:v>1</x:v>
      </x:c>
      <x:c r="J148" s="38" t="n">
        <x:v>0.0831828155</x:v>
      </x:c>
    </x:row>
    <x:row r="149" ht="19" customHeight="1">
      <x:c r="A149" s="29" t="str">
        <x:v>stagger_1</x:v>
      </x:c>
      <x:c r="B149" s="38" t="str">
        <x:v>AEP</x:v>
      </x:c>
      <x:c r="C149" s="38" t="str">
        <x:v>Other FX</x:v>
      </x:c>
      <x:c r="D149" s="30" t="n">
        <x:v>1</x:v>
      </x:c>
      <x:c r="E149" s="38" t="str">
        <x:v>AUD/USD</x:v>
      </x:c>
      <x:c r="F149" s="38" t="n">
        <x:v>0.4016627886</x:v>
      </x:c>
      <x:c r="G149" s="38" t="n">
        <x:v>0.9169580261</x:v>
      </x:c>
      <x:c r="H149" s="42" t="b">
        <x:v>0</x:v>
      </x:c>
      <x:c r="I149" s="42" t="b">
        <x:v>0</x:v>
      </x:c>
      <x:c r="J149" s="38" t="n">
        <x:v>0.1775714303</x:v>
      </x:c>
    </x:row>
    <x:row r="150" ht="19" customHeight="1">
      <x:c r="A150" s="29" t="str">
        <x:v>stagger_1</x:v>
      </x:c>
      <x:c r="B150" s="38" t="str">
        <x:v>AEP</x:v>
      </x:c>
      <x:c r="C150" s="38" t="str">
        <x:v>Other FX</x:v>
      </x:c>
      <x:c r="D150" s="30" t="n">
        <x:v>1</x:v>
      </x:c>
      <x:c r="E150" s="38" t="str">
        <x:v>CAD/USD</x:v>
      </x:c>
      <x:c r="F150" s="38" t="n">
        <x:v>-0.1372557478</x:v>
      </x:c>
      <x:c r="G150" s="38" t="n">
        <x:v>-0.259486584</x:v>
      </x:c>
      <x:c r="H150" s="42" t="b">
        <x:v>0</x:v>
      </x:c>
      <x:c r="I150" s="42" t="b">
        <x:v>0</x:v>
      </x:c>
      <x:c r="J150" s="38" t="n">
        <x:v>0.1775714303</x:v>
      </x:c>
    </x:row>
    <x:row r="151" ht="19" customHeight="1">
      <x:c r="A151" s="29" t="str">
        <x:v>stagger_1</x:v>
      </x:c>
      <x:c r="B151" s="38" t="str">
        <x:v>AEP</x:v>
      </x:c>
      <x:c r="C151" s="38" t="str">
        <x:v>Other FX</x:v>
      </x:c>
      <x:c r="D151" s="30" t="n">
        <x:v>1</x:v>
      </x:c>
      <x:c r="E151" s="38" t="str">
        <x:v>DKK/USD</x:v>
      </x:c>
      <x:c r="F151" s="38" t="n">
        <x:v>-5.7704571426</x:v>
      </x:c>
      <x:c r="G151" s="38" t="n">
        <x:v>-1.5670168052</x:v>
      </x:c>
      <x:c r="H151" s="42" t="b">
        <x:v>0</x:v>
      </x:c>
      <x:c r="I151" s="42" t="b">
        <x:v>0</x:v>
      </x:c>
      <x:c r="J151" s="38" t="n">
        <x:v>0.1775714303</x:v>
      </x:c>
    </x:row>
    <x:row r="152" ht="19" customHeight="1">
      <x:c r="A152" s="29" t="str">
        <x:v>stagger_1</x:v>
      </x:c>
      <x:c r="B152" s="38" t="str">
        <x:v>AEP</x:v>
      </x:c>
      <x:c r="C152" s="38" t="str">
        <x:v>Other FX</x:v>
      </x:c>
      <x:c r="D152" s="30" t="n">
        <x:v>1</x:v>
      </x:c>
      <x:c r="E152" s="38" t="str">
        <x:v>EUR/USD</x:v>
      </x:c>
      <x:c r="F152" s="38" t="n">
        <x:v>5.4537952522</x:v>
      </x:c>
      <x:c r="G152" s="38" t="n">
        <x:v>1.6191151383</x:v>
      </x:c>
      <x:c r="H152" s="42" t="b">
        <x:v>0</x:v>
      </x:c>
      <x:c r="I152" s="42" t="b">
        <x:v>0</x:v>
      </x:c>
      <x:c r="J152" s="38" t="n">
        <x:v>0.1775714303</x:v>
      </x:c>
    </x:row>
    <x:row r="153" ht="19" customHeight="1">
      <x:c r="A153" s="29" t="str">
        <x:v>stagger_1</x:v>
      </x:c>
      <x:c r="B153" s="38" t="str">
        <x:v>AEP</x:v>
      </x:c>
      <x:c r="C153" s="38" t="str">
        <x:v>Other FX</x:v>
      </x:c>
      <x:c r="D153" s="30" t="n">
        <x:v>1</x:v>
      </x:c>
      <x:c r="E153" s="38" t="str">
        <x:v>MXN/USD</x:v>
      </x:c>
      <x:c r="F153" s="38" t="n">
        <x:v>0.062821626</x:v>
      </x:c>
      <x:c r="G153" s="38" t="n">
        <x:v>0.2238607937</x:v>
      </x:c>
      <x:c r="H153" s="42" t="b">
        <x:v>1</x:v>
      </x:c>
      <x:c r="I153" s="42" t="b">
        <x:v>0</x:v>
      </x:c>
      <x:c r="J153" s="38" t="n">
        <x:v>0.1775714303</x:v>
      </x:c>
    </x:row>
    <x:row r="154" ht="19" customHeight="1">
      <x:c r="A154" s="29" t="str">
        <x:v>stagger_1</x:v>
      </x:c>
      <x:c r="B154" s="38" t="str">
        <x:v>AEP</x:v>
      </x:c>
      <x:c r="C154" s="38" t="str">
        <x:v>Other FX</x:v>
      </x:c>
      <x:c r="D154" s="30" t="n">
        <x:v>1</x:v>
      </x:c>
      <x:c r="E154" s="38" t="str">
        <x:v>SGD/USD</x:v>
      </x:c>
      <x:c r="F154" s="38" t="n">
        <x:v>1.7746018938</x:v>
      </x:c>
      <x:c r="G154" s="38" t="n">
        <x:v>1.6732440144</x:v>
      </x:c>
      <x:c r="H154" s="42" t="b">
        <x:v>0</x:v>
      </x:c>
      <x:c r="I154" s="42" t="b">
        <x:v>0</x:v>
      </x:c>
      <x:c r="J154" s="38" t="n">
        <x:v>0.1775714303</x:v>
      </x:c>
    </x:row>
    <x:row r="155" ht="19" customHeight="1">
      <x:c r="A155" s="29" t="str">
        <x:v>stagger_1</x:v>
      </x:c>
      <x:c r="B155" s="38" t="str">
        <x:v>AEP</x:v>
      </x:c>
      <x:c r="C155" s="38" t="str">
        <x:v>Other FX</x:v>
      </x:c>
      <x:c r="D155" s="30" t="n">
        <x:v>2</x:v>
      </x:c>
      <x:c r="E155" s="38" t="str">
        <x:v>AUD/USD</x:v>
      </x:c>
      <x:c r="F155" s="38" t="n">
        <x:v>0.4200496118</x:v>
      </x:c>
      <x:c r="G155" s="38" t="n">
        <x:v>0.9825754709</x:v>
      </x:c>
      <x:c r="H155" s="42" t="b">
        <x:v>0</x:v>
      </x:c>
      <x:c r="I155" s="42" t="b">
        <x:v>0</x:v>
      </x:c>
      <x:c r="J155" s="38" t="n">
        <x:v>0.1770068426</x:v>
      </x:c>
    </x:row>
    <x:row r="156" ht="19" customHeight="1">
      <x:c r="A156" s="29" t="str">
        <x:v>stagger_1</x:v>
      </x:c>
      <x:c r="B156" s="38" t="str">
        <x:v>AEP</x:v>
      </x:c>
      <x:c r="C156" s="38" t="str">
        <x:v>Other FX</x:v>
      </x:c>
      <x:c r="D156" s="30" t="n">
        <x:v>2</x:v>
      </x:c>
      <x:c r="E156" s="38" t="str">
        <x:v>CAD/USD</x:v>
      </x:c>
      <x:c r="F156" s="38" t="n">
        <x:v>-0.1396267163</x:v>
      </x:c>
      <x:c r="G156" s="38" t="n">
        <x:v>-0.2657329338</x:v>
      </x:c>
      <x:c r="H156" s="42" t="b">
        <x:v>1</x:v>
      </x:c>
      <x:c r="I156" s="42" t="b">
        <x:v>0</x:v>
      </x:c>
      <x:c r="J156" s="38" t="n">
        <x:v>0.1770068426</x:v>
      </x:c>
    </x:row>
    <x:row r="157" ht="19" customHeight="1">
      <x:c r="A157" s="29" t="str">
        <x:v>stagger_1</x:v>
      </x:c>
      <x:c r="B157" s="38" t="str">
        <x:v>AEP</x:v>
      </x:c>
      <x:c r="C157" s="38" t="str">
        <x:v>Other FX</x:v>
      </x:c>
      <x:c r="D157" s="30" t="n">
        <x:v>2</x:v>
      </x:c>
      <x:c r="E157" s="38" t="str">
        <x:v>DKK/USD</x:v>
      </x:c>
      <x:c r="F157" s="38" t="n">
        <x:v>-5.5211052261</x:v>
      </x:c>
      <x:c r="G157" s="38" t="n">
        <x:v>-1.5831831231</x:v>
      </x:c>
      <x:c r="H157" s="42" t="b">
        <x:v>0</x:v>
      </x:c>
      <x:c r="I157" s="42" t="b">
        <x:v>0</x:v>
      </x:c>
      <x:c r="J157" s="38" t="n">
        <x:v>0.1770068426</x:v>
      </x:c>
    </x:row>
    <x:row r="158" ht="19" customHeight="1">
      <x:c r="A158" s="29" t="str">
        <x:v>stagger_1</x:v>
      </x:c>
      <x:c r="B158" s="38" t="str">
        <x:v>AEP</x:v>
      </x:c>
      <x:c r="C158" s="38" t="str">
        <x:v>Other FX</x:v>
      </x:c>
      <x:c r="D158" s="30" t="n">
        <x:v>2</x:v>
      </x:c>
      <x:c r="E158" s="38" t="str">
        <x:v>EUR/USD</x:v>
      </x:c>
      <x:c r="F158" s="38" t="n">
        <x:v>5.255450667</x:v>
      </x:c>
      <x:c r="G158" s="38" t="n">
        <x:v>1.6276601306</x:v>
      </x:c>
      <x:c r="H158" s="42" t="b">
        <x:v>0</x:v>
      </x:c>
      <x:c r="I158" s="42" t="b">
        <x:v>0</x:v>
      </x:c>
      <x:c r="J158" s="38" t="n">
        <x:v>0.1770068426</x:v>
      </x:c>
    </x:row>
    <x:row r="159" ht="19" customHeight="1">
      <x:c r="A159" s="29" t="str">
        <x:v>stagger_1</x:v>
      </x:c>
      <x:c r="B159" s="38" t="str">
        <x:v>AEP</x:v>
      </x:c>
      <x:c r="C159" s="38" t="str">
        <x:v>Other FX</x:v>
      </x:c>
      <x:c r="D159" s="30" t="n">
        <x:v>2</x:v>
      </x:c>
      <x:c r="E159" s="38" t="str">
        <x:v>SGD/USD</x:v>
      </x:c>
      <x:c r="F159" s="38" t="n">
        <x:v>1.7490650545</x:v>
      </x:c>
      <x:c r="G159" s="38" t="n">
        <x:v>1.6695388516</x:v>
      </x:c>
      <x:c r="H159" s="42" t="b">
        <x:v>0</x:v>
      </x:c>
      <x:c r="I159" s="42" t="b">
        <x:v>0</x:v>
      </x:c>
      <x:c r="J159" s="38" t="n">
        <x:v>0.1770068426</x:v>
      </x:c>
    </x:row>
    <x:row r="160" ht="19" customHeight="1">
      <x:c r="A160" s="29" t="str">
        <x:v>stagger_1</x:v>
      </x:c>
      <x:c r="B160" s="38" t="str">
        <x:v>AEP</x:v>
      </x:c>
      <x:c r="C160" s="38" t="str">
        <x:v>Other FX</x:v>
      </x:c>
      <x:c r="D160" s="30" t="n">
        <x:v>3</x:v>
      </x:c>
      <x:c r="E160" s="38" t="str">
        <x:v>AUD/USD</x:v>
      </x:c>
      <x:c r="F160" s="38" t="n">
        <x:v>0.3923353618</x:v>
      </x:c>
      <x:c r="G160" s="38" t="n">
        <x:v>0.952259098</x:v>
      </x:c>
      <x:c r="H160" s="42" t="b">
        <x:v>1</x:v>
      </x:c>
      <x:c r="I160" s="42" t="b">
        <x:v>0</x:v>
      </x:c>
      <x:c r="J160" s="38" t="n">
        <x:v>0.1762215071</x:v>
      </x:c>
    </x:row>
    <x:row r="161" ht="19" customHeight="1">
      <x:c r="A161" s="29" t="str">
        <x:v>stagger_1</x:v>
      </x:c>
      <x:c r="B161" s="38" t="str">
        <x:v>AEP</x:v>
      </x:c>
      <x:c r="C161" s="38" t="str">
        <x:v>Other FX</x:v>
      </x:c>
      <x:c r="D161" s="30" t="n">
        <x:v>3</x:v>
      </x:c>
      <x:c r="E161" s="38" t="str">
        <x:v>DKK/USD</x:v>
      </x:c>
      <x:c r="F161" s="38" t="n">
        <x:v>-5.6119775254</x:v>
      </x:c>
      <x:c r="G161" s="38" t="n">
        <x:v>-1.627147203</x:v>
      </x:c>
      <x:c r="H161" s="42" t="b">
        <x:v>0</x:v>
      </x:c>
      <x:c r="I161" s="42" t="b">
        <x:v>0</x:v>
      </x:c>
      <x:c r="J161" s="38" t="n">
        <x:v>0.1762215071</x:v>
      </x:c>
    </x:row>
    <x:row r="162" ht="19" customHeight="1">
      <x:c r="A162" s="29" t="str">
        <x:v>stagger_1</x:v>
      </x:c>
      <x:c r="B162" s="38" t="str">
        <x:v>AEP</x:v>
      </x:c>
      <x:c r="C162" s="38" t="str">
        <x:v>Other FX</x:v>
      </x:c>
      <x:c r="D162" s="30" t="n">
        <x:v>3</x:v>
      </x:c>
      <x:c r="E162" s="38" t="str">
        <x:v>EUR/USD</x:v>
      </x:c>
      <x:c r="F162" s="38" t="n">
        <x:v>5.3047830234</x:v>
      </x:c>
      <x:c r="G162" s="38" t="n">
        <x:v>1.6559533089</x:v>
      </x:c>
      <x:c r="H162" s="42" t="b">
        <x:v>0</x:v>
      </x:c>
      <x:c r="I162" s="42" t="b">
        <x:v>0</x:v>
      </x:c>
      <x:c r="J162" s="38" t="n">
        <x:v>0.1762215071</x:v>
      </x:c>
    </x:row>
    <x:row r="163" ht="19" customHeight="1">
      <x:c r="A163" s="29" t="str">
        <x:v>stagger_1</x:v>
      </x:c>
      <x:c r="B163" s="38" t="str">
        <x:v>AEP</x:v>
      </x:c>
      <x:c r="C163" s="38" t="str">
        <x:v>Other FX</x:v>
      </x:c>
      <x:c r="D163" s="30" t="n">
        <x:v>3</x:v>
      </x:c>
      <x:c r="E163" s="38" t="str">
        <x:v>SGD/USD</x:v>
      </x:c>
      <x:c r="F163" s="38" t="n">
        <x:v>1.7477756963</x:v>
      </x:c>
      <x:c r="G163" s="38" t="n">
        <x:v>1.6787598749</x:v>
      </x:c>
      <x:c r="H163" s="42" t="b">
        <x:v>0</x:v>
      </x:c>
      <x:c r="I163" s="42" t="b">
        <x:v>0</x:v>
      </x:c>
      <x:c r="J163" s="38" t="n">
        <x:v>0.1762215071</x:v>
      </x:c>
    </x:row>
    <x:row r="164" ht="19" customHeight="1">
      <x:c r="A164" s="29" t="str">
        <x:v>stagger_1</x:v>
      </x:c>
      <x:c r="B164" s="38" t="str">
        <x:v>AEP</x:v>
      </x:c>
      <x:c r="C164" s="38" t="str">
        <x:v>Other FX</x:v>
      </x:c>
      <x:c r="D164" s="30" t="n">
        <x:v>4</x:v>
      </x:c>
      <x:c r="E164" s="38" t="str">
        <x:v>DKK/USD</x:v>
      </x:c>
      <x:c r="F164" s="38" t="n">
        <x:v>-5.3413165623</x:v>
      </x:c>
      <x:c r="G164" s="38" t="n">
        <x:v>-1.5549107894</x:v>
      </x:c>
      <x:c r="H164" s="42" t="b">
        <x:v>1</x:v>
      </x:c>
      <x:c r="I164" s="42" t="b">
        <x:v>0</x:v>
      </x:c>
      <x:c r="J164" s="38" t="n">
        <x:v>0.1662615046</x:v>
      </x:c>
    </x:row>
    <x:row r="165" ht="19" customHeight="1">
      <x:c r="A165" s="29" t="str">
        <x:v>stagger_1</x:v>
      </x:c>
      <x:c r="B165" s="38" t="str">
        <x:v>AEP</x:v>
      </x:c>
      <x:c r="C165" s="38" t="str">
        <x:v>Other FX</x:v>
      </x:c>
      <x:c r="D165" s="30" t="n">
        <x:v>4</x:v>
      </x:c>
      <x:c r="E165" s="38" t="str">
        <x:v>EUR/USD</x:v>
      </x:c>
      <x:c r="F165" s="38" t="n">
        <x:v>5.1046995476</x:v>
      </x:c>
      <x:c r="G165" s="38" t="n">
        <x:v>1.5979136185</x:v>
      </x:c>
      <x:c r="H165" s="42" t="b">
        <x:v>0</x:v>
      </x:c>
      <x:c r="I165" s="42" t="b">
        <x:v>0</x:v>
      </x:c>
      <x:c r="J165" s="38" t="n">
        <x:v>0.1662615046</x:v>
      </x:c>
    </x:row>
    <x:row r="166" ht="19" customHeight="1">
      <x:c r="A166" s="29" t="str">
        <x:v>stagger_1</x:v>
      </x:c>
      <x:c r="B166" s="38" t="str">
        <x:v>AEP</x:v>
      </x:c>
      <x:c r="C166" s="38" t="str">
        <x:v>Other FX</x:v>
      </x:c>
      <x:c r="D166" s="30" t="n">
        <x:v>4</x:v>
      </x:c>
      <x:c r="E166" s="38" t="str">
        <x:v>SGD/USD</x:v>
      </x:c>
      <x:c r="F166" s="38" t="n">
        <x:v>2.2127424067</x:v>
      </x:c>
      <x:c r="G166" s="38" t="n">
        <x:v>2.4079149137</x:v>
      </x:c>
      <x:c r="H166" s="42" t="b">
        <x:v>0</x:v>
      </x:c>
      <x:c r="I166" s="42" t="b">
        <x:v>0</x:v>
      </x:c>
      <x:c r="J166" s="38" t="n">
        <x:v>0.1662615046</x:v>
      </x:c>
    </x:row>
    <x:row r="167" ht="19" customHeight="1">
      <x:c r="A167" s="29" t="str">
        <x:v>stagger_1</x:v>
      </x:c>
      <x:c r="B167" s="38" t="str">
        <x:v>AEP</x:v>
      </x:c>
      <x:c r="C167" s="38" t="str">
        <x:v>Other FX</x:v>
      </x:c>
      <x:c r="D167" s="30" t="n">
        <x:v>5</x:v>
      </x:c>
      <x:c r="E167" s="38" t="str">
        <x:v>EUR/USD</x:v>
      </x:c>
      <x:c r="F167" s="38" t="n">
        <x:v>0.1978380231</x:v>
      </x:c>
      <x:c r="G167" s="38" t="n">
        <x:v>0.3945162872</x:v>
      </x:c>
      <x:c r="H167" s="42" t="b">
        <x:v>1</x:v>
      </x:c>
      <x:c r="I167" s="42" t="b">
        <x:v>0</x:v>
      </x:c>
      <x:c r="J167" s="38" t="n">
        <x:v>0.1397382254</x:v>
      </x:c>
    </x:row>
    <x:row r="168" ht="19" customHeight="1">
      <x:c r="A168" s="29" t="str">
        <x:v>stagger_1</x:v>
      </x:c>
      <x:c r="B168" s="38" t="str">
        <x:v>AEP</x:v>
      </x:c>
      <x:c r="C168" s="38" t="str">
        <x:v>Other FX</x:v>
      </x:c>
      <x:c r="D168" s="30" t="n">
        <x:v>5</x:v>
      </x:c>
      <x:c r="E168" s="38" t="str">
        <x:v>SGD/USD</x:v>
      </x:c>
      <x:c r="F168" s="38" t="n">
        <x:v>1.5440591506</x:v>
      </x:c>
      <x:c r="G168" s="38" t="n">
        <x:v>1.8840298084</x:v>
      </x:c>
      <x:c r="H168" s="42" t="b">
        <x:v>0</x:v>
      </x:c>
      <x:c r="I168" s="42" t="b">
        <x:v>0</x:v>
      </x:c>
      <x:c r="J168" s="38" t="n">
        <x:v>0.1397382254</x:v>
      </x:c>
    </x:row>
    <x:row r="169" ht="19" customHeight="1">
      <x:c r="A169" s="29" t="str">
        <x:v>stagger_1</x:v>
      </x:c>
      <x:c r="B169" s="38" t="str">
        <x:v>AEP</x:v>
      </x:c>
      <x:c r="C169" s="38" t="str">
        <x:v>Other FX</x:v>
      </x:c>
      <x:c r="D169" s="30" t="n">
        <x:v>6</x:v>
      </x:c>
      <x:c r="E169" s="38" t="str">
        <x:v>SGD/USD</x:v>
      </x:c>
      <x:c r="F169" s="38" t="n">
        <x:v>1.7967653828</x:v>
      </x:c>
      <x:c r="G169" s="38" t="n">
        <x:v>3.5337190321</x:v>
      </x:c>
      <x:c r="H169" s="42" t="b">
        <x:v>0</x:v>
      </x:c>
      <x:c r="I169" s="42" t="b">
        <x:v>1</x:v>
      </x:c>
      <x:c r="J169" s="38" t="n">
        <x:v>0.1379993448</x:v>
      </x:c>
    </x:row>
    <x:row r="170" ht="19" customHeight="1">
      <x:c r="A170" s="29" t="str">
        <x:v>stagger_1</x:v>
      </x:c>
      <x:c r="B170" s="38" t="str">
        <x:v>AEP</x:v>
      </x:c>
      <x:c r="C170" s="38" t="str">
        <x:v>Other sectors</x:v>
      </x:c>
      <x:c r="D170" s="30" t="n">
        <x:v>1</x:v>
      </x:c>
      <x:c r="E170" s="38" t="str">
        <x:v>XLB</x:v>
      </x:c>
      <x:c r="F170" s="38" t="n">
        <x:v>-0.0937249331</x:v>
      </x:c>
      <x:c r="G170" s="38" t="n">
        <x:v>-0.5348630012</x:v>
      </x:c>
      <x:c r="H170" s="42" t="b">
        <x:v>0</x:v>
      </x:c>
      <x:c r="I170" s="42" t="b">
        <x:v>0</x:v>
      </x:c>
      <x:c r="J170" s="38" t="n">
        <x:v>0.1786800666</x:v>
      </x:c>
    </x:row>
    <x:row r="171" ht="19" customHeight="1">
      <x:c r="A171" s="29" t="str">
        <x:v>stagger_1</x:v>
      </x:c>
      <x:c r="B171" s="38" t="str">
        <x:v>AEP</x:v>
      </x:c>
      <x:c r="C171" s="38" t="str">
        <x:v>Other sectors</x:v>
      </x:c>
      <x:c r="D171" s="30" t="n">
        <x:v>1</x:v>
      </x:c>
      <x:c r="E171" s="38" t="str">
        <x:v>XLC</x:v>
      </x:c>
      <x:c r="F171" s="38" t="n">
        <x:v>-0.3500005196</x:v>
      </x:c>
      <x:c r="G171" s="38" t="n">
        <x:v>-2.143781464</x:v>
      </x:c>
      <x:c r="H171" s="42" t="b">
        <x:v>0</x:v>
      </x:c>
      <x:c r="I171" s="42" t="b">
        <x:v>0</x:v>
      </x:c>
      <x:c r="J171" s="38" t="n">
        <x:v>0.1786800666</x:v>
      </x:c>
    </x:row>
    <x:row r="172" ht="19" customHeight="1">
      <x:c r="A172" s="29" t="str">
        <x:v>stagger_1</x:v>
      </x:c>
      <x:c r="B172" s="38" t="str">
        <x:v>AEP</x:v>
      </x:c>
      <x:c r="C172" s="38" t="str">
        <x:v>Other sectors</x:v>
      </x:c>
      <x:c r="D172" s="30" t="n">
        <x:v>1</x:v>
      </x:c>
      <x:c r="E172" s="38" t="str">
        <x:v>XLE</x:v>
      </x:c>
      <x:c r="F172" s="38" t="n">
        <x:v>0.0141190466</x:v>
      </x:c>
      <x:c r="G172" s="38" t="n">
        <x:v>0.2161907186</x:v>
      </x:c>
      <x:c r="H172" s="42" t="b">
        <x:v>0</x:v>
      </x:c>
      <x:c r="I172" s="42" t="b">
        <x:v>0</x:v>
      </x:c>
      <x:c r="J172" s="38" t="n">
        <x:v>0.1786800666</x:v>
      </x:c>
    </x:row>
    <x:row r="173" ht="19" customHeight="1">
      <x:c r="A173" s="29" t="str">
        <x:v>stagger_1</x:v>
      </x:c>
      <x:c r="B173" s="38" t="str">
        <x:v>AEP</x:v>
      </x:c>
      <x:c r="C173" s="38" t="str">
        <x:v>Other sectors</x:v>
      </x:c>
      <x:c r="D173" s="30" t="n">
        <x:v>1</x:v>
      </x:c>
      <x:c r="E173" s="38" t="str">
        <x:v>XLF</x:v>
      </x:c>
      <x:c r="F173" s="38" t="n">
        <x:v>-0.1955779353</x:v>
      </x:c>
      <x:c r="G173" s="38" t="n">
        <x:v>-1.0578362521</x:v>
      </x:c>
      <x:c r="H173" s="42" t="b">
        <x:v>0</x:v>
      </x:c>
      <x:c r="I173" s="42" t="b">
        <x:v>0</x:v>
      </x:c>
      <x:c r="J173" s="38" t="n">
        <x:v>0.1786800666</x:v>
      </x:c>
    </x:row>
    <x:row r="174" ht="19" customHeight="1">
      <x:c r="A174" s="29" t="str">
        <x:v>stagger_1</x:v>
      </x:c>
      <x:c r="B174" s="38" t="str">
        <x:v>AEP</x:v>
      </x:c>
      <x:c r="C174" s="38" t="str">
        <x:v>Other sectors</x:v>
      </x:c>
      <x:c r="D174" s="30" t="n">
        <x:v>1</x:v>
      </x:c>
      <x:c r="E174" s="38" t="str">
        <x:v>XLI</x:v>
      </x:c>
      <x:c r="F174" s="38" t="n">
        <x:v>-0.2847417933</x:v>
      </x:c>
      <x:c r="G174" s="38" t="n">
        <x:v>-1.2621652188</x:v>
      </x:c>
      <x:c r="H174" s="42" t="b">
        <x:v>0</x:v>
      </x:c>
      <x:c r="I174" s="42" t="b">
        <x:v>0</x:v>
      </x:c>
      <x:c r="J174" s="38" t="n">
        <x:v>0.1786800666</x:v>
      </x:c>
    </x:row>
    <x:row r="175" ht="19" customHeight="1">
      <x:c r="A175" s="29" t="str">
        <x:v>stagger_1</x:v>
      </x:c>
      <x:c r="B175" s="38" t="str">
        <x:v>AEP</x:v>
      </x:c>
      <x:c r="C175" s="38" t="str">
        <x:v>Other sectors</x:v>
      </x:c>
      <x:c r="D175" s="30" t="n">
        <x:v>1</x:v>
      </x:c>
      <x:c r="E175" s="38" t="str">
        <x:v>XLK</x:v>
      </x:c>
      <x:c r="F175" s="38" t="n">
        <x:v>-0.3108925027</x:v>
      </x:c>
      <x:c r="G175" s="38" t="n">
        <x:v>-1.1409788402</x:v>
      </x:c>
      <x:c r="H175" s="42" t="b">
        <x:v>0</x:v>
      </x:c>
      <x:c r="I175" s="42" t="b">
        <x:v>0</x:v>
      </x:c>
      <x:c r="J175" s="38" t="n">
        <x:v>0.1786800666</x:v>
      </x:c>
    </x:row>
    <x:row r="176" ht="19" customHeight="1">
      <x:c r="A176" s="29" t="str">
        <x:v>stagger_1</x:v>
      </x:c>
      <x:c r="B176" s="38" t="str">
        <x:v>AEP</x:v>
      </x:c>
      <x:c r="C176" s="38" t="str">
        <x:v>Other sectors</x:v>
      </x:c>
      <x:c r="D176" s="30" t="n">
        <x:v>1</x:v>
      </x:c>
      <x:c r="E176" s="38" t="str">
        <x:v>XLP</x:v>
      </x:c>
      <x:c r="F176" s="38" t="n">
        <x:v>-0.0355786474</x:v>
      </x:c>
      <x:c r="G176" s="38" t="n">
        <x:v>-0.1897538996</x:v>
      </x:c>
      <x:c r="H176" s="42" t="b">
        <x:v>0</x:v>
      </x:c>
      <x:c r="I176" s="42" t="b">
        <x:v>0</x:v>
      </x:c>
      <x:c r="J176" s="38" t="n">
        <x:v>0.1786800666</x:v>
      </x:c>
    </x:row>
    <x:row r="177" ht="19" customHeight="1">
      <x:c r="A177" s="29" t="str">
        <x:v>stagger_1</x:v>
      </x:c>
      <x:c r="B177" s="38" t="str">
        <x:v>AEP</x:v>
      </x:c>
      <x:c r="C177" s="38" t="str">
        <x:v>Other sectors</x:v>
      </x:c>
      <x:c r="D177" s="30" t="n">
        <x:v>1</x:v>
      </x:c>
      <x:c r="E177" s="38" t="str">
        <x:v>XLRE</x:v>
      </x:c>
      <x:c r="F177" s="38" t="n">
        <x:v>0.1717721344</x:v>
      </x:c>
      <x:c r="G177" s="38" t="n">
        <x:v>1.2065777902</x:v>
      </x:c>
      <x:c r="H177" s="42" t="b">
        <x:v>0</x:v>
      </x:c>
      <x:c r="I177" s="42" t="b">
        <x:v>0</x:v>
      </x:c>
      <x:c r="J177" s="38" t="n">
        <x:v>0.1786800666</x:v>
      </x:c>
    </x:row>
    <x:row r="178" ht="19" customHeight="1">
      <x:c r="A178" s="29" t="str">
        <x:v>stagger_1</x:v>
      </x:c>
      <x:c r="B178" s="38" t="str">
        <x:v>AEP</x:v>
      </x:c>
      <x:c r="C178" s="38" t="str">
        <x:v>Other sectors</x:v>
      </x:c>
      <x:c r="D178" s="30" t="n">
        <x:v>1</x:v>
      </x:c>
      <x:c r="E178" s="38" t="str">
        <x:v>XLV</x:v>
      </x:c>
      <x:c r="F178" s="38" t="n">
        <x:v>0.0617397298</x:v>
      </x:c>
      <x:c r="G178" s="38" t="n">
        <x:v>0.3901995679</x:v>
      </x:c>
      <x:c r="H178" s="42" t="b">
        <x:v>0</x:v>
      </x:c>
      <x:c r="I178" s="42" t="b">
        <x:v>0</x:v>
      </x:c>
      <x:c r="J178" s="38" t="n">
        <x:v>0.1786800666</x:v>
      </x:c>
    </x:row>
    <x:row r="179" ht="19" customHeight="1">
      <x:c r="A179" s="29" t="str">
        <x:v>stagger_1</x:v>
      </x:c>
      <x:c r="B179" s="38" t="str">
        <x:v>AEP</x:v>
      </x:c>
      <x:c r="C179" s="38" t="str">
        <x:v>Other sectors</x:v>
      </x:c>
      <x:c r="D179" s="30" t="n">
        <x:v>1</x:v>
      </x:c>
      <x:c r="E179" s="38" t="str">
        <x:v>XLY</x:v>
      </x:c>
      <x:c r="F179" s="38" t="n">
        <x:v>-0.0221789447</x:v>
      </x:c>
      <x:c r="G179" s="38" t="n">
        <x:v>-0.1236513484</x:v>
      </x:c>
      <x:c r="H179" s="42" t="b">
        <x:v>1</x:v>
      </x:c>
      <x:c r="I179" s="42" t="b">
        <x:v>0</x:v>
      </x:c>
      <x:c r="J179" s="38" t="n">
        <x:v>0.1786800666</x:v>
      </x:c>
    </x:row>
    <x:row r="180" ht="19" customHeight="1">
      <x:c r="A180" s="29" t="str">
        <x:v>stagger_1</x:v>
      </x:c>
      <x:c r="B180" s="38" t="str">
        <x:v>AEP</x:v>
      </x:c>
      <x:c r="C180" s="38" t="str">
        <x:v>Other sectors</x:v>
      </x:c>
      <x:c r="D180" s="30" t="n">
        <x:v>2</x:v>
      </x:c>
      <x:c r="E180" s="38" t="str">
        <x:v>XLB</x:v>
      </x:c>
      <x:c r="F180" s="38" t="n">
        <x:v>-0.0957515511</x:v>
      </x:c>
      <x:c r="G180" s="38" t="n">
        <x:v>-0.5527358252</x:v>
      </x:c>
      <x:c r="H180" s="42" t="b">
        <x:v>0</x:v>
      </x:c>
      <x:c r="I180" s="42" t="b">
        <x:v>0</x:v>
      </x:c>
      <x:c r="J180" s="38" t="n">
        <x:v>0.178498071</x:v>
      </x:c>
    </x:row>
    <x:row r="181" ht="19" customHeight="1">
      <x:c r="A181" s="29" t="str">
        <x:v>stagger_1</x:v>
      </x:c>
      <x:c r="B181" s="38" t="str">
        <x:v>AEP</x:v>
      </x:c>
      <x:c r="C181" s="38" t="str">
        <x:v>Other sectors</x:v>
      </x:c>
      <x:c r="D181" s="30" t="n">
        <x:v>2</x:v>
      </x:c>
      <x:c r="E181" s="38" t="str">
        <x:v>XLC</x:v>
      </x:c>
      <x:c r="F181" s="38" t="n">
        <x:v>-0.3510480604</x:v>
      </x:c>
      <x:c r="G181" s="38" t="n">
        <x:v>-2.1684041832</x:v>
      </x:c>
      <x:c r="H181" s="42" t="b">
        <x:v>0</x:v>
      </x:c>
      <x:c r="I181" s="42" t="b">
        <x:v>0</x:v>
      </x:c>
      <x:c r="J181" s="38" t="n">
        <x:v>0.178498071</x:v>
      </x:c>
    </x:row>
    <x:row r="182" ht="19" customHeight="1">
      <x:c r="A182" s="29" t="str">
        <x:v>stagger_1</x:v>
      </x:c>
      <x:c r="B182" s="38" t="str">
        <x:v>AEP</x:v>
      </x:c>
      <x:c r="C182" s="38" t="str">
        <x:v>Other sectors</x:v>
      </x:c>
      <x:c r="D182" s="30" t="n">
        <x:v>2</x:v>
      </x:c>
      <x:c r="E182" s="38" t="str">
        <x:v>XLE</x:v>
      </x:c>
      <x:c r="F182" s="38" t="n">
        <x:v>0.0177500095</x:v>
      </x:c>
      <x:c r="G182" s="38" t="n">
        <x:v>0.3064435585</x:v>
      </x:c>
      <x:c r="H182" s="42" t="b">
        <x:v>0</x:v>
      </x:c>
      <x:c r="I182" s="42" t="b">
        <x:v>0</x:v>
      </x:c>
      <x:c r="J182" s="38" t="n">
        <x:v>0.178498071</x:v>
      </x:c>
    </x:row>
    <x:row r="183" ht="19" customHeight="1">
      <x:c r="A183" s="29" t="str">
        <x:v>stagger_1</x:v>
      </x:c>
      <x:c r="B183" s="38" t="str">
        <x:v>AEP</x:v>
      </x:c>
      <x:c r="C183" s="38" t="str">
        <x:v>Other sectors</x:v>
      </x:c>
      <x:c r="D183" s="30" t="n">
        <x:v>2</x:v>
      </x:c>
      <x:c r="E183" s="38" t="str">
        <x:v>XLF</x:v>
      </x:c>
      <x:c r="F183" s="38" t="n">
        <x:v>-0.1882171645</x:v>
      </x:c>
      <x:c r="G183" s="38" t="n">
        <x:v>-1.0829285533</x:v>
      </x:c>
      <x:c r="H183" s="42" t="b">
        <x:v>0</x:v>
      </x:c>
      <x:c r="I183" s="42" t="b">
        <x:v>0</x:v>
      </x:c>
      <x:c r="J183" s="38" t="n">
        <x:v>0.178498071</x:v>
      </x:c>
    </x:row>
    <x:row r="184" ht="19" customHeight="1">
      <x:c r="A184" s="29" t="str">
        <x:v>stagger_1</x:v>
      </x:c>
      <x:c r="B184" s="38" t="str">
        <x:v>AEP</x:v>
      </x:c>
      <x:c r="C184" s="38" t="str">
        <x:v>Other sectors</x:v>
      </x:c>
      <x:c r="D184" s="30" t="n">
        <x:v>2</x:v>
      </x:c>
      <x:c r="E184" s="38" t="str">
        <x:v>XLI</x:v>
      </x:c>
      <x:c r="F184" s="38" t="n">
        <x:v>-0.2809692706</x:v>
      </x:c>
      <x:c r="G184" s="38" t="n">
        <x:v>-1.2659262531</x:v>
      </x:c>
      <x:c r="H184" s="42" t="b">
        <x:v>0</x:v>
      </x:c>
      <x:c r="I184" s="42" t="b">
        <x:v>0</x:v>
      </x:c>
      <x:c r="J184" s="38" t="n">
        <x:v>0.178498071</x:v>
      </x:c>
    </x:row>
    <x:row r="185" ht="19" customHeight="1">
      <x:c r="A185" s="29" t="str">
        <x:v>stagger_1</x:v>
      </x:c>
      <x:c r="B185" s="38" t="str">
        <x:v>AEP</x:v>
      </x:c>
      <x:c r="C185" s="38" t="str">
        <x:v>Other sectors</x:v>
      </x:c>
      <x:c r="D185" s="30" t="n">
        <x:v>2</x:v>
      </x:c>
      <x:c r="E185" s="38" t="str">
        <x:v>XLK</x:v>
      </x:c>
      <x:c r="F185" s="38" t="n">
        <x:v>-0.2934118897</x:v>
      </x:c>
      <x:c r="G185" s="38" t="n">
        <x:v>-1.2685791834</x:v>
      </x:c>
      <x:c r="H185" s="42" t="b">
        <x:v>0</x:v>
      </x:c>
      <x:c r="I185" s="42" t="b">
        <x:v>0</x:v>
      </x:c>
      <x:c r="J185" s="38" t="n">
        <x:v>0.178498071</x:v>
      </x:c>
    </x:row>
    <x:row r="186" ht="19" customHeight="1">
      <x:c r="A186" s="29" t="str">
        <x:v>stagger_1</x:v>
      </x:c>
      <x:c r="B186" s="38" t="str">
        <x:v>AEP</x:v>
      </x:c>
      <x:c r="C186" s="38" t="str">
        <x:v>Other sectors</x:v>
      </x:c>
      <x:c r="D186" s="30" t="n">
        <x:v>2</x:v>
      </x:c>
      <x:c r="E186" s="38" t="str">
        <x:v>XLP</x:v>
      </x:c>
      <x:c r="F186" s="38" t="n">
        <x:v>-0.0281584643</x:v>
      </x:c>
      <x:c r="G186" s="38" t="n">
        <x:v>-0.159644086</x:v>
      </x:c>
      <x:c r="H186" s="42" t="b">
        <x:v>1</x:v>
      </x:c>
      <x:c r="I186" s="42" t="b">
        <x:v>0</x:v>
      </x:c>
      <x:c r="J186" s="38" t="n">
        <x:v>0.178498071</x:v>
      </x:c>
    </x:row>
    <x:row r="187" ht="19" customHeight="1">
      <x:c r="A187" s="29" t="str">
        <x:v>stagger_1</x:v>
      </x:c>
      <x:c r="B187" s="38" t="str">
        <x:v>AEP</x:v>
      </x:c>
      <x:c r="C187" s="38" t="str">
        <x:v>Other sectors</x:v>
      </x:c>
      <x:c r="D187" s="30" t="n">
        <x:v>2</x:v>
      </x:c>
      <x:c r="E187" s="38" t="str">
        <x:v>XLRE</x:v>
      </x:c>
      <x:c r="F187" s="38" t="n">
        <x:v>0.1673257871</x:v>
      </x:c>
      <x:c r="G187" s="38" t="n">
        <x:v>1.2233685666</x:v>
      </x:c>
      <x:c r="H187" s="42" t="b">
        <x:v>0</x:v>
      </x:c>
      <x:c r="I187" s="42" t="b">
        <x:v>0</x:v>
      </x:c>
      <x:c r="J187" s="38" t="n">
        <x:v>0.178498071</x:v>
      </x:c>
    </x:row>
    <x:row r="188" ht="19" customHeight="1">
      <x:c r="A188" s="29" t="str">
        <x:v>stagger_1</x:v>
      </x:c>
      <x:c r="B188" s="38" t="str">
        <x:v>AEP</x:v>
      </x:c>
      <x:c r="C188" s="38" t="str">
        <x:v>Other sectors</x:v>
      </x:c>
      <x:c r="D188" s="30" t="n">
        <x:v>2</x:v>
      </x:c>
      <x:c r="E188" s="38" t="str">
        <x:v>XLV</x:v>
      </x:c>
      <x:c r="F188" s="38" t="n">
        <x:v>0.0716188485</x:v>
      </x:c>
      <x:c r="G188" s="38" t="n">
        <x:v>0.5281263089</x:v>
      </x:c>
      <x:c r="H188" s="42" t="b">
        <x:v>0</x:v>
      </x:c>
      <x:c r="I188" s="42" t="b">
        <x:v>0</x:v>
      </x:c>
      <x:c r="J188" s="38" t="n">
        <x:v>0.178498071</x:v>
      </x:c>
    </x:row>
    <x:row r="189" ht="19" customHeight="1">
      <x:c r="A189" s="29" t="str">
        <x:v>stagger_1</x:v>
      </x:c>
      <x:c r="B189" s="38" t="str">
        <x:v>AEP</x:v>
      </x:c>
      <x:c r="C189" s="38" t="str">
        <x:v>Other sectors</x:v>
      </x:c>
      <x:c r="D189" s="30" t="n">
        <x:v>3</x:v>
      </x:c>
      <x:c r="E189" s="38" t="str">
        <x:v>XLB</x:v>
      </x:c>
      <x:c r="F189" s="38" t="n">
        <x:v>-0.0980785552</x:v>
      </x:c>
      <x:c r="G189" s="38" t="n">
        <x:v>-0.5721235573</x:v>
      </x:c>
      <x:c r="H189" s="42" t="b">
        <x:v>0</x:v>
      </x:c>
      <x:c r="I189" s="42" t="b">
        <x:v>0</x:v>
      </x:c>
      <x:c r="J189" s="38" t="n">
        <x:v>0.1781989711</x:v>
      </x:c>
    </x:row>
    <x:row r="190" ht="19" customHeight="1">
      <x:c r="A190" s="29" t="str">
        <x:v>stagger_1</x:v>
      </x:c>
      <x:c r="B190" s="38" t="str">
        <x:v>AEP</x:v>
      </x:c>
      <x:c r="C190" s="38" t="str">
        <x:v>Other sectors</x:v>
      </x:c>
      <x:c r="D190" s="30" t="n">
        <x:v>3</x:v>
      </x:c>
      <x:c r="E190" s="38" t="str">
        <x:v>XLC</x:v>
      </x:c>
      <x:c r="F190" s="38" t="n">
        <x:v>-0.3505859374</x:v>
      </x:c>
      <x:c r="G190" s="38" t="n">
        <x:v>-2.1809147694</x:v>
      </x:c>
      <x:c r="H190" s="42" t="b">
        <x:v>0</x:v>
      </x:c>
      <x:c r="I190" s="42" t="b">
        <x:v>0</x:v>
      </x:c>
      <x:c r="J190" s="38" t="n">
        <x:v>0.1781989711</x:v>
      </x:c>
    </x:row>
    <x:row r="191" ht="19" customHeight="1">
      <x:c r="A191" s="29" t="str">
        <x:v>stagger_1</x:v>
      </x:c>
      <x:c r="B191" s="38" t="str">
        <x:v>AEP</x:v>
      </x:c>
      <x:c r="C191" s="38" t="str">
        <x:v>Other sectors</x:v>
      </x:c>
      <x:c r="D191" s="30" t="n">
        <x:v>3</x:v>
      </x:c>
      <x:c r="E191" s="38" t="str">
        <x:v>XLE</x:v>
      </x:c>
      <x:c r="F191" s="38" t="n">
        <x:v>0.0184651634</x:v>
      </x:c>
      <x:c r="G191" s="38" t="n">
        <x:v>0.3219651734</x:v>
      </x:c>
      <x:c r="H191" s="42" t="b">
        <x:v>1</x:v>
      </x:c>
      <x:c r="I191" s="42" t="b">
        <x:v>0</x:v>
      </x:c>
      <x:c r="J191" s="38" t="n">
        <x:v>0.1781989711</x:v>
      </x:c>
    </x:row>
    <x:row r="192" ht="19" customHeight="1">
      <x:c r="A192" s="29" t="str">
        <x:v>stagger_1</x:v>
      </x:c>
      <x:c r="B192" s="38" t="str">
        <x:v>AEP</x:v>
      </x:c>
      <x:c r="C192" s="38" t="str">
        <x:v>Other sectors</x:v>
      </x:c>
      <x:c r="D192" s="30" t="n">
        <x:v>3</x:v>
      </x:c>
      <x:c r="E192" s="38" t="str">
        <x:v>XLF</x:v>
      </x:c>
      <x:c r="F192" s="38" t="n">
        <x:v>-0.1761371243</x:v>
      </x:c>
      <x:c r="G192" s="38" t="n">
        <x:v>-1.1335172258</x:v>
      </x:c>
      <x:c r="H192" s="42" t="b">
        <x:v>0</x:v>
      </x:c>
      <x:c r="I192" s="42" t="b">
        <x:v>0</x:v>
      </x:c>
      <x:c r="J192" s="38" t="n">
        <x:v>0.1781989711</x:v>
      </x:c>
    </x:row>
    <x:row r="193" ht="19" customHeight="1">
      <x:c r="A193" s="29" t="str">
        <x:v>stagger_1</x:v>
      </x:c>
      <x:c r="B193" s="38" t="str">
        <x:v>AEP</x:v>
      </x:c>
      <x:c r="C193" s="38" t="str">
        <x:v>Other sectors</x:v>
      </x:c>
      <x:c r="D193" s="30" t="n">
        <x:v>3</x:v>
      </x:c>
      <x:c r="E193" s="38" t="str">
        <x:v>XLI</x:v>
      </x:c>
      <x:c r="F193" s="38" t="n">
        <x:v>-0.2885255443</x:v>
      </x:c>
      <x:c r="G193" s="38" t="n">
        <x:v>-1.3398067656</x:v>
      </x:c>
      <x:c r="H193" s="42" t="b">
        <x:v>0</x:v>
      </x:c>
      <x:c r="I193" s="42" t="b">
        <x:v>0</x:v>
      </x:c>
      <x:c r="J193" s="38" t="n">
        <x:v>0.1781989711</x:v>
      </x:c>
    </x:row>
    <x:row r="194" ht="19" customHeight="1">
      <x:c r="A194" s="29" t="str">
        <x:v>stagger_1</x:v>
      </x:c>
      <x:c r="B194" s="38" t="str">
        <x:v>AEP</x:v>
      </x:c>
      <x:c r="C194" s="38" t="str">
        <x:v>Other sectors</x:v>
      </x:c>
      <x:c r="D194" s="30" t="n">
        <x:v>3</x:v>
      </x:c>
      <x:c r="E194" s="38" t="str">
        <x:v>XLK</x:v>
      </x:c>
      <x:c r="F194" s="38" t="n">
        <x:v>-0.2825299484</x:v>
      </x:c>
      <x:c r="G194" s="38" t="n">
        <x:v>-1.2871679498</x:v>
      </x:c>
      <x:c r="H194" s="42" t="b">
        <x:v>0</x:v>
      </x:c>
      <x:c r="I194" s="42" t="b">
        <x:v>0</x:v>
      </x:c>
      <x:c r="J194" s="38" t="n">
        <x:v>0.1781989711</x:v>
      </x:c>
    </x:row>
    <x:row r="195" ht="19" customHeight="1">
      <x:c r="A195" s="29" t="str">
        <x:v>stagger_1</x:v>
      </x:c>
      <x:c r="B195" s="38" t="str">
        <x:v>AEP</x:v>
      </x:c>
      <x:c r="C195" s="38" t="str">
        <x:v>Other sectors</x:v>
      </x:c>
      <x:c r="D195" s="30" t="n">
        <x:v>3</x:v>
      </x:c>
      <x:c r="E195" s="38" t="str">
        <x:v>XLRE</x:v>
      </x:c>
      <x:c r="F195" s="38" t="n">
        <x:v>0.1600182781</x:v>
      </x:c>
      <x:c r="G195" s="38" t="n">
        <x:v>1.2501407311</x:v>
      </x:c>
      <x:c r="H195" s="42" t="b">
        <x:v>0</x:v>
      </x:c>
      <x:c r="I195" s="42" t="b">
        <x:v>0</x:v>
      </x:c>
      <x:c r="J195" s="38" t="n">
        <x:v>0.1781989711</x:v>
      </x:c>
    </x:row>
    <x:row r="196" ht="19" customHeight="1">
      <x:c r="A196" s="29" t="str">
        <x:v>stagger_1</x:v>
      </x:c>
      <x:c r="B196" s="38" t="str">
        <x:v>AEP</x:v>
      </x:c>
      <x:c r="C196" s="38" t="str">
        <x:v>Other sectors</x:v>
      </x:c>
      <x:c r="D196" s="30" t="n">
        <x:v>3</x:v>
      </x:c>
      <x:c r="E196" s="38" t="str">
        <x:v>XLV</x:v>
      </x:c>
      <x:c r="F196" s="38" t="n">
        <x:v>0.0671134826</x:v>
      </x:c>
      <x:c r="G196" s="38" t="n">
        <x:v>0.5094897432</x:v>
      </x:c>
      <x:c r="H196" s="42" t="b">
        <x:v>0</x:v>
      </x:c>
      <x:c r="I196" s="42" t="b">
        <x:v>0</x:v>
      </x:c>
      <x:c r="J196" s="38" t="n">
        <x:v>0.1781989711</x:v>
      </x:c>
    </x:row>
    <x:row r="197" ht="19" customHeight="1">
      <x:c r="A197" s="29" t="str">
        <x:v>stagger_1</x:v>
      </x:c>
      <x:c r="B197" s="38" t="str">
        <x:v>AEP</x:v>
      </x:c>
      <x:c r="C197" s="38" t="str">
        <x:v>Other sectors</x:v>
      </x:c>
      <x:c r="D197" s="30" t="n">
        <x:v>4</x:v>
      </x:c>
      <x:c r="E197" s="38" t="str">
        <x:v>XLB</x:v>
      </x:c>
      <x:c r="F197" s="38" t="n">
        <x:v>-0.0862895414</x:v>
      </x:c>
      <x:c r="G197" s="38" t="n">
        <x:v>-0.5184822016</x:v>
      </x:c>
      <x:c r="H197" s="42" t="b">
        <x:v>0</x:v>
      </x:c>
      <x:c r="I197" s="42" t="b">
        <x:v>0</x:v>
      </x:c>
      <x:c r="J197" s="38" t="n">
        <x:v>0.1769991234</x:v>
      </x:c>
    </x:row>
    <x:row r="198" ht="19" customHeight="1">
      <x:c r="A198" s="29" t="str">
        <x:v>stagger_1</x:v>
      </x:c>
      <x:c r="B198" s="38" t="str">
        <x:v>AEP</x:v>
      </x:c>
      <x:c r="C198" s="38" t="str">
        <x:v>Other sectors</x:v>
      </x:c>
      <x:c r="D198" s="30" t="n">
        <x:v>4</x:v>
      </x:c>
      <x:c r="E198" s="38" t="str">
        <x:v>XLC</x:v>
      </x:c>
      <x:c r="F198" s="38" t="n">
        <x:v>-0.35600658</x:v>
      </x:c>
      <x:c r="G198" s="38" t="n">
        <x:v>-2.2408746739</x:v>
      </x:c>
      <x:c r="H198" s="42" t="b">
        <x:v>0</x:v>
      </x:c>
      <x:c r="I198" s="42" t="b">
        <x:v>0</x:v>
      </x:c>
      <x:c r="J198" s="38" t="n">
        <x:v>0.1769991234</x:v>
      </x:c>
    </x:row>
    <x:row r="199" ht="19" customHeight="1">
      <x:c r="A199" s="29" t="str">
        <x:v>stagger_1</x:v>
      </x:c>
      <x:c r="B199" s="38" t="str">
        <x:v>AEP</x:v>
      </x:c>
      <x:c r="C199" s="38" t="str">
        <x:v>Other sectors</x:v>
      </x:c>
      <x:c r="D199" s="30" t="n">
        <x:v>4</x:v>
      </x:c>
      <x:c r="E199" s="38" t="str">
        <x:v>XLF</x:v>
      </x:c>
      <x:c r="F199" s="38" t="n">
        <x:v>-0.1755496268</x:v>
      </x:c>
      <x:c r="G199" s="38" t="n">
        <x:v>-1.1369132926</x:v>
      </x:c>
      <x:c r="H199" s="42" t="b">
        <x:v>0</x:v>
      </x:c>
      <x:c r="I199" s="42" t="b">
        <x:v>0</x:v>
      </x:c>
      <x:c r="J199" s="38" t="n">
        <x:v>0.1769991234</x:v>
      </x:c>
    </x:row>
    <x:row r="200" ht="19" customHeight="1">
      <x:c r="A200" s="29" t="str">
        <x:v>stagger_1</x:v>
      </x:c>
      <x:c r="B200" s="38" t="str">
        <x:v>AEP</x:v>
      </x:c>
      <x:c r="C200" s="38" t="str">
        <x:v>Other sectors</x:v>
      </x:c>
      <x:c r="D200" s="30" t="n">
        <x:v>4</x:v>
      </x:c>
      <x:c r="E200" s="38" t="str">
        <x:v>XLI</x:v>
      </x:c>
      <x:c r="F200" s="38" t="n">
        <x:v>-0.2992007996</x:v>
      </x:c>
      <x:c r="G200" s="38" t="n">
        <x:v>-1.4149808329</x:v>
      </x:c>
      <x:c r="H200" s="42" t="b">
        <x:v>0</x:v>
      </x:c>
      <x:c r="I200" s="42" t="b">
        <x:v>0</x:v>
      </x:c>
      <x:c r="J200" s="38" t="n">
        <x:v>0.1769991234</x:v>
      </x:c>
    </x:row>
    <x:row r="201" ht="19" customHeight="1">
      <x:c r="A201" s="29" t="str">
        <x:v>stagger_1</x:v>
      </x:c>
      <x:c r="B201" s="38" t="str">
        <x:v>AEP</x:v>
      </x:c>
      <x:c r="C201" s="38" t="str">
        <x:v>Other sectors</x:v>
      </x:c>
      <x:c r="D201" s="30" t="n">
        <x:v>4</x:v>
      </x:c>
      <x:c r="E201" s="38" t="str">
        <x:v>XLK</x:v>
      </x:c>
      <x:c r="F201" s="38" t="n">
        <x:v>-0.3010286388</x:v>
      </x:c>
      <x:c r="G201" s="38" t="n">
        <x:v>-1.4299195659</x:v>
      </x:c>
      <x:c r="H201" s="42" t="b">
        <x:v>0</x:v>
      </x:c>
      <x:c r="I201" s="42" t="b">
        <x:v>0</x:v>
      </x:c>
      <x:c r="J201" s="38" t="n">
        <x:v>0.1769991234</x:v>
      </x:c>
    </x:row>
    <x:row r="202" ht="19" customHeight="1">
      <x:c r="A202" s="29" t="str">
        <x:v>stagger_1</x:v>
      </x:c>
      <x:c r="B202" s="38" t="str">
        <x:v>AEP</x:v>
      </x:c>
      <x:c r="C202" s="38" t="str">
        <x:v>Other sectors</x:v>
      </x:c>
      <x:c r="D202" s="30" t="n">
        <x:v>4</x:v>
      </x:c>
      <x:c r="E202" s="38" t="str">
        <x:v>XLRE</x:v>
      </x:c>
      <x:c r="F202" s="38" t="n">
        <x:v>0.1551855158</x:v>
      </x:c>
      <x:c r="G202" s="38" t="n">
        <x:v>1.2284785997</x:v>
      </x:c>
      <x:c r="H202" s="42" t="b">
        <x:v>0</x:v>
      </x:c>
      <x:c r="I202" s="42" t="b">
        <x:v>0</x:v>
      </x:c>
      <x:c r="J202" s="38" t="n">
        <x:v>0.1769991234</x:v>
      </x:c>
    </x:row>
    <x:row r="203" ht="19" customHeight="1">
      <x:c r="A203" s="29" t="str">
        <x:v>stagger_1</x:v>
      </x:c>
      <x:c r="B203" s="38" t="str">
        <x:v>AEP</x:v>
      </x:c>
      <x:c r="C203" s="38" t="str">
        <x:v>Other sectors</x:v>
      </x:c>
      <x:c r="D203" s="30" t="n">
        <x:v>4</x:v>
      </x:c>
      <x:c r="E203" s="38" t="str">
        <x:v>XLV</x:v>
      </x:c>
      <x:c r="F203" s="38" t="n">
        <x:v>0.0641208407</x:v>
      </x:c>
      <x:c r="G203" s="38" t="n">
        <x:v>0.4910537384</x:v>
      </x:c>
      <x:c r="H203" s="42" t="b">
        <x:v>1</x:v>
      </x:c>
      <x:c r="I203" s="42" t="b">
        <x:v>0</x:v>
      </x:c>
      <x:c r="J203" s="38" t="n">
        <x:v>0.1769991234</x:v>
      </x:c>
    </x:row>
    <x:row r="204" ht="19" customHeight="1">
      <x:c r="A204" s="29" t="str">
        <x:v>stagger_1</x:v>
      </x:c>
      <x:c r="B204" s="38" t="str">
        <x:v>AEP</x:v>
      </x:c>
      <x:c r="C204" s="38" t="str">
        <x:v>Other sectors</x:v>
      </x:c>
      <x:c r="D204" s="30" t="n">
        <x:v>5</x:v>
      </x:c>
      <x:c r="E204" s="38" t="str">
        <x:v>XLB</x:v>
      </x:c>
      <x:c r="F204" s="38" t="n">
        <x:v>-0.0824797454</x:v>
      </x:c>
      <x:c r="G204" s="38" t="n">
        <x:v>-0.4987289422</x:v>
      </x:c>
      <x:c r="H204" s="42" t="b">
        <x:v>1</x:v>
      </x:c>
      <x:c r="I204" s="42" t="b">
        <x:v>0</x:v>
      </x:c>
      <x:c r="J204" s="38" t="n">
        <x:v>0.1742428275</x:v>
      </x:c>
    </x:row>
    <x:row r="205" ht="19" customHeight="1">
      <x:c r="A205" s="29" t="str">
        <x:v>stagger_1</x:v>
      </x:c>
      <x:c r="B205" s="38" t="str">
        <x:v>AEP</x:v>
      </x:c>
      <x:c r="C205" s="38" t="str">
        <x:v>Other sectors</x:v>
      </x:c>
      <x:c r="D205" s="30" t="n">
        <x:v>5</x:v>
      </x:c>
      <x:c r="E205" s="38" t="str">
        <x:v>XLC</x:v>
      </x:c>
      <x:c r="F205" s="38" t="n">
        <x:v>-0.3769279606</x:v>
      </x:c>
      <x:c r="G205" s="38" t="n">
        <x:v>-2.4756773105</x:v>
      </x:c>
      <x:c r="H205" s="42" t="b">
        <x:v>0</x:v>
      </x:c>
      <x:c r="I205" s="42" t="b">
        <x:v>0</x:v>
      </x:c>
      <x:c r="J205" s="38" t="n">
        <x:v>0.1742428275</x:v>
      </x:c>
    </x:row>
    <x:row r="206" ht="19" customHeight="1">
      <x:c r="A206" s="29" t="str">
        <x:v>stagger_1</x:v>
      </x:c>
      <x:c r="B206" s="38" t="str">
        <x:v>AEP</x:v>
      </x:c>
      <x:c r="C206" s="38" t="str">
        <x:v>Other sectors</x:v>
      </x:c>
      <x:c r="D206" s="30" t="n">
        <x:v>5</x:v>
      </x:c>
      <x:c r="E206" s="38" t="str">
        <x:v>XLF</x:v>
      </x:c>
      <x:c r="F206" s="38" t="n">
        <x:v>-0.1870874875</x:v>
      </x:c>
      <x:c r="G206" s="38" t="n">
        <x:v>-1.2323342862</x:v>
      </x:c>
      <x:c r="H206" s="42" t="b">
        <x:v>0</x:v>
      </x:c>
      <x:c r="I206" s="42" t="b">
        <x:v>0</x:v>
      </x:c>
      <x:c r="J206" s="38" t="n">
        <x:v>0.1742428275</x:v>
      </x:c>
    </x:row>
    <x:row r="207" ht="19" customHeight="1">
      <x:c r="A207" s="29" t="str">
        <x:v>stagger_1</x:v>
      </x:c>
      <x:c r="B207" s="38" t="str">
        <x:v>AEP</x:v>
      </x:c>
      <x:c r="C207" s="38" t="str">
        <x:v>Other sectors</x:v>
      </x:c>
      <x:c r="D207" s="30" t="n">
        <x:v>5</x:v>
      </x:c>
      <x:c r="E207" s="38" t="str">
        <x:v>XLI</x:v>
      </x:c>
      <x:c r="F207" s="38" t="n">
        <x:v>-0.3116769674</x:v>
      </x:c>
      <x:c r="G207" s="38" t="n">
        <x:v>-1.4925177232</x:v>
      </x:c>
      <x:c r="H207" s="42" t="b">
        <x:v>0</x:v>
      </x:c>
      <x:c r="I207" s="42" t="b">
        <x:v>0</x:v>
      </x:c>
      <x:c r="J207" s="38" t="n">
        <x:v>0.1742428275</x:v>
      </x:c>
    </x:row>
    <x:row r="208" ht="19" customHeight="1">
      <x:c r="A208" s="29" t="str">
        <x:v>stagger_1</x:v>
      </x:c>
      <x:c r="B208" s="38" t="str">
        <x:v>AEP</x:v>
      </x:c>
      <x:c r="C208" s="38" t="str">
        <x:v>Other sectors</x:v>
      </x:c>
      <x:c r="D208" s="30" t="n">
        <x:v>5</x:v>
      </x:c>
      <x:c r="E208" s="38" t="str">
        <x:v>XLK</x:v>
      </x:c>
      <x:c r="F208" s="38" t="n">
        <x:v>-0.3484153513</x:v>
      </x:c>
      <x:c r="G208" s="38" t="n">
        <x:v>-1.8719275976</x:v>
      </x:c>
      <x:c r="H208" s="42" t="b">
        <x:v>0</x:v>
      </x:c>
      <x:c r="I208" s="42" t="b">
        <x:v>0</x:v>
      </x:c>
      <x:c r="J208" s="38" t="n">
        <x:v>0.1742428275</x:v>
      </x:c>
    </x:row>
    <x:row r="209" ht="19" customHeight="1">
      <x:c r="A209" s="29" t="str">
        <x:v>stagger_1</x:v>
      </x:c>
      <x:c r="B209" s="38" t="str">
        <x:v>AEP</x:v>
      </x:c>
      <x:c r="C209" s="38" t="str">
        <x:v>Other sectors</x:v>
      </x:c>
      <x:c r="D209" s="30" t="n">
        <x:v>5</x:v>
      </x:c>
      <x:c r="E209" s="38" t="str">
        <x:v>XLRE</x:v>
      </x:c>
      <x:c r="F209" s="38" t="n">
        <x:v>0.1630867342</x:v>
      </x:c>
      <x:c r="G209" s="38" t="n">
        <x:v>1.3084469831</x:v>
      </x:c>
      <x:c r="H209" s="42" t="b">
        <x:v>0</x:v>
      </x:c>
      <x:c r="I209" s="42" t="b">
        <x:v>0</x:v>
      </x:c>
      <x:c r="J209" s="38" t="n">
        <x:v>0.1742428275</x:v>
      </x:c>
    </x:row>
    <x:row r="210" ht="19" customHeight="1">
      <x:c r="A210" s="29" t="str">
        <x:v>stagger_1</x:v>
      </x:c>
      <x:c r="B210" s="38" t="str">
        <x:v>AEP</x:v>
      </x:c>
      <x:c r="C210" s="38" t="str">
        <x:v>Other sectors</x:v>
      </x:c>
      <x:c r="D210" s="30" t="n">
        <x:v>6</x:v>
      </x:c>
      <x:c r="E210" s="38" t="str">
        <x:v>XLC</x:v>
      </x:c>
      <x:c r="F210" s="38" t="n">
        <x:v>-0.3734546186</x:v>
      </x:c>
      <x:c r="G210" s="38" t="n">
        <x:v>-2.4679942997</x:v>
      </x:c>
      <x:c r="H210" s="42" t="b">
        <x:v>0</x:v>
      </x:c>
      <x:c r="I210" s="42" t="b">
        <x:v>0</x:v>
      </x:c>
      <x:c r="J210" s="38" t="n">
        <x:v>0.1714292515</x:v>
      </x:c>
    </x:row>
    <x:row r="211" ht="19" customHeight="1">
      <x:c r="A211" s="29" t="str">
        <x:v>stagger_1</x:v>
      </x:c>
      <x:c r="B211" s="38" t="str">
        <x:v>AEP</x:v>
      </x:c>
      <x:c r="C211" s="38" t="str">
        <x:v>Other sectors</x:v>
      </x:c>
      <x:c r="D211" s="30" t="n">
        <x:v>6</x:v>
      </x:c>
      <x:c r="E211" s="38" t="str">
        <x:v>XLF</x:v>
      </x:c>
      <x:c r="F211" s="38" t="n">
        <x:v>-0.1880341239</x:v>
      </x:c>
      <x:c r="G211" s="38" t="n">
        <x:v>-1.2450024757</x:v>
      </x:c>
      <x:c r="H211" s="42" t="b">
        <x:v>1</x:v>
      </x:c>
      <x:c r="I211" s="42" t="b">
        <x:v>0</x:v>
      </x:c>
      <x:c r="J211" s="38" t="n">
        <x:v>0.1714292515</x:v>
      </x:c>
    </x:row>
    <x:row r="212" ht="19" customHeight="1">
      <x:c r="A212" s="29" t="str">
        <x:v>stagger_1</x:v>
      </x:c>
      <x:c r="B212" s="38" t="str">
        <x:v>AEP</x:v>
      </x:c>
      <x:c r="C212" s="38" t="str">
        <x:v>Other sectors</x:v>
      </x:c>
      <x:c r="D212" s="30" t="n">
        <x:v>6</x:v>
      </x:c>
      <x:c r="E212" s="38" t="str">
        <x:v>XLI</x:v>
      </x:c>
      <x:c r="F212" s="38" t="n">
        <x:v>-0.3876745698</x:v>
      </x:c>
      <x:c r="G212" s="38" t="n">
        <x:v>-2.7289529931</x:v>
      </x:c>
      <x:c r="H212" s="42" t="b">
        <x:v>0</x:v>
      </x:c>
      <x:c r="I212" s="42" t="b">
        <x:v>0</x:v>
      </x:c>
      <x:c r="J212" s="38" t="n">
        <x:v>0.1714292515</x:v>
      </x:c>
    </x:row>
    <x:row r="213" ht="19" customHeight="1">
      <x:c r="A213" s="29" t="str">
        <x:v>stagger_1</x:v>
      </x:c>
      <x:c r="B213" s="38" t="str">
        <x:v>AEP</x:v>
      </x:c>
      <x:c r="C213" s="38" t="str">
        <x:v>Other sectors</x:v>
      </x:c>
      <x:c r="D213" s="30" t="n">
        <x:v>6</x:v>
      </x:c>
      <x:c r="E213" s="38" t="str">
        <x:v>XLK</x:v>
      </x:c>
      <x:c r="F213" s="38" t="n">
        <x:v>-0.3303714054</x:v>
      </x:c>
      <x:c r="G213" s="38" t="n">
        <x:v>-1.8187538421</x:v>
      </x:c>
      <x:c r="H213" s="42" t="b">
        <x:v>0</x:v>
      </x:c>
      <x:c r="I213" s="42" t="b">
        <x:v>0</x:v>
      </x:c>
      <x:c r="J213" s="38" t="n">
        <x:v>0.1714292515</x:v>
      </x:c>
    </x:row>
    <x:row r="214" ht="19" customHeight="1">
      <x:c r="A214" s="29" t="str">
        <x:v>stagger_1</x:v>
      </x:c>
      <x:c r="B214" s="38" t="str">
        <x:v>AEP</x:v>
      </x:c>
      <x:c r="C214" s="38" t="str">
        <x:v>Other sectors</x:v>
      </x:c>
      <x:c r="D214" s="30" t="n">
        <x:v>6</x:v>
      </x:c>
      <x:c r="E214" s="38" t="str">
        <x:v>XLRE</x:v>
      </x:c>
      <x:c r="F214" s="38" t="n">
        <x:v>0.152059204</x:v>
      </x:c>
      <x:c r="G214" s="38" t="n">
        <x:v>1.2459756866</x:v>
      </x:c>
      <x:c r="H214" s="42" t="b">
        <x:v>0</x:v>
      </x:c>
      <x:c r="I214" s="42" t="b">
        <x:v>0</x:v>
      </x:c>
      <x:c r="J214" s="38" t="n">
        <x:v>0.1714292515</x:v>
      </x:c>
    </x:row>
    <x:row r="215" ht="19" customHeight="1">
      <x:c r="A215" s="29" t="str">
        <x:v>stagger_1</x:v>
      </x:c>
      <x:c r="B215" s="38" t="str">
        <x:v>AEP</x:v>
      </x:c>
      <x:c r="C215" s="38" t="str">
        <x:v>Other sectors</x:v>
      </x:c>
      <x:c r="D215" s="30" t="n">
        <x:v>7</x:v>
      </x:c>
      <x:c r="E215" s="38" t="str">
        <x:v>XLC</x:v>
      </x:c>
      <x:c r="F215" s="38" t="n">
        <x:v>-0.3341943201</x:v>
      </x:c>
      <x:c r="G215" s="38" t="n">
        <x:v>-2.2498837279</x:v>
      </x:c>
      <x:c r="H215" s="42" t="b">
        <x:v>0</x:v>
      </x:c>
      <x:c r="I215" s="42" t="b">
        <x:v>0</x:v>
      </x:c>
      <x:c r="J215" s="38" t="n">
        <x:v>0.1540737045</x:v>
      </x:c>
    </x:row>
    <x:row r="216" ht="19" customHeight="1">
      <x:c r="A216" s="29" t="str">
        <x:v>stagger_1</x:v>
      </x:c>
      <x:c r="B216" s="38" t="str">
        <x:v>AEP</x:v>
      </x:c>
      <x:c r="C216" s="38" t="str">
        <x:v>Other sectors</x:v>
      </x:c>
      <x:c r="D216" s="30" t="n">
        <x:v>7</x:v>
      </x:c>
      <x:c r="E216" s="38" t="str">
        <x:v>XLI</x:v>
      </x:c>
      <x:c r="F216" s="38" t="n">
        <x:v>-0.4046551481</x:v>
      </x:c>
      <x:c r="G216" s="38" t="n">
        <x:v>-2.851267715</x:v>
      </x:c>
      <x:c r="H216" s="42" t="b">
        <x:v>0</x:v>
      </x:c>
      <x:c r="I216" s="42" t="b">
        <x:v>0</x:v>
      </x:c>
      <x:c r="J216" s="38" t="n">
        <x:v>0.1540737045</x:v>
      </x:c>
    </x:row>
    <x:row r="217" ht="19" customHeight="1">
      <x:c r="A217" s="29" t="str">
        <x:v>stagger_1</x:v>
      </x:c>
      <x:c r="B217" s="38" t="str">
        <x:v>AEP</x:v>
      </x:c>
      <x:c r="C217" s="38" t="str">
        <x:v>Other sectors</x:v>
      </x:c>
      <x:c r="D217" s="30" t="n">
        <x:v>7</x:v>
      </x:c>
      <x:c r="E217" s="38" t="str">
        <x:v>XLK</x:v>
      </x:c>
      <x:c r="F217" s="38" t="n">
        <x:v>-0.2093085783</x:v>
      </x:c>
      <x:c r="G217" s="38" t="n">
        <x:v>-1.3592357926</x:v>
      </x:c>
      <x:c r="H217" s="42" t="b">
        <x:v>1</x:v>
      </x:c>
      <x:c r="I217" s="42" t="b">
        <x:v>0</x:v>
      </x:c>
      <x:c r="J217" s="38" t="n">
        <x:v>0.1540737045</x:v>
      </x:c>
    </x:row>
    <x:row r="218" ht="19" customHeight="1">
      <x:c r="A218" s="29" t="str">
        <x:v>stagger_1</x:v>
      </x:c>
      <x:c r="B218" s="38" t="str">
        <x:v>AEP</x:v>
      </x:c>
      <x:c r="C218" s="38" t="str">
        <x:v>Other sectors</x:v>
      </x:c>
      <x:c r="D218" s="30" t="n">
        <x:v>7</x:v>
      </x:c>
      <x:c r="E218" s="38" t="str">
        <x:v>XLRE</x:v>
      </x:c>
      <x:c r="F218" s="38" t="n">
        <x:v>0.1742857249</x:v>
      </x:c>
      <x:c r="G218" s="38" t="n">
        <x:v>1.438365252</x:v>
      </x:c>
      <x:c r="H218" s="42" t="b">
        <x:v>0</x:v>
      </x:c>
      <x:c r="I218" s="42" t="b">
        <x:v>0</x:v>
      </x:c>
      <x:c r="J218" s="38" t="n">
        <x:v>0.1540737045</x:v>
      </x:c>
    </x:row>
    <x:row r="219" ht="19" customHeight="1">
      <x:c r="A219" s="29" t="str">
        <x:v>stagger_1</x:v>
      </x:c>
      <x:c r="B219" s="38" t="str">
        <x:v>AEP</x:v>
      </x:c>
      <x:c r="C219" s="38" t="str">
        <x:v>Other sectors</x:v>
      </x:c>
      <x:c r="D219" s="30" t="n">
        <x:v>8</x:v>
      </x:c>
      <x:c r="E219" s="38" t="str">
        <x:v>XLC</x:v>
      </x:c>
      <x:c r="F219" s="38" t="n">
        <x:v>-0.2330874846</x:v>
      </x:c>
      <x:c r="G219" s="38" t="n">
        <x:v>-1.8028817367</x:v>
      </x:c>
      <x:c r="H219" s="42" t="b">
        <x:v>1</x:v>
      </x:c>
      <x:c r="I219" s="42" t="b">
        <x:v>0</x:v>
      </x:c>
      <x:c r="J219" s="38" t="n">
        <x:v>0.1332354726</x:v>
      </x:c>
    </x:row>
    <x:row r="220" ht="19" customHeight="1">
      <x:c r="A220" s="29" t="str">
        <x:v>stagger_1</x:v>
      </x:c>
      <x:c r="B220" s="38" t="str">
        <x:v>AEP</x:v>
      </x:c>
      <x:c r="C220" s="38" t="str">
        <x:v>Other sectors</x:v>
      </x:c>
      <x:c r="D220" s="30" t="n">
        <x:v>8</x:v>
      </x:c>
      <x:c r="E220" s="38" t="str">
        <x:v>XLI</x:v>
      </x:c>
      <x:c r="F220" s="38" t="n">
        <x:v>-0.3322214964</x:v>
      </x:c>
      <x:c r="G220" s="38" t="n">
        <x:v>-2.5117367686</x:v>
      </x:c>
      <x:c r="H220" s="42" t="b">
        <x:v>0</x:v>
      </x:c>
      <x:c r="I220" s="42" t="b">
        <x:v>0</x:v>
      </x:c>
      <x:c r="J220" s="38" t="n">
        <x:v>0.1332354726</x:v>
      </x:c>
    </x:row>
    <x:row r="221" ht="19" customHeight="1">
      <x:c r="A221" s="29" t="str">
        <x:v>stagger_1</x:v>
      </x:c>
      <x:c r="B221" s="38" t="str">
        <x:v>AEP</x:v>
      </x:c>
      <x:c r="C221" s="38" t="str">
        <x:v>Other sectors</x:v>
      </x:c>
      <x:c r="D221" s="30" t="n">
        <x:v>8</x:v>
      </x:c>
      <x:c r="E221" s="38" t="str">
        <x:v>XLRE</x:v>
      </x:c>
      <x:c r="F221" s="38" t="n">
        <x:v>0.2539977684</x:v>
      </x:c>
      <x:c r="G221" s="38" t="n">
        <x:v>2.3822350966</x:v>
      </x:c>
      <x:c r="H221" s="42" t="b">
        <x:v>0</x:v>
      </x:c>
      <x:c r="I221" s="42" t="b">
        <x:v>0</x:v>
      </x:c>
      <x:c r="J221" s="38" t="n">
        <x:v>0.1332354726</x:v>
      </x:c>
    </x:row>
    <x:row r="222" ht="19" customHeight="1">
      <x:c r="A222" s="29" t="str">
        <x:v>stagger_1</x:v>
      </x:c>
      <x:c r="B222" s="38" t="str">
        <x:v>AEP</x:v>
      </x:c>
      <x:c r="C222" s="38" t="str">
        <x:v>Other sectors</x:v>
      </x:c>
      <x:c r="D222" s="30" t="n">
        <x:v>9</x:v>
      </x:c>
      <x:c r="E222" s="38" t="str">
        <x:v>XLI</x:v>
      </x:c>
      <x:c r="F222" s="38" t="n">
        <x:v>-0.2984670079</x:v>
      </x:c>
      <x:c r="G222" s="38" t="n">
        <x:v>-2.2468932975</x:v>
      </x:c>
      <x:c r="H222" s="42" t="b">
        <x:v>0</x:v>
      </x:c>
      <x:c r="I222" s="42" t="b">
        <x:v>1</x:v>
      </x:c>
      <x:c r="J222" s="38" t="n">
        <x:v>0.0961655213</x:v>
      </x:c>
    </x:row>
    <x:row r="223" ht="19" customHeight="1">
      <x:c r="A223" s="29" t="str">
        <x:v>stagger_1</x:v>
      </x:c>
      <x:c r="B223" s="38" t="str">
        <x:v>AEP</x:v>
      </x:c>
      <x:c r="C223" s="38" t="str">
        <x:v>Other sectors</x:v>
      </x:c>
      <x:c r="D223" s="30" t="n">
        <x:v>9</x:v>
      </x:c>
      <x:c r="E223" s="38" t="str">
        <x:v>XLRE</x:v>
      </x:c>
      <x:c r="F223" s="38" t="n">
        <x:v>0.249958672</x:v>
      </x:c>
      <x:c r="G223" s="38" t="n">
        <x:v>2.311338215</x:v>
      </x:c>
      <x:c r="H223" s="42" t="b">
        <x:v>0</x:v>
      </x:c>
      <x:c r="I223" s="42" t="b">
        <x:v>1</x:v>
      </x:c>
      <x:c r="J223" s="38" t="n">
        <x:v>0.0961655213</x:v>
      </x:c>
    </x:row>
    <x:row r="224" ht="19" customHeight="1">
      <x:c r="A224" s="29" t="str">
        <x:v>stagger_1</x:v>
      </x:c>
      <x:c r="B224" s="38" t="str">
        <x:v>ETR</x:v>
      </x:c>
      <x:c r="C224" s="38" t="str">
        <x:v>Other FX</x:v>
      </x:c>
      <x:c r="D224" s="30" t="n">
        <x:v>1</x:v>
      </x:c>
      <x:c r="E224" s="38" t="str">
        <x:v>AUD/USD</x:v>
      </x:c>
      <x:c r="F224" s="38" t="n">
        <x:v>0.3607401688</x:v>
      </x:c>
      <x:c r="G224" s="38" t="n">
        <x:v>0.8126250206</x:v>
      </x:c>
      <x:c r="H224" s="42" t="b">
        <x:v>0</x:v>
      </x:c>
      <x:c r="I224" s="42" t="b">
        <x:v>0</x:v>
      </x:c>
      <x:c r="J224" s="38" t="n">
        <x:v>0.0553491945</x:v>
      </x:c>
    </x:row>
    <x:row r="225" ht="19" customHeight="1">
      <x:c r="A225" s="29" t="str">
        <x:v>stagger_1</x:v>
      </x:c>
      <x:c r="B225" s="38" t="str">
        <x:v>ETR</x:v>
      </x:c>
      <x:c r="C225" s="38" t="str">
        <x:v>Other FX</x:v>
      </x:c>
      <x:c r="D225" s="30" t="n">
        <x:v>1</x:v>
      </x:c>
      <x:c r="E225" s="38" t="str">
        <x:v>CAD/USD</x:v>
      </x:c>
      <x:c r="F225" s="38" t="n">
        <x:v>-0.2258417597</x:v>
      </x:c>
      <x:c r="G225" s="38" t="n">
        <x:v>-0.4213048381</x:v>
      </x:c>
      <x:c r="H225" s="42" t="b">
        <x:v>1</x:v>
      </x:c>
      <x:c r="I225" s="42" t="b">
        <x:v>0</x:v>
      </x:c>
      <x:c r="J225" s="38" t="n">
        <x:v>0.0553491945</x:v>
      </x:c>
    </x:row>
    <x:row r="226" ht="19" customHeight="1">
      <x:c r="A226" s="29" t="str">
        <x:v>stagger_1</x:v>
      </x:c>
      <x:c r="B226" s="38" t="str">
        <x:v>ETR</x:v>
      </x:c>
      <x:c r="C226" s="38" t="str">
        <x:v>Other FX</x:v>
      </x:c>
      <x:c r="D226" s="30" t="n">
        <x:v>1</x:v>
      </x:c>
      <x:c r="E226" s="38" t="str">
        <x:v>DKK/USD</x:v>
      </x:c>
      <x:c r="F226" s="38" t="n">
        <x:v>-2.2809220618</x:v>
      </x:c>
      <x:c r="G226" s="38" t="n">
        <x:v>-0.6111976965</x:v>
      </x:c>
      <x:c r="H226" s="42" t="b">
        <x:v>0</x:v>
      </x:c>
      <x:c r="I226" s="42" t="b">
        <x:v>0</x:v>
      </x:c>
      <x:c r="J226" s="38" t="n">
        <x:v>0.0553491945</x:v>
      </x:c>
    </x:row>
    <x:row r="227" ht="19" customHeight="1">
      <x:c r="A227" s="29" t="str">
        <x:v>stagger_1</x:v>
      </x:c>
      <x:c r="B227" s="38" t="str">
        <x:v>ETR</x:v>
      </x:c>
      <x:c r="C227" s="38" t="str">
        <x:v>Other FX</x:v>
      </x:c>
      <x:c r="D227" s="30" t="n">
        <x:v>1</x:v>
      </x:c>
      <x:c r="E227" s="38" t="str">
        <x:v>EUR/USD</x:v>
      </x:c>
      <x:c r="F227" s="38" t="n">
        <x:v>2.0946063054</x:v>
      </x:c>
      <x:c r="G227" s="38" t="n">
        <x:v>0.6136053522</x:v>
      </x:c>
      <x:c r="H227" s="42" t="b">
        <x:v>0</x:v>
      </x:c>
      <x:c r="I227" s="42" t="b">
        <x:v>0</x:v>
      </x:c>
      <x:c r="J227" s="38" t="n">
        <x:v>0.0553491945</x:v>
      </x:c>
    </x:row>
    <x:row r="228" ht="19" customHeight="1">
      <x:c r="A228" s="29" t="str">
        <x:v>stagger_1</x:v>
      </x:c>
      <x:c r="B228" s="38" t="str">
        <x:v>ETR</x:v>
      </x:c>
      <x:c r="C228" s="38" t="str">
        <x:v>Other FX</x:v>
      </x:c>
      <x:c r="D228" s="30" t="n">
        <x:v>1</x:v>
      </x:c>
      <x:c r="E228" s="38" t="str">
        <x:v>MXN/USD</x:v>
      </x:c>
      <x:c r="F228" s="38" t="n">
        <x:v>-0.180133377</x:v>
      </x:c>
      <x:c r="G228" s="38" t="n">
        <x:v>-0.6333895385</x:v>
      </x:c>
      <x:c r="H228" s="42" t="b">
        <x:v>0</x:v>
      </x:c>
      <x:c r="I228" s="42" t="b">
        <x:v>0</x:v>
      </x:c>
      <x:c r="J228" s="38" t="n">
        <x:v>0.0553491945</x:v>
      </x:c>
    </x:row>
    <x:row r="229" ht="19" customHeight="1">
      <x:c r="A229" s="29" t="str">
        <x:v>stagger_1</x:v>
      </x:c>
      <x:c r="B229" s="38" t="str">
        <x:v>ETR</x:v>
      </x:c>
      <x:c r="C229" s="38" t="str">
        <x:v>Other FX</x:v>
      </x:c>
      <x:c r="D229" s="30" t="n">
        <x:v>1</x:v>
      </x:c>
      <x:c r="E229" s="38" t="str">
        <x:v>SGD/USD</x:v>
      </x:c>
      <x:c r="F229" s="38" t="n">
        <x:v>0.9594545481</x:v>
      </x:c>
      <x:c r="G229" s="38" t="n">
        <x:v>0.8926692485</x:v>
      </x:c>
      <x:c r="H229" s="42" t="b">
        <x:v>0</x:v>
      </x:c>
      <x:c r="I229" s="42" t="b">
        <x:v>0</x:v>
      </x:c>
      <x:c r="J229" s="38" t="n">
        <x:v>0.0553491945</x:v>
      </x:c>
    </x:row>
    <x:row r="230" ht="19" customHeight="1">
      <x:c r="A230" s="29" t="str">
        <x:v>stagger_1</x:v>
      </x:c>
      <x:c r="B230" s="38" t="str">
        <x:v>ETR</x:v>
      </x:c>
      <x:c r="C230" s="38" t="str">
        <x:v>Other FX</x:v>
      </x:c>
      <x:c r="D230" s="30" t="n">
        <x:v>2</x:v>
      </x:c>
      <x:c r="E230" s="38" t="str">
        <x:v>AUD/USD</x:v>
      </x:c>
      <x:c r="F230" s="38" t="n">
        <x:v>0.3152290443</x:v>
      </x:c>
      <x:c r="G230" s="38" t="n">
        <x:v>0.7362136416</x:v>
      </x:c>
      <x:c r="H230" s="42" t="b">
        <x:v>0</x:v>
      </x:c>
      <x:c r="I230" s="42" t="b">
        <x:v>0</x:v>
      </x:c>
      <x:c r="J230" s="38" t="n">
        <x:v>0.0530522985</x:v>
      </x:c>
    </x:row>
    <x:row r="231" ht="19" customHeight="1">
      <x:c r="A231" s="29" t="str">
        <x:v>stagger_1</x:v>
      </x:c>
      <x:c r="B231" s="38" t="str">
        <x:v>ETR</x:v>
      </x:c>
      <x:c r="C231" s="38" t="str">
        <x:v>Other FX</x:v>
      </x:c>
      <x:c r="D231" s="30" t="n">
        <x:v>2</x:v>
      </x:c>
      <x:c r="E231" s="38" t="str">
        <x:v>DKK/USD</x:v>
      </x:c>
      <x:c r="F231" s="38" t="n">
        <x:v>-2.437368775</x:v>
      </x:c>
      <x:c r="G231" s="38" t="n">
        <x:v>-0.6600552575</x:v>
      </x:c>
      <x:c r="H231" s="42" t="b">
        <x:v>0</x:v>
      </x:c>
      <x:c r="I231" s="42" t="b">
        <x:v>0</x:v>
      </x:c>
      <x:c r="J231" s="38" t="n">
        <x:v>0.0530522985</x:v>
      </x:c>
    </x:row>
    <x:row r="232" ht="19" customHeight="1">
      <x:c r="A232" s="29" t="str">
        <x:v>stagger_1</x:v>
      </x:c>
      <x:c r="B232" s="38" t="str">
        <x:v>ETR</x:v>
      </x:c>
      <x:c r="C232" s="38" t="str">
        <x:v>Other FX</x:v>
      </x:c>
      <x:c r="D232" s="30" t="n">
        <x:v>2</x:v>
      </x:c>
      <x:c r="E232" s="38" t="str">
        <x:v>EUR/USD</x:v>
      </x:c>
      <x:c r="F232" s="38" t="n">
        <x:v>2.1819424852</x:v>
      </x:c>
      <x:c r="G232" s="38" t="n">
        <x:v>0.6439607422</x:v>
      </x:c>
      <x:c r="H232" s="42" t="b">
        <x:v>0</x:v>
      </x:c>
      <x:c r="I232" s="42" t="b">
        <x:v>0</x:v>
      </x:c>
      <x:c r="J232" s="38" t="n">
        <x:v>0.0530522985</x:v>
      </x:c>
    </x:row>
    <x:row r="233" ht="19" customHeight="1">
      <x:c r="A233" s="29" t="str">
        <x:v>stagger_1</x:v>
      </x:c>
      <x:c r="B233" s="38" t="str">
        <x:v>ETR</x:v>
      </x:c>
      <x:c r="C233" s="38" t="str">
        <x:v>Other FX</x:v>
      </x:c>
      <x:c r="D233" s="30" t="n">
        <x:v>2</x:v>
      </x:c>
      <x:c r="E233" s="38" t="str">
        <x:v>MXN/USD</x:v>
      </x:c>
      <x:c r="F233" s="38" t="n">
        <x:v>-0.1777342576</x:v>
      </x:c>
      <x:c r="G233" s="38" t="n">
        <x:v>-0.6285820851</x:v>
      </x:c>
      <x:c r="H233" s="42" t="b">
        <x:v>1</x:v>
      </x:c>
      <x:c r="I233" s="42" t="b">
        <x:v>0</x:v>
      </x:c>
      <x:c r="J233" s="38" t="n">
        <x:v>0.0530522985</x:v>
      </x:c>
    </x:row>
    <x:row r="234" ht="19" customHeight="1">
      <x:c r="A234" s="29" t="str">
        <x:v>stagger_1</x:v>
      </x:c>
      <x:c r="B234" s="38" t="str">
        <x:v>ETR</x:v>
      </x:c>
      <x:c r="C234" s="38" t="str">
        <x:v>Other FX</x:v>
      </x:c>
      <x:c r="D234" s="30" t="n">
        <x:v>2</x:v>
      </x:c>
      <x:c r="E234" s="38" t="str">
        <x:v>SGD/USD</x:v>
      </x:c>
      <x:c r="F234" s="38" t="n">
        <x:v>0.9583451246</x:v>
      </x:c>
      <x:c r="G234" s="38" t="n">
        <x:v>0.8966366604</x:v>
      </x:c>
      <x:c r="H234" s="42" t="b">
        <x:v>0</x:v>
      </x:c>
      <x:c r="I234" s="42" t="b">
        <x:v>0</x:v>
      </x:c>
      <x:c r="J234" s="38" t="n">
        <x:v>0.0530522985</x:v>
      </x:c>
    </x:row>
    <x:row r="235" ht="19" customHeight="1">
      <x:c r="A235" s="29" t="str">
        <x:v>stagger_1</x:v>
      </x:c>
      <x:c r="B235" s="38" t="str">
        <x:v>ETR</x:v>
      </x:c>
      <x:c r="C235" s="38" t="str">
        <x:v>Other FX</x:v>
      </x:c>
      <x:c r="D235" s="30" t="n">
        <x:v>3</x:v>
      </x:c>
      <x:c r="E235" s="38" t="str">
        <x:v>AUD/USD</x:v>
      </x:c>
      <x:c r="F235" s="38" t="n">
        <x:v>0.2645406875</x:v>
      </x:c>
      <x:c r="G235" s="38" t="n">
        <x:v>0.63164115</x:v>
      </x:c>
      <x:c r="H235" s="42" t="b">
        <x:v>1</x:v>
      </x:c>
      <x:c r="I235" s="42" t="b">
        <x:v>0</x:v>
      </x:c>
      <x:c r="J235" s="38" t="n">
        <x:v>0.0479961681</x:v>
      </x:c>
    </x:row>
    <x:row r="236" ht="19" customHeight="1">
      <x:c r="A236" s="29" t="str">
        <x:v>stagger_1</x:v>
      </x:c>
      <x:c r="B236" s="38" t="str">
        <x:v>ETR</x:v>
      </x:c>
      <x:c r="C236" s="38" t="str">
        <x:v>Other FX</x:v>
      </x:c>
      <x:c r="D236" s="30" t="n">
        <x:v>3</x:v>
      </x:c>
      <x:c r="E236" s="38" t="str">
        <x:v>DKK/USD</x:v>
      </x:c>
      <x:c r="F236" s="38" t="n">
        <x:v>-3.1384668232</x:v>
      </x:c>
      <x:c r="G236" s="38" t="n">
        <x:v>-0.8951766046</x:v>
      </x:c>
      <x:c r="H236" s="42" t="b">
        <x:v>0</x:v>
      </x:c>
      <x:c r="I236" s="42" t="b">
        <x:v>0</x:v>
      </x:c>
      <x:c r="J236" s="38" t="n">
        <x:v>0.0479961681</x:v>
      </x:c>
    </x:row>
    <x:row r="237" ht="19" customHeight="1">
      <x:c r="A237" s="29" t="str">
        <x:v>stagger_1</x:v>
      </x:c>
      <x:c r="B237" s="38" t="str">
        <x:v>ETR</x:v>
      </x:c>
      <x:c r="C237" s="38" t="str">
        <x:v>Other FX</x:v>
      </x:c>
      <x:c r="D237" s="30" t="n">
        <x:v>3</x:v>
      </x:c>
      <x:c r="E237" s="38" t="str">
        <x:v>EUR/USD</x:v>
      </x:c>
      <x:c r="F237" s="38" t="n">
        <x:v>2.7407268027</x:v>
      </x:c>
      <x:c r="G237" s="38" t="n">
        <x:v>0.8416401977</x:v>
      </x:c>
      <x:c r="H237" s="42" t="b">
        <x:v>0</x:v>
      </x:c>
      <x:c r="I237" s="42" t="b">
        <x:v>0</x:v>
      </x:c>
      <x:c r="J237" s="38" t="n">
        <x:v>0.0479961681</x:v>
      </x:c>
    </x:row>
    <x:row r="238" ht="19" customHeight="1">
      <x:c r="A238" s="29" t="str">
        <x:v>stagger_1</x:v>
      </x:c>
      <x:c r="B238" s="38" t="str">
        <x:v>ETR</x:v>
      </x:c>
      <x:c r="C238" s="38" t="str">
        <x:v>Other FX</x:v>
      </x:c>
      <x:c r="D238" s="30" t="n">
        <x:v>3</x:v>
      </x:c>
      <x:c r="E238" s="38" t="str">
        <x:v>SGD/USD</x:v>
      </x:c>
      <x:c r="F238" s="38" t="n">
        <x:v>1.0306556141</x:v>
      </x:c>
      <x:c r="G238" s="38" t="n">
        <x:v>0.973860426</x:v>
      </x:c>
      <x:c r="H238" s="42" t="b">
        <x:v>0</x:v>
      </x:c>
      <x:c r="I238" s="42" t="b">
        <x:v>0</x:v>
      </x:c>
      <x:c r="J238" s="38" t="n">
        <x:v>0.0479961681</x:v>
      </x:c>
    </x:row>
    <x:row r="239" ht="19" customHeight="1">
      <x:c r="A239" s="29" t="str">
        <x:v>stagger_1</x:v>
      </x:c>
      <x:c r="B239" s="38" t="str">
        <x:v>ETR</x:v>
      </x:c>
      <x:c r="C239" s="38" t="str">
        <x:v>Other FX</x:v>
      </x:c>
      <x:c r="D239" s="30" t="n">
        <x:v>4</x:v>
      </x:c>
      <x:c r="E239" s="38" t="str">
        <x:v>DKK/USD</x:v>
      </x:c>
      <x:c r="F239" s="38" t="n">
        <x:v>-2.9559677567</x:v>
      </x:c>
      <x:c r="G239" s="38" t="n">
        <x:v>-0.8493657378</x:v>
      </x:c>
      <x:c r="H239" s="42" t="b">
        <x:v>0</x:v>
      </x:c>
      <x:c r="I239" s="42" t="b">
        <x:v>0</x:v>
      </x:c>
      <x:c r="J239" s="38" t="n">
        <x:v>0.0429318816</x:v>
      </x:c>
    </x:row>
    <x:row r="240" ht="19" customHeight="1">
      <x:c r="A240" s="29" t="str">
        <x:v>stagger_1</x:v>
      </x:c>
      <x:c r="B240" s="38" t="str">
        <x:v>ETR</x:v>
      </x:c>
      <x:c r="C240" s="38" t="str">
        <x:v>Other FX</x:v>
      </x:c>
      <x:c r="D240" s="30" t="n">
        <x:v>4</x:v>
      </x:c>
      <x:c r="E240" s="38" t="str">
        <x:v>EUR/USD</x:v>
      </x:c>
      <x:c r="F240" s="38" t="n">
        <x:v>2.6058161486</x:v>
      </x:c>
      <x:c r="G240" s="38" t="n">
        <x:v>0.8051277032</x:v>
      </x:c>
      <x:c r="H240" s="42" t="b">
        <x:v>1</x:v>
      </x:c>
      <x:c r="I240" s="42" t="b">
        <x:v>0</x:v>
      </x:c>
      <x:c r="J240" s="38" t="n">
        <x:v>0.0429318816</x:v>
      </x:c>
    </x:row>
    <x:row r="241" ht="19" customHeight="1">
      <x:c r="A241" s="29" t="str">
        <x:v>stagger_1</x:v>
      </x:c>
      <x:c r="B241" s="38" t="str">
        <x:v>ETR</x:v>
      </x:c>
      <x:c r="C241" s="38" t="str">
        <x:v>Other FX</x:v>
      </x:c>
      <x:c r="D241" s="30" t="n">
        <x:v>4</x:v>
      </x:c>
      <x:c r="E241" s="38" t="str">
        <x:v>SGD/USD</x:v>
      </x:c>
      <x:c r="F241" s="38" t="n">
        <x:v>1.344169575</x:v>
      </x:c>
      <x:c r="G241" s="38" t="n">
        <x:v>1.4437840012</x:v>
      </x:c>
      <x:c r="H241" s="42" t="b">
        <x:v>0</x:v>
      </x:c>
      <x:c r="I241" s="42" t="b">
        <x:v>0</x:v>
      </x:c>
      <x:c r="J241" s="38" t="n">
        <x:v>0.0429318816</x:v>
      </x:c>
    </x:row>
    <x:row r="242" ht="19" customHeight="1">
      <x:c r="A242" s="29" t="str">
        <x:v>stagger_1</x:v>
      </x:c>
      <x:c r="B242" s="38" t="str">
        <x:v>ETR</x:v>
      </x:c>
      <x:c r="C242" s="38" t="str">
        <x:v>Other FX</x:v>
      </x:c>
      <x:c r="D242" s="30" t="n">
        <x:v>5</x:v>
      </x:c>
      <x:c r="E242" s="38" t="str">
        <x:v>DKK/USD</x:v>
      </x:c>
      <x:c r="F242" s="38" t="n">
        <x:v>-0.1880628714</x:v>
      </x:c>
      <x:c r="G242" s="38" t="n">
        <x:v>-0.3481980096</x:v>
      </x:c>
      <x:c r="H242" s="42" t="b">
        <x:v>1</x:v>
      </x:c>
      <x:c r="I242" s="42" t="b">
        <x:v>0</x:v>
      </x:c>
      <x:c r="J242" s="38" t="n">
        <x:v>0.0347687124</x:v>
      </x:c>
    </x:row>
    <x:row r="243" ht="19" customHeight="1">
      <x:c r="A243" s="29" t="str">
        <x:v>stagger_1</x:v>
      </x:c>
      <x:c r="B243" s="38" t="str">
        <x:v>ETR</x:v>
      </x:c>
      <x:c r="C243" s="38" t="str">
        <x:v>Other FX</x:v>
      </x:c>
      <x:c r="D243" s="30" t="n">
        <x:v>5</x:v>
      </x:c>
      <x:c r="E243" s="38" t="str">
        <x:v>SGD/USD</x:v>
      </x:c>
      <x:c r="F243" s="38" t="n">
        <x:v>1.078188118</x:v>
      </x:c>
      <x:c r="G243" s="38" t="n">
        <x:v>1.2415367917</x:v>
      </x:c>
      <x:c r="H243" s="42" t="b">
        <x:v>0</x:v>
      </x:c>
      <x:c r="I243" s="42" t="b">
        <x:v>0</x:v>
      </x:c>
      <x:c r="J243" s="38" t="n">
        <x:v>0.0347687124</x:v>
      </x:c>
    </x:row>
    <x:row r="244" ht="19" customHeight="1">
      <x:c r="A244" s="29" t="str">
        <x:v>stagger_1</x:v>
      </x:c>
      <x:c r="B244" s="38" t="str">
        <x:v>ETR</x:v>
      </x:c>
      <x:c r="C244" s="38" t="str">
        <x:v>Other FX</x:v>
      </x:c>
      <x:c r="D244" s="30" t="n">
        <x:v>6</x:v>
      </x:c>
      <x:c r="E244" s="38" t="str">
        <x:v>SGD/USD</x:v>
      </x:c>
      <x:c r="F244" s="38" t="n">
        <x:v>0.8339634975</x:v>
      </x:c>
      <x:c r="G244" s="38" t="n">
        <x:v>1.6378666046</x:v>
      </x:c>
      <x:c r="H244" s="42" t="b">
        <x:v>1</x:v>
      </x:c>
      <x:c r="I244" s="42" t="b">
        <x:v>0</x:v>
      </x:c>
      <x:c r="J244" s="38" t="n">
        <x:v>0.0332488886</x:v>
      </x:c>
    </x:row>
    <x:row r="245" ht="19" customHeight="1">
      <x:c r="A245" s="29" t="str">
        <x:v>stagger_1</x:v>
      </x:c>
      <x:c r="B245" s="38" t="str">
        <x:v>ETR</x:v>
      </x:c>
      <x:c r="C245" s="38" t="str">
        <x:v>Other sectors</x:v>
      </x:c>
      <x:c r="D245" s="30" t="n">
        <x:v>1</x:v>
      </x:c>
      <x:c r="E245" s="38" t="str">
        <x:v>XLB</x:v>
      </x:c>
      <x:c r="F245" s="38" t="n">
        <x:v>-0.0698236306</x:v>
      </x:c>
      <x:c r="G245" s="38" t="n">
        <x:v>-0.3898960368</x:v>
      </x:c>
      <x:c r="H245" s="42" t="b">
        <x:v>0</x:v>
      </x:c>
      <x:c r="I245" s="42" t="b">
        <x:v>0</x:v>
      </x:c>
      <x:c r="J245" s="38" t="n">
        <x:v>0.0889804686</x:v>
      </x:c>
    </x:row>
    <x:row r="246" ht="19" customHeight="1">
      <x:c r="A246" s="29" t="str">
        <x:v>stagger_1</x:v>
      </x:c>
      <x:c r="B246" s="38" t="str">
        <x:v>ETR</x:v>
      </x:c>
      <x:c r="C246" s="38" t="str">
        <x:v>Other sectors</x:v>
      </x:c>
      <x:c r="D246" s="30" t="n">
        <x:v>1</x:v>
      </x:c>
      <x:c r="E246" s="38" t="str">
        <x:v>XLC</x:v>
      </x:c>
      <x:c r="F246" s="38" t="n">
        <x:v>0.0031972187</x:v>
      </x:c>
      <x:c r="G246" s="38" t="n">
        <x:v>0.0191621019</x:v>
      </x:c>
      <x:c r="H246" s="42" t="b">
        <x:v>1</x:v>
      </x:c>
      <x:c r="I246" s="42" t="b">
        <x:v>0</x:v>
      </x:c>
      <x:c r="J246" s="38" t="n">
        <x:v>0.0889804686</x:v>
      </x:c>
    </x:row>
    <x:row r="247" ht="19" customHeight="1">
      <x:c r="A247" s="29" t="str">
        <x:v>stagger_1</x:v>
      </x:c>
      <x:c r="B247" s="38" t="str">
        <x:v>ETR</x:v>
      </x:c>
      <x:c r="C247" s="38" t="str">
        <x:v>Other sectors</x:v>
      </x:c>
      <x:c r="D247" s="30" t="n">
        <x:v>1</x:v>
      </x:c>
      <x:c r="E247" s="38" t="str">
        <x:v>XLE</x:v>
      </x:c>
      <x:c r="F247" s="38" t="n">
        <x:v>0.0244884137</x:v>
      </x:c>
      <x:c r="G247" s="38" t="n">
        <x:v>0.3669030324</x:v>
      </x:c>
      <x:c r="H247" s="42" t="b">
        <x:v>0</x:v>
      </x:c>
      <x:c r="I247" s="42" t="b">
        <x:v>0</x:v>
      </x:c>
      <x:c r="J247" s="38" t="n">
        <x:v>0.0889804686</x:v>
      </x:c>
    </x:row>
    <x:row r="248" ht="19" customHeight="1">
      <x:c r="A248" s="29" t="str">
        <x:v>stagger_1</x:v>
      </x:c>
      <x:c r="B248" s="38" t="str">
        <x:v>ETR</x:v>
      </x:c>
      <x:c r="C248" s="38" t="str">
        <x:v>Other sectors</x:v>
      </x:c>
      <x:c r="D248" s="30" t="n">
        <x:v>1</x:v>
      </x:c>
      <x:c r="E248" s="38" t="str">
        <x:v>XLF</x:v>
      </x:c>
      <x:c r="F248" s="38" t="n">
        <x:v>0.1109069701</x:v>
      </x:c>
      <x:c r="G248" s="38" t="n">
        <x:v>0.5869706762</x:v>
      </x:c>
      <x:c r="H248" s="42" t="b">
        <x:v>0</x:v>
      </x:c>
      <x:c r="I248" s="42" t="b">
        <x:v>0</x:v>
      </x:c>
      <x:c r="J248" s="38" t="n">
        <x:v>0.0889804686</x:v>
      </x:c>
    </x:row>
    <x:row r="249" ht="19" customHeight="1">
      <x:c r="A249" s="29" t="str">
        <x:v>stagger_1</x:v>
      </x:c>
      <x:c r="B249" s="38" t="str">
        <x:v>ETR</x:v>
      </x:c>
      <x:c r="C249" s="38" t="str">
        <x:v>Other sectors</x:v>
      </x:c>
      <x:c r="D249" s="30" t="n">
        <x:v>1</x:v>
      </x:c>
      <x:c r="E249" s="38" t="str">
        <x:v>XLI</x:v>
      </x:c>
      <x:c r="F249" s="38" t="n">
        <x:v>-0.1343514424</x:v>
      </x:c>
      <x:c r="G249" s="38" t="n">
        <x:v>-0.582728557</x:v>
      </x:c>
      <x:c r="H249" s="42" t="b">
        <x:v>0</x:v>
      </x:c>
      <x:c r="I249" s="42" t="b">
        <x:v>0</x:v>
      </x:c>
      <x:c r="J249" s="38" t="n">
        <x:v>0.0889804686</x:v>
      </x:c>
    </x:row>
    <x:row r="250" ht="19" customHeight="1">
      <x:c r="A250" s="29" t="str">
        <x:v>stagger_1</x:v>
      </x:c>
      <x:c r="B250" s="38" t="str">
        <x:v>ETR</x:v>
      </x:c>
      <x:c r="C250" s="38" t="str">
        <x:v>Other sectors</x:v>
      </x:c>
      <x:c r="D250" s="30" t="n">
        <x:v>1</x:v>
      </x:c>
      <x:c r="E250" s="38" t="str">
        <x:v>XLK</x:v>
      </x:c>
      <x:c r="F250" s="38" t="n">
        <x:v>0.0433004807</x:v>
      </x:c>
      <x:c r="G250" s="38" t="n">
        <x:v>0.155495933</x:v>
      </x:c>
      <x:c r="H250" s="42" t="b">
        <x:v>0</x:v>
      </x:c>
      <x:c r="I250" s="42" t="b">
        <x:v>0</x:v>
      </x:c>
      <x:c r="J250" s="38" t="n">
        <x:v>0.0889804686</x:v>
      </x:c>
    </x:row>
    <x:row r="251" ht="19" customHeight="1">
      <x:c r="A251" s="29" t="str">
        <x:v>stagger_1</x:v>
      </x:c>
      <x:c r="B251" s="38" t="str">
        <x:v>ETR</x:v>
      </x:c>
      <x:c r="C251" s="38" t="str">
        <x:v>Other sectors</x:v>
      </x:c>
      <x:c r="D251" s="30" t="n">
        <x:v>1</x:v>
      </x:c>
      <x:c r="E251" s="38" t="str">
        <x:v>XLP</x:v>
      </x:c>
      <x:c r="F251" s="38" t="n">
        <x:v>0.0579392496</x:v>
      </x:c>
      <x:c r="G251" s="38" t="n">
        <x:v>0.3023661141</x:v>
      </x:c>
      <x:c r="H251" s="42" t="b">
        <x:v>0</x:v>
      </x:c>
      <x:c r="I251" s="42" t="b">
        <x:v>0</x:v>
      </x:c>
      <x:c r="J251" s="38" t="n">
        <x:v>0.0889804686</x:v>
      </x:c>
    </x:row>
    <x:row r="252" ht="19" customHeight="1">
      <x:c r="A252" s="29" t="str">
        <x:v>stagger_1</x:v>
      </x:c>
      <x:c r="B252" s="38" t="str">
        <x:v>ETR</x:v>
      </x:c>
      <x:c r="C252" s="38" t="str">
        <x:v>Other sectors</x:v>
      </x:c>
      <x:c r="D252" s="30" t="n">
        <x:v>1</x:v>
      </x:c>
      <x:c r="E252" s="38" t="str">
        <x:v>XLRE</x:v>
      </x:c>
      <x:c r="F252" s="38" t="n">
        <x:v>0.2276614894</x:v>
      </x:c>
      <x:c r="G252" s="38" t="n">
        <x:v>1.564772349</x:v>
      </x:c>
      <x:c r="H252" s="42" t="b">
        <x:v>0</x:v>
      </x:c>
      <x:c r="I252" s="42" t="b">
        <x:v>0</x:v>
      </x:c>
      <x:c r="J252" s="38" t="n">
        <x:v>0.0889804686</x:v>
      </x:c>
    </x:row>
    <x:row r="253" ht="19" customHeight="1">
      <x:c r="A253" s="29" t="str">
        <x:v>stagger_1</x:v>
      </x:c>
      <x:c r="B253" s="38" t="str">
        <x:v>ETR</x:v>
      </x:c>
      <x:c r="C253" s="38" t="str">
        <x:v>Other sectors</x:v>
      </x:c>
      <x:c r="D253" s="30" t="n">
        <x:v>1</x:v>
      </x:c>
      <x:c r="E253" s="38" t="str">
        <x:v>XLV</x:v>
      </x:c>
      <x:c r="F253" s="38" t="n">
        <x:v>-0.1461063598</x:v>
      </x:c>
      <x:c r="G253" s="38" t="n">
        <x:v>-0.903545767</x:v>
      </x:c>
      <x:c r="H253" s="42" t="b">
        <x:v>0</x:v>
      </x:c>
      <x:c r="I253" s="42" t="b">
        <x:v>0</x:v>
      </x:c>
      <x:c r="J253" s="38" t="n">
        <x:v>0.0889804686</x:v>
      </x:c>
    </x:row>
    <x:row r="254" ht="19" customHeight="1">
      <x:c r="A254" s="29" t="str">
        <x:v>stagger_1</x:v>
      </x:c>
      <x:c r="B254" s="38" t="str">
        <x:v>ETR</x:v>
      </x:c>
      <x:c r="C254" s="38" t="str">
        <x:v>Other sectors</x:v>
      </x:c>
      <x:c r="D254" s="30" t="n">
        <x:v>1</x:v>
      </x:c>
      <x:c r="E254" s="38" t="str">
        <x:v>XLY</x:v>
      </x:c>
      <x:c r="F254" s="38" t="n">
        <x:v>0.1004265008</x:v>
      </x:c>
      <x:c r="G254" s="38" t="n">
        <x:v>0.5478545638</x:v>
      </x:c>
      <x:c r="H254" s="42" t="b">
        <x:v>0</x:v>
      </x:c>
      <x:c r="I254" s="42" t="b">
        <x:v>0</x:v>
      </x:c>
      <x:c r="J254" s="38" t="n">
        <x:v>0.0889804686</x:v>
      </x:c>
    </x:row>
    <x:row r="255" ht="19" customHeight="1">
      <x:c r="A255" s="29" t="str">
        <x:v>stagger_1</x:v>
      </x:c>
      <x:c r="B255" s="38" t="str">
        <x:v>ETR</x:v>
      </x:c>
      <x:c r="C255" s="38" t="str">
        <x:v>Other sectors</x:v>
      </x:c>
      <x:c r="D255" s="30" t="n">
        <x:v>2</x:v>
      </x:c>
      <x:c r="E255" s="38" t="str">
        <x:v>XLB</x:v>
      </x:c>
      <x:c r="F255" s="38" t="n">
        <x:v>-0.0698631976</x:v>
      </x:c>
      <x:c r="G255" s="38" t="n">
        <x:v>-0.3929588211</x:v>
      </x:c>
      <x:c r="H255" s="42" t="b">
        <x:v>0</x:v>
      </x:c>
      <x:c r="I255" s="42" t="b">
        <x:v>0</x:v>
      </x:c>
      <x:c r="J255" s="38" t="n">
        <x:v>0.0889756206</x:v>
      </x:c>
    </x:row>
    <x:row r="256" ht="19" customHeight="1">
      <x:c r="A256" s="29" t="str">
        <x:v>stagger_1</x:v>
      </x:c>
      <x:c r="B256" s="38" t="str">
        <x:v>ETR</x:v>
      </x:c>
      <x:c r="C256" s="38" t="str">
        <x:v>Other sectors</x:v>
      </x:c>
      <x:c r="D256" s="30" t="n">
        <x:v>2</x:v>
      </x:c>
      <x:c r="E256" s="38" t="str">
        <x:v>XLE</x:v>
      </x:c>
      <x:c r="F256" s="38" t="n">
        <x:v>0.0243975686</x:v>
      </x:c>
      <x:c r="G256" s="38" t="n">
        <x:v>0.3691126152</x:v>
      </x:c>
      <x:c r="H256" s="42" t="b">
        <x:v>0</x:v>
      </x:c>
      <x:c r="I256" s="42" t="b">
        <x:v>0</x:v>
      </x:c>
      <x:c r="J256" s="38" t="n">
        <x:v>0.0889756206</x:v>
      </x:c>
    </x:row>
    <x:row r="257" ht="19" customHeight="1">
      <x:c r="A257" s="29" t="str">
        <x:v>stagger_1</x:v>
      </x:c>
      <x:c r="B257" s="38" t="str">
        <x:v>ETR</x:v>
      </x:c>
      <x:c r="C257" s="38" t="str">
        <x:v>Other sectors</x:v>
      </x:c>
      <x:c r="D257" s="30" t="n">
        <x:v>2</x:v>
      </x:c>
      <x:c r="E257" s="38" t="str">
        <x:v>XLF</x:v>
      </x:c>
      <x:c r="F257" s="38" t="n">
        <x:v>0.11021392</x:v>
      </x:c>
      <x:c r="G257" s="38" t="n">
        <x:v>0.5985812068</x:v>
      </x:c>
      <x:c r="H257" s="42" t="b">
        <x:v>0</x:v>
      </x:c>
      <x:c r="I257" s="42" t="b">
        <x:v>0</x:v>
      </x:c>
      <x:c r="J257" s="38" t="n">
        <x:v>0.0889756206</x:v>
      </x:c>
    </x:row>
    <x:row r="258" ht="19" customHeight="1">
      <x:c r="A258" s="29" t="str">
        <x:v>stagger_1</x:v>
      </x:c>
      <x:c r="B258" s="38" t="str">
        <x:v>ETR</x:v>
      </x:c>
      <x:c r="C258" s="38" t="str">
        <x:v>Other sectors</x:v>
      </x:c>
      <x:c r="D258" s="30" t="n">
        <x:v>2</x:v>
      </x:c>
      <x:c r="E258" s="38" t="str">
        <x:v>XLI</x:v>
      </x:c>
      <x:c r="F258" s="38" t="n">
        <x:v>-0.1351238617</x:v>
      </x:c>
      <x:c r="G258" s="38" t="n">
        <x:v>-0.599543463</x:v>
      </x:c>
      <x:c r="H258" s="42" t="b">
        <x:v>0</x:v>
      </x:c>
      <x:c r="I258" s="42" t="b">
        <x:v>0</x:v>
      </x:c>
      <x:c r="J258" s="38" t="n">
        <x:v>0.0889756206</x:v>
      </x:c>
    </x:row>
    <x:row r="259" ht="19" customHeight="1">
      <x:c r="A259" s="29" t="str">
        <x:v>stagger_1</x:v>
      </x:c>
      <x:c r="B259" s="38" t="str">
        <x:v>ETR</x:v>
      </x:c>
      <x:c r="C259" s="38" t="str">
        <x:v>Other sectors</x:v>
      </x:c>
      <x:c r="D259" s="30" t="n">
        <x:v>2</x:v>
      </x:c>
      <x:c r="E259" s="38" t="str">
        <x:v>XLK</x:v>
      </x:c>
      <x:c r="F259" s="38" t="n">
        <x:v>0.040914457</x:v>
      </x:c>
      <x:c r="G259" s="38" t="n">
        <x:v>0.1654501512</x:v>
      </x:c>
      <x:c r="H259" s="42" t="b">
        <x:v>1</x:v>
      </x:c>
      <x:c r="I259" s="42" t="b">
        <x:v>0</x:v>
      </x:c>
      <x:c r="J259" s="38" t="n">
        <x:v>0.0889756206</x:v>
      </x:c>
    </x:row>
    <x:row r="260" ht="19" customHeight="1">
      <x:c r="A260" s="29" t="str">
        <x:v>stagger_1</x:v>
      </x:c>
      <x:c r="B260" s="38" t="str">
        <x:v>ETR</x:v>
      </x:c>
      <x:c r="C260" s="38" t="str">
        <x:v>Other sectors</x:v>
      </x:c>
      <x:c r="D260" s="30" t="n">
        <x:v>2</x:v>
      </x:c>
      <x:c r="E260" s="38" t="str">
        <x:v>XLP</x:v>
      </x:c>
      <x:c r="F260" s="38" t="n">
        <x:v>0.0579381123</x:v>
      </x:c>
      <x:c r="G260" s="38" t="n">
        <x:v>0.3045425171</x:v>
      </x:c>
      <x:c r="H260" s="42" t="b">
        <x:v>0</x:v>
      </x:c>
      <x:c r="I260" s="42" t="b">
        <x:v>0</x:v>
      </x:c>
      <x:c r="J260" s="38" t="n">
        <x:v>0.0889756206</x:v>
      </x:c>
    </x:row>
    <x:row r="261" ht="19" customHeight="1">
      <x:c r="A261" s="29" t="str">
        <x:v>stagger_1</x:v>
      </x:c>
      <x:c r="B261" s="38" t="str">
        <x:v>ETR</x:v>
      </x:c>
      <x:c r="C261" s="38" t="str">
        <x:v>Other sectors</x:v>
      </x:c>
      <x:c r="D261" s="30" t="n">
        <x:v>2</x:v>
      </x:c>
      <x:c r="E261" s="38" t="str">
        <x:v>XLRE</x:v>
      </x:c>
      <x:c r="F261" s="38" t="n">
        <x:v>0.2271272273</x:v>
      </x:c>
      <x:c r="G261" s="38" t="n">
        <x:v>1.6020595552</x:v>
      </x:c>
      <x:c r="H261" s="42" t="b">
        <x:v>0</x:v>
      </x:c>
      <x:c r="I261" s="42" t="b">
        <x:v>0</x:v>
      </x:c>
      <x:c r="J261" s="38" t="n">
        <x:v>0.0889756206</x:v>
      </x:c>
    </x:row>
    <x:row r="262" ht="19" customHeight="1">
      <x:c r="A262" s="29" t="str">
        <x:v>stagger_1</x:v>
      </x:c>
      <x:c r="B262" s="38" t="str">
        <x:v>ETR</x:v>
      </x:c>
      <x:c r="C262" s="38" t="str">
        <x:v>Other sectors</x:v>
      </x:c>
      <x:c r="D262" s="30" t="n">
        <x:v>2</x:v>
      </x:c>
      <x:c r="E262" s="38" t="str">
        <x:v>XLV</x:v>
      </x:c>
      <x:c r="F262" s="38" t="n">
        <x:v>-0.1467294386</x:v>
      </x:c>
      <x:c r="G262" s="38" t="n">
        <x:v>-0.933006136</x:v>
      </x:c>
      <x:c r="H262" s="42" t="b">
        <x:v>0</x:v>
      </x:c>
      <x:c r="I262" s="42" t="b">
        <x:v>0</x:v>
      </x:c>
      <x:c r="J262" s="38" t="n">
        <x:v>0.0889756206</x:v>
      </x:c>
    </x:row>
    <x:row r="263" ht="19" customHeight="1">
      <x:c r="A263" s="29" t="str">
        <x:v>stagger_1</x:v>
      </x:c>
      <x:c r="B263" s="38" t="str">
        <x:v>ETR</x:v>
      </x:c>
      <x:c r="C263" s="38" t="str">
        <x:v>Other sectors</x:v>
      </x:c>
      <x:c r="D263" s="30" t="n">
        <x:v>2</x:v>
      </x:c>
      <x:c r="E263" s="38" t="str">
        <x:v>XLY</x:v>
      </x:c>
      <x:c r="F263" s="38" t="n">
        <x:v>0.1006087687</x:v>
      </x:c>
      <x:c r="G263" s="38" t="n">
        <x:v>0.553556022</x:v>
      </x:c>
      <x:c r="H263" s="42" t="b">
        <x:v>0</x:v>
      </x:c>
      <x:c r="I263" s="42" t="b">
        <x:v>0</x:v>
      </x:c>
      <x:c r="J263" s="38" t="n">
        <x:v>0.0889756206</x:v>
      </x:c>
    </x:row>
    <x:row r="264" ht="19" customHeight="1">
      <x:c r="A264" s="29" t="str">
        <x:v>stagger_1</x:v>
      </x:c>
      <x:c r="B264" s="38" t="str">
        <x:v>ETR</x:v>
      </x:c>
      <x:c r="C264" s="38" t="str">
        <x:v>Other sectors</x:v>
      </x:c>
      <x:c r="D264" s="30" t="n">
        <x:v>3</x:v>
      </x:c>
      <x:c r="E264" s="38" t="str">
        <x:v>XLB</x:v>
      </x:c>
      <x:c r="F264" s="38" t="n">
        <x:v>-0.0697131719</x:v>
      </x:c>
      <x:c r="G264" s="38" t="n">
        <x:v>-0.3948338055</x:v>
      </x:c>
      <x:c r="H264" s="42" t="b">
        <x:v>0</x:v>
      </x:c>
      <x:c r="I264" s="42" t="b">
        <x:v>0</x:v>
      </x:c>
      <x:c r="J264" s="38" t="n">
        <x:v>0.0886193612</x:v>
      </x:c>
    </x:row>
    <x:row r="265" ht="19" customHeight="1">
      <x:c r="A265" s="29" t="str">
        <x:v>stagger_1</x:v>
      </x:c>
      <x:c r="B265" s="38" t="str">
        <x:v>ETR</x:v>
      </x:c>
      <x:c r="C265" s="38" t="str">
        <x:v>Other sectors</x:v>
      </x:c>
      <x:c r="D265" s="30" t="n">
        <x:v>3</x:v>
      </x:c>
      <x:c r="E265" s="38" t="str">
        <x:v>XLE</x:v>
      </x:c>
      <x:c r="F265" s="38" t="n">
        <x:v>0.0193800385</x:v>
      </x:c>
      <x:c r="G265" s="38" t="n">
        <x:v>0.3322680573</x:v>
      </x:c>
      <x:c r="H265" s="42" t="b">
        <x:v>0</x:v>
      </x:c>
      <x:c r="I265" s="42" t="b">
        <x:v>0</x:v>
      </x:c>
      <x:c r="J265" s="38" t="n">
        <x:v>0.0886193612</x:v>
      </x:c>
    </x:row>
    <x:row r="266" ht="19" customHeight="1">
      <x:c r="A266" s="29" t="str">
        <x:v>stagger_1</x:v>
      </x:c>
      <x:c r="B266" s="38" t="str">
        <x:v>ETR</x:v>
      </x:c>
      <x:c r="C266" s="38" t="str">
        <x:v>Other sectors</x:v>
      </x:c>
      <x:c r="D266" s="30" t="n">
        <x:v>3</x:v>
      </x:c>
      <x:c r="E266" s="38" t="str">
        <x:v>XLF</x:v>
      </x:c>
      <x:c r="F266" s="38" t="n">
        <x:v>0.0915277377</x:v>
      </x:c>
      <x:c r="G266" s="38" t="n">
        <x:v>0.6337681492</x:v>
      </x:c>
      <x:c r="H266" s="42" t="b">
        <x:v>0</x:v>
      </x:c>
      <x:c r="I266" s="42" t="b">
        <x:v>0</x:v>
      </x:c>
      <x:c r="J266" s="38" t="n">
        <x:v>0.0886193612</x:v>
      </x:c>
    </x:row>
    <x:row r="267" ht="19" customHeight="1">
      <x:c r="A267" s="29" t="str">
        <x:v>stagger_1</x:v>
      </x:c>
      <x:c r="B267" s="38" t="str">
        <x:v>ETR</x:v>
      </x:c>
      <x:c r="C267" s="38" t="str">
        <x:v>Other sectors</x:v>
      </x:c>
      <x:c r="D267" s="30" t="n">
        <x:v>3</x:v>
      </x:c>
      <x:c r="E267" s="38" t="str">
        <x:v>XLI</x:v>
      </x:c>
      <x:c r="F267" s="38" t="n">
        <x:v>-0.1366365749</x:v>
      </x:c>
      <x:c r="G267" s="38" t="n">
        <x:v>-0.610953987</x:v>
      </x:c>
      <x:c r="H267" s="42" t="b">
        <x:v>0</x:v>
      </x:c>
      <x:c r="I267" s="42" t="b">
        <x:v>0</x:v>
      </x:c>
      <x:c r="J267" s="38" t="n">
        <x:v>0.0886193612</x:v>
      </x:c>
    </x:row>
    <x:row r="268" ht="19" customHeight="1">
      <x:c r="A268" s="29" t="str">
        <x:v>stagger_1</x:v>
      </x:c>
      <x:c r="B268" s="38" t="str">
        <x:v>ETR</x:v>
      </x:c>
      <x:c r="C268" s="38" t="str">
        <x:v>Other sectors</x:v>
      </x:c>
      <x:c r="D268" s="30" t="n">
        <x:v>3</x:v>
      </x:c>
      <x:c r="E268" s="38" t="str">
        <x:v>XLP</x:v>
      </x:c>
      <x:c r="F268" s="38" t="n">
        <x:v>0.0437000371</x:v>
      </x:c>
      <x:c r="G268" s="38" t="n">
        <x:v>0.2593413036</x:v>
      </x:c>
      <x:c r="H268" s="42" t="b">
        <x:v>1</x:v>
      </x:c>
      <x:c r="I268" s="42" t="b">
        <x:v>0</x:v>
      </x:c>
      <x:c r="J268" s="38" t="n">
        <x:v>0.0886193612</x:v>
      </x:c>
    </x:row>
    <x:row r="269" ht="19" customHeight="1">
      <x:c r="A269" s="29" t="str">
        <x:v>stagger_1</x:v>
      </x:c>
      <x:c r="B269" s="38" t="str">
        <x:v>ETR</x:v>
      </x:c>
      <x:c r="C269" s="38" t="str">
        <x:v>Other sectors</x:v>
      </x:c>
      <x:c r="D269" s="30" t="n">
        <x:v>3</x:v>
      </x:c>
      <x:c r="E269" s="38" t="str">
        <x:v>XLRE</x:v>
      </x:c>
      <x:c r="F269" s="38" t="n">
        <x:v>0.2283450473</x:v>
      </x:c>
      <x:c r="G269" s="38" t="n">
        <x:v>1.6239865751</x:v>
      </x:c>
      <x:c r="H269" s="42" t="b">
        <x:v>0</x:v>
      </x:c>
      <x:c r="I269" s="42" t="b">
        <x:v>0</x:v>
      </x:c>
      <x:c r="J269" s="38" t="n">
        <x:v>0.0886193612</x:v>
      </x:c>
    </x:row>
    <x:row r="270" ht="19" customHeight="1">
      <x:c r="A270" s="29" t="str">
        <x:v>stagger_1</x:v>
      </x:c>
      <x:c r="B270" s="38" t="str">
        <x:v>ETR</x:v>
      </x:c>
      <x:c r="C270" s="38" t="str">
        <x:v>Other sectors</x:v>
      </x:c>
      <x:c r="D270" s="30" t="n">
        <x:v>3</x:v>
      </x:c>
      <x:c r="E270" s="38" t="str">
        <x:v>XLV</x:v>
      </x:c>
      <x:c r="F270" s="38" t="n">
        <x:v>-0.1599117269</x:v>
      </x:c>
      <x:c r="G270" s="38" t="n">
        <x:v>-1.1875533531</x:v>
      </x:c>
      <x:c r="H270" s="42" t="b">
        <x:v>0</x:v>
      </x:c>
      <x:c r="I270" s="42" t="b">
        <x:v>0</x:v>
      </x:c>
      <x:c r="J270" s="38" t="n">
        <x:v>0.0886193612</x:v>
      </x:c>
    </x:row>
    <x:row r="271" ht="19" customHeight="1">
      <x:c r="A271" s="29" t="str">
        <x:v>stagger_1</x:v>
      </x:c>
      <x:c r="B271" s="38" t="str">
        <x:v>ETR</x:v>
      </x:c>
      <x:c r="C271" s="38" t="str">
        <x:v>Other sectors</x:v>
      </x:c>
      <x:c r="D271" s="30" t="n">
        <x:v>3</x:v>
      </x:c>
      <x:c r="E271" s="38" t="str">
        <x:v>XLY</x:v>
      </x:c>
      <x:c r="F271" s="38" t="n">
        <x:v>0.0823616909</x:v>
      </x:c>
      <x:c r="G271" s="38" t="n">
        <x:v>0.574066597</x:v>
      </x:c>
      <x:c r="H271" s="42" t="b">
        <x:v>0</x:v>
      </x:c>
      <x:c r="I271" s="42" t="b">
        <x:v>0</x:v>
      </x:c>
      <x:c r="J271" s="38" t="n">
        <x:v>0.0886193612</x:v>
      </x:c>
    </x:row>
    <x:row r="272" ht="19" customHeight="1">
      <x:c r="A272" s="29" t="str">
        <x:v>stagger_1</x:v>
      </x:c>
      <x:c r="B272" s="38" t="str">
        <x:v>ETR</x:v>
      </x:c>
      <x:c r="C272" s="38" t="str">
        <x:v>Other sectors</x:v>
      </x:c>
      <x:c r="D272" s="30" t="n">
        <x:v>4</x:v>
      </x:c>
      <x:c r="E272" s="38" t="str">
        <x:v>XLB</x:v>
      </x:c>
      <x:c r="F272" s="38" t="n">
        <x:v>-0.0642190672</x:v>
      </x:c>
      <x:c r="G272" s="38" t="n">
        <x:v>-0.3687599739</x:v>
      </x:c>
      <x:c r="H272" s="42" t="b">
        <x:v>0</x:v>
      </x:c>
      <x:c r="I272" s="42" t="b">
        <x:v>0</x:v>
      </x:c>
      <x:c r="J272" s="38" t="n">
        <x:v>0.0877560153</x:v>
      </x:c>
    </x:row>
    <x:row r="273" ht="19" customHeight="1">
      <x:c r="A273" s="29" t="str">
        <x:v>stagger_1</x:v>
      </x:c>
      <x:c r="B273" s="38" t="str">
        <x:v>ETR</x:v>
      </x:c>
      <x:c r="C273" s="38" t="str">
        <x:v>Other sectors</x:v>
      </x:c>
      <x:c r="D273" s="30" t="n">
        <x:v>4</x:v>
      </x:c>
      <x:c r="E273" s="38" t="str">
        <x:v>XLE</x:v>
      </x:c>
      <x:c r="F273" s="38" t="n">
        <x:v>0.0193357911</x:v>
      </x:c>
      <x:c r="G273" s="38" t="n">
        <x:v>0.3336792707</x:v>
      </x:c>
      <x:c r="H273" s="42" t="b">
        <x:v>1</x:v>
      </x:c>
      <x:c r="I273" s="42" t="b">
        <x:v>0</x:v>
      </x:c>
      <x:c r="J273" s="38" t="n">
        <x:v>0.0877560153</x:v>
      </x:c>
    </x:row>
    <x:row r="274" ht="19" customHeight="1">
      <x:c r="A274" s="29" t="str">
        <x:v>stagger_1</x:v>
      </x:c>
      <x:c r="B274" s="38" t="str">
        <x:v>ETR</x:v>
      </x:c>
      <x:c r="C274" s="38" t="str">
        <x:v>Other sectors</x:v>
      </x:c>
      <x:c r="D274" s="30" t="n">
        <x:v>4</x:v>
      </x:c>
      <x:c r="E274" s="38" t="str">
        <x:v>XLF</x:v>
      </x:c>
      <x:c r="F274" s="38" t="n">
        <x:v>0.0795463096</x:v>
      </x:c>
      <x:c r="G274" s="38" t="n">
        <x:v>0.5851568899</x:v>
      </x:c>
      <x:c r="H274" s="42" t="b">
        <x:v>0</x:v>
      </x:c>
      <x:c r="I274" s="42" t="b">
        <x:v>0</x:v>
      </x:c>
      <x:c r="J274" s="38" t="n">
        <x:v>0.0877560153</x:v>
      </x:c>
    </x:row>
    <x:row r="275" ht="19" customHeight="1">
      <x:c r="A275" s="29" t="str">
        <x:v>stagger_1</x:v>
      </x:c>
      <x:c r="B275" s="38" t="str">
        <x:v>ETR</x:v>
      </x:c>
      <x:c r="C275" s="38" t="str">
        <x:v>Other sectors</x:v>
      </x:c>
      <x:c r="D275" s="30" t="n">
        <x:v>4</x:v>
      </x:c>
      <x:c r="E275" s="38" t="str">
        <x:v>XLI</x:v>
      </x:c>
      <x:c r="F275" s="38" t="n">
        <x:v>-0.1250664939</x:v>
      </x:c>
      <x:c r="G275" s="38" t="n">
        <x:v>-0.5744227965</x:v>
      </x:c>
      <x:c r="H275" s="42" t="b">
        <x:v>0</x:v>
      </x:c>
      <x:c r="I275" s="42" t="b">
        <x:v>0</x:v>
      </x:c>
      <x:c r="J275" s="38" t="n">
        <x:v>0.0877560153</x:v>
      </x:c>
    </x:row>
    <x:row r="276" ht="19" customHeight="1">
      <x:c r="A276" s="29" t="str">
        <x:v>stagger_1</x:v>
      </x:c>
      <x:c r="B276" s="38" t="str">
        <x:v>ETR</x:v>
      </x:c>
      <x:c r="C276" s="38" t="str">
        <x:v>Other sectors</x:v>
      </x:c>
      <x:c r="D276" s="30" t="n">
        <x:v>4</x:v>
      </x:c>
      <x:c r="E276" s="38" t="str">
        <x:v>XLRE</x:v>
      </x:c>
      <x:c r="F276" s="38" t="n">
        <x:v>0.2435559776</x:v>
      </x:c>
      <x:c r="G276" s="38" t="n">
        <x:v>1.9183645468</x:v>
      </x:c>
      <x:c r="H276" s="42" t="b">
        <x:v>0</x:v>
      </x:c>
      <x:c r="I276" s="42" t="b">
        <x:v>0</x:v>
      </x:c>
      <x:c r="J276" s="38" t="n">
        <x:v>0.0877560153</x:v>
      </x:c>
    </x:row>
    <x:row r="277" ht="19" customHeight="1">
      <x:c r="A277" s="29" t="str">
        <x:v>stagger_1</x:v>
      </x:c>
      <x:c r="B277" s="38" t="str">
        <x:v>ETR</x:v>
      </x:c>
      <x:c r="C277" s="38" t="str">
        <x:v>Other sectors</x:v>
      </x:c>
      <x:c r="D277" s="30" t="n">
        <x:v>4</x:v>
      </x:c>
      <x:c r="E277" s="38" t="str">
        <x:v>XLV</x:v>
      </x:c>
      <x:c r="F277" s="38" t="n">
        <x:v>-0.1491030359</x:v>
      </x:c>
      <x:c r="G277" s="38" t="n">
        <x:v>-1.172080977</x:v>
      </x:c>
      <x:c r="H277" s="42" t="b">
        <x:v>0</x:v>
      </x:c>
      <x:c r="I277" s="42" t="b">
        <x:v>0</x:v>
      </x:c>
      <x:c r="J277" s="38" t="n">
        <x:v>0.0877560153</x:v>
      </x:c>
    </x:row>
    <x:row r="278" ht="19" customHeight="1">
      <x:c r="A278" s="29" t="str">
        <x:v>stagger_1</x:v>
      </x:c>
      <x:c r="B278" s="38" t="str">
        <x:v>ETR</x:v>
      </x:c>
      <x:c r="C278" s="38" t="str">
        <x:v>Other sectors</x:v>
      </x:c>
      <x:c r="D278" s="30" t="n">
        <x:v>4</x:v>
      </x:c>
      <x:c r="E278" s="38" t="str">
        <x:v>XLY</x:v>
      </x:c>
      <x:c r="F278" s="38" t="n">
        <x:v>0.0799466218</x:v>
      </x:c>
      <x:c r="G278" s="38" t="n">
        <x:v>0.5620634951</x:v>
      </x:c>
      <x:c r="H278" s="42" t="b">
        <x:v>0</x:v>
      </x:c>
      <x:c r="I278" s="42" t="b">
        <x:v>0</x:v>
      </x:c>
      <x:c r="J278" s="38" t="n">
        <x:v>0.0877560153</x:v>
      </x:c>
    </x:row>
    <x:row r="279" ht="19" customHeight="1">
      <x:c r="A279" s="29" t="str">
        <x:v>stagger_1</x:v>
      </x:c>
      <x:c r="B279" s="38" t="str">
        <x:v>ETR</x:v>
      </x:c>
      <x:c r="C279" s="38" t="str">
        <x:v>Other sectors</x:v>
      </x:c>
      <x:c r="D279" s="30" t="n">
        <x:v>5</x:v>
      </x:c>
      <x:c r="E279" s="38" t="str">
        <x:v>XLB</x:v>
      </x:c>
      <x:c r="F279" s="38" t="n">
        <x:v>-0.0487161376</x:v>
      </x:c>
      <x:c r="G279" s="38" t="n">
        <x:v>-0.2920420376</x:v>
      </x:c>
      <x:c r="H279" s="42" t="b">
        <x:v>1</x:v>
      </x:c>
      <x:c r="I279" s="42" t="b">
        <x:v>0</x:v>
      </x:c>
      <x:c r="J279" s="38" t="n">
        <x:v>0.0863453079</x:v>
      </x:c>
    </x:row>
    <x:row r="280" ht="19" customHeight="1">
      <x:c r="A280" s="29" t="str">
        <x:v>stagger_1</x:v>
      </x:c>
      <x:c r="B280" s="38" t="str">
        <x:v>ETR</x:v>
      </x:c>
      <x:c r="C280" s="38" t="str">
        <x:v>Other sectors</x:v>
      </x:c>
      <x:c r="D280" s="30" t="n">
        <x:v>5</x:v>
      </x:c>
      <x:c r="E280" s="38" t="str">
        <x:v>XLF</x:v>
      </x:c>
      <x:c r="F280" s="38" t="n">
        <x:v>0.0882878021</x:v>
      </x:c>
      <x:c r="G280" s="38" t="n">
        <x:v>0.6659330776</x:v>
      </x:c>
      <x:c r="H280" s="42" t="b">
        <x:v>0</x:v>
      </x:c>
      <x:c r="I280" s="42" t="b">
        <x:v>0</x:v>
      </x:c>
      <x:c r="J280" s="38" t="n">
        <x:v>0.0863453079</x:v>
      </x:c>
    </x:row>
    <x:row r="281" ht="19" customHeight="1">
      <x:c r="A281" s="29" t="str">
        <x:v>stagger_1</x:v>
      </x:c>
      <x:c r="B281" s="38" t="str">
        <x:v>ETR</x:v>
      </x:c>
      <x:c r="C281" s="38" t="str">
        <x:v>Other sectors</x:v>
      </x:c>
      <x:c r="D281" s="30" t="n">
        <x:v>5</x:v>
      </x:c>
      <x:c r="E281" s="38" t="str">
        <x:v>XLI</x:v>
      </x:c>
      <x:c r="F281" s="38" t="n">
        <x:v>-0.1377149119</x:v>
      </x:c>
      <x:c r="G281" s="38" t="n">
        <x:v>-0.6462714796</x:v>
      </x:c>
      <x:c r="H281" s="42" t="b">
        <x:v>0</x:v>
      </x:c>
      <x:c r="I281" s="42" t="b">
        <x:v>0</x:v>
      </x:c>
      <x:c r="J281" s="38" t="n">
        <x:v>0.0863453079</x:v>
      </x:c>
    </x:row>
    <x:row r="282" ht="19" customHeight="1">
      <x:c r="A282" s="29" t="str">
        <x:v>stagger_1</x:v>
      </x:c>
      <x:c r="B282" s="38" t="str">
        <x:v>ETR</x:v>
      </x:c>
      <x:c r="C282" s="38" t="str">
        <x:v>Other sectors</x:v>
      </x:c>
      <x:c r="D282" s="30" t="n">
        <x:v>5</x:v>
      </x:c>
      <x:c r="E282" s="38" t="str">
        <x:v>XLRE</x:v>
      </x:c>
      <x:c r="F282" s="38" t="n">
        <x:v>0.2451631798</x:v>
      </x:c>
      <x:c r="G282" s="38" t="n">
        <x:v>1.9442853155</x:v>
      </x:c>
      <x:c r="H282" s="42" t="b">
        <x:v>0</x:v>
      </x:c>
      <x:c r="I282" s="42" t="b">
        <x:v>0</x:v>
      </x:c>
      <x:c r="J282" s="38" t="n">
        <x:v>0.0863453079</x:v>
      </x:c>
    </x:row>
    <x:row r="283" ht="19" customHeight="1">
      <x:c r="A283" s="29" t="str">
        <x:v>stagger_1</x:v>
      </x:c>
      <x:c r="B283" s="38" t="str">
        <x:v>ETR</x:v>
      </x:c>
      <x:c r="C283" s="38" t="str">
        <x:v>Other sectors</x:v>
      </x:c>
      <x:c r="D283" s="30" t="n">
        <x:v>5</x:v>
      </x:c>
      <x:c r="E283" s="38" t="str">
        <x:v>XLV</x:v>
      </x:c>
      <x:c r="F283" s="38" t="n">
        <x:v>-0.1507102225</x:v>
      </x:c>
      <x:c r="G283" s="38" t="n">
        <x:v>-1.1928477091</x:v>
      </x:c>
      <x:c r="H283" s="42" t="b">
        <x:v>0</x:v>
      </x:c>
      <x:c r="I283" s="42" t="b">
        <x:v>0</x:v>
      </x:c>
      <x:c r="J283" s="38" t="n">
        <x:v>0.0863453079</x:v>
      </x:c>
    </x:row>
    <x:row r="284" ht="19" customHeight="1">
      <x:c r="A284" s="29" t="str">
        <x:v>stagger_1</x:v>
      </x:c>
      <x:c r="B284" s="38" t="str">
        <x:v>ETR</x:v>
      </x:c>
      <x:c r="C284" s="38" t="str">
        <x:v>Other sectors</x:v>
      </x:c>
      <x:c r="D284" s="30" t="n">
        <x:v>5</x:v>
      </x:c>
      <x:c r="E284" s="38" t="str">
        <x:v>XLY</x:v>
      </x:c>
      <x:c r="F284" s="38" t="n">
        <x:v>0.0680581781</x:v>
      </x:c>
      <x:c r="G284" s="38" t="n">
        <x:v>0.4972740194</x:v>
      </x:c>
      <x:c r="H284" s="42" t="b">
        <x:v>0</x:v>
      </x:c>
      <x:c r="I284" s="42" t="b">
        <x:v>0</x:v>
      </x:c>
      <x:c r="J284" s="38" t="n">
        <x:v>0.0863453079</x:v>
      </x:c>
    </x:row>
    <x:row r="285" ht="19" customHeight="1">
      <x:c r="A285" s="29" t="str">
        <x:v>stagger_1</x:v>
      </x:c>
      <x:c r="B285" s="38" t="str">
        <x:v>ETR</x:v>
      </x:c>
      <x:c r="C285" s="38" t="str">
        <x:v>Other sectors</x:v>
      </x:c>
      <x:c r="D285" s="30" t="n">
        <x:v>6</x:v>
      </x:c>
      <x:c r="E285" s="38" t="str">
        <x:v>XLF</x:v>
      </x:c>
      <x:c r="F285" s="38" t="n">
        <x:v>0.0834893491</x:v>
      </x:c>
      <x:c r="G285" s="38" t="n">
        <x:v>0.6385912197</x:v>
      </x:c>
      <x:c r="H285" s="42" t="b">
        <x:v>0</x:v>
      </x:c>
      <x:c r="I285" s="42" t="b">
        <x:v>0</x:v>
      </x:c>
      <x:c r="J285" s="38" t="n">
        <x:v>0.0852778519</x:v>
      </x:c>
    </x:row>
    <x:row r="286" ht="19" customHeight="1">
      <x:c r="A286" s="29" t="str">
        <x:v>stagger_1</x:v>
      </x:c>
      <x:c r="B286" s="38" t="str">
        <x:v>ETR</x:v>
      </x:c>
      <x:c r="C286" s="38" t="str">
        <x:v>Other sectors</x:v>
      </x:c>
      <x:c r="D286" s="30" t="n">
        <x:v>6</x:v>
      </x:c>
      <x:c r="E286" s="38" t="str">
        <x:v>XLI</x:v>
      </x:c>
      <x:c r="F286" s="38" t="n">
        <x:v>-0.1845459404</x:v>
      </x:c>
      <x:c r="G286" s="38" t="n">
        <x:v>-1.3232547644</x:v>
      </x:c>
      <x:c r="H286" s="42" t="b">
        <x:v>0</x:v>
      </x:c>
      <x:c r="I286" s="42" t="b">
        <x:v>0</x:v>
      </x:c>
      <x:c r="J286" s="38" t="n">
        <x:v>0.0852778519</x:v>
      </x:c>
    </x:row>
    <x:row r="287" ht="19" customHeight="1">
      <x:c r="A287" s="29" t="str">
        <x:v>stagger_1</x:v>
      </x:c>
      <x:c r="B287" s="38" t="str">
        <x:v>ETR</x:v>
      </x:c>
      <x:c r="C287" s="38" t="str">
        <x:v>Other sectors</x:v>
      </x:c>
      <x:c r="D287" s="30" t="n">
        <x:v>6</x:v>
      </x:c>
      <x:c r="E287" s="38" t="str">
        <x:v>XLRE</x:v>
      </x:c>
      <x:c r="F287" s="38" t="n">
        <x:v>0.2373187666</x:v>
      </x:c>
      <x:c r="G287" s="38" t="n">
        <x:v>1.9383038391</x:v>
      </x:c>
      <x:c r="H287" s="42" t="b">
        <x:v>0</x:v>
      </x:c>
      <x:c r="I287" s="42" t="b">
        <x:v>0</x:v>
      </x:c>
      <x:c r="J287" s="38" t="n">
        <x:v>0.0852778519</x:v>
      </x:c>
    </x:row>
    <x:row r="288" ht="19" customHeight="1">
      <x:c r="A288" s="29" t="str">
        <x:v>stagger_1</x:v>
      </x:c>
      <x:c r="B288" s="38" t="str">
        <x:v>ETR</x:v>
      </x:c>
      <x:c r="C288" s="38" t="str">
        <x:v>Other sectors</x:v>
      </x:c>
      <x:c r="D288" s="30" t="n">
        <x:v>6</x:v>
      </x:c>
      <x:c r="E288" s="38" t="str">
        <x:v>XLV</x:v>
      </x:c>
      <x:c r="F288" s="38" t="n">
        <x:v>-0.1558019702</x:v>
      </x:c>
      <x:c r="G288" s="38" t="n">
        <x:v>-1.2528268468</x:v>
      </x:c>
      <x:c r="H288" s="42" t="b">
        <x:v>0</x:v>
      </x:c>
      <x:c r="I288" s="42" t="b">
        <x:v>0</x:v>
      </x:c>
      <x:c r="J288" s="38" t="n">
        <x:v>0.0852778519</x:v>
      </x:c>
    </x:row>
    <x:row r="289" ht="19" customHeight="1">
      <x:c r="A289" s="29" t="str">
        <x:v>stagger_1</x:v>
      </x:c>
      <x:c r="B289" s="38" t="str">
        <x:v>ETR</x:v>
      </x:c>
      <x:c r="C289" s="38" t="str">
        <x:v>Other sectors</x:v>
      </x:c>
      <x:c r="D289" s="30" t="n">
        <x:v>6</x:v>
      </x:c>
      <x:c r="E289" s="38" t="str">
        <x:v>XLY</x:v>
      </x:c>
      <x:c r="F289" s="38" t="n">
        <x:v>0.0663630207</x:v>
      </x:c>
      <x:c r="G289" s="38" t="n">
        <x:v>0.4883524931</x:v>
      </x:c>
      <x:c r="H289" s="42" t="b">
        <x:v>1</x:v>
      </x:c>
      <x:c r="I289" s="42" t="b">
        <x:v>0</x:v>
      </x:c>
      <x:c r="J289" s="38" t="n">
        <x:v>0.0852778519</x:v>
      </x:c>
    </x:row>
    <x:row r="290" ht="19" customHeight="1">
      <x:c r="A290" s="29" t="str">
        <x:v>stagger_1</x:v>
      </x:c>
      <x:c r="B290" s="38" t="str">
        <x:v>ETR</x:v>
      </x:c>
      <x:c r="C290" s="38" t="str">
        <x:v>Other sectors</x:v>
      </x:c>
      <x:c r="D290" s="30" t="n">
        <x:v>7</x:v>
      </x:c>
      <x:c r="E290" s="38" t="str">
        <x:v>XLF</x:v>
      </x:c>
      <x:c r="F290" s="38" t="n">
        <x:v>0.0858816934</x:v>
      </x:c>
      <x:c r="G290" s="38" t="n">
        <x:v>0.6607141777</x:v>
      </x:c>
      <x:c r="H290" s="42" t="b">
        <x:v>1</x:v>
      </x:c>
      <x:c r="I290" s="42" t="b">
        <x:v>0</x:v>
      </x:c>
      <x:c r="J290" s="38" t="n">
        <x:v>0.0823298735</x:v>
      </x:c>
    </x:row>
    <x:row r="291" ht="19" customHeight="1">
      <x:c r="A291" s="29" t="str">
        <x:v>stagger_1</x:v>
      </x:c>
      <x:c r="B291" s="38" t="str">
        <x:v>ETR</x:v>
      </x:c>
      <x:c r="C291" s="38" t="str">
        <x:v>Other sectors</x:v>
      </x:c>
      <x:c r="D291" s="30" t="n">
        <x:v>7</x:v>
      </x:c>
      <x:c r="E291" s="38" t="str">
        <x:v>XLI</x:v>
      </x:c>
      <x:c r="F291" s="38" t="n">
        <x:v>-0.1950231496</x:v>
      </x:c>
      <x:c r="G291" s="38" t="n">
        <x:v>-1.4224654565</x:v>
      </x:c>
      <x:c r="H291" s="42" t="b">
        <x:v>0</x:v>
      </x:c>
      <x:c r="I291" s="42" t="b">
        <x:v>0</x:v>
      </x:c>
      <x:c r="J291" s="38" t="n">
        <x:v>0.0823298735</x:v>
      </x:c>
    </x:row>
    <x:row r="292" ht="19" customHeight="1">
      <x:c r="A292" s="29" t="str">
        <x:v>stagger_1</x:v>
      </x:c>
      <x:c r="B292" s="38" t="str">
        <x:v>ETR</x:v>
      </x:c>
      <x:c r="C292" s="38" t="str">
        <x:v>Other sectors</x:v>
      </x:c>
      <x:c r="D292" s="30" t="n">
        <x:v>7</x:v>
      </x:c>
      <x:c r="E292" s="38" t="str">
        <x:v>XLRE</x:v>
      </x:c>
      <x:c r="F292" s="38" t="n">
        <x:v>0.2543818243</x:v>
      </x:c>
      <x:c r="G292" s="38" t="n">
        <x:v>2.1789017948</x:v>
      </x:c>
      <x:c r="H292" s="42" t="b">
        <x:v>0</x:v>
      </x:c>
      <x:c r="I292" s="42" t="b">
        <x:v>0</x:v>
      </x:c>
      <x:c r="J292" s="38" t="n">
        <x:v>0.0823298735</x:v>
      </x:c>
    </x:row>
    <x:row r="293" ht="19" customHeight="1">
      <x:c r="A293" s="29" t="str">
        <x:v>stagger_1</x:v>
      </x:c>
      <x:c r="B293" s="38" t="str">
        <x:v>ETR</x:v>
      </x:c>
      <x:c r="C293" s="38" t="str">
        <x:v>Other sectors</x:v>
      </x:c>
      <x:c r="D293" s="30" t="n">
        <x:v>7</x:v>
      </x:c>
      <x:c r="E293" s="38" t="str">
        <x:v>XLV</x:v>
      </x:c>
      <x:c r="F293" s="38" t="n">
        <x:v>-0.17758948</x:v>
      </x:c>
      <x:c r="G293" s="38" t="n">
        <x:v>-1.5376872117</x:v>
      </x:c>
      <x:c r="H293" s="42" t="b">
        <x:v>0</x:v>
      </x:c>
      <x:c r="I293" s="42" t="b">
        <x:v>0</x:v>
      </x:c>
      <x:c r="J293" s="38" t="n">
        <x:v>0.0823298735</x:v>
      </x:c>
    </x:row>
    <x:row r="294" ht="19" customHeight="1">
      <x:c r="A294" s="29" t="str">
        <x:v>stagger_1</x:v>
      </x:c>
      <x:c r="B294" s="38" t="str">
        <x:v>ETR</x:v>
      </x:c>
      <x:c r="C294" s="38" t="str">
        <x:v>Other sectors</x:v>
      </x:c>
      <x:c r="D294" s="30" t="n">
        <x:v>8</x:v>
      </x:c>
      <x:c r="E294" s="38" t="str">
        <x:v>XLI</x:v>
      </x:c>
      <x:c r="F294" s="38" t="n">
        <x:v>-0.170056835</x:v>
      </x:c>
      <x:c r="G294" s="38" t="n">
        <x:v>-1.2951512705</x:v>
      </x:c>
      <x:c r="H294" s="42" t="b">
        <x:v>1</x:v>
      </x:c>
      <x:c r="I294" s="42" t="b">
        <x:v>0</x:v>
      </x:c>
      <x:c r="J294" s="38" t="n">
        <x:v>0.0769885045</x:v>
      </x:c>
    </x:row>
    <x:row r="295" ht="19" customHeight="1">
      <x:c r="A295" s="29" t="str">
        <x:v>stagger_1</x:v>
      </x:c>
      <x:c r="B295" s="38" t="str">
        <x:v>ETR</x:v>
      </x:c>
      <x:c r="C295" s="38" t="str">
        <x:v>Other sectors</x:v>
      </x:c>
      <x:c r="D295" s="30" t="n">
        <x:v>8</x:v>
      </x:c>
      <x:c r="E295" s="38" t="str">
        <x:v>XLRE</x:v>
      </x:c>
      <x:c r="F295" s="38" t="n">
        <x:v>0.2612751296</x:v>
      </x:c>
      <x:c r="G295" s="38" t="n">
        <x:v>2.2553121701</x:v>
      </x:c>
      <x:c r="H295" s="42" t="b">
        <x:v>0</x:v>
      </x:c>
      <x:c r="I295" s="42" t="b">
        <x:v>0</x:v>
      </x:c>
      <x:c r="J295" s="38" t="n">
        <x:v>0.0769885045</x:v>
      </x:c>
    </x:row>
    <x:row r="296" ht="19" customHeight="1">
      <x:c r="A296" s="29" t="str">
        <x:v>stagger_1</x:v>
      </x:c>
      <x:c r="B296" s="38" t="str">
        <x:v>ETR</x:v>
      </x:c>
      <x:c r="C296" s="38" t="str">
        <x:v>Other sectors</x:v>
      </x:c>
      <x:c r="D296" s="30" t="n">
        <x:v>8</x:v>
      </x:c>
      <x:c r="E296" s="38" t="str">
        <x:v>XLV</x:v>
      </x:c>
      <x:c r="F296" s="38" t="n">
        <x:v>-0.1670475003</x:v>
      </x:c>
      <x:c r="G296" s="38" t="n">
        <x:v>-1.4658557143</x:v>
      </x:c>
      <x:c r="H296" s="42" t="b">
        <x:v>0</x:v>
      </x:c>
      <x:c r="I296" s="42" t="b">
        <x:v>0</x:v>
      </x:c>
      <x:c r="J296" s="38" t="n">
        <x:v>0.0769885045</x:v>
      </x:c>
    </x:row>
    <x:row r="297" ht="19" customHeight="1">
      <x:c r="A297" s="29" t="str">
        <x:v>stagger_1</x:v>
      </x:c>
      <x:c r="B297" s="38" t="str">
        <x:v>ETR</x:v>
      </x:c>
      <x:c r="C297" s="38" t="str">
        <x:v>Other sectors</x:v>
      </x:c>
      <x:c r="D297" s="30" t="n">
        <x:v>9</x:v>
      </x:c>
      <x:c r="E297" s="38" t="str">
        <x:v>XLRE</x:v>
      </x:c>
      <x:c r="F297" s="38" t="n">
        <x:v>0.227344109</x:v>
      </x:c>
      <x:c r="G297" s="38" t="n">
        <x:v>2.0058084363</x:v>
      </x:c>
      <x:c r="H297" s="42" t="b">
        <x:v>0</x:v>
      </x:c>
      <x:c r="I297" s="42" t="b">
        <x:v>0</x:v>
      </x:c>
      <x:c r="J297" s="38" t="n">
        <x:v>0.056616465</x:v>
      </x:c>
    </x:row>
    <x:row r="298" ht="19" customHeight="1">
      <x:c r="A298" s="29" t="str">
        <x:v>stagger_1</x:v>
      </x:c>
      <x:c r="B298" s="38" t="str">
        <x:v>ETR</x:v>
      </x:c>
      <x:c r="C298" s="38" t="str">
        <x:v>Other sectors</x:v>
      </x:c>
      <x:c r="D298" s="30" t="n">
        <x:v>9</x:v>
      </x:c>
      <x:c r="E298" s="38" t="str">
        <x:v>XLV</x:v>
      </x:c>
      <x:c r="F298" s="38" t="n">
        <x:v>-0.1749833465</x:v>
      </x:c>
      <x:c r="G298" s="38" t="n">
        <x:v>-1.5309979822</x:v>
      </x:c>
      <x:c r="H298" s="42" t="b">
        <x:v>1</x:v>
      </x:c>
      <x:c r="I298" s="42" t="b">
        <x:v>0</x:v>
      </x:c>
      <x:c r="J298" s="38" t="n">
        <x:v>0.056616465</x:v>
      </x:c>
    </x:row>
    <x:row r="299" ht="19" customHeight="1">
      <x:c r="A299" s="29" t="str">
        <x:v>stagger_1</x:v>
      </x:c>
      <x:c r="B299" s="38" t="str">
        <x:v>ETR</x:v>
      </x:c>
      <x:c r="C299" s="38" t="str">
        <x:v>Other sectors</x:v>
      </x:c>
      <x:c r="D299" s="30" t="n">
        <x:v>10</x:v>
      </x:c>
      <x:c r="E299" s="38" t="str">
        <x:v>XLRE</x:v>
      </x:c>
      <x:c r="F299" s="38" t="n">
        <x:v>0.1558420865</x:v>
      </x:c>
      <x:c r="G299" s="38" t="n">
        <x:v>1.4961858832</x:v>
      </x:c>
      <x:c r="H299" s="42" t="b">
        <x:v>1</x:v>
      </x:c>
      <x:c r="I299" s="42" t="b">
        <x:v>0</x:v>
      </x:c>
      <x:c r="J299" s="38" t="n">
        <x:v>0.0278989535</x:v>
      </x:c>
    </x:row>
    <x:row r="300" ht="19" customHeight="1">
      <x:c r="A300" s="29" t="str">
        <x:v>stagger_1</x:v>
      </x:c>
      <x:c r="B300" s="38" t="str">
        <x:v>DIS</x:v>
      </x:c>
      <x:c r="C300" s="38" t="str">
        <x:v>Other FX</x:v>
      </x:c>
      <x:c r="D300" s="30" t="n">
        <x:v>1</x:v>
      </x:c>
      <x:c r="E300" s="38" t="str">
        <x:v>AUD/USD</x:v>
      </x:c>
      <x:c r="F300" s="38" t="n">
        <x:v>0.2495615642</x:v>
      </x:c>
      <x:c r="G300" s="38" t="n">
        <x:v>0.3805720924</x:v>
      </x:c>
      <x:c r="H300" s="42" t="b">
        <x:v>0</x:v>
      </x:c>
      <x:c r="I300" s="42" t="b">
        <x:v>0</x:v>
      </x:c>
      <x:c r="J300" s="38" t="n">
        <x:v>0.1532583034</x:v>
      </x:c>
    </x:row>
    <x:row r="301" ht="19" customHeight="1">
      <x:c r="A301" s="29" t="str">
        <x:v>stagger_1</x:v>
      </x:c>
      <x:c r="B301" s="38" t="str">
        <x:v>DIS</x:v>
      </x:c>
      <x:c r="C301" s="38" t="str">
        <x:v>Other FX</x:v>
      </x:c>
      <x:c r="D301" s="30" t="n">
        <x:v>1</x:v>
      </x:c>
      <x:c r="E301" s="38" t="str">
        <x:v>CAD/USD</x:v>
      </x:c>
      <x:c r="F301" s="38" t="n">
        <x:v>0.4761570228</x:v>
      </x:c>
      <x:c r="G301" s="38" t="n">
        <x:v>0.6013204095</x:v>
      </x:c>
      <x:c r="H301" s="42" t="b">
        <x:v>0</x:v>
      </x:c>
      <x:c r="I301" s="42" t="b">
        <x:v>0</x:v>
      </x:c>
      <x:c r="J301" s="38" t="n">
        <x:v>0.1532583034</x:v>
      </x:c>
    </x:row>
    <x:row r="302" ht="19" customHeight="1">
      <x:c r="A302" s="29" t="str">
        <x:v>stagger_1</x:v>
      </x:c>
      <x:c r="B302" s="38" t="str">
        <x:v>DIS</x:v>
      </x:c>
      <x:c r="C302" s="38" t="str">
        <x:v>Other FX</x:v>
      </x:c>
      <x:c r="D302" s="30" t="n">
        <x:v>1</x:v>
      </x:c>
      <x:c r="E302" s="38" t="str">
        <x:v>DKK/USD</x:v>
      </x:c>
      <x:c r="F302" s="38" t="n">
        <x:v>-0.740878032</x:v>
      </x:c>
      <x:c r="G302" s="38" t="n">
        <x:v>-0.1343945117</x:v>
      </x:c>
      <x:c r="H302" s="42" t="b">
        <x:v>1</x:v>
      </x:c>
      <x:c r="I302" s="42" t="b">
        <x:v>0</x:v>
      </x:c>
      <x:c r="J302" s="38" t="n">
        <x:v>0.1532583034</x:v>
      </x:c>
    </x:row>
    <x:row r="303" ht="19" customHeight="1">
      <x:c r="A303" s="29" t="str">
        <x:v>stagger_1</x:v>
      </x:c>
      <x:c r="B303" s="38" t="str">
        <x:v>DIS</x:v>
      </x:c>
      <x:c r="C303" s="38" t="str">
        <x:v>Other FX</x:v>
      </x:c>
      <x:c r="D303" s="30" t="n">
        <x:v>1</x:v>
      </x:c>
      <x:c r="E303" s="38" t="str">
        <x:v>EUR/USD</x:v>
      </x:c>
      <x:c r="F303" s="38" t="n">
        <x:v>-1.1952611305</x:v>
      </x:c>
      <x:c r="G303" s="38" t="n">
        <x:v>-0.23703533</x:v>
      </x:c>
      <x:c r="H303" s="42" t="b">
        <x:v>0</x:v>
      </x:c>
      <x:c r="I303" s="42" t="b">
        <x:v>0</x:v>
      </x:c>
      <x:c r="J303" s="38" t="n">
        <x:v>0.1532583034</x:v>
      </x:c>
    </x:row>
    <x:row r="304" ht="19" customHeight="1">
      <x:c r="A304" s="29" t="str">
        <x:v>stagger_1</x:v>
      </x:c>
      <x:c r="B304" s="38" t="str">
        <x:v>DIS</x:v>
      </x:c>
      <x:c r="C304" s="38" t="str">
        <x:v>Other FX</x:v>
      </x:c>
      <x:c r="D304" s="30" t="n">
        <x:v>1</x:v>
      </x:c>
      <x:c r="E304" s="38" t="str">
        <x:v>MXN/USD</x:v>
      </x:c>
      <x:c r="F304" s="38" t="n">
        <x:v>0.6453766436</x:v>
      </x:c>
      <x:c r="G304" s="38" t="n">
        <x:v>1.5362202734</x:v>
      </x:c>
      <x:c r="H304" s="42" t="b">
        <x:v>0</x:v>
      </x:c>
      <x:c r="I304" s="42" t="b">
        <x:v>0</x:v>
      </x:c>
      <x:c r="J304" s="38" t="n">
        <x:v>0.1532583034</x:v>
      </x:c>
    </x:row>
    <x:row r="305" ht="19" customHeight="1">
      <x:c r="A305" s="29" t="str">
        <x:v>stagger_1</x:v>
      </x:c>
      <x:c r="B305" s="38" t="str">
        <x:v>DIS</x:v>
      </x:c>
      <x:c r="C305" s="38" t="str">
        <x:v>Other FX</x:v>
      </x:c>
      <x:c r="D305" s="30" t="n">
        <x:v>1</x:v>
      </x:c>
      <x:c r="E305" s="38" t="str">
        <x:v>SGD/USD</x:v>
      </x:c>
      <x:c r="F305" s="38" t="n">
        <x:v>3.0060033639</x:v>
      </x:c>
      <x:c r="G305" s="38" t="n">
        <x:v>1.8932989042</x:v>
      </x:c>
      <x:c r="H305" s="42" t="b">
        <x:v>0</x:v>
      </x:c>
      <x:c r="I305" s="42" t="b">
        <x:v>0</x:v>
      </x:c>
      <x:c r="J305" s="38" t="n">
        <x:v>0.1532583034</x:v>
      </x:c>
    </x:row>
    <x:row r="306" ht="19" customHeight="1">
      <x:c r="A306" s="29" t="str">
        <x:v>stagger_1</x:v>
      </x:c>
      <x:c r="B306" s="38" t="str">
        <x:v>DIS</x:v>
      </x:c>
      <x:c r="C306" s="38" t="str">
        <x:v>Other FX</x:v>
      </x:c>
      <x:c r="D306" s="30" t="n">
        <x:v>2</x:v>
      </x:c>
      <x:c r="E306" s="38" t="str">
        <x:v>AUD/USD</x:v>
      </x:c>
      <x:c r="F306" s="38" t="n">
        <x:v>0.2499713978</x:v>
      </x:c>
      <x:c r="G306" s="38" t="n">
        <x:v>0.3837558093</x:v>
      </x:c>
      <x:c r="H306" s="42" t="b">
        <x:v>1</x:v>
      </x:c>
      <x:c r="I306" s="42" t="b">
        <x:v>0</x:v>
      </x:c>
      <x:c r="J306" s="38" t="n">
        <x:v>0.1530488</x:v>
      </x:c>
    </x:row>
    <x:row r="307" ht="19" customHeight="1">
      <x:c r="A307" s="29" t="str">
        <x:v>stagger_1</x:v>
      </x:c>
      <x:c r="B307" s="38" t="str">
        <x:v>DIS</x:v>
      </x:c>
      <x:c r="C307" s="38" t="str">
        <x:v>Other FX</x:v>
      </x:c>
      <x:c r="D307" s="30" t="n">
        <x:v>2</x:v>
      </x:c>
      <x:c r="E307" s="38" t="str">
        <x:v>CAD/USD</x:v>
      </x:c>
      <x:c r="F307" s="38" t="n">
        <x:v>0.4655677279</x:v>
      </x:c>
      <x:c r="G307" s="38" t="n">
        <x:v>0.5948398212</x:v>
      </x:c>
      <x:c r="H307" s="42" t="b">
        <x:v>0</x:v>
      </x:c>
      <x:c r="I307" s="42" t="b">
        <x:v>0</x:v>
      </x:c>
      <x:c r="J307" s="38" t="n">
        <x:v>0.1530488</x:v>
      </x:c>
    </x:row>
    <x:row r="308" ht="19" customHeight="1">
      <x:c r="A308" s="29" t="str">
        <x:v>stagger_1</x:v>
      </x:c>
      <x:c r="B308" s="38" t="str">
        <x:v>DIS</x:v>
      </x:c>
      <x:c r="C308" s="38" t="str">
        <x:v>Other FX</x:v>
      </x:c>
      <x:c r="D308" s="30" t="n">
        <x:v>2</x:v>
      </x:c>
      <x:c r="E308" s="38" t="str">
        <x:v>EUR/USD</x:v>
      </x:c>
      <x:c r="F308" s="38" t="n">
        <x:v>-1.8642800031</x:v>
      </x:c>
      <x:c r="G308" s="38" t="n">
        <x:v>-2.3340600489</x:v>
      </x:c>
      <x:c r="H308" s="42" t="b">
        <x:v>0</x:v>
      </x:c>
      <x:c r="I308" s="42" t="b">
        <x:v>0</x:v>
      </x:c>
      <x:c r="J308" s="38" t="n">
        <x:v>0.1530488</x:v>
      </x:c>
    </x:row>
    <x:row r="309" ht="19" customHeight="1">
      <x:c r="A309" s="29" t="str">
        <x:v>stagger_1</x:v>
      </x:c>
      <x:c r="B309" s="38" t="str">
        <x:v>DIS</x:v>
      </x:c>
      <x:c r="C309" s="38" t="str">
        <x:v>Other FX</x:v>
      </x:c>
      <x:c r="D309" s="30" t="n">
        <x:v>2</x:v>
      </x:c>
      <x:c r="E309" s="38" t="str">
        <x:v>MXN/USD</x:v>
      </x:c>
      <x:c r="F309" s="38" t="n">
        <x:v>0.6282985499</x:v>
      </x:c>
      <x:c r="G309" s="38" t="n">
        <x:v>1.5795860726</x:v>
      </x:c>
      <x:c r="H309" s="42" t="b">
        <x:v>0</x:v>
      </x:c>
      <x:c r="I309" s="42" t="b">
        <x:v>0</x:v>
      </x:c>
      <x:c r="J309" s="38" t="n">
        <x:v>0.1530488</x:v>
      </x:c>
    </x:row>
    <x:row r="310" ht="19" customHeight="1">
      <x:c r="A310" s="29" t="str">
        <x:v>stagger_1</x:v>
      </x:c>
      <x:c r="B310" s="38" t="str">
        <x:v>DIS</x:v>
      </x:c>
      <x:c r="C310" s="38" t="str">
        <x:v>Other FX</x:v>
      </x:c>
      <x:c r="D310" s="30" t="n">
        <x:v>2</x:v>
      </x:c>
      <x:c r="E310" s="38" t="str">
        <x:v>SGD/USD</x:v>
      </x:c>
      <x:c r="F310" s="38" t="n">
        <x:v>2.9240426663</x:v>
      </x:c>
      <x:c r="G310" s="38" t="n">
        <x:v>2.0080612161</x:v>
      </x:c>
      <x:c r="H310" s="42" t="b">
        <x:v>0</x:v>
      </x:c>
      <x:c r="I310" s="42" t="b">
        <x:v>0</x:v>
      </x:c>
      <x:c r="J310" s="38" t="n">
        <x:v>0.1530488</x:v>
      </x:c>
    </x:row>
    <x:row r="311" ht="19" customHeight="1">
      <x:c r="A311" s="29" t="str">
        <x:v>stagger_1</x:v>
      </x:c>
      <x:c r="B311" s="38" t="str">
        <x:v>DIS</x:v>
      </x:c>
      <x:c r="C311" s="38" t="str">
        <x:v>Other FX</x:v>
      </x:c>
      <x:c r="D311" s="30" t="n">
        <x:v>3</x:v>
      </x:c>
      <x:c r="E311" s="38" t="str">
        <x:v>CAD/USD</x:v>
      </x:c>
      <x:c r="F311" s="38" t="n">
        <x:v>0.5388828198</x:v>
      </x:c>
      <x:c r="G311" s="38" t="n">
        <x:v>0.7140587858</x:v>
      </x:c>
      <x:c r="H311" s="42" t="b">
        <x:v>1</x:v>
      </x:c>
      <x:c r="I311" s="42" t="b">
        <x:v>0</x:v>
      </x:c>
      <x:c r="J311" s="38" t="n">
        <x:v>0.1513632696</x:v>
      </x:c>
    </x:row>
    <x:row r="312" ht="19" customHeight="1">
      <x:c r="A312" s="29" t="str">
        <x:v>stagger_1</x:v>
      </x:c>
      <x:c r="B312" s="38" t="str">
        <x:v>DIS</x:v>
      </x:c>
      <x:c r="C312" s="38" t="str">
        <x:v>Other FX</x:v>
      </x:c>
      <x:c r="D312" s="30" t="n">
        <x:v>3</x:v>
      </x:c>
      <x:c r="E312" s="38" t="str">
        <x:v>EUR/USD</x:v>
      </x:c>
      <x:c r="F312" s="38" t="n">
        <x:v>-1.8684245422</x:v>
      </x:c>
      <x:c r="G312" s="38" t="n">
        <x:v>-2.3528768931</x:v>
      </x:c>
      <x:c r="H312" s="42" t="b">
        <x:v>0</x:v>
      </x:c>
      <x:c r="I312" s="42" t="b">
        <x:v>0</x:v>
      </x:c>
      <x:c r="J312" s="38" t="n">
        <x:v>0.1513632696</x:v>
      </x:c>
    </x:row>
    <x:row r="313" ht="19" customHeight="1">
      <x:c r="A313" s="29" t="str">
        <x:v>stagger_1</x:v>
      </x:c>
      <x:c r="B313" s="38" t="str">
        <x:v>DIS</x:v>
      </x:c>
      <x:c r="C313" s="38" t="str">
        <x:v>Other FX</x:v>
      </x:c>
      <x:c r="D313" s="30" t="n">
        <x:v>3</x:v>
      </x:c>
      <x:c r="E313" s="38" t="str">
        <x:v>MXN/USD</x:v>
      </x:c>
      <x:c r="F313" s="38" t="n">
        <x:v>0.6581018898</x:v>
      </x:c>
      <x:c r="G313" s="38" t="n">
        <x:v>1.6966544831</x:v>
      </x:c>
      <x:c r="H313" s="42" t="b">
        <x:v>0</x:v>
      </x:c>
      <x:c r="I313" s="42" t="b">
        <x:v>0</x:v>
      </x:c>
      <x:c r="J313" s="38" t="n">
        <x:v>0.1513632696</x:v>
      </x:c>
    </x:row>
    <x:row r="314" ht="19" customHeight="1">
      <x:c r="A314" s="29" t="str">
        <x:v>stagger_1</x:v>
      </x:c>
      <x:c r="B314" s="38" t="str">
        <x:v>DIS</x:v>
      </x:c>
      <x:c r="C314" s="38" t="str">
        <x:v>Other FX</x:v>
      </x:c>
      <x:c r="D314" s="30" t="n">
        <x:v>3</x:v>
      </x:c>
      <x:c r="E314" s="38" t="str">
        <x:v>SGD/USD</x:v>
      </x:c>
      <x:c r="F314" s="38" t="n">
        <x:v>3.2033258755</x:v>
      </x:c>
      <x:c r="G314" s="38" t="n">
        <x:v>2.554374221</x:v>
      </x:c>
      <x:c r="H314" s="42" t="b">
        <x:v>0</x:v>
      </x:c>
      <x:c r="I314" s="42" t="b">
        <x:v>0</x:v>
      </x:c>
      <x:c r="J314" s="38" t="n">
        <x:v>0.1513632696</x:v>
      </x:c>
    </x:row>
    <x:row r="315" ht="19" customHeight="1">
      <x:c r="A315" s="29" t="str">
        <x:v>stagger_1</x:v>
      </x:c>
      <x:c r="B315" s="38" t="str">
        <x:v>DIS</x:v>
      </x:c>
      <x:c r="C315" s="38" t="str">
        <x:v>Other FX</x:v>
      </x:c>
      <x:c r="D315" s="30" t="n">
        <x:v>4</x:v>
      </x:c>
      <x:c r="E315" s="38" t="str">
        <x:v>EUR/USD</x:v>
      </x:c>
      <x:c r="F315" s="38" t="n">
        <x:v>-1.7321339617</x:v>
      </x:c>
      <x:c r="G315" s="38" t="n">
        <x:v>-2.2544044153</x:v>
      </x:c>
      <x:c r="H315" s="42" t="b">
        <x:v>0</x:v>
      </x:c>
      <x:c r="I315" s="42" t="b">
        <x:v>0</x:v>
      </x:c>
      <x:c r="J315" s="38" t="n">
        <x:v>0.1455938982</x:v>
      </x:c>
    </x:row>
    <x:row r="316" ht="19" customHeight="1">
      <x:c r="A316" s="29" t="str">
        <x:v>stagger_1</x:v>
      </x:c>
      <x:c r="B316" s="38" t="str">
        <x:v>DIS</x:v>
      </x:c>
      <x:c r="C316" s="38" t="str">
        <x:v>Other FX</x:v>
      </x:c>
      <x:c r="D316" s="30" t="n">
        <x:v>4</x:v>
      </x:c>
      <x:c r="E316" s="38" t="str">
        <x:v>MXN/USD</x:v>
      </x:c>
      <x:c r="F316" s="38" t="n">
        <x:v>0.675074347</x:v>
      </x:c>
      <x:c r="G316" s="38" t="n">
        <x:v>1.74933799</x:v>
      </x:c>
      <x:c r="H316" s="42" t="b">
        <x:v>1</x:v>
      </x:c>
      <x:c r="I316" s="42" t="b">
        <x:v>0</x:v>
      </x:c>
      <x:c r="J316" s="38" t="n">
        <x:v>0.1455938982</x:v>
      </x:c>
    </x:row>
    <x:row r="317" ht="19" customHeight="1">
      <x:c r="A317" s="29" t="str">
        <x:v>stagger_1</x:v>
      </x:c>
      <x:c r="B317" s="38" t="str">
        <x:v>DIS</x:v>
      </x:c>
      <x:c r="C317" s="38" t="str">
        <x:v>Other FX</x:v>
      </x:c>
      <x:c r="D317" s="30" t="n">
        <x:v>4</x:v>
      </x:c>
      <x:c r="E317" s="38" t="str">
        <x:v>SGD/USD</x:v>
      </x:c>
      <x:c r="F317" s="38" t="n">
        <x:v>3.3805788113</x:v>
      </x:c>
      <x:c r="G317" s="38" t="n">
        <x:v>2.7590450344</x:v>
      </x:c>
      <x:c r="H317" s="42" t="b">
        <x:v>0</x:v>
      </x:c>
      <x:c r="I317" s="42" t="b">
        <x:v>0</x:v>
      </x:c>
      <x:c r="J317" s="38" t="n">
        <x:v>0.1455938982</x:v>
      </x:c>
    </x:row>
    <x:row r="318" ht="19" customHeight="1">
      <x:c r="A318" s="29" t="str">
        <x:v>stagger_1</x:v>
      </x:c>
      <x:c r="B318" s="38" t="str">
        <x:v>DIS</x:v>
      </x:c>
      <x:c r="C318" s="38" t="str">
        <x:v>Other FX</x:v>
      </x:c>
      <x:c r="D318" s="30" t="n">
        <x:v>5</x:v>
      </x:c>
      <x:c r="E318" s="38" t="str">
        <x:v>EUR/USD</x:v>
      </x:c>
      <x:c r="F318" s="38" t="n">
        <x:v>-1.3843629629</x:v>
      </x:c>
      <x:c r="G318" s="38" t="n">
        <x:v>-1.840831069</x:v>
      </x:c>
      <x:c r="H318" s="42" t="b">
        <x:v>1</x:v>
      </x:c>
      <x:c r="I318" s="42" t="b">
        <x:v>0</x:v>
      </x:c>
      <x:c r="J318" s="38" t="n">
        <x:v>0.1111907485</x:v>
      </x:c>
    </x:row>
    <x:row r="319" ht="19" customHeight="1">
      <x:c r="A319" s="29" t="str">
        <x:v>stagger_1</x:v>
      </x:c>
      <x:c r="B319" s="38" t="str">
        <x:v>DIS</x:v>
      </x:c>
      <x:c r="C319" s="38" t="str">
        <x:v>Other FX</x:v>
      </x:c>
      <x:c r="D319" s="30" t="n">
        <x:v>5</x:v>
      </x:c>
      <x:c r="E319" s="38" t="str">
        <x:v>SGD/USD</x:v>
      </x:c>
      <x:c r="F319" s="38" t="n">
        <x:v>3.6840958639</x:v>
      </x:c>
      <x:c r="G319" s="38" t="n">
        <x:v>2.9975300747</x:v>
      </x:c>
      <x:c r="H319" s="42" t="b">
        <x:v>0</x:v>
      </x:c>
      <x:c r="I319" s="42" t="b">
        <x:v>0</x:v>
      </x:c>
      <x:c r="J319" s="38" t="n">
        <x:v>0.1111907485</x:v>
      </x:c>
    </x:row>
    <x:row r="320" ht="19" customHeight="1">
      <x:c r="A320" s="29" t="str">
        <x:v>stagger_1</x:v>
      </x:c>
      <x:c r="B320" s="38" t="str">
        <x:v>DIS</x:v>
      </x:c>
      <x:c r="C320" s="38" t="str">
        <x:v>Other FX</x:v>
      </x:c>
      <x:c r="D320" s="30" t="n">
        <x:v>6</x:v>
      </x:c>
      <x:c r="E320" s="38" t="str">
        <x:v>SGD/USD</x:v>
      </x:c>
      <x:c r="F320" s="38" t="n">
        <x:v>1.9157949942</x:v>
      </x:c>
      <x:c r="G320" s="38" t="n">
        <x:v>2.4614154602</x:v>
      </x:c>
      <x:c r="H320" s="42" t="b">
        <x:v>0</x:v>
      </x:c>
      <x:c r="I320" s="42" t="b">
        <x:v>1</x:v>
      </x:c>
      <x:c r="J320" s="38" t="n">
        <x:v>0.0720755344</x:v>
      </x:c>
    </x:row>
    <x:row r="321" ht="19" customHeight="1">
      <x:c r="A321" s="29" t="str">
        <x:v>stagger_1</x:v>
      </x:c>
      <x:c r="B321" s="38" t="str">
        <x:v>DIS</x:v>
      </x:c>
      <x:c r="C321" s="38" t="str">
        <x:v>Other sectors</x:v>
      </x:c>
      <x:c r="D321" s="30" t="n">
        <x:v>1</x:v>
      </x:c>
      <x:c r="E321" s="38" t="str">
        <x:v>XLB</x:v>
      </x:c>
      <x:c r="F321" s="38" t="n">
        <x:v>-0.4400477275</x:v>
      </x:c>
      <x:c r="G321" s="38" t="n">
        <x:v>-1.3661760929</x:v>
      </x:c>
      <x:c r="H321" s="42" t="b">
        <x:v>0</x:v>
      </x:c>
      <x:c r="I321" s="42" t="b">
        <x:v>0</x:v>
      </x:c>
      <x:c r="J321" s="38" t="n">
        <x:v>0.2542984417</x:v>
      </x:c>
    </x:row>
    <x:row r="322" ht="19" customHeight="1">
      <x:c r="A322" s="29" t="str">
        <x:v>stagger_1</x:v>
      </x:c>
      <x:c r="B322" s="38" t="str">
        <x:v>DIS</x:v>
      </x:c>
      <x:c r="C322" s="38" t="str">
        <x:v>Other sectors</x:v>
      </x:c>
      <x:c r="D322" s="30" t="n">
        <x:v>1</x:v>
      </x:c>
      <x:c r="E322" s="38" t="str">
        <x:v>XLE</x:v>
      </x:c>
      <x:c r="F322" s="38" t="n">
        <x:v>0.2308424372</x:v>
      </x:c>
      <x:c r="G322" s="38" t="n">
        <x:v>1.9125283467</x:v>
      </x:c>
      <x:c r="H322" s="42" t="b">
        <x:v>0</x:v>
      </x:c>
      <x:c r="I322" s="42" t="b">
        <x:v>0</x:v>
      </x:c>
      <x:c r="J322" s="38" t="n">
        <x:v>0.2542984417</x:v>
      </x:c>
    </x:row>
    <x:row r="323" ht="19" customHeight="1">
      <x:c r="A323" s="29" t="str">
        <x:v>stagger_1</x:v>
      </x:c>
      <x:c r="B323" s="38" t="str">
        <x:v>DIS</x:v>
      </x:c>
      <x:c r="C323" s="38" t="str">
        <x:v>Other sectors</x:v>
      </x:c>
      <x:c r="D323" s="30" t="n">
        <x:v>1</x:v>
      </x:c>
      <x:c r="E323" s="38" t="str">
        <x:v>XLF</x:v>
      </x:c>
      <x:c r="F323" s="38" t="n">
        <x:v>0.6516095642</x:v>
      </x:c>
      <x:c r="G323" s="38" t="n">
        <x:v>1.9286309861</x:v>
      </x:c>
      <x:c r="H323" s="42" t="b">
        <x:v>0</x:v>
      </x:c>
      <x:c r="I323" s="42" t="b">
        <x:v>0</x:v>
      </x:c>
      <x:c r="J323" s="38" t="n">
        <x:v>0.2542984417</x:v>
      </x:c>
    </x:row>
    <x:row r="324" ht="19" customHeight="1">
      <x:c r="A324" s="29" t="str">
        <x:v>stagger_1</x:v>
      </x:c>
      <x:c r="B324" s="38" t="str">
        <x:v>DIS</x:v>
      </x:c>
      <x:c r="C324" s="38" t="str">
        <x:v>Other sectors</x:v>
      </x:c>
      <x:c r="D324" s="30" t="n">
        <x:v>1</x:v>
      </x:c>
      <x:c r="E324" s="38" t="str">
        <x:v>XLI</x:v>
      </x:c>
      <x:c r="F324" s="38" t="n">
        <x:v>0.7967407634</x:v>
      </x:c>
      <x:c r="G324" s="38" t="n">
        <x:v>1.9378230538</x:v>
      </x:c>
      <x:c r="H324" s="42" t="b">
        <x:v>0</x:v>
      </x:c>
      <x:c r="I324" s="42" t="b">
        <x:v>0</x:v>
      </x:c>
      <x:c r="J324" s="38" t="n">
        <x:v>0.2542984417</x:v>
      </x:c>
    </x:row>
    <x:row r="325" ht="19" customHeight="1">
      <x:c r="A325" s="29" t="str">
        <x:v>stagger_1</x:v>
      </x:c>
      <x:c r="B325" s="38" t="str">
        <x:v>DIS</x:v>
      </x:c>
      <x:c r="C325" s="38" t="str">
        <x:v>Other sectors</x:v>
      </x:c>
      <x:c r="D325" s="30" t="n">
        <x:v>1</x:v>
      </x:c>
      <x:c r="E325" s="38" t="str">
        <x:v>XLK</x:v>
      </x:c>
      <x:c r="F325" s="38" t="n">
        <x:v>0.5510708443</x:v>
      </x:c>
      <x:c r="G325" s="38" t="n">
        <x:v>1.208734637</x:v>
      </x:c>
      <x:c r="H325" s="42" t="b">
        <x:v>0</x:v>
      </x:c>
      <x:c r="I325" s="42" t="b">
        <x:v>0</x:v>
      </x:c>
      <x:c r="J325" s="38" t="n">
        <x:v>0.2542984417</x:v>
      </x:c>
    </x:row>
    <x:row r="326" ht="19" customHeight="1">
      <x:c r="A326" s="29" t="str">
        <x:v>stagger_1</x:v>
      </x:c>
      <x:c r="B326" s="38" t="str">
        <x:v>DIS</x:v>
      </x:c>
      <x:c r="C326" s="38" t="str">
        <x:v>Other sectors</x:v>
      </x:c>
      <x:c r="D326" s="30" t="n">
        <x:v>1</x:v>
      </x:c>
      <x:c r="E326" s="38" t="str">
        <x:v>XLP</x:v>
      </x:c>
      <x:c r="F326" s="38" t="n">
        <x:v>0.1647884852</x:v>
      </x:c>
      <x:c r="G326" s="38" t="n">
        <x:v>0.4765706753</x:v>
      </x:c>
      <x:c r="H326" s="42" t="b">
        <x:v>1</x:v>
      </x:c>
      <x:c r="I326" s="42" t="b">
        <x:v>0</x:v>
      </x:c>
      <x:c r="J326" s="38" t="n">
        <x:v>0.2542984417</x:v>
      </x:c>
    </x:row>
    <x:row r="327" ht="19" customHeight="1">
      <x:c r="A327" s="29" t="str">
        <x:v>stagger_1</x:v>
      </x:c>
      <x:c r="B327" s="38" t="str">
        <x:v>DIS</x:v>
      </x:c>
      <x:c r="C327" s="38" t="str">
        <x:v>Other sectors</x:v>
      </x:c>
      <x:c r="D327" s="30" t="n">
        <x:v>1</x:v>
      </x:c>
      <x:c r="E327" s="38" t="str">
        <x:v>XLRE</x:v>
      </x:c>
      <x:c r="F327" s="38" t="n">
        <x:v>-0.2832398861</x:v>
      </x:c>
      <x:c r="G327" s="38" t="n">
        <x:v>-1.0390200925</x:v>
      </x:c>
      <x:c r="H327" s="42" t="b">
        <x:v>0</x:v>
      </x:c>
      <x:c r="I327" s="42" t="b">
        <x:v>0</x:v>
      </x:c>
      <x:c r="J327" s="38" t="n">
        <x:v>0.2542984417</x:v>
      </x:c>
    </x:row>
    <x:row r="328" ht="19" customHeight="1">
      <x:c r="A328" s="29" t="str">
        <x:v>stagger_1</x:v>
      </x:c>
      <x:c r="B328" s="38" t="str">
        <x:v>DIS</x:v>
      </x:c>
      <x:c r="C328" s="38" t="str">
        <x:v>Other sectors</x:v>
      </x:c>
      <x:c r="D328" s="30" t="n">
        <x:v>1</x:v>
      </x:c>
      <x:c r="E328" s="38" t="str">
        <x:v>XLU</x:v>
      </x:c>
      <x:c r="F328" s="38" t="n">
        <x:v>-0.1422884862</x:v>
      </x:c>
      <x:c r="G328" s="38" t="n">
        <x:v>-0.6750971119</x:v>
      </x:c>
      <x:c r="H328" s="42" t="b">
        <x:v>0</x:v>
      </x:c>
      <x:c r="I328" s="42" t="b">
        <x:v>0</x:v>
      </x:c>
      <x:c r="J328" s="38" t="n">
        <x:v>0.2542984417</x:v>
      </x:c>
    </x:row>
    <x:row r="329" ht="19" customHeight="1">
      <x:c r="A329" s="29" t="str">
        <x:v>stagger_1</x:v>
      </x:c>
      <x:c r="B329" s="38" t="str">
        <x:v>DIS</x:v>
      </x:c>
      <x:c r="C329" s="38" t="str">
        <x:v>Other sectors</x:v>
      </x:c>
      <x:c r="D329" s="30" t="n">
        <x:v>1</x:v>
      </x:c>
      <x:c r="E329" s="38" t="str">
        <x:v>XLV</x:v>
      </x:c>
      <x:c r="F329" s="38" t="n">
        <x:v>-0.2253650031</x:v>
      </x:c>
      <x:c r="G329" s="38" t="n">
        <x:v>-0.7871078903</x:v>
      </x:c>
      <x:c r="H329" s="42" t="b">
        <x:v>0</x:v>
      </x:c>
      <x:c r="I329" s="42" t="b">
        <x:v>0</x:v>
      </x:c>
      <x:c r="J329" s="38" t="n">
        <x:v>0.2542984417</x:v>
      </x:c>
    </x:row>
    <x:row r="330" ht="19" customHeight="1">
      <x:c r="A330" s="29" t="str">
        <x:v>stagger_1</x:v>
      </x:c>
      <x:c r="B330" s="38" t="str">
        <x:v>DIS</x:v>
      </x:c>
      <x:c r="C330" s="38" t="str">
        <x:v>Other sectors</x:v>
      </x:c>
      <x:c r="D330" s="30" t="n">
        <x:v>1</x:v>
      </x:c>
      <x:c r="E330" s="38" t="str">
        <x:v>XLY</x:v>
      </x:c>
      <x:c r="F330" s="38" t="n">
        <x:v>0.6685819497</x:v>
      </x:c>
      <x:c r="G330" s="38" t="n">
        <x:v>2.0037392571</x:v>
      </x:c>
      <x:c r="H330" s="42" t="b">
        <x:v>0</x:v>
      </x:c>
      <x:c r="I330" s="42" t="b">
        <x:v>0</x:v>
      </x:c>
      <x:c r="J330" s="38" t="n">
        <x:v>0.2542984417</x:v>
      </x:c>
    </x:row>
    <x:row r="331" ht="19" customHeight="1">
      <x:c r="A331" s="29" t="str">
        <x:v>stagger_1</x:v>
      </x:c>
      <x:c r="B331" s="38" t="str">
        <x:v>DIS</x:v>
      </x:c>
      <x:c r="C331" s="38" t="str">
        <x:v>Other sectors</x:v>
      </x:c>
      <x:c r="D331" s="30" t="n">
        <x:v>2</x:v>
      </x:c>
      <x:c r="E331" s="38" t="str">
        <x:v>XLB</x:v>
      </x:c>
      <x:c r="F331" s="38" t="n">
        <x:v>-0.4237544356</x:v>
      </x:c>
      <x:c r="G331" s="38" t="n">
        <x:v>-1.3304309856</x:v>
      </x:c>
      <x:c r="H331" s="42" t="b">
        <x:v>0</x:v>
      </x:c>
      <x:c r="I331" s="42" t="b">
        <x:v>0</x:v>
      </x:c>
      <x:c r="J331" s="38" t="n">
        <x:v>0.251843899</x:v>
      </x:c>
    </x:row>
    <x:row r="332" ht="19" customHeight="1">
      <x:c r="A332" s="29" t="str">
        <x:v>stagger_1</x:v>
      </x:c>
      <x:c r="B332" s="38" t="str">
        <x:v>DIS</x:v>
      </x:c>
      <x:c r="C332" s="38" t="str">
        <x:v>Other sectors</x:v>
      </x:c>
      <x:c r="D332" s="30" t="n">
        <x:v>2</x:v>
      </x:c>
      <x:c r="E332" s="38" t="str">
        <x:v>XLE</x:v>
      </x:c>
      <x:c r="F332" s="38" t="n">
        <x:v>0.2195535413</x:v>
      </x:c>
      <x:c r="G332" s="38" t="n">
        <x:v>1.8654016911</x:v>
      </x:c>
      <x:c r="H332" s="42" t="b">
        <x:v>0</x:v>
      </x:c>
      <x:c r="I332" s="42" t="b">
        <x:v>0</x:v>
      </x:c>
      <x:c r="J332" s="38" t="n">
        <x:v>0.251843899</x:v>
      </x:c>
    </x:row>
    <x:row r="333" ht="19" customHeight="1">
      <x:c r="A333" s="29" t="str">
        <x:v>stagger_1</x:v>
      </x:c>
      <x:c r="B333" s="38" t="str">
        <x:v>DIS</x:v>
      </x:c>
      <x:c r="C333" s="38" t="str">
        <x:v>Other sectors</x:v>
      </x:c>
      <x:c r="D333" s="30" t="n">
        <x:v>2</x:v>
      </x:c>
      <x:c r="E333" s="38" t="str">
        <x:v>XLF</x:v>
      </x:c>
      <x:c r="F333" s="38" t="n">
        <x:v>0.5742489531</x:v>
      </x:c>
      <x:c r="G333" s="38" t="n">
        <x:v>1.9487856161</x:v>
      </x:c>
      <x:c r="H333" s="42" t="b">
        <x:v>0</x:v>
      </x:c>
      <x:c r="I333" s="42" t="b">
        <x:v>0</x:v>
      </x:c>
      <x:c r="J333" s="38" t="n">
        <x:v>0.251843899</x:v>
      </x:c>
    </x:row>
    <x:row r="334" ht="19" customHeight="1">
      <x:c r="A334" s="29" t="str">
        <x:v>stagger_1</x:v>
      </x:c>
      <x:c r="B334" s="38" t="str">
        <x:v>DIS</x:v>
      </x:c>
      <x:c r="C334" s="38" t="str">
        <x:v>Other sectors</x:v>
      </x:c>
      <x:c r="D334" s="30" t="n">
        <x:v>2</x:v>
      </x:c>
      <x:c r="E334" s="38" t="str">
        <x:v>XLI</x:v>
      </x:c>
      <x:c r="F334" s="38" t="n">
        <x:v>0.8255903318</x:v>
      </x:c>
      <x:c r="G334" s="38" t="n">
        <x:v>2.0414166233</x:v>
      </x:c>
      <x:c r="H334" s="42" t="b">
        <x:v>0</x:v>
      </x:c>
      <x:c r="I334" s="42" t="b">
        <x:v>0</x:v>
      </x:c>
      <x:c r="J334" s="38" t="n">
        <x:v>0.251843899</x:v>
      </x:c>
    </x:row>
    <x:row r="335" ht="19" customHeight="1">
      <x:c r="A335" s="29" t="str">
        <x:v>stagger_1</x:v>
      </x:c>
      <x:c r="B335" s="38" t="str">
        <x:v>DIS</x:v>
      </x:c>
      <x:c r="C335" s="38" t="str">
        <x:v>Other sectors</x:v>
      </x:c>
      <x:c r="D335" s="30" t="n">
        <x:v>2</x:v>
      </x:c>
      <x:c r="E335" s="38" t="str">
        <x:v>XLK</x:v>
      </x:c>
      <x:c r="F335" s="38" t="n">
        <x:v>0.4583975443</x:v>
      </x:c>
      <x:c r="G335" s="38" t="n">
        <x:v>1.1178439453</x:v>
      </x:c>
      <x:c r="H335" s="42" t="b">
        <x:v>0</x:v>
      </x:c>
      <x:c r="I335" s="42" t="b">
        <x:v>0</x:v>
      </x:c>
      <x:c r="J335" s="38" t="n">
        <x:v>0.251843899</x:v>
      </x:c>
    </x:row>
    <x:row r="336" ht="19" customHeight="1">
      <x:c r="A336" s="29" t="str">
        <x:v>stagger_1</x:v>
      </x:c>
      <x:c r="B336" s="38" t="str">
        <x:v>DIS</x:v>
      </x:c>
      <x:c r="C336" s="38" t="str">
        <x:v>Other sectors</x:v>
      </x:c>
      <x:c r="D336" s="30" t="n">
        <x:v>2</x:v>
      </x:c>
      <x:c r="E336" s="38" t="str">
        <x:v>XLRE</x:v>
      </x:c>
      <x:c r="F336" s="38" t="n">
        <x:v>-0.2388443468</x:v>
      </x:c>
      <x:c r="G336" s="38" t="n">
        <x:v>-0.9374769289</x:v>
      </x:c>
      <x:c r="H336" s="42" t="b">
        <x:v>0</x:v>
      </x:c>
      <x:c r="I336" s="42" t="b">
        <x:v>0</x:v>
      </x:c>
      <x:c r="J336" s="38" t="n">
        <x:v>0.251843899</x:v>
      </x:c>
    </x:row>
    <x:row r="337" ht="19" customHeight="1">
      <x:c r="A337" s="29" t="str">
        <x:v>stagger_1</x:v>
      </x:c>
      <x:c r="B337" s="38" t="str">
        <x:v>DIS</x:v>
      </x:c>
      <x:c r="C337" s="38" t="str">
        <x:v>Other sectors</x:v>
      </x:c>
      <x:c r="D337" s="30" t="n">
        <x:v>2</x:v>
      </x:c>
      <x:c r="E337" s="38" t="str">
        <x:v>XLU</x:v>
      </x:c>
      <x:c r="F337" s="38" t="n">
        <x:v>-0.1336605629</x:v>
      </x:c>
      <x:c r="G337" s="38" t="n">
        <x:v>-0.6400571645</x:v>
      </x:c>
      <x:c r="H337" s="42" t="b">
        <x:v>1</x:v>
      </x:c>
      <x:c r="I337" s="42" t="b">
        <x:v>0</x:v>
      </x:c>
      <x:c r="J337" s="38" t="n">
        <x:v>0.251843899</x:v>
      </x:c>
    </x:row>
    <x:row r="338" ht="19" customHeight="1">
      <x:c r="A338" s="29" t="str">
        <x:v>stagger_1</x:v>
      </x:c>
      <x:c r="B338" s="38" t="str">
        <x:v>DIS</x:v>
      </x:c>
      <x:c r="C338" s="38" t="str">
        <x:v>Other sectors</x:v>
      </x:c>
      <x:c r="D338" s="30" t="n">
        <x:v>2</x:v>
      </x:c>
      <x:c r="E338" s="38" t="str">
        <x:v>XLV</x:v>
      </x:c>
      <x:c r="F338" s="38" t="n">
        <x:v>-0.2229583187</x:v>
      </x:c>
      <x:c r="G338" s="38" t="n">
        <x:v>-0.7831589622</x:v>
      </x:c>
      <x:c r="H338" s="42" t="b">
        <x:v>0</x:v>
      </x:c>
      <x:c r="I338" s="42" t="b">
        <x:v>0</x:v>
      </x:c>
      <x:c r="J338" s="38" t="n">
        <x:v>0.251843899</x:v>
      </x:c>
    </x:row>
    <x:row r="339" ht="19" customHeight="1">
      <x:c r="A339" s="29" t="str">
        <x:v>stagger_1</x:v>
      </x:c>
      <x:c r="B339" s="38" t="str">
        <x:v>DIS</x:v>
      </x:c>
      <x:c r="C339" s="38" t="str">
        <x:v>Other sectors</x:v>
      </x:c>
      <x:c r="D339" s="30" t="n">
        <x:v>2</x:v>
      </x:c>
      <x:c r="E339" s="38" t="str">
        <x:v>XLY</x:v>
      </x:c>
      <x:c r="F339" s="38" t="n">
        <x:v>0.6207468742</x:v>
      </x:c>
      <x:c r="G339" s="38" t="n">
        <x:v>1.9615924863</x:v>
      </x:c>
      <x:c r="H339" s="42" t="b">
        <x:v>0</x:v>
      </x:c>
      <x:c r="I339" s="42" t="b">
        <x:v>0</x:v>
      </x:c>
      <x:c r="J339" s="38" t="n">
        <x:v>0.251843899</x:v>
      </x:c>
    </x:row>
    <x:row r="340" ht="19" customHeight="1">
      <x:c r="A340" s="29" t="str">
        <x:v>stagger_1</x:v>
      </x:c>
      <x:c r="B340" s="38" t="str">
        <x:v>DIS</x:v>
      </x:c>
      <x:c r="C340" s="38" t="str">
        <x:v>Other sectors</x:v>
      </x:c>
      <x:c r="D340" s="30" t="n">
        <x:v>3</x:v>
      </x:c>
      <x:c r="E340" s="38" t="str">
        <x:v>XLB</x:v>
      </x:c>
      <x:c r="F340" s="38" t="n">
        <x:v>-0.4321288625</x:v>
      </x:c>
      <x:c r="G340" s="38" t="n">
        <x:v>-1.3635501368</x:v>
      </x:c>
      <x:c r="H340" s="42" t="b">
        <x:v>0</x:v>
      </x:c>
      <x:c r="I340" s="42" t="b">
        <x:v>0</x:v>
      </x:c>
      <x:c r="J340" s="38" t="n">
        <x:v>0.247465335</x:v>
      </x:c>
    </x:row>
    <x:row r="341" ht="19" customHeight="1">
      <x:c r="A341" s="29" t="str">
        <x:v>stagger_1</x:v>
      </x:c>
      <x:c r="B341" s="38" t="str">
        <x:v>DIS</x:v>
      </x:c>
      <x:c r="C341" s="38" t="str">
        <x:v>Other sectors</x:v>
      </x:c>
      <x:c r="D341" s="30" t="n">
        <x:v>3</x:v>
      </x:c>
      <x:c r="E341" s="38" t="str">
        <x:v>XLE</x:v>
      </x:c>
      <x:c r="F341" s="38" t="n">
        <x:v>0.2308024607</x:v>
      </x:c>
      <x:c r="G341" s="38" t="n">
        <x:v>1.9915073234</x:v>
      </x:c>
      <x:c r="H341" s="42" t="b">
        <x:v>0</x:v>
      </x:c>
      <x:c r="I341" s="42" t="b">
        <x:v>0</x:v>
      </x:c>
      <x:c r="J341" s="38" t="n">
        <x:v>0.247465335</x:v>
      </x:c>
    </x:row>
    <x:row r="342" ht="19" customHeight="1">
      <x:c r="A342" s="29" t="str">
        <x:v>stagger_1</x:v>
      </x:c>
      <x:c r="B342" s="38" t="str">
        <x:v>DIS</x:v>
      </x:c>
      <x:c r="C342" s="38" t="str">
        <x:v>Other sectors</x:v>
      </x:c>
      <x:c r="D342" s="30" t="n">
        <x:v>3</x:v>
      </x:c>
      <x:c r="E342" s="38" t="str">
        <x:v>XLF</x:v>
      </x:c>
      <x:c r="F342" s="38" t="n">
        <x:v>0.6180500521</x:v>
      </x:c>
      <x:c r="G342" s="38" t="n">
        <x:v>2.1654079357</x:v>
      </x:c>
      <x:c r="H342" s="42" t="b">
        <x:v>0</x:v>
      </x:c>
      <x:c r="I342" s="42" t="b">
        <x:v>0</x:v>
      </x:c>
      <x:c r="J342" s="38" t="n">
        <x:v>0.247465335</x:v>
      </x:c>
    </x:row>
    <x:row r="343" ht="19" customHeight="1">
      <x:c r="A343" s="29" t="str">
        <x:v>stagger_1</x:v>
      </x:c>
      <x:c r="B343" s="38" t="str">
        <x:v>DIS</x:v>
      </x:c>
      <x:c r="C343" s="38" t="str">
        <x:v>Other sectors</x:v>
      </x:c>
      <x:c r="D343" s="30" t="n">
        <x:v>3</x:v>
      </x:c>
      <x:c r="E343" s="38" t="str">
        <x:v>XLI</x:v>
      </x:c>
      <x:c r="F343" s="38" t="n">
        <x:v>0.7904169866</x:v>
      </x:c>
      <x:c r="G343" s="38" t="n">
        <x:v>1.980994134</x:v>
      </x:c>
      <x:c r="H343" s="42" t="b">
        <x:v>0</x:v>
      </x:c>
      <x:c r="I343" s="42" t="b">
        <x:v>0</x:v>
      </x:c>
      <x:c r="J343" s="38" t="n">
        <x:v>0.247465335</x:v>
      </x:c>
    </x:row>
    <x:row r="344" ht="19" customHeight="1">
      <x:c r="A344" s="29" t="str">
        <x:v>stagger_1</x:v>
      </x:c>
      <x:c r="B344" s="38" t="str">
        <x:v>DIS</x:v>
      </x:c>
      <x:c r="C344" s="38" t="str">
        <x:v>Other sectors</x:v>
      </x:c>
      <x:c r="D344" s="30" t="n">
        <x:v>3</x:v>
      </x:c>
      <x:c r="E344" s="38" t="str">
        <x:v>XLK</x:v>
      </x:c>
      <x:c r="F344" s="38" t="n">
        <x:v>0.5237515861</x:v>
      </x:c>
      <x:c r="G344" s="38" t="n">
        <x:v>1.3242672022</x:v>
      </x:c>
      <x:c r="H344" s="42" t="b">
        <x:v>0</x:v>
      </x:c>
      <x:c r="I344" s="42" t="b">
        <x:v>0</x:v>
      </x:c>
      <x:c r="J344" s="38" t="n">
        <x:v>0.247465335</x:v>
      </x:c>
    </x:row>
    <x:row r="345" ht="19" customHeight="1">
      <x:c r="A345" s="29" t="str">
        <x:v>stagger_1</x:v>
      </x:c>
      <x:c r="B345" s="38" t="str">
        <x:v>DIS</x:v>
      </x:c>
      <x:c r="C345" s="38" t="str">
        <x:v>Other sectors</x:v>
      </x:c>
      <x:c r="D345" s="30" t="n">
        <x:v>3</x:v>
      </x:c>
      <x:c r="E345" s="38" t="str">
        <x:v>XLRE</x:v>
      </x:c>
      <x:c r="F345" s="38" t="n">
        <x:v>-0.3025291706</x:v>
      </x:c>
      <x:c r="G345" s="38" t="n">
        <x:v>-1.2952722289</x:v>
      </x:c>
      <x:c r="H345" s="42" t="b">
        <x:v>0</x:v>
      </x:c>
      <x:c r="I345" s="42" t="b">
        <x:v>0</x:v>
      </x:c>
      <x:c r="J345" s="38" t="n">
        <x:v>0.247465335</x:v>
      </x:c>
    </x:row>
    <x:row r="346" ht="19" customHeight="1">
      <x:c r="A346" s="29" t="str">
        <x:v>stagger_1</x:v>
      </x:c>
      <x:c r="B346" s="38" t="str">
        <x:v>DIS</x:v>
      </x:c>
      <x:c r="C346" s="38" t="str">
        <x:v>Other sectors</x:v>
      </x:c>
      <x:c r="D346" s="30" t="n">
        <x:v>3</x:v>
      </x:c>
      <x:c r="E346" s="38" t="str">
        <x:v>XLV</x:v>
      </x:c>
      <x:c r="F346" s="38" t="n">
        <x:v>-0.2042798759</x:v>
      </x:c>
      <x:c r="G346" s="38" t="n">
        <x:v>-0.7243668501</x:v>
      </x:c>
      <x:c r="H346" s="42" t="b">
        <x:v>1</x:v>
      </x:c>
      <x:c r="I346" s="42" t="b">
        <x:v>0</x:v>
      </x:c>
      <x:c r="J346" s="38" t="n">
        <x:v>0.247465335</x:v>
      </x:c>
    </x:row>
    <x:row r="347" ht="19" customHeight="1">
      <x:c r="A347" s="29" t="str">
        <x:v>stagger_1</x:v>
      </x:c>
      <x:c r="B347" s="38" t="str">
        <x:v>DIS</x:v>
      </x:c>
      <x:c r="C347" s="38" t="str">
        <x:v>Other sectors</x:v>
      </x:c>
      <x:c r="D347" s="30" t="n">
        <x:v>3</x:v>
      </x:c>
      <x:c r="E347" s="38" t="str">
        <x:v>XLY</x:v>
      </x:c>
      <x:c r="F347" s="38" t="n">
        <x:v>0.6613424801</x:v>
      </x:c>
      <x:c r="G347" s="38" t="n">
        <x:v>2.1420848443</x:v>
      </x:c>
      <x:c r="H347" s="42" t="b">
        <x:v>0</x:v>
      </x:c>
      <x:c r="I347" s="42" t="b">
        <x:v>0</x:v>
      </x:c>
      <x:c r="J347" s="38" t="n">
        <x:v>0.247465335</x:v>
      </x:c>
    </x:row>
    <x:row r="348" ht="19" customHeight="1">
      <x:c r="A348" s="29" t="str">
        <x:v>stagger_1</x:v>
      </x:c>
      <x:c r="B348" s="38" t="str">
        <x:v>DIS</x:v>
      </x:c>
      <x:c r="C348" s="38" t="str">
        <x:v>Other sectors</x:v>
      </x:c>
      <x:c r="D348" s="30" t="n">
        <x:v>4</x:v>
      </x:c>
      <x:c r="E348" s="38" t="str">
        <x:v>XLB</x:v>
      </x:c>
      <x:c r="F348" s="38" t="n">
        <x:v>-0.4524337741</x:v>
      </x:c>
      <x:c r="G348" s="38" t="n">
        <x:v>-1.437992392</x:v>
      </x:c>
      <x:c r="H348" s="42" t="b">
        <x:v>1</x:v>
      </x:c>
      <x:c r="I348" s="42" t="b">
        <x:v>0</x:v>
      </x:c>
      <x:c r="J348" s="38" t="n">
        <x:v>0.2419039201</x:v>
      </x:c>
    </x:row>
    <x:row r="349" ht="19" customHeight="1">
      <x:c r="A349" s="29" t="str">
        <x:v>stagger_1</x:v>
      </x:c>
      <x:c r="B349" s="38" t="str">
        <x:v>DIS</x:v>
      </x:c>
      <x:c r="C349" s="38" t="str">
        <x:v>Other sectors</x:v>
      </x:c>
      <x:c r="D349" s="30" t="n">
        <x:v>4</x:v>
      </x:c>
      <x:c r="E349" s="38" t="str">
        <x:v>XLE</x:v>
      </x:c>
      <x:c r="F349" s="38" t="n">
        <x:v>0.2532290358</x:v>
      </x:c>
      <x:c r="G349" s="38" t="n">
        <x:v>2.2749450008</x:v>
      </x:c>
      <x:c r="H349" s="42" t="b">
        <x:v>0</x:v>
      </x:c>
      <x:c r="I349" s="42" t="b">
        <x:v>0</x:v>
      </x:c>
      <x:c r="J349" s="38" t="n">
        <x:v>0.2419039201</x:v>
      </x:c>
    </x:row>
    <x:row r="350" ht="19" customHeight="1">
      <x:c r="A350" s="29" t="str">
        <x:v>stagger_1</x:v>
      </x:c>
      <x:c r="B350" s="38" t="str">
        <x:v>DIS</x:v>
      </x:c>
      <x:c r="C350" s="38" t="str">
        <x:v>Other sectors</x:v>
      </x:c>
      <x:c r="D350" s="30" t="n">
        <x:v>4</x:v>
      </x:c>
      <x:c r="E350" s="38" t="str">
        <x:v>XLF</x:v>
      </x:c>
      <x:c r="F350" s="38" t="n">
        <x:v>0.6585828251</x:v>
      </x:c>
      <x:c r="G350" s="38" t="n">
        <x:v>2.3608879344</x:v>
      </x:c>
      <x:c r="H350" s="42" t="b">
        <x:v>0</x:v>
      </x:c>
      <x:c r="I350" s="42" t="b">
        <x:v>0</x:v>
      </x:c>
      <x:c r="J350" s="38" t="n">
        <x:v>0.2419039201</x:v>
      </x:c>
    </x:row>
    <x:row r="351" ht="19" customHeight="1">
      <x:c r="A351" s="29" t="str">
        <x:v>stagger_1</x:v>
      </x:c>
      <x:c r="B351" s="38" t="str">
        <x:v>DIS</x:v>
      </x:c>
      <x:c r="C351" s="38" t="str">
        <x:v>Other sectors</x:v>
      </x:c>
      <x:c r="D351" s="30" t="n">
        <x:v>4</x:v>
      </x:c>
      <x:c r="E351" s="38" t="str">
        <x:v>XLI</x:v>
      </x:c>
      <x:c r="F351" s="38" t="n">
        <x:v>0.8436589577</x:v>
      </x:c>
      <x:c r="G351" s="38" t="n">
        <x:v>2.1583845587</x:v>
      </x:c>
      <x:c r="H351" s="42" t="b">
        <x:v>0</x:v>
      </x:c>
      <x:c r="I351" s="42" t="b">
        <x:v>0</x:v>
      </x:c>
      <x:c r="J351" s="38" t="n">
        <x:v>0.2419039201</x:v>
      </x:c>
    </x:row>
    <x:row r="352" ht="19" customHeight="1">
      <x:c r="A352" s="29" t="str">
        <x:v>stagger_1</x:v>
      </x:c>
      <x:c r="B352" s="38" t="str">
        <x:v>DIS</x:v>
      </x:c>
      <x:c r="C352" s="38" t="str">
        <x:v>Other sectors</x:v>
      </x:c>
      <x:c r="D352" s="30" t="n">
        <x:v>4</x:v>
      </x:c>
      <x:c r="E352" s="38" t="str">
        <x:v>XLK</x:v>
      </x:c>
      <x:c r="F352" s="38" t="n">
        <x:v>0.6877850017</x:v>
      </x:c>
      <x:c r="G352" s="38" t="n">
        <x:v>2.1281462035</x:v>
      </x:c>
      <x:c r="H352" s="42" t="b">
        <x:v>0</x:v>
      </x:c>
      <x:c r="I352" s="42" t="b">
        <x:v>0</x:v>
      </x:c>
      <x:c r="J352" s="38" t="n">
        <x:v>0.2419039201</x:v>
      </x:c>
    </x:row>
    <x:row r="353" ht="19" customHeight="1">
      <x:c r="A353" s="29" t="str">
        <x:v>stagger_1</x:v>
      </x:c>
      <x:c r="B353" s="38" t="str">
        <x:v>DIS</x:v>
      </x:c>
      <x:c r="C353" s="38" t="str">
        <x:v>Other sectors</x:v>
      </x:c>
      <x:c r="D353" s="30" t="n">
        <x:v>4</x:v>
      </x:c>
      <x:c r="E353" s="38" t="str">
        <x:v>XLRE</x:v>
      </x:c>
      <x:c r="F353" s="38" t="n">
        <x:v>-0.3412277502</x:v>
      </x:c>
      <x:c r="G353" s="38" t="n">
        <x:v>-1.5057237017</x:v>
      </x:c>
      <x:c r="H353" s="42" t="b">
        <x:v>0</x:v>
      </x:c>
      <x:c r="I353" s="42" t="b">
        <x:v>0</x:v>
      </x:c>
      <x:c r="J353" s="38" t="n">
        <x:v>0.2419039201</x:v>
      </x:c>
    </x:row>
    <x:row r="354" ht="19" customHeight="1">
      <x:c r="A354" s="29" t="str">
        <x:v>stagger_1</x:v>
      </x:c>
      <x:c r="B354" s="38" t="str">
        <x:v>DIS</x:v>
      </x:c>
      <x:c r="C354" s="38" t="str">
        <x:v>Other sectors</x:v>
      </x:c>
      <x:c r="D354" s="30" t="n">
        <x:v>4</x:v>
      </x:c>
      <x:c r="E354" s="38" t="str">
        <x:v>XLY</x:v>
      </x:c>
      <x:c r="F354" s="38" t="n">
        <x:v>0.7863962149</x:v>
      </x:c>
      <x:c r="G354" s="38" t="n">
        <x:v>3.0825462487</x:v>
      </x:c>
      <x:c r="H354" s="42" t="b">
        <x:v>0</x:v>
      </x:c>
      <x:c r="I354" s="42" t="b">
        <x:v>0</x:v>
      </x:c>
      <x:c r="J354" s="38" t="n">
        <x:v>0.2419039201</x:v>
      </x:c>
    </x:row>
    <x:row r="355" ht="19" customHeight="1">
      <x:c r="A355" s="29" t="str">
        <x:v>stagger_1</x:v>
      </x:c>
      <x:c r="B355" s="38" t="str">
        <x:v>DIS</x:v>
      </x:c>
      <x:c r="C355" s="38" t="str">
        <x:v>Other sectors</x:v>
      </x:c>
      <x:c r="D355" s="30" t="n">
        <x:v>5</x:v>
      </x:c>
      <x:c r="E355" s="38" t="str">
        <x:v>XLE</x:v>
      </x:c>
      <x:c r="F355" s="38" t="n">
        <x:v>0.2202715308</x:v>
      </x:c>
      <x:c r="G355" s="38" t="n">
        <x:v>2.0075626807</x:v>
      </x:c>
      <x:c r="H355" s="42" t="b">
        <x:v>0</x:v>
      </x:c>
      <x:c r="I355" s="42" t="b">
        <x:v>0</x:v>
      </x:c>
      <x:c r="J355" s="38" t="n">
        <x:v>0.2201315889</x:v>
      </x:c>
    </x:row>
    <x:row r="356" ht="19" customHeight="1">
      <x:c r="A356" s="29" t="str">
        <x:v>stagger_1</x:v>
      </x:c>
      <x:c r="B356" s="38" t="str">
        <x:v>DIS</x:v>
      </x:c>
      <x:c r="C356" s="38" t="str">
        <x:v>Other sectors</x:v>
      </x:c>
      <x:c r="D356" s="30" t="n">
        <x:v>5</x:v>
      </x:c>
      <x:c r="E356" s="38" t="str">
        <x:v>XLF</x:v>
      </x:c>
      <x:c r="F356" s="38" t="n">
        <x:v>0.6526306448</x:v>
      </x:c>
      <x:c r="G356" s="38" t="n">
        <x:v>2.322880632</x:v>
      </x:c>
      <x:c r="H356" s="42" t="b">
        <x:v>0</x:v>
      </x:c>
      <x:c r="I356" s="42" t="b">
        <x:v>0</x:v>
      </x:c>
      <x:c r="J356" s="38" t="n">
        <x:v>0.2201315889</x:v>
      </x:c>
    </x:row>
    <x:row r="357" ht="19" customHeight="1">
      <x:c r="A357" s="29" t="str">
        <x:v>stagger_1</x:v>
      </x:c>
      <x:c r="B357" s="38" t="str">
        <x:v>DIS</x:v>
      </x:c>
      <x:c r="C357" s="38" t="str">
        <x:v>Other sectors</x:v>
      </x:c>
      <x:c r="D357" s="30" t="n">
        <x:v>5</x:v>
      </x:c>
      <x:c r="E357" s="38" t="str">
        <x:v>XLI</x:v>
      </x:c>
      <x:c r="F357" s="38" t="n">
        <x:v>0.4241381966</x:v>
      </x:c>
      <x:c r="G357" s="38" t="n">
        <x:v>1.6186511957</x:v>
      </x:c>
      <x:c r="H357" s="42" t="b">
        <x:v>1</x:v>
      </x:c>
      <x:c r="I357" s="42" t="b">
        <x:v>0</x:v>
      </x:c>
      <x:c r="J357" s="38" t="n">
        <x:v>0.2201315889</x:v>
      </x:c>
    </x:row>
    <x:row r="358" ht="19" customHeight="1">
      <x:c r="A358" s="29" t="str">
        <x:v>stagger_1</x:v>
      </x:c>
      <x:c r="B358" s="38" t="str">
        <x:v>DIS</x:v>
      </x:c>
      <x:c r="C358" s="38" t="str">
        <x:v>Other sectors</x:v>
      </x:c>
      <x:c r="D358" s="30" t="n">
        <x:v>5</x:v>
      </x:c>
      <x:c r="E358" s="38" t="str">
        <x:v>XLK</x:v>
      </x:c>
      <x:c r="F358" s="38" t="n">
        <x:v>0.7450732124</x:v>
      </x:c>
      <x:c r="G358" s="38" t="n">
        <x:v>2.3063187962</x:v>
      </x:c>
      <x:c r="H358" s="42" t="b">
        <x:v>0</x:v>
      </x:c>
      <x:c r="I358" s="42" t="b">
        <x:v>0</x:v>
      </x:c>
      <x:c r="J358" s="38" t="n">
        <x:v>0.2201315889</x:v>
      </x:c>
    </x:row>
    <x:row r="359" ht="19" customHeight="1">
      <x:c r="A359" s="29" t="str">
        <x:v>stagger_1</x:v>
      </x:c>
      <x:c r="B359" s="38" t="str">
        <x:v>DIS</x:v>
      </x:c>
      <x:c r="C359" s="38" t="str">
        <x:v>Other sectors</x:v>
      </x:c>
      <x:c r="D359" s="30" t="n">
        <x:v>5</x:v>
      </x:c>
      <x:c r="E359" s="38" t="str">
        <x:v>XLRE</x:v>
      </x:c>
      <x:c r="F359" s="38" t="n">
        <x:v>-0.4100995524</x:v>
      </x:c>
      <x:c r="G359" s="38" t="n">
        <x:v>-1.8380576853</x:v>
      </x:c>
      <x:c r="H359" s="42" t="b">
        <x:v>0</x:v>
      </x:c>
      <x:c r="I359" s="42" t="b">
        <x:v>0</x:v>
      </x:c>
      <x:c r="J359" s="38" t="n">
        <x:v>0.2201315889</x:v>
      </x:c>
    </x:row>
    <x:row r="360" ht="19" customHeight="1">
      <x:c r="A360" s="29" t="str">
        <x:v>stagger_1</x:v>
      </x:c>
      <x:c r="B360" s="38" t="str">
        <x:v>DIS</x:v>
      </x:c>
      <x:c r="C360" s="38" t="str">
        <x:v>Other sectors</x:v>
      </x:c>
      <x:c r="D360" s="30" t="n">
        <x:v>5</x:v>
      </x:c>
      <x:c r="E360" s="38" t="str">
        <x:v>XLY</x:v>
      </x:c>
      <x:c r="F360" s="38" t="n">
        <x:v>0.7809888229</x:v>
      </x:c>
      <x:c r="G360" s="38" t="n">
        <x:v>3.0395327872</x:v>
      </x:c>
      <x:c r="H360" s="42" t="b">
        <x:v>0</x:v>
      </x:c>
      <x:c r="I360" s="42" t="b">
        <x:v>0</x:v>
      </x:c>
      <x:c r="J360" s="38" t="n">
        <x:v>0.2201315889</x:v>
      </x:c>
    </x:row>
    <x:row r="361" ht="19" customHeight="1">
      <x:c r="A361" s="29" t="str">
        <x:v>stagger_1</x:v>
      </x:c>
      <x:c r="B361" s="38" t="str">
        <x:v>DIS</x:v>
      </x:c>
      <x:c r="C361" s="38" t="str">
        <x:v>Other sectors</x:v>
      </x:c>
      <x:c r="D361" s="30" t="n">
        <x:v>6</x:v>
      </x:c>
      <x:c r="E361" s="38" t="str">
        <x:v>XLE</x:v>
      </x:c>
      <x:c r="F361" s="38" t="n">
        <x:v>0.2157946293</x:v>
      </x:c>
      <x:c r="G361" s="38" t="n">
        <x:v>1.9461971591</x:v>
      </x:c>
      <x:c r="H361" s="42" t="b">
        <x:v>0</x:v>
      </x:c>
      <x:c r="I361" s="42" t="b">
        <x:v>0</x:v>
      </x:c>
      <x:c r="J361" s="38" t="n">
        <x:v>0.1921414526</x:v>
      </x:c>
    </x:row>
    <x:row r="362" ht="19" customHeight="1">
      <x:c r="A362" s="29" t="str">
        <x:v>stagger_1</x:v>
      </x:c>
      <x:c r="B362" s="38" t="str">
        <x:v>DIS</x:v>
      </x:c>
      <x:c r="C362" s="38" t="str">
        <x:v>Other sectors</x:v>
      </x:c>
      <x:c r="D362" s="30" t="n">
        <x:v>6</x:v>
      </x:c>
      <x:c r="E362" s="38" t="str">
        <x:v>XLF</x:v>
      </x:c>
      <x:c r="F362" s="38" t="n">
        <x:v>0.7127652702</x:v>
      </x:c>
      <x:c r="G362" s="38" t="n">
        <x:v>2.531825454</x:v>
      </x:c>
      <x:c r="H362" s="42" t="b">
        <x:v>0</x:v>
      </x:c>
      <x:c r="I362" s="42" t="b">
        <x:v>0</x:v>
      </x:c>
      <x:c r="J362" s="38" t="n">
        <x:v>0.1921414526</x:v>
      </x:c>
    </x:row>
    <x:row r="363" ht="19" customHeight="1">
      <x:c r="A363" s="29" t="str">
        <x:v>stagger_1</x:v>
      </x:c>
      <x:c r="B363" s="38" t="str">
        <x:v>DIS</x:v>
      </x:c>
      <x:c r="C363" s="38" t="str">
        <x:v>Other sectors</x:v>
      </x:c>
      <x:c r="D363" s="30" t="n">
        <x:v>6</x:v>
      </x:c>
      <x:c r="E363" s="38" t="str">
        <x:v>XLK</x:v>
      </x:c>
      <x:c r="F363" s="38" t="n">
        <x:v>0.6501164185</x:v>
      </x:c>
      <x:c r="G363" s="38" t="n">
        <x:v>2.0243711078</x:v>
      </x:c>
      <x:c r="H363" s="42" t="b">
        <x:v>0</x:v>
      </x:c>
      <x:c r="I363" s="42" t="b">
        <x:v>0</x:v>
      </x:c>
      <x:c r="J363" s="38" t="n">
        <x:v>0.1921414526</x:v>
      </x:c>
    </x:row>
    <x:row r="364" ht="19" customHeight="1">
      <x:c r="A364" s="29" t="str">
        <x:v>stagger_1</x:v>
      </x:c>
      <x:c r="B364" s="38" t="str">
        <x:v>DIS</x:v>
      </x:c>
      <x:c r="C364" s="38" t="str">
        <x:v>Other sectors</x:v>
      </x:c>
      <x:c r="D364" s="30" t="n">
        <x:v>6</x:v>
      </x:c>
      <x:c r="E364" s="38" t="str">
        <x:v>XLRE</x:v>
      </x:c>
      <x:c r="F364" s="38" t="n">
        <x:v>-0.3631702614</x:v>
      </x:c>
      <x:c r="G364" s="38" t="n">
        <x:v>-1.6239608825</x:v>
      </x:c>
      <x:c r="H364" s="42" t="b">
        <x:v>1</x:v>
      </x:c>
      <x:c r="I364" s="42" t="b">
        <x:v>0</x:v>
      </x:c>
      <x:c r="J364" s="38" t="n">
        <x:v>0.1921414526</x:v>
      </x:c>
    </x:row>
    <x:row r="365" ht="19" customHeight="1">
      <x:c r="A365" s="29" t="str">
        <x:v>stagger_1</x:v>
      </x:c>
      <x:c r="B365" s="38" t="str">
        <x:v>DIS</x:v>
      </x:c>
      <x:c r="C365" s="38" t="str">
        <x:v>Other sectors</x:v>
      </x:c>
      <x:c r="D365" s="30" t="n">
        <x:v>6</x:v>
      </x:c>
      <x:c r="E365" s="38" t="str">
        <x:v>XLY</x:v>
      </x:c>
      <x:c r="F365" s="38" t="n">
        <x:v>0.7045906431</x:v>
      </x:c>
      <x:c r="G365" s="38" t="n">
        <x:v>2.7596244745</x:v>
      </x:c>
      <x:c r="H365" s="42" t="b">
        <x:v>0</x:v>
      </x:c>
      <x:c r="I365" s="42" t="b">
        <x:v>0</x:v>
      </x:c>
      <x:c r="J365" s="38" t="n">
        <x:v>0.1921414526</x:v>
      </x:c>
    </x:row>
    <x:row r="366" ht="19" customHeight="1">
      <x:c r="A366" s="29" t="str">
        <x:v>stagger_1</x:v>
      </x:c>
      <x:c r="B366" s="38" t="str">
        <x:v>DIS</x:v>
      </x:c>
      <x:c r="C366" s="38" t="str">
        <x:v>Other sectors</x:v>
      </x:c>
      <x:c r="D366" s="30" t="n">
        <x:v>7</x:v>
      </x:c>
      <x:c r="E366" s="38" t="str">
        <x:v>XLE</x:v>
      </x:c>
      <x:c r="F366" s="38" t="n">
        <x:v>0.226671223</x:v>
      </x:c>
      <x:c r="G366" s="38" t="n">
        <x:v>2.0260352759</x:v>
      </x:c>
      <x:c r="H366" s="42" t="b">
        <x:v>0</x:v>
      </x:c>
      <x:c r="I366" s="42" t="b">
        <x:v>1</x:v>
      </x:c>
      <x:c r="J366" s="38" t="n">
        <x:v>0.1633505863</x:v>
      </x:c>
    </x:row>
    <x:row r="367" ht="19" customHeight="1">
      <x:c r="A367" s="29" t="str">
        <x:v>stagger_1</x:v>
      </x:c>
      <x:c r="B367" s="38" t="str">
        <x:v>DIS</x:v>
      </x:c>
      <x:c r="C367" s="38" t="str">
        <x:v>Other sectors</x:v>
      </x:c>
      <x:c r="D367" s="30" t="n">
        <x:v>7</x:v>
      </x:c>
      <x:c r="E367" s="38" t="str">
        <x:v>XLF</x:v>
      </x:c>
      <x:c r="F367" s="38" t="n">
        <x:v>0.748054599</x:v>
      </x:c>
      <x:c r="G367" s="38" t="n">
        <x:v>2.6365066361</x:v>
      </x:c>
      <x:c r="H367" s="42" t="b">
        <x:v>0</x:v>
      </x:c>
      <x:c r="I367" s="42" t="b">
        <x:v>1</x:v>
      </x:c>
      <x:c r="J367" s="38" t="n">
        <x:v>0.1633505863</x:v>
      </x:c>
    </x:row>
    <x:row r="368" ht="19" customHeight="1">
      <x:c r="A368" s="29" t="str">
        <x:v>stagger_1</x:v>
      </x:c>
      <x:c r="B368" s="38" t="str">
        <x:v>DIS</x:v>
      </x:c>
      <x:c r="C368" s="38" t="str">
        <x:v>Other sectors</x:v>
      </x:c>
      <x:c r="D368" s="30" t="n">
        <x:v>7</x:v>
      </x:c>
      <x:c r="E368" s="38" t="str">
        <x:v>XLK</x:v>
      </x:c>
      <x:c r="F368" s="38" t="n">
        <x:v>0.8744847471</x:v>
      </x:c>
      <x:c r="G368" s="38" t="n">
        <x:v>2.9840466987</x:v>
      </x:c>
      <x:c r="H368" s="42" t="b">
        <x:v>0</x:v>
      </x:c>
      <x:c r="I368" s="42" t="b">
        <x:v>1</x:v>
      </x:c>
      <x:c r="J368" s="38" t="n">
        <x:v>0.1633505863</x:v>
      </x:c>
    </x:row>
    <x:row r="369" ht="19" customHeight="1">
      <x:c r="A369" s="29" t="str">
        <x:v>stagger_1</x:v>
      </x:c>
      <x:c r="B369" s="38" t="str">
        <x:v>DIS</x:v>
      </x:c>
      <x:c r="C369" s="38" t="str">
        <x:v>Other sectors</x:v>
      </x:c>
      <x:c r="D369" s="30" t="n">
        <x:v>7</x:v>
      </x:c>
      <x:c r="E369" s="38" t="str">
        <x:v>XLY</x:v>
      </x:c>
      <x:c r="F369" s="38" t="n">
        <x:v>0.7074044533</x:v>
      </x:c>
      <x:c r="G369" s="38" t="n">
        <x:v>2.7409529778</x:v>
      </x:c>
      <x:c r="H369" s="42" t="b">
        <x:v>0</x:v>
      </x:c>
      <x:c r="I369" s="42" t="b">
        <x:v>1</x:v>
      </x:c>
      <x:c r="J369" s="38" t="n">
        <x:v>0.1633505863</x:v>
      </x:c>
    </x:row>
    <x:row r="370" ht="19" customHeight="1">
      <x:c r="A370" s="29" t="str">
        <x:v>stagger_1</x:v>
      </x:c>
      <x:c r="B370" s="38" t="str">
        <x:v>CMG</x:v>
      </x:c>
      <x:c r="C370" s="38" t="str">
        <x:v>Other FX</x:v>
      </x:c>
      <x:c r="D370" s="30" t="n">
        <x:v>1</x:v>
      </x:c>
      <x:c r="E370" s="38" t="str">
        <x:v>AUD/USD</x:v>
      </x:c>
      <x:c r="F370" s="38" t="n">
        <x:v>0.501296827</x:v>
      </x:c>
      <x:c r="G370" s="38" t="n">
        <x:v>0.5895881365</x:v>
      </x:c>
      <x:c r="H370" s="42" t="b">
        <x:v>0</x:v>
      </x:c>
      <x:c r="I370" s="42" t="b">
        <x:v>0</x:v>
      </x:c>
      <x:c r="J370" s="38" t="n">
        <x:v>0.0651800759</x:v>
      </x:c>
    </x:row>
    <x:row r="371" ht="19" customHeight="1">
      <x:c r="A371" s="29" t="str">
        <x:v>stagger_1</x:v>
      </x:c>
      <x:c r="B371" s="38" t="str">
        <x:v>CMG</x:v>
      </x:c>
      <x:c r="C371" s="38" t="str">
        <x:v>Other FX</x:v>
      </x:c>
      <x:c r="D371" s="30" t="n">
        <x:v>1</x:v>
      </x:c>
      <x:c r="E371" s="38" t="str">
        <x:v>CAD/USD</x:v>
      </x:c>
      <x:c r="F371" s="38" t="n">
        <x:v>0.5840159327</x:v>
      </x:c>
      <x:c r="G371" s="38" t="n">
        <x:v>0.5688201694</x:v>
      </x:c>
      <x:c r="H371" s="42" t="b">
        <x:v>0</x:v>
      </x:c>
      <x:c r="I371" s="42" t="b">
        <x:v>0</x:v>
      </x:c>
      <x:c r="J371" s="38" t="n">
        <x:v>0.0651800759</x:v>
      </x:c>
    </x:row>
    <x:row r="372" ht="19" customHeight="1">
      <x:c r="A372" s="29" t="str">
        <x:v>stagger_1</x:v>
      </x:c>
      <x:c r="B372" s="38" t="str">
        <x:v>CMG</x:v>
      </x:c>
      <x:c r="C372" s="38" t="str">
        <x:v>Other FX</x:v>
      </x:c>
      <x:c r="D372" s="30" t="n">
        <x:v>1</x:v>
      </x:c>
      <x:c r="E372" s="38" t="str">
        <x:v>DKK/USD</x:v>
      </x:c>
      <x:c r="F372" s="38" t="n">
        <x:v>3.1778676429</x:v>
      </x:c>
      <x:c r="G372" s="38" t="n">
        <x:v>0.4445956023</x:v>
      </x:c>
      <x:c r="H372" s="42" t="b">
        <x:v>0</x:v>
      </x:c>
      <x:c r="I372" s="42" t="b">
        <x:v>0</x:v>
      </x:c>
      <x:c r="J372" s="38" t="n">
        <x:v>0.0651800759</x:v>
      </x:c>
    </x:row>
    <x:row r="373" ht="19" customHeight="1">
      <x:c r="A373" s="29" t="str">
        <x:v>stagger_1</x:v>
      </x:c>
      <x:c r="B373" s="38" t="str">
        <x:v>CMG</x:v>
      </x:c>
      <x:c r="C373" s="38" t="str">
        <x:v>Other FX</x:v>
      </x:c>
      <x:c r="D373" s="30" t="n">
        <x:v>1</x:v>
      </x:c>
      <x:c r="E373" s="38" t="str">
        <x:v>EUR/USD</x:v>
      </x:c>
      <x:c r="F373" s="38" t="n">
        <x:v>-3.2460011928</x:v>
      </x:c>
      <x:c r="G373" s="38" t="n">
        <x:v>-0.496470562</x:v>
      </x:c>
      <x:c r="H373" s="42" t="b">
        <x:v>0</x:v>
      </x:c>
      <x:c r="I373" s="42" t="b">
        <x:v>0</x:v>
      </x:c>
      <x:c r="J373" s="38" t="n">
        <x:v>0.0651800759</x:v>
      </x:c>
    </x:row>
    <x:row r="374" ht="19" customHeight="1">
      <x:c r="A374" s="29" t="str">
        <x:v>stagger_1</x:v>
      </x:c>
      <x:c r="B374" s="38" t="str">
        <x:v>CMG</x:v>
      </x:c>
      <x:c r="C374" s="38" t="str">
        <x:v>Other FX</x:v>
      </x:c>
      <x:c r="D374" s="30" t="n">
        <x:v>1</x:v>
      </x:c>
      <x:c r="E374" s="38" t="str">
        <x:v>MXN/USD</x:v>
      </x:c>
      <x:c r="F374" s="38" t="n">
        <x:v>0.1965576017</x:v>
      </x:c>
      <x:c r="G374" s="38" t="n">
        <x:v>0.3608482754</x:v>
      </x:c>
      <x:c r="H374" s="42" t="b">
        <x:v>0</x:v>
      </x:c>
      <x:c r="I374" s="42" t="b">
        <x:v>0</x:v>
      </x:c>
      <x:c r="J374" s="38" t="n">
        <x:v>0.0651800759</x:v>
      </x:c>
    </x:row>
    <x:row r="375" ht="19" customHeight="1">
      <x:c r="A375" s="29" t="str">
        <x:v>stagger_1</x:v>
      </x:c>
      <x:c r="B375" s="38" t="str">
        <x:v>CMG</x:v>
      </x:c>
      <x:c r="C375" s="38" t="str">
        <x:v>Other FX</x:v>
      </x:c>
      <x:c r="D375" s="30" t="n">
        <x:v>1</x:v>
      </x:c>
      <x:c r="E375" s="38" t="str">
        <x:v>SGD/USD</x:v>
      </x:c>
      <x:c r="F375" s="38" t="n">
        <x:v>0.5344803324</x:v>
      </x:c>
      <x:c r="G375" s="38" t="n">
        <x:v>0.2596306685</x:v>
      </x:c>
      <x:c r="H375" s="42" t="b">
        <x:v>1</x:v>
      </x:c>
      <x:c r="I375" s="42" t="b">
        <x:v>0</x:v>
      </x:c>
      <x:c r="J375" s="38" t="n">
        <x:v>0.0651800759</x:v>
      </x:c>
    </x:row>
    <x:row r="376" ht="19" customHeight="1">
      <x:c r="A376" s="29" t="str">
        <x:v>stagger_1</x:v>
      </x:c>
      <x:c r="B376" s="38" t="str">
        <x:v>CMG</x:v>
      </x:c>
      <x:c r="C376" s="38" t="str">
        <x:v>Other FX</x:v>
      </x:c>
      <x:c r="D376" s="30" t="n">
        <x:v>2</x:v>
      </x:c>
      <x:c r="E376" s="38" t="str">
        <x:v>AUD/USD</x:v>
      </x:c>
      <x:c r="F376" s="38" t="n">
        <x:v>0.603554456</x:v>
      </x:c>
      <x:c r="G376" s="38" t="n">
        <x:v>0.8060703894</x:v>
      </x:c>
      <x:c r="H376" s="42" t="b">
        <x:v>0</x:v>
      </x:c>
      <x:c r="I376" s="42" t="b">
        <x:v>0</x:v>
      </x:c>
      <x:c r="J376" s="38" t="n">
        <x:v>0.0643168647</x:v>
      </x:c>
    </x:row>
    <x:row r="377" ht="19" customHeight="1">
      <x:c r="A377" s="29" t="str">
        <x:v>stagger_1</x:v>
      </x:c>
      <x:c r="B377" s="38" t="str">
        <x:v>CMG</x:v>
      </x:c>
      <x:c r="C377" s="38" t="str">
        <x:v>Other FX</x:v>
      </x:c>
      <x:c r="D377" s="30" t="n">
        <x:v>2</x:v>
      </x:c>
      <x:c r="E377" s="38" t="str">
        <x:v>CAD/USD</x:v>
      </x:c>
      <x:c r="F377" s="38" t="n">
        <x:v>0.5846690223</x:v>
      </x:c>
      <x:c r="G377" s="38" t="n">
        <x:v>0.5730805756</x:v>
      </x:c>
      <x:c r="H377" s="42" t="b">
        <x:v>0</x:v>
      </x:c>
      <x:c r="I377" s="42" t="b">
        <x:v>0</x:v>
      </x:c>
      <x:c r="J377" s="38" t="n">
        <x:v>0.0643168647</x:v>
      </x:c>
    </x:row>
    <x:row r="378" ht="19" customHeight="1">
      <x:c r="A378" s="29" t="str">
        <x:v>stagger_1</x:v>
      </x:c>
      <x:c r="B378" s="38" t="str">
        <x:v>CMG</x:v>
      </x:c>
      <x:c r="C378" s="38" t="str">
        <x:v>Other FX</x:v>
      </x:c>
      <x:c r="D378" s="30" t="n">
        <x:v>2</x:v>
      </x:c>
      <x:c r="E378" s="38" t="str">
        <x:v>DKK/USD</x:v>
      </x:c>
      <x:c r="F378" s="38" t="n">
        <x:v>3.8906886131</x:v>
      </x:c>
      <x:c r="G378" s="38" t="n">
        <x:v>0.5932976836</x:v>
      </x:c>
      <x:c r="H378" s="42" t="b">
        <x:v>0</x:v>
      </x:c>
      <x:c r="I378" s="42" t="b">
        <x:v>0</x:v>
      </x:c>
      <x:c r="J378" s="38" t="n">
        <x:v>0.0643168647</x:v>
      </x:c>
    </x:row>
    <x:row r="379" ht="19" customHeight="1">
      <x:c r="A379" s="29" t="str">
        <x:v>stagger_1</x:v>
      </x:c>
      <x:c r="B379" s="38" t="str">
        <x:v>CMG</x:v>
      </x:c>
      <x:c r="C379" s="38" t="str">
        <x:v>Other FX</x:v>
      </x:c>
      <x:c r="D379" s="30" t="n">
        <x:v>2</x:v>
      </x:c>
      <x:c r="E379" s="38" t="str">
        <x:v>EUR/USD</x:v>
      </x:c>
      <x:c r="F379" s="38" t="n">
        <x:v>-3.7519244589</x:v>
      </x:c>
      <x:c r="G379" s="38" t="n">
        <x:v>-0.6049961309</x:v>
      </x:c>
      <x:c r="H379" s="42" t="b">
        <x:v>0</x:v>
      </x:c>
      <x:c r="I379" s="42" t="b">
        <x:v>0</x:v>
      </x:c>
      <x:c r="J379" s="38" t="n">
        <x:v>0.0643168647</x:v>
      </x:c>
    </x:row>
    <x:row r="380" ht="19" customHeight="1">
      <x:c r="A380" s="29" t="str">
        <x:v>stagger_1</x:v>
      </x:c>
      <x:c r="B380" s="38" t="str">
        <x:v>CMG</x:v>
      </x:c>
      <x:c r="C380" s="38" t="str">
        <x:v>Other FX</x:v>
      </x:c>
      <x:c r="D380" s="30" t="n">
        <x:v>2</x:v>
      </x:c>
      <x:c r="E380" s="38" t="str">
        <x:v>MXN/USD</x:v>
      </x:c>
      <x:c r="F380" s="38" t="n">
        <x:v>0.1813462207</x:v>
      </x:c>
      <x:c r="G380" s="38" t="n">
        <x:v>0.3369955169</x:v>
      </x:c>
      <x:c r="H380" s="42" t="b">
        <x:v>1</x:v>
      </x:c>
      <x:c r="I380" s="42" t="b">
        <x:v>0</x:v>
      </x:c>
      <x:c r="J380" s="38" t="n">
        <x:v>0.0643168647</x:v>
      </x:c>
    </x:row>
    <x:row r="381" ht="19" customHeight="1">
      <x:c r="A381" s="29" t="str">
        <x:v>stagger_1</x:v>
      </x:c>
      <x:c r="B381" s="38" t="str">
        <x:v>CMG</x:v>
      </x:c>
      <x:c r="C381" s="38" t="str">
        <x:v>Other FX</x:v>
      </x:c>
      <x:c r="D381" s="30" t="n">
        <x:v>3</x:v>
      </x:c>
      <x:c r="E381" s="38" t="str">
        <x:v>AUD/USD</x:v>
      </x:c>
      <x:c r="F381" s="38" t="n">
        <x:v>0.6429839585</x:v>
      </x:c>
      <x:c r="G381" s="38" t="n">
        <x:v>0.8745940099</x:v>
      </x:c>
      <x:c r="H381" s="42" t="b">
        <x:v>0</x:v>
      </x:c>
      <x:c r="I381" s="42" t="b">
        <x:v>0</x:v>
      </x:c>
      <x:c r="J381" s="38" t="n">
        <x:v>0.0628808948</x:v>
      </x:c>
    </x:row>
    <x:row r="382" ht="19" customHeight="1">
      <x:c r="A382" s="29" t="str">
        <x:v>stagger_1</x:v>
      </x:c>
      <x:c r="B382" s="38" t="str">
        <x:v>CMG</x:v>
      </x:c>
      <x:c r="C382" s="38" t="str">
        <x:v>Other FX</x:v>
      </x:c>
      <x:c r="D382" s="30" t="n">
        <x:v>3</x:v>
      </x:c>
      <x:c r="E382" s="38" t="str">
        <x:v>CAD/USD</x:v>
      </x:c>
      <x:c r="F382" s="38" t="n">
        <x:v>0.5776535464</x:v>
      </x:c>
      <x:c r="G382" s="38" t="n">
        <x:v>0.5696987375</x:v>
      </x:c>
      <x:c r="H382" s="42" t="b">
        <x:v>1</x:v>
      </x:c>
      <x:c r="I382" s="42" t="b">
        <x:v>0</x:v>
      </x:c>
      <x:c r="J382" s="38" t="n">
        <x:v>0.0628808948</x:v>
      </x:c>
    </x:row>
    <x:row r="383" ht="19" customHeight="1">
      <x:c r="A383" s="29" t="str">
        <x:v>stagger_1</x:v>
      </x:c>
      <x:c r="B383" s="38" t="str">
        <x:v>CMG</x:v>
      </x:c>
      <x:c r="C383" s="38" t="str">
        <x:v>Other FX</x:v>
      </x:c>
      <x:c r="D383" s="30" t="n">
        <x:v>3</x:v>
      </x:c>
      <x:c r="E383" s="38" t="str">
        <x:v>DKK/USD</x:v>
      </x:c>
      <x:c r="F383" s="38" t="n">
        <x:v>4.5194490999</x:v>
      </x:c>
      <x:c r="G383" s="38" t="n">
        <x:v>0.7231756354</x:v>
      </x:c>
      <x:c r="H383" s="42" t="b">
        <x:v>0</x:v>
      </x:c>
      <x:c r="I383" s="42" t="b">
        <x:v>0</x:v>
      </x:c>
      <x:c r="J383" s="38" t="n">
        <x:v>0.0628808948</x:v>
      </x:c>
    </x:row>
    <x:row r="384" ht="19" customHeight="1">
      <x:c r="A384" s="29" t="str">
        <x:v>stagger_1</x:v>
      </x:c>
      <x:c r="B384" s="38" t="str">
        <x:v>CMG</x:v>
      </x:c>
      <x:c r="C384" s="38" t="str">
        <x:v>Other FX</x:v>
      </x:c>
      <x:c r="D384" s="30" t="n">
        <x:v>3</x:v>
      </x:c>
      <x:c r="E384" s="38" t="str">
        <x:v>EUR/USD</x:v>
      </x:c>
      <x:c r="F384" s="38" t="n">
        <x:v>-4.2605893085</x:v>
      </x:c>
      <x:c r="G384" s="38" t="n">
        <x:v>-0.7125419714</x:v>
      </x:c>
      <x:c r="H384" s="42" t="b">
        <x:v>0</x:v>
      </x:c>
      <x:c r="I384" s="42" t="b">
        <x:v>0</x:v>
      </x:c>
      <x:c r="J384" s="38" t="n">
        <x:v>0.0628808948</x:v>
      </x:c>
    </x:row>
    <x:row r="385" ht="19" customHeight="1">
      <x:c r="A385" s="29" t="str">
        <x:v>stagger_1</x:v>
      </x:c>
      <x:c r="B385" s="38" t="str">
        <x:v>CMG</x:v>
      </x:c>
      <x:c r="C385" s="38" t="str">
        <x:v>Other FX</x:v>
      </x:c>
      <x:c r="D385" s="30" t="n">
        <x:v>4</x:v>
      </x:c>
      <x:c r="E385" s="38" t="str">
        <x:v>AUD/USD</x:v>
      </x:c>
      <x:c r="F385" s="38" t="n">
        <x:v>0.7586313757</x:v>
      </x:c>
      <x:c r="G385" s="38" t="n">
        <x:v>1.0784413977</x:v>
      </x:c>
      <x:c r="H385" s="42" t="b">
        <x:v>0</x:v>
      </x:c>
      <x:c r="I385" s="42" t="b">
        <x:v>0</x:v>
      </x:c>
      <x:c r="J385" s="38" t="n">
        <x:v>0.058825585</x:v>
      </x:c>
    </x:row>
    <x:row r="386" ht="19" customHeight="1">
      <x:c r="A386" s="29" t="str">
        <x:v>stagger_1</x:v>
      </x:c>
      <x:c r="B386" s="38" t="str">
        <x:v>CMG</x:v>
      </x:c>
      <x:c r="C386" s="38" t="str">
        <x:v>Other FX</x:v>
      </x:c>
      <x:c r="D386" s="30" t="n">
        <x:v>4</x:v>
      </x:c>
      <x:c r="E386" s="38" t="str">
        <x:v>DKK/USD</x:v>
      </x:c>
      <x:c r="F386" s="38" t="n">
        <x:v>4.9019953638</x:v>
      </x:c>
      <x:c r="G386" s="38" t="n">
        <x:v>0.7924853373</x:v>
      </x:c>
      <x:c r="H386" s="42" t="b">
        <x:v>0</x:v>
      </x:c>
      <x:c r="I386" s="42" t="b">
        <x:v>0</x:v>
      </x:c>
      <x:c r="J386" s="38" t="n">
        <x:v>0.058825585</x:v>
      </x:c>
    </x:row>
    <x:row r="387" ht="19" customHeight="1">
      <x:c r="A387" s="29" t="str">
        <x:v>stagger_1</x:v>
      </x:c>
      <x:c r="B387" s="38" t="str">
        <x:v>CMG</x:v>
      </x:c>
      <x:c r="C387" s="38" t="str">
        <x:v>Other FX</x:v>
      </x:c>
      <x:c r="D387" s="30" t="n">
        <x:v>4</x:v>
      </x:c>
      <x:c r="E387" s="38" t="str">
        <x:v>EUR/USD</x:v>
      </x:c>
      <x:c r="F387" s="38" t="n">
        <x:v>-4.4693114476</x:v>
      </x:c>
      <x:c r="G387" s="38" t="n">
        <x:v>-0.7522057867</x:v>
      </x:c>
      <x:c r="H387" s="42" t="b">
        <x:v>1</x:v>
      </x:c>
      <x:c r="I387" s="42" t="b">
        <x:v>0</x:v>
      </x:c>
      <x:c r="J387" s="38" t="n">
        <x:v>0.058825585</x:v>
      </x:c>
    </x:row>
    <x:row r="388" ht="19" customHeight="1">
      <x:c r="A388" s="29" t="str">
        <x:v>stagger_1</x:v>
      </x:c>
      <x:c r="B388" s="38" t="str">
        <x:v>CMG</x:v>
      </x:c>
      <x:c r="C388" s="38" t="str">
        <x:v>Other FX</x:v>
      </x:c>
      <x:c r="D388" s="30" t="n">
        <x:v>5</x:v>
      </x:c>
      <x:c r="E388" s="38" t="str">
        <x:v>AUD/USD</x:v>
      </x:c>
      <x:c r="F388" s="38" t="n">
        <x:v>0.8821658821</x:v>
      </x:c>
      <x:c r="G388" s="38" t="n">
        <x:v>1.2933446013</x:v>
      </x:c>
      <x:c r="H388" s="42" t="b">
        <x:v>0</x:v>
      </x:c>
      <x:c r="I388" s="42" t="b">
        <x:v>0</x:v>
      </x:c>
      <x:c r="J388" s="38" t="n">
        <x:v>0.0518186214</x:v>
      </x:c>
    </x:row>
    <x:row r="389" ht="19" customHeight="1">
      <x:c r="A389" s="29" t="str">
        <x:v>stagger_1</x:v>
      </x:c>
      <x:c r="B389" s="38" t="str">
        <x:v>CMG</x:v>
      </x:c>
      <x:c r="C389" s="38" t="str">
        <x:v>Other FX</x:v>
      </x:c>
      <x:c r="D389" s="30" t="n">
        <x:v>5</x:v>
      </x:c>
      <x:c r="E389" s="38" t="str">
        <x:v>DKK/USD</x:v>
      </x:c>
      <x:c r="F389" s="38" t="n">
        <x:v>0.2887560322</x:v>
      </x:c>
      <x:c r="G389" s="38" t="n">
        <x:v>0.3595703398</x:v>
      </x:c>
      <x:c r="H389" s="42" t="b">
        <x:v>1</x:v>
      </x:c>
      <x:c r="I389" s="42" t="b">
        <x:v>0</x:v>
      </x:c>
      <x:c r="J389" s="38" t="n">
        <x:v>0.0518186214</x:v>
      </x:c>
    </x:row>
    <x:row r="390" ht="19" customHeight="1">
      <x:c r="A390" s="29" t="str">
        <x:v>stagger_1</x:v>
      </x:c>
      <x:c r="B390" s="38" t="str">
        <x:v>CMG</x:v>
      </x:c>
      <x:c r="C390" s="38" t="str">
        <x:v>Other FX</x:v>
      </x:c>
      <x:c r="D390" s="30" t="n">
        <x:v>6</x:v>
      </x:c>
      <x:c r="E390" s="38" t="str">
        <x:v>AUD/USD</x:v>
      </x:c>
      <x:c r="F390" s="38" t="n">
        <x:v>1.0424836686</x:v>
      </x:c>
      <x:c r="G390" s="38" t="n">
        <x:v>2.0309716661</x:v>
      </x:c>
      <x:c r="H390" s="42" t="b">
        <x:v>0</x:v>
      </x:c>
      <x:c r="I390" s="42" t="b">
        <x:v>1</x:v>
      </x:c>
      <x:c r="J390" s="38" t="n">
        <x:v>0.0502265284</x:v>
      </x:c>
    </x:row>
    <x:row r="391" ht="19" customHeight="1">
      <x:c r="A391" s="29" t="str">
        <x:v>stagger_1</x:v>
      </x:c>
      <x:c r="B391" s="38" t="str">
        <x:v>CMG</x:v>
      </x:c>
      <x:c r="C391" s="38" t="str">
        <x:v>Other sectors</x:v>
      </x:c>
      <x:c r="D391" s="30" t="n">
        <x:v>1</x:v>
      </x:c>
      <x:c r="E391" s="38" t="str">
        <x:v>XLB</x:v>
      </x:c>
      <x:c r="F391" s="38" t="n">
        <x:v>0.2576957604</x:v>
      </x:c>
      <x:c r="G391" s="38" t="n">
        <x:v>0.5455783214</x:v>
      </x:c>
      <x:c r="H391" s="42" t="b">
        <x:v>1</x:v>
      </x:c>
      <x:c r="I391" s="42" t="b">
        <x:v>0</x:v>
      </x:c>
      <x:c r="J391" s="38" t="n">
        <x:v>0.2273324967</x:v>
      </x:c>
    </x:row>
    <x:row r="392" ht="19" customHeight="1">
      <x:c r="A392" s="29" t="str">
        <x:v>stagger_1</x:v>
      </x:c>
      <x:c r="B392" s="38" t="str">
        <x:v>CMG</x:v>
      </x:c>
      <x:c r="C392" s="38" t="str">
        <x:v>Other sectors</x:v>
      </x:c>
      <x:c r="D392" s="30" t="n">
        <x:v>1</x:v>
      </x:c>
      <x:c r="E392" s="38" t="str">
        <x:v>XLC</x:v>
      </x:c>
      <x:c r="F392" s="38" t="n">
        <x:v>0.971290426</x:v>
      </x:c>
      <x:c r="G392" s="38" t="n">
        <x:v>2.1458031891</x:v>
      </x:c>
      <x:c r="H392" s="42" t="b">
        <x:v>0</x:v>
      </x:c>
      <x:c r="I392" s="42" t="b">
        <x:v>0</x:v>
      </x:c>
      <x:c r="J392" s="38" t="n">
        <x:v>0.2273324967</x:v>
      </x:c>
    </x:row>
    <x:row r="393" ht="19" customHeight="1">
      <x:c r="A393" s="29" t="str">
        <x:v>stagger_1</x:v>
      </x:c>
      <x:c r="B393" s="38" t="str">
        <x:v>CMG</x:v>
      </x:c>
      <x:c r="C393" s="38" t="str">
        <x:v>Other sectors</x:v>
      </x:c>
      <x:c r="D393" s="30" t="n">
        <x:v>1</x:v>
      </x:c>
      <x:c r="E393" s="38" t="str">
        <x:v>XLE</x:v>
      </x:c>
      <x:c r="F393" s="38" t="n">
        <x:v>-0.2975646677</x:v>
      </x:c>
      <x:c r="G393" s="38" t="n">
        <x:v>-1.8775268013</x:v>
      </x:c>
      <x:c r="H393" s="42" t="b">
        <x:v>0</x:v>
      </x:c>
      <x:c r="I393" s="42" t="b">
        <x:v>0</x:v>
      </x:c>
      <x:c r="J393" s="38" t="n">
        <x:v>0.2273324967</x:v>
      </x:c>
    </x:row>
    <x:row r="394" ht="19" customHeight="1">
      <x:c r="A394" s="29" t="str">
        <x:v>stagger_1</x:v>
      </x:c>
      <x:c r="B394" s="38" t="str">
        <x:v>CMG</x:v>
      </x:c>
      <x:c r="C394" s="38" t="str">
        <x:v>Other sectors</x:v>
      </x:c>
      <x:c r="D394" s="30" t="n">
        <x:v>1</x:v>
      </x:c>
      <x:c r="E394" s="38" t="str">
        <x:v>XLF</x:v>
      </x:c>
      <x:c r="F394" s="38" t="n">
        <x:v>1.010525725</x:v>
      </x:c>
      <x:c r="G394" s="38" t="n">
        <x:v>2.1049722363</x:v>
      </x:c>
      <x:c r="H394" s="42" t="b">
        <x:v>0</x:v>
      </x:c>
      <x:c r="I394" s="42" t="b">
        <x:v>0</x:v>
      </x:c>
      <x:c r="J394" s="38" t="n">
        <x:v>0.2273324967</x:v>
      </x:c>
    </x:row>
    <x:row r="395" ht="19" customHeight="1">
      <x:c r="A395" s="29" t="str">
        <x:v>stagger_1</x:v>
      </x:c>
      <x:c r="B395" s="38" t="str">
        <x:v>CMG</x:v>
      </x:c>
      <x:c r="C395" s="38" t="str">
        <x:v>Other sectors</x:v>
      </x:c>
      <x:c r="D395" s="30" t="n">
        <x:v>1</x:v>
      </x:c>
      <x:c r="E395" s="38" t="str">
        <x:v>XLI</x:v>
      </x:c>
      <x:c r="F395" s="38" t="n">
        <x:v>-0.6494496886</x:v>
      </x:c>
      <x:c r="G395" s="38" t="n">
        <x:v>-1.0673637924</x:v>
      </x:c>
      <x:c r="H395" s="42" t="b">
        <x:v>0</x:v>
      </x:c>
      <x:c r="I395" s="42" t="b">
        <x:v>0</x:v>
      </x:c>
      <x:c r="J395" s="38" t="n">
        <x:v>0.2273324967</x:v>
      </x:c>
    </x:row>
    <x:row r="396" ht="19" customHeight="1">
      <x:c r="A396" s="29" t="str">
        <x:v>stagger_1</x:v>
      </x:c>
      <x:c r="B396" s="38" t="str">
        <x:v>CMG</x:v>
      </x:c>
      <x:c r="C396" s="38" t="str">
        <x:v>Other sectors</x:v>
      </x:c>
      <x:c r="D396" s="30" t="n">
        <x:v>1</x:v>
      </x:c>
      <x:c r="E396" s="38" t="str">
        <x:v>XLK</x:v>
      </x:c>
      <x:c r="F396" s="38" t="n">
        <x:v>1.34255572</x:v>
      </x:c>
      <x:c r="G396" s="38" t="n">
        <x:v>2.0787408129</x:v>
      </x:c>
      <x:c r="H396" s="42" t="b">
        <x:v>0</x:v>
      </x:c>
      <x:c r="I396" s="42" t="b">
        <x:v>0</x:v>
      </x:c>
      <x:c r="J396" s="38" t="n">
        <x:v>0.2273324967</x:v>
      </x:c>
    </x:row>
    <x:row r="397" ht="19" customHeight="1">
      <x:c r="A397" s="29" t="str">
        <x:v>stagger_1</x:v>
      </x:c>
      <x:c r="B397" s="38" t="str">
        <x:v>CMG</x:v>
      </x:c>
      <x:c r="C397" s="38" t="str">
        <x:v>Other sectors</x:v>
      </x:c>
      <x:c r="D397" s="30" t="n">
        <x:v>1</x:v>
      </x:c>
      <x:c r="E397" s="38" t="str">
        <x:v>XLP</x:v>
      </x:c>
      <x:c r="F397" s="38" t="n">
        <x:v>1.3466285084</x:v>
      </x:c>
      <x:c r="G397" s="38" t="n">
        <x:v>2.7713630646</x:v>
      </x:c>
      <x:c r="H397" s="42" t="b">
        <x:v>0</x:v>
      </x:c>
      <x:c r="I397" s="42" t="b">
        <x:v>0</x:v>
      </x:c>
      <x:c r="J397" s="38" t="n">
        <x:v>0.2273324967</x:v>
      </x:c>
    </x:row>
    <x:row r="398" ht="19" customHeight="1">
      <x:c r="A398" s="29" t="str">
        <x:v>stagger_1</x:v>
      </x:c>
      <x:c r="B398" s="38" t="str">
        <x:v>CMG</x:v>
      </x:c>
      <x:c r="C398" s="38" t="str">
        <x:v>Other sectors</x:v>
      </x:c>
      <x:c r="D398" s="30" t="n">
        <x:v>1</x:v>
      </x:c>
      <x:c r="E398" s="38" t="str">
        <x:v>XLRE</x:v>
      </x:c>
      <x:c r="F398" s="38" t="n">
        <x:v>-0.5547652617</x:v>
      </x:c>
      <x:c r="G398" s="38" t="n">
        <x:v>-1.4318961571</x:v>
      </x:c>
      <x:c r="H398" s="42" t="b">
        <x:v>0</x:v>
      </x:c>
      <x:c r="I398" s="42" t="b">
        <x:v>0</x:v>
      </x:c>
      <x:c r="J398" s="38" t="n">
        <x:v>0.2273324967</x:v>
      </x:c>
    </x:row>
    <x:row r="399" ht="19" customHeight="1">
      <x:c r="A399" s="29" t="str">
        <x:v>stagger_1</x:v>
      </x:c>
      <x:c r="B399" s="38" t="str">
        <x:v>CMG</x:v>
      </x:c>
      <x:c r="C399" s="38" t="str">
        <x:v>Other sectors</x:v>
      </x:c>
      <x:c r="D399" s="30" t="n">
        <x:v>1</x:v>
      </x:c>
      <x:c r="E399" s="38" t="str">
        <x:v>XLU</x:v>
      </x:c>
      <x:c r="F399" s="38" t="n">
        <x:v>0.3130163788</x:v>
      </x:c>
      <x:c r="G399" s="38" t="n">
        <x:v>0.996469311</x:v>
      </x:c>
      <x:c r="H399" s="42" t="b">
        <x:v>0</x:v>
      </x:c>
      <x:c r="I399" s="42" t="b">
        <x:v>0</x:v>
      </x:c>
      <x:c r="J399" s="38" t="n">
        <x:v>0.2273324967</x:v>
      </x:c>
    </x:row>
    <x:row r="400" ht="19" customHeight="1">
      <x:c r="A400" s="29" t="str">
        <x:v>stagger_1</x:v>
      </x:c>
      <x:c r="B400" s="38" t="str">
        <x:v>CMG</x:v>
      </x:c>
      <x:c r="C400" s="38" t="str">
        <x:v>Other sectors</x:v>
      </x:c>
      <x:c r="D400" s="30" t="n">
        <x:v>1</x:v>
      </x:c>
      <x:c r="E400" s="38" t="str">
        <x:v>XLV</x:v>
      </x:c>
      <x:c r="F400" s="38" t="n">
        <x:v>0.2080367774</x:v>
      </x:c>
      <x:c r="G400" s="38" t="n">
        <x:v>0.5609657545</x:v>
      </x:c>
      <x:c r="H400" s="42" t="b">
        <x:v>0</x:v>
      </x:c>
      <x:c r="I400" s="42" t="b">
        <x:v>0</x:v>
      </x:c>
      <x:c r="J400" s="38" t="n">
        <x:v>0.2273324967</x:v>
      </x:c>
    </x:row>
    <x:row r="401" ht="19" customHeight="1">
      <x:c r="A401" s="29" t="str">
        <x:v>stagger_1</x:v>
      </x:c>
      <x:c r="B401" s="38" t="str">
        <x:v>CMG</x:v>
      </x:c>
      <x:c r="C401" s="38" t="str">
        <x:v>Other sectors</x:v>
      </x:c>
      <x:c r="D401" s="30" t="n">
        <x:v>2</x:v>
      </x:c>
      <x:c r="E401" s="38" t="str">
        <x:v>XLC</x:v>
      </x:c>
      <x:c r="F401" s="38" t="n">
        <x:v>0.9704838716</x:v>
      </x:c>
      <x:c r="G401" s="38" t="n">
        <x:v>2.1548704496</x:v>
      </x:c>
      <x:c r="H401" s="42" t="b">
        <x:v>0</x:v>
      </x:c>
      <x:c r="I401" s="42" t="b">
        <x:v>0</x:v>
      </x:c>
      <x:c r="J401" s="38" t="n">
        <x:v>0.2239993243</x:v>
      </x:c>
    </x:row>
    <x:row r="402" ht="19" customHeight="1">
      <x:c r="A402" s="29" t="str">
        <x:v>stagger_1</x:v>
      </x:c>
      <x:c r="B402" s="38" t="str">
        <x:v>CMG</x:v>
      </x:c>
      <x:c r="C402" s="38" t="str">
        <x:v>Other sectors</x:v>
      </x:c>
      <x:c r="D402" s="30" t="n">
        <x:v>2</x:v>
      </x:c>
      <x:c r="E402" s="38" t="str">
        <x:v>XLE</x:v>
      </x:c>
      <x:c r="F402" s="38" t="n">
        <x:v>-0.2786156563</x:v>
      </x:c>
      <x:c r="G402" s="38" t="n">
        <x:v>-1.8108701261</x:v>
      </x:c>
      <x:c r="H402" s="42" t="b">
        <x:v>0</x:v>
      </x:c>
      <x:c r="I402" s="42" t="b">
        <x:v>0</x:v>
      </x:c>
      <x:c r="J402" s="38" t="n">
        <x:v>0.2239993243</x:v>
      </x:c>
    </x:row>
    <x:row r="403" ht="19" customHeight="1">
      <x:c r="A403" s="29" t="str">
        <x:v>stagger_1</x:v>
      </x:c>
      <x:c r="B403" s="38" t="str">
        <x:v>CMG</x:v>
      </x:c>
      <x:c r="C403" s="38" t="str">
        <x:v>Other sectors</x:v>
      </x:c>
      <x:c r="D403" s="30" t="n">
        <x:v>2</x:v>
      </x:c>
      <x:c r="E403" s="38" t="str">
        <x:v>XLF</x:v>
      </x:c>
      <x:c r="F403" s="38" t="n">
        <x:v>1.0244379703</x:v>
      </x:c>
      <x:c r="G403" s="38" t="n">
        <x:v>2.1477709211</x:v>
      </x:c>
      <x:c r="H403" s="42" t="b">
        <x:v>0</x:v>
      </x:c>
      <x:c r="I403" s="42" t="b">
        <x:v>0</x:v>
      </x:c>
      <x:c r="J403" s="38" t="n">
        <x:v>0.2239993243</x:v>
      </x:c>
    </x:row>
    <x:row r="404" ht="19" customHeight="1">
      <x:c r="A404" s="29" t="str">
        <x:v>stagger_1</x:v>
      </x:c>
      <x:c r="B404" s="38" t="str">
        <x:v>CMG</x:v>
      </x:c>
      <x:c r="C404" s="38" t="str">
        <x:v>Other sectors</x:v>
      </x:c>
      <x:c r="D404" s="30" t="n">
        <x:v>2</x:v>
      </x:c>
      <x:c r="E404" s="38" t="str">
        <x:v>XLI</x:v>
      </x:c>
      <x:c r="F404" s="38" t="n">
        <x:v>-0.4191146646</x:v>
      </x:c>
      <x:c r="G404" s="38" t="n">
        <x:v>-0.9613662806</x:v>
      </x:c>
      <x:c r="H404" s="42" t="b">
        <x:v>0</x:v>
      </x:c>
      <x:c r="I404" s="42" t="b">
        <x:v>0</x:v>
      </x:c>
      <x:c r="J404" s="38" t="n">
        <x:v>0.2239993243</x:v>
      </x:c>
    </x:row>
    <x:row r="405" ht="19" customHeight="1">
      <x:c r="A405" s="29" t="str">
        <x:v>stagger_1</x:v>
      </x:c>
      <x:c r="B405" s="38" t="str">
        <x:v>CMG</x:v>
      </x:c>
      <x:c r="C405" s="38" t="str">
        <x:v>Other sectors</x:v>
      </x:c>
      <x:c r="D405" s="30" t="n">
        <x:v>2</x:v>
      </x:c>
      <x:c r="E405" s="38" t="str">
        <x:v>XLK</x:v>
      </x:c>
      <x:c r="F405" s="38" t="n">
        <x:v>1.3238299829</x:v>
      </x:c>
      <x:c r="G405" s="38" t="n">
        <x:v>2.0630232669</x:v>
      </x:c>
      <x:c r="H405" s="42" t="b">
        <x:v>0</x:v>
      </x:c>
      <x:c r="I405" s="42" t="b">
        <x:v>0</x:v>
      </x:c>
      <x:c r="J405" s="38" t="n">
        <x:v>0.2239993243</x:v>
      </x:c>
    </x:row>
    <x:row r="406" ht="19" customHeight="1">
      <x:c r="A406" s="29" t="str">
        <x:v>stagger_1</x:v>
      </x:c>
      <x:c r="B406" s="38" t="str">
        <x:v>CMG</x:v>
      </x:c>
      <x:c r="C406" s="38" t="str">
        <x:v>Other sectors</x:v>
      </x:c>
      <x:c r="D406" s="30" t="n">
        <x:v>2</x:v>
      </x:c>
      <x:c r="E406" s="38" t="str">
        <x:v>XLP</x:v>
      </x:c>
      <x:c r="F406" s="38" t="n">
        <x:v>1.3681382376</x:v>
      </x:c>
      <x:c r="G406" s="38" t="n">
        <x:v>2.8392238362</x:v>
      </x:c>
      <x:c r="H406" s="42" t="b">
        <x:v>0</x:v>
      </x:c>
      <x:c r="I406" s="42" t="b">
        <x:v>0</x:v>
      </x:c>
      <x:c r="J406" s="38" t="n">
        <x:v>0.2239993243</x:v>
      </x:c>
    </x:row>
    <x:row r="407" ht="19" customHeight="1">
      <x:c r="A407" s="29" t="str">
        <x:v>stagger_1</x:v>
      </x:c>
      <x:c r="B407" s="38" t="str">
        <x:v>CMG</x:v>
      </x:c>
      <x:c r="C407" s="38" t="str">
        <x:v>Other sectors</x:v>
      </x:c>
      <x:c r="D407" s="30" t="n">
        <x:v>2</x:v>
      </x:c>
      <x:c r="E407" s="38" t="str">
        <x:v>XLRE</x:v>
      </x:c>
      <x:c r="F407" s="38" t="n">
        <x:v>-0.525086986</x:v>
      </x:c>
      <x:c r="G407" s="38" t="n">
        <x:v>-1.3757730462</x:v>
      </x:c>
      <x:c r="H407" s="42" t="b">
        <x:v>0</x:v>
      </x:c>
      <x:c r="I407" s="42" t="b">
        <x:v>0</x:v>
      </x:c>
      <x:c r="J407" s="38" t="n">
        <x:v>0.2239993243</x:v>
      </x:c>
    </x:row>
    <x:row r="408" ht="19" customHeight="1">
      <x:c r="A408" s="29" t="str">
        <x:v>stagger_1</x:v>
      </x:c>
      <x:c r="B408" s="38" t="str">
        <x:v>CMG</x:v>
      </x:c>
      <x:c r="C408" s="38" t="str">
        <x:v>Other sectors</x:v>
      </x:c>
      <x:c r="D408" s="30" t="n">
        <x:v>2</x:v>
      </x:c>
      <x:c r="E408" s="38" t="str">
        <x:v>XLU</x:v>
      </x:c>
      <x:c r="F408" s="38" t="n">
        <x:v>0.315551219</x:v>
      </x:c>
      <x:c r="G408" s="38" t="n">
        <x:v>1.0097270377</x:v>
      </x:c>
      <x:c r="H408" s="42" t="b">
        <x:v>0</x:v>
      </x:c>
      <x:c r="I408" s="42" t="b">
        <x:v>0</x:v>
      </x:c>
      <x:c r="J408" s="38" t="n">
        <x:v>0.2239993243</x:v>
      </x:c>
    </x:row>
    <x:row r="409" ht="19" customHeight="1">
      <x:c r="A409" s="29" t="str">
        <x:v>stagger_1</x:v>
      </x:c>
      <x:c r="B409" s="38" t="str">
        <x:v>CMG</x:v>
      </x:c>
      <x:c r="C409" s="38" t="str">
        <x:v>Other sectors</x:v>
      </x:c>
      <x:c r="D409" s="30" t="n">
        <x:v>2</x:v>
      </x:c>
      <x:c r="E409" s="38" t="str">
        <x:v>XLV</x:v>
      </x:c>
      <x:c r="F409" s="38" t="n">
        <x:v>0.2166322254</x:v>
      </x:c>
      <x:c r="G409" s="38" t="n">
        <x:v>0.5876263883</x:v>
      </x:c>
      <x:c r="H409" s="42" t="b">
        <x:v>1</x:v>
      </x:c>
      <x:c r="I409" s="42" t="b">
        <x:v>0</x:v>
      </x:c>
      <x:c r="J409" s="38" t="n">
        <x:v>0.2239993243</x:v>
      </x:c>
    </x:row>
    <x:row r="410" ht="19" customHeight="1">
      <x:c r="A410" s="29" t="str">
        <x:v>stagger_1</x:v>
      </x:c>
      <x:c r="B410" s="38" t="str">
        <x:v>CMG</x:v>
      </x:c>
      <x:c r="C410" s="38" t="str">
        <x:v>Other sectors</x:v>
      </x:c>
      <x:c r="D410" s="30" t="n">
        <x:v>3</x:v>
      </x:c>
      <x:c r="E410" s="38" t="str">
        <x:v>XLC</x:v>
      </x:c>
      <x:c r="F410" s="38" t="n">
        <x:v>0.8979436039</x:v>
      </x:c>
      <x:c r="G410" s="38" t="n">
        <x:v>2.0828284485</x:v>
      </x:c>
      <x:c r="H410" s="42" t="b">
        <x:v>0</x:v>
      </x:c>
      <x:c r="I410" s="42" t="b">
        <x:v>0</x:v>
      </x:c>
      <x:c r="J410" s="38" t="n">
        <x:v>0.220171371</x:v>
      </x:c>
    </x:row>
    <x:row r="411" ht="19" customHeight="1">
      <x:c r="A411" s="29" t="str">
        <x:v>stagger_1</x:v>
      </x:c>
      <x:c r="B411" s="38" t="str">
        <x:v>CMG</x:v>
      </x:c>
      <x:c r="C411" s="38" t="str">
        <x:v>Other sectors</x:v>
      </x:c>
      <x:c r="D411" s="30" t="n">
        <x:v>3</x:v>
      </x:c>
      <x:c r="E411" s="38" t="str">
        <x:v>XLE</x:v>
      </x:c>
      <x:c r="F411" s="38" t="n">
        <x:v>-0.2832266417</x:v>
      </x:c>
      <x:c r="G411" s="38" t="n">
        <x:v>-1.8517956212</x:v>
      </x:c>
      <x:c r="H411" s="42" t="b">
        <x:v>0</x:v>
      </x:c>
      <x:c r="I411" s="42" t="b">
        <x:v>0</x:v>
      </x:c>
      <x:c r="J411" s="38" t="n">
        <x:v>0.220171371</x:v>
      </x:c>
    </x:row>
    <x:row r="412" ht="19" customHeight="1">
      <x:c r="A412" s="29" t="str">
        <x:v>stagger_1</x:v>
      </x:c>
      <x:c r="B412" s="38" t="str">
        <x:v>CMG</x:v>
      </x:c>
      <x:c r="C412" s="38" t="str">
        <x:v>Other sectors</x:v>
      </x:c>
      <x:c r="D412" s="30" t="n">
        <x:v>3</x:v>
      </x:c>
      <x:c r="E412" s="38" t="str">
        <x:v>XLF</x:v>
      </x:c>
      <x:c r="F412" s="38" t="n">
        <x:v>1.0098382687</x:v>
      </x:c>
      <x:c r="G412" s="38" t="n">
        <x:v>2.1298828079</x:v>
      </x:c>
      <x:c r="H412" s="42" t="b">
        <x:v>0</x:v>
      </x:c>
      <x:c r="I412" s="42" t="b">
        <x:v>0</x:v>
      </x:c>
      <x:c r="J412" s="38" t="n">
        <x:v>0.220171371</x:v>
      </x:c>
    </x:row>
    <x:row r="413" ht="19" customHeight="1">
      <x:c r="A413" s="29" t="str">
        <x:v>stagger_1</x:v>
      </x:c>
      <x:c r="B413" s="38" t="str">
        <x:v>CMG</x:v>
      </x:c>
      <x:c r="C413" s="38" t="str">
        <x:v>Other sectors</x:v>
      </x:c>
      <x:c r="D413" s="30" t="n">
        <x:v>3</x:v>
      </x:c>
      <x:c r="E413" s="38" t="str">
        <x:v>XLI</x:v>
      </x:c>
      <x:c r="F413" s="38" t="n">
        <x:v>-0.4649676816</x:v>
      </x:c>
      <x:c r="G413" s="38" t="n">
        <x:v>-1.0890828674</x:v>
      </x:c>
      <x:c r="H413" s="42" t="b">
        <x:v>0</x:v>
      </x:c>
      <x:c r="I413" s="42" t="b">
        <x:v>0</x:v>
      </x:c>
      <x:c r="J413" s="38" t="n">
        <x:v>0.220171371</x:v>
      </x:c>
    </x:row>
    <x:row r="414" ht="19" customHeight="1">
      <x:c r="A414" s="29" t="str">
        <x:v>stagger_1</x:v>
      </x:c>
      <x:c r="B414" s="38" t="str">
        <x:v>CMG</x:v>
      </x:c>
      <x:c r="C414" s="38" t="str">
        <x:v>Other sectors</x:v>
      </x:c>
      <x:c r="D414" s="30" t="n">
        <x:v>3</x:v>
      </x:c>
      <x:c r="E414" s="38" t="str">
        <x:v>XLK</x:v>
      </x:c>
      <x:c r="F414" s="38" t="n">
        <x:v>1.1810423835</x:v>
      </x:c>
      <x:c r="G414" s="38" t="n">
        <x:v>1.9978262925</x:v>
      </x:c>
      <x:c r="H414" s="42" t="b">
        <x:v>0</x:v>
      </x:c>
      <x:c r="I414" s="42" t="b">
        <x:v>0</x:v>
      </x:c>
      <x:c r="J414" s="38" t="n">
        <x:v>0.220171371</x:v>
      </x:c>
    </x:row>
    <x:row r="415" ht="19" customHeight="1">
      <x:c r="A415" s="29" t="str">
        <x:v>stagger_1</x:v>
      </x:c>
      <x:c r="B415" s="38" t="str">
        <x:v>CMG</x:v>
      </x:c>
      <x:c r="C415" s="38" t="str">
        <x:v>Other sectors</x:v>
      </x:c>
      <x:c r="D415" s="30" t="n">
        <x:v>3</x:v>
      </x:c>
      <x:c r="E415" s="38" t="str">
        <x:v>XLP</x:v>
      </x:c>
      <x:c r="F415" s="38" t="n">
        <x:v>1.4307030005</x:v>
      </x:c>
      <x:c r="G415" s="38" t="n">
        <x:v>3.058435766</x:v>
      </x:c>
      <x:c r="H415" s="42" t="b">
        <x:v>0</x:v>
      </x:c>
      <x:c r="I415" s="42" t="b">
        <x:v>0</x:v>
      </x:c>
      <x:c r="J415" s="38" t="n">
        <x:v>0.220171371</x:v>
      </x:c>
    </x:row>
    <x:row r="416" ht="19" customHeight="1">
      <x:c r="A416" s="29" t="str">
        <x:v>stagger_1</x:v>
      </x:c>
      <x:c r="B416" s="38" t="str">
        <x:v>CMG</x:v>
      </x:c>
      <x:c r="C416" s="38" t="str">
        <x:v>Other sectors</x:v>
      </x:c>
      <x:c r="D416" s="30" t="n">
        <x:v>3</x:v>
      </x:c>
      <x:c r="E416" s="38" t="str">
        <x:v>XLRE</x:v>
      </x:c>
      <x:c r="F416" s="38" t="n">
        <x:v>-0.5104180279</x:v>
      </x:c>
      <x:c r="G416" s="38" t="n">
        <x:v>-1.3464309399</x:v>
      </x:c>
      <x:c r="H416" s="42" t="b">
        <x:v>0</x:v>
      </x:c>
      <x:c r="I416" s="42" t="b">
        <x:v>0</x:v>
      </x:c>
      <x:c r="J416" s="38" t="n">
        <x:v>0.220171371</x:v>
      </x:c>
    </x:row>
    <x:row r="417" ht="19" customHeight="1">
      <x:c r="A417" s="29" t="str">
        <x:v>stagger_1</x:v>
      </x:c>
      <x:c r="B417" s="38" t="str">
        <x:v>CMG</x:v>
      </x:c>
      <x:c r="C417" s="38" t="str">
        <x:v>Other sectors</x:v>
      </x:c>
      <x:c r="D417" s="30" t="n">
        <x:v>3</x:v>
      </x:c>
      <x:c r="E417" s="38" t="str">
        <x:v>XLU</x:v>
      </x:c>
      <x:c r="F417" s="38" t="n">
        <x:v>0.3012496453</x:v>
      </x:c>
      <x:c r="G417" s="38" t="n">
        <x:v>0.9713892655</x:v>
      </x:c>
      <x:c r="H417" s="42" t="b">
        <x:v>1</x:v>
      </x:c>
      <x:c r="I417" s="42" t="b">
        <x:v>0</x:v>
      </x:c>
      <x:c r="J417" s="38" t="n">
        <x:v>0.220171371</x:v>
      </x:c>
    </x:row>
    <x:row r="418" ht="19" customHeight="1">
      <x:c r="A418" s="29" t="str">
        <x:v>stagger_1</x:v>
      </x:c>
      <x:c r="B418" s="38" t="str">
        <x:v>CMG</x:v>
      </x:c>
      <x:c r="C418" s="38" t="str">
        <x:v>Other sectors</x:v>
      </x:c>
      <x:c r="D418" s="30" t="n">
        <x:v>4</x:v>
      </x:c>
      <x:c r="E418" s="38" t="str">
        <x:v>XLC</x:v>
      </x:c>
      <x:c r="F418" s="38" t="n">
        <x:v>0.8103382143</x:v>
      </x:c>
      <x:c r="G418" s="38" t="n">
        <x:v>1.9229041284</x:v>
      </x:c>
      <x:c r="H418" s="42" t="b">
        <x:v>0</x:v>
      </x:c>
      <x:c r="I418" s="42" t="b">
        <x:v>0</x:v>
      </x:c>
      <x:c r="J418" s="38" t="n">
        <x:v>0.2098073704</x:v>
      </x:c>
    </x:row>
    <x:row r="419" ht="19" customHeight="1">
      <x:c r="A419" s="29" t="str">
        <x:v>stagger_1</x:v>
      </x:c>
      <x:c r="B419" s="38" t="str">
        <x:v>CMG</x:v>
      </x:c>
      <x:c r="C419" s="38" t="str">
        <x:v>Other sectors</x:v>
      </x:c>
      <x:c r="D419" s="30" t="n">
        <x:v>4</x:v>
      </x:c>
      <x:c r="E419" s="38" t="str">
        <x:v>XLE</x:v>
      </x:c>
      <x:c r="F419" s="38" t="n">
        <x:v>-0.2951312646</x:v>
      </x:c>
      <x:c r="G419" s="38" t="n">
        <x:v>-1.936613751</x:v>
      </x:c>
      <x:c r="H419" s="42" t="b">
        <x:v>0</x:v>
      </x:c>
      <x:c r="I419" s="42" t="b">
        <x:v>0</x:v>
      </x:c>
      <x:c r="J419" s="38" t="n">
        <x:v>0.2098073704</x:v>
      </x:c>
    </x:row>
    <x:row r="420" ht="19" customHeight="1">
      <x:c r="A420" s="29" t="str">
        <x:v>stagger_1</x:v>
      </x:c>
      <x:c r="B420" s="38" t="str">
        <x:v>CMG</x:v>
      </x:c>
      <x:c r="C420" s="38" t="str">
        <x:v>Other sectors</x:v>
      </x:c>
      <x:c r="D420" s="30" t="n">
        <x:v>4</x:v>
      </x:c>
      <x:c r="E420" s="38" t="str">
        <x:v>XLF</x:v>
      </x:c>
      <x:c r="F420" s="38" t="n">
        <x:v>0.9377189999</x:v>
      </x:c>
      <x:c r="G420" s="38" t="n">
        <x:v>2.0032614337</x:v>
      </x:c>
      <x:c r="H420" s="42" t="b">
        <x:v>0</x:v>
      </x:c>
      <x:c r="I420" s="42" t="b">
        <x:v>0</x:v>
      </x:c>
      <x:c r="J420" s="38" t="n">
        <x:v>0.2098073704</x:v>
      </x:c>
    </x:row>
    <x:row r="421" ht="19" customHeight="1">
      <x:c r="A421" s="29" t="str">
        <x:v>stagger_1</x:v>
      </x:c>
      <x:c r="B421" s="38" t="str">
        <x:v>CMG</x:v>
      </x:c>
      <x:c r="C421" s="38" t="str">
        <x:v>Other sectors</x:v>
      </x:c>
      <x:c r="D421" s="30" t="n">
        <x:v>4</x:v>
      </x:c>
      <x:c r="E421" s="38" t="str">
        <x:v>XLI</x:v>
      </x:c>
      <x:c r="F421" s="38" t="n">
        <x:v>-0.3913800274</x:v>
      </x:c>
      <x:c r="G421" s="38" t="n">
        <x:v>-0.9318666092</x:v>
      </x:c>
      <x:c r="H421" s="42" t="b">
        <x:v>1</x:v>
      </x:c>
      <x:c r="I421" s="42" t="b">
        <x:v>0</x:v>
      </x:c>
      <x:c r="J421" s="38" t="n">
        <x:v>0.2098073704</x:v>
      </x:c>
    </x:row>
    <x:row r="422" ht="19" customHeight="1">
      <x:c r="A422" s="29" t="str">
        <x:v>stagger_1</x:v>
      </x:c>
      <x:c r="B422" s="38" t="str">
        <x:v>CMG</x:v>
      </x:c>
      <x:c r="C422" s="38" t="str">
        <x:v>Other sectors</x:v>
      </x:c>
      <x:c r="D422" s="30" t="n">
        <x:v>4</x:v>
      </x:c>
      <x:c r="E422" s="38" t="str">
        <x:v>XLK</x:v>
      </x:c>
      <x:c r="F422" s="38" t="n">
        <x:v>1.0641335491</x:v>
      </x:c>
      <x:c r="G422" s="38" t="n">
        <x:v>1.8392911165</x:v>
      </x:c>
      <x:c r="H422" s="42" t="b">
        <x:v>0</x:v>
      </x:c>
      <x:c r="I422" s="42" t="b">
        <x:v>0</x:v>
      </x:c>
      <x:c r="J422" s="38" t="n">
        <x:v>0.2098073704</x:v>
      </x:c>
    </x:row>
    <x:row r="423" ht="19" customHeight="1">
      <x:c r="A423" s="29" t="str">
        <x:v>stagger_1</x:v>
      </x:c>
      <x:c r="B423" s="38" t="str">
        <x:v>CMG</x:v>
      </x:c>
      <x:c r="C423" s="38" t="str">
        <x:v>Other sectors</x:v>
      </x:c>
      <x:c r="D423" s="30" t="n">
        <x:v>4</x:v>
      </x:c>
      <x:c r="E423" s="38" t="str">
        <x:v>XLP</x:v>
      </x:c>
      <x:c r="F423" s="38" t="n">
        <x:v>1.4905575583</x:v>
      </x:c>
      <x:c r="G423" s="38" t="n">
        <x:v>3.2156549654</x:v>
      </x:c>
      <x:c r="H423" s="42" t="b">
        <x:v>0</x:v>
      </x:c>
      <x:c r="I423" s="42" t="b">
        <x:v>0</x:v>
      </x:c>
      <x:c r="J423" s="38" t="n">
        <x:v>0.2098073704</x:v>
      </x:c>
    </x:row>
    <x:row r="424" ht="19" customHeight="1">
      <x:c r="A424" s="29" t="str">
        <x:v>stagger_1</x:v>
      </x:c>
      <x:c r="B424" s="38" t="str">
        <x:v>CMG</x:v>
      </x:c>
      <x:c r="C424" s="38" t="str">
        <x:v>Other sectors</x:v>
      </x:c>
      <x:c r="D424" s="30" t="n">
        <x:v>4</x:v>
      </x:c>
      <x:c r="E424" s="38" t="str">
        <x:v>XLRE</x:v>
      </x:c>
      <x:c r="F424" s="38" t="n">
        <x:v>-0.4100398913</x:v>
      </x:c>
      <x:c r="G424" s="38" t="n">
        <x:v>-1.1246567445</x:v>
      </x:c>
      <x:c r="H424" s="42" t="b">
        <x:v>0</x:v>
      </x:c>
      <x:c r="I424" s="42" t="b">
        <x:v>0</x:v>
      </x:c>
      <x:c r="J424" s="38" t="n">
        <x:v>0.2098073704</x:v>
      </x:c>
    </x:row>
    <x:row r="425" ht="19" customHeight="1">
      <x:c r="A425" s="29" t="str">
        <x:v>stagger_1</x:v>
      </x:c>
      <x:c r="B425" s="38" t="str">
        <x:v>CMG</x:v>
      </x:c>
      <x:c r="C425" s="38" t="str">
        <x:v>Other sectors</x:v>
      </x:c>
      <x:c r="D425" s="30" t="n">
        <x:v>5</x:v>
      </x:c>
      <x:c r="E425" s="38" t="str">
        <x:v>XLC</x:v>
      </x:c>
      <x:c r="F425" s="38" t="n">
        <x:v>0.8984662283</x:v>
      </x:c>
      <x:c r="G425" s="38" t="n">
        <x:v>2.1898073884</x:v>
      </x:c>
      <x:c r="H425" s="42" t="b">
        <x:v>0</x:v>
      </x:c>
      <x:c r="I425" s="42" t="b">
        <x:v>0</x:v>
      </x:c>
      <x:c r="J425" s="38" t="n">
        <x:v>0.2002770396</x:v>
      </x:c>
    </x:row>
    <x:row r="426" ht="19" customHeight="1">
      <x:c r="A426" s="29" t="str">
        <x:v>stagger_1</x:v>
      </x:c>
      <x:c r="B426" s="38" t="str">
        <x:v>CMG</x:v>
      </x:c>
      <x:c r="C426" s="38" t="str">
        <x:v>Other sectors</x:v>
      </x:c>
      <x:c r="D426" s="30" t="n">
        <x:v>5</x:v>
      </x:c>
      <x:c r="E426" s="38" t="str">
        <x:v>XLE</x:v>
      </x:c>
      <x:c r="F426" s="38" t="n">
        <x:v>-0.3004391797</x:v>
      </x:c>
      <x:c r="G426" s="38" t="n">
        <x:v>-1.9746030942</x:v>
      </x:c>
      <x:c r="H426" s="42" t="b">
        <x:v>0</x:v>
      </x:c>
      <x:c r="I426" s="42" t="b">
        <x:v>0</x:v>
      </x:c>
      <x:c r="J426" s="38" t="n">
        <x:v>0.2002770396</x:v>
      </x:c>
    </x:row>
    <x:row r="427" ht="19" customHeight="1">
      <x:c r="A427" s="29" t="str">
        <x:v>stagger_1</x:v>
      </x:c>
      <x:c r="B427" s="38" t="str">
        <x:v>CMG</x:v>
      </x:c>
      <x:c r="C427" s="38" t="str">
        <x:v>Other sectors</x:v>
      </x:c>
      <x:c r="D427" s="30" t="n">
        <x:v>5</x:v>
      </x:c>
      <x:c r="E427" s="38" t="str">
        <x:v>XLF</x:v>
      </x:c>
      <x:c r="F427" s="38" t="n">
        <x:v>0.832794199</x:v>
      </x:c>
      <x:c r="G427" s="38" t="n">
        <x:v>1.8345805184</x:v>
      </x:c>
      <x:c r="H427" s="42" t="b">
        <x:v>0</x:v>
      </x:c>
      <x:c r="I427" s="42" t="b">
        <x:v>0</x:v>
      </x:c>
      <x:c r="J427" s="38" t="n">
        <x:v>0.2002770396</x:v>
      </x:c>
    </x:row>
    <x:row r="428" ht="19" customHeight="1">
      <x:c r="A428" s="29" t="str">
        <x:v>stagger_1</x:v>
      </x:c>
      <x:c r="B428" s="38" t="str">
        <x:v>CMG</x:v>
      </x:c>
      <x:c r="C428" s="38" t="str">
        <x:v>Other sectors</x:v>
      </x:c>
      <x:c r="D428" s="30" t="n">
        <x:v>5</x:v>
      </x:c>
      <x:c r="E428" s="38" t="str">
        <x:v>XLK</x:v>
      </x:c>
      <x:c r="F428" s="38" t="n">
        <x:v>1.0976503588</x:v>
      </x:c>
      <x:c r="G428" s="38" t="n">
        <x:v>1.9026158209</x:v>
      </x:c>
      <x:c r="H428" s="42" t="b">
        <x:v>0</x:v>
      </x:c>
      <x:c r="I428" s="42" t="b">
        <x:v>0</x:v>
      </x:c>
      <x:c r="J428" s="38" t="n">
        <x:v>0.2002770396</x:v>
      </x:c>
    </x:row>
    <x:row r="429" ht="19" customHeight="1">
      <x:c r="A429" s="29" t="str">
        <x:v>stagger_1</x:v>
      </x:c>
      <x:c r="B429" s="38" t="str">
        <x:v>CMG</x:v>
      </x:c>
      <x:c r="C429" s="38" t="str">
        <x:v>Other sectors</x:v>
      </x:c>
      <x:c r="D429" s="30" t="n">
        <x:v>5</x:v>
      </x:c>
      <x:c r="E429" s="38" t="str">
        <x:v>XLP</x:v>
      </x:c>
      <x:c r="F429" s="38" t="n">
        <x:v>1.3370224853</x:v>
      </x:c>
      <x:c r="G429" s="38" t="n">
        <x:v>3.088735059</x:v>
      </x:c>
      <x:c r="H429" s="42" t="b">
        <x:v>0</x:v>
      </x:c>
      <x:c r="I429" s="42" t="b">
        <x:v>0</x:v>
      </x:c>
      <x:c r="J429" s="38" t="n">
        <x:v>0.2002770396</x:v>
      </x:c>
    </x:row>
    <x:row r="430" ht="19" customHeight="1">
      <x:c r="A430" s="29" t="str">
        <x:v>stagger_1</x:v>
      </x:c>
      <x:c r="B430" s="38" t="str">
        <x:v>CMG</x:v>
      </x:c>
      <x:c r="C430" s="38" t="str">
        <x:v>Other sectors</x:v>
      </x:c>
      <x:c r="D430" s="30" t="n">
        <x:v>5</x:v>
      </x:c>
      <x:c r="E430" s="38" t="str">
        <x:v>XLRE</x:v>
      </x:c>
      <x:c r="F430" s="38" t="n">
        <x:v>-0.3801509311</x:v>
      </x:c>
      <x:c r="G430" s="38" t="n">
        <x:v>-1.047680674</x:v>
      </x:c>
      <x:c r="H430" s="42" t="b">
        <x:v>1</x:v>
      </x:c>
      <x:c r="I430" s="42" t="b">
        <x:v>0</x:v>
      </x:c>
      <x:c r="J430" s="38" t="n">
        <x:v>0.2002770396</x:v>
      </x:c>
    </x:row>
    <x:row r="431" ht="19" customHeight="1">
      <x:c r="A431" s="29" t="str">
        <x:v>stagger_1</x:v>
      </x:c>
      <x:c r="B431" s="38" t="str">
        <x:v>CMG</x:v>
      </x:c>
      <x:c r="C431" s="38" t="str">
        <x:v>Other sectors</x:v>
      </x:c>
      <x:c r="D431" s="30" t="n">
        <x:v>6</x:v>
      </x:c>
      <x:c r="E431" s="38" t="str">
        <x:v>XLC</x:v>
      </x:c>
      <x:c r="F431" s="38" t="n">
        <x:v>0.981648144</x:v>
      </x:c>
      <x:c r="G431" s="38" t="n">
        <x:v>2.4370318229</x:v>
      </x:c>
      <x:c r="H431" s="42" t="b">
        <x:v>0</x:v>
      </x:c>
      <x:c r="I431" s="42" t="b">
        <x:v>0</x:v>
      </x:c>
      <x:c r="J431" s="38" t="n">
        <x:v>0.1882523307</x:v>
      </x:c>
    </x:row>
    <x:row r="432" ht="19" customHeight="1">
      <x:c r="A432" s="29" t="str">
        <x:v>stagger_1</x:v>
      </x:c>
      <x:c r="B432" s="38" t="str">
        <x:v>CMG</x:v>
      </x:c>
      <x:c r="C432" s="38" t="str">
        <x:v>Other sectors</x:v>
      </x:c>
      <x:c r="D432" s="30" t="n">
        <x:v>6</x:v>
      </x:c>
      <x:c r="E432" s="38" t="str">
        <x:v>XLE</x:v>
      </x:c>
      <x:c r="F432" s="38" t="n">
        <x:v>-0.2910223106</x:v>
      </x:c>
      <x:c r="G432" s="38" t="n">
        <x:v>-1.9147952666</x:v>
      </x:c>
      <x:c r="H432" s="42" t="b">
        <x:v>0</x:v>
      </x:c>
      <x:c r="I432" s="42" t="b">
        <x:v>0</x:v>
      </x:c>
      <x:c r="J432" s="38" t="n">
        <x:v>0.1882523307</x:v>
      </x:c>
    </x:row>
    <x:row r="433" ht="19" customHeight="1">
      <x:c r="A433" s="29" t="str">
        <x:v>stagger_1</x:v>
      </x:c>
      <x:c r="B433" s="38" t="str">
        <x:v>CMG</x:v>
      </x:c>
      <x:c r="C433" s="38" t="str">
        <x:v>Other sectors</x:v>
      </x:c>
      <x:c r="D433" s="30" t="n">
        <x:v>6</x:v>
      </x:c>
      <x:c r="E433" s="38" t="str">
        <x:v>XLF</x:v>
      </x:c>
      <x:c r="F433" s="38" t="n">
        <x:v>0.8190564041</x:v>
      </x:c>
      <x:c r="G433" s="38" t="n">
        <x:v>1.8038808446</x:v>
      </x:c>
      <x:c r="H433" s="42" t="b">
        <x:v>1</x:v>
      </x:c>
      <x:c r="I433" s="42" t="b">
        <x:v>0</x:v>
      </x:c>
      <x:c r="J433" s="38" t="n">
        <x:v>0.1882523307</x:v>
      </x:c>
    </x:row>
    <x:row r="434" ht="19" customHeight="1">
      <x:c r="A434" s="29" t="str">
        <x:v>stagger_1</x:v>
      </x:c>
      <x:c r="B434" s="38" t="str">
        <x:v>CMG</x:v>
      </x:c>
      <x:c r="C434" s="38" t="str">
        <x:v>Other sectors</x:v>
      </x:c>
      <x:c r="D434" s="30" t="n">
        <x:v>6</x:v>
      </x:c>
      <x:c r="E434" s="38" t="str">
        <x:v>XLK</x:v>
      </x:c>
      <x:c r="F434" s="38" t="n">
        <x:v>1.2486778454</x:v>
      </x:c>
      <x:c r="G434" s="38" t="n">
        <x:v>2.2338318862</x:v>
      </x:c>
      <x:c r="H434" s="42" t="b">
        <x:v>0</x:v>
      </x:c>
      <x:c r="I434" s="42" t="b">
        <x:v>0</x:v>
      </x:c>
      <x:c r="J434" s="38" t="n">
        <x:v>0.1882523307</x:v>
      </x:c>
    </x:row>
    <x:row r="435" ht="19" customHeight="1">
      <x:c r="A435" s="29" t="str">
        <x:v>stagger_1</x:v>
      </x:c>
      <x:c r="B435" s="38" t="str">
        <x:v>CMG</x:v>
      </x:c>
      <x:c r="C435" s="38" t="str">
        <x:v>Other sectors</x:v>
      </x:c>
      <x:c r="D435" s="30" t="n">
        <x:v>6</x:v>
      </x:c>
      <x:c r="E435" s="38" t="str">
        <x:v>XLP</x:v>
      </x:c>
      <x:c r="F435" s="38" t="n">
        <x:v>1.1714893768</x:v>
      </x:c>
      <x:c r="G435" s="38" t="n">
        <x:v>2.9049694645</x:v>
      </x:c>
      <x:c r="H435" s="42" t="b">
        <x:v>0</x:v>
      </x:c>
      <x:c r="I435" s="42" t="b">
        <x:v>0</x:v>
      </x:c>
      <x:c r="J435" s="38" t="n">
        <x:v>0.1882523307</x:v>
      </x:c>
    </x:row>
    <x:row r="436" ht="19" customHeight="1">
      <x:c r="A436" s="29" t="str">
        <x:v>stagger_1</x:v>
      </x:c>
      <x:c r="B436" s="38" t="str">
        <x:v>CMG</x:v>
      </x:c>
      <x:c r="C436" s="38" t="str">
        <x:v>Other sectors</x:v>
      </x:c>
      <x:c r="D436" s="30" t="n">
        <x:v>7</x:v>
      </x:c>
      <x:c r="E436" s="38" t="str">
        <x:v>XLC</x:v>
      </x:c>
      <x:c r="F436" s="38" t="n">
        <x:v>0.7644236558</x:v>
      </x:c>
      <x:c r="G436" s="38" t="n">
        <x:v>1.9594748623</x:v>
      </x:c>
      <x:c r="H436" s="42" t="b">
        <x:v>0</x:v>
      </x:c>
      <x:c r="I436" s="42" t="b">
        <x:v>0</x:v>
      </x:c>
      <x:c r="J436" s="38" t="n">
        <x:v>0.1525575248</x:v>
      </x:c>
    </x:row>
    <x:row r="437" ht="19" customHeight="1">
      <x:c r="A437" s="29" t="str">
        <x:v>stagger_1</x:v>
      </x:c>
      <x:c r="B437" s="38" t="str">
        <x:v>CMG</x:v>
      </x:c>
      <x:c r="C437" s="38" t="str">
        <x:v>Other sectors</x:v>
      </x:c>
      <x:c r="D437" s="30" t="n">
        <x:v>7</x:v>
      </x:c>
      <x:c r="E437" s="38" t="str">
        <x:v>XLE</x:v>
      </x:c>
      <x:c r="F437" s="38" t="n">
        <x:v>-0.2918941181</x:v>
      </x:c>
      <x:c r="G437" s="38" t="n">
        <x:v>-1.8923165307</x:v>
      </x:c>
      <x:c r="H437" s="42" t="b">
        <x:v>0</x:v>
      </x:c>
      <x:c r="I437" s="42" t="b">
        <x:v>0</x:v>
      </x:c>
      <x:c r="J437" s="38" t="n">
        <x:v>0.1525575248</x:v>
      </x:c>
    </x:row>
    <x:row r="438" ht="19" customHeight="1">
      <x:c r="A438" s="29" t="str">
        <x:v>stagger_1</x:v>
      </x:c>
      <x:c r="B438" s="38" t="str">
        <x:v>CMG</x:v>
      </x:c>
      <x:c r="C438" s="38" t="str">
        <x:v>Other sectors</x:v>
      </x:c>
      <x:c r="D438" s="30" t="n">
        <x:v>7</x:v>
      </x:c>
      <x:c r="E438" s="38" t="str">
        <x:v>XLK</x:v>
      </x:c>
      <x:c r="F438" s="38" t="n">
        <x:v>0.5823176752</x:v>
      </x:c>
      <x:c r="G438" s="38" t="n">
        <x:v>1.3676275927</x:v>
      </x:c>
      <x:c r="H438" s="42" t="b">
        <x:v>1</x:v>
      </x:c>
      <x:c r="I438" s="42" t="b">
        <x:v>0</x:v>
      </x:c>
      <x:c r="J438" s="38" t="n">
        <x:v>0.1525575248</x:v>
      </x:c>
    </x:row>
    <x:row r="439" ht="19" customHeight="1">
      <x:c r="A439" s="29" t="str">
        <x:v>stagger_1</x:v>
      </x:c>
      <x:c r="B439" s="38" t="str">
        <x:v>CMG</x:v>
      </x:c>
      <x:c r="C439" s="38" t="str">
        <x:v>Other sectors</x:v>
      </x:c>
      <x:c r="D439" s="30" t="n">
        <x:v>7</x:v>
      </x:c>
      <x:c r="E439" s="38" t="str">
        <x:v>XLP</x:v>
      </x:c>
      <x:c r="F439" s="38" t="n">
        <x:v>0.8636090988</x:v>
      </x:c>
      <x:c r="G439" s="38" t="n">
        <x:v>2.3289057158</x:v>
      </x:c>
      <x:c r="H439" s="42" t="b">
        <x:v>0</x:v>
      </x:c>
      <x:c r="I439" s="42" t="b">
        <x:v>0</x:v>
      </x:c>
      <x:c r="J439" s="38" t="n">
        <x:v>0.1525575248</x:v>
      </x:c>
    </x:row>
    <x:row r="440" ht="19" customHeight="1">
      <x:c r="A440" s="29" t="str">
        <x:v>stagger_1</x:v>
      </x:c>
      <x:c r="B440" s="38" t="str">
        <x:v>CMG</x:v>
      </x:c>
      <x:c r="C440" s="38" t="str">
        <x:v>Other sectors</x:v>
      </x:c>
      <x:c r="D440" s="30" t="n">
        <x:v>8</x:v>
      </x:c>
      <x:c r="E440" s="38" t="str">
        <x:v>XLC</x:v>
      </x:c>
      <x:c r="F440" s="38" t="n">
        <x:v>0.5486549739</x:v>
      </x:c>
      <x:c r="G440" s="38" t="n">
        <x:v>1.5290168969</x:v>
      </x:c>
      <x:c r="H440" s="42" t="b">
        <x:v>1</x:v>
      </x:c>
      <x:c r="I440" s="42" t="b">
        <x:v>0</x:v>
      </x:c>
      <x:c r="J440" s="38" t="n">
        <x:v>0.1314233803</x:v>
      </x:c>
    </x:row>
    <x:row r="441" ht="19" customHeight="1">
      <x:c r="A441" s="29" t="str">
        <x:v>stagger_1</x:v>
      </x:c>
      <x:c r="B441" s="38" t="str">
        <x:v>CMG</x:v>
      </x:c>
      <x:c r="C441" s="38" t="str">
        <x:v>Other sectors</x:v>
      </x:c>
      <x:c r="D441" s="30" t="n">
        <x:v>8</x:v>
      </x:c>
      <x:c r="E441" s="38" t="str">
        <x:v>XLE</x:v>
      </x:c>
      <x:c r="F441" s="38" t="n">
        <x:v>-0.3743692239</x:v>
      </x:c>
      <x:c r="G441" s="38" t="n">
        <x:v>-2.6218869508</x:v>
      </x:c>
      <x:c r="H441" s="42" t="b">
        <x:v>0</x:v>
      </x:c>
      <x:c r="I441" s="42" t="b">
        <x:v>0</x:v>
      </x:c>
      <x:c r="J441" s="38" t="n">
        <x:v>0.1314233803</x:v>
      </x:c>
    </x:row>
    <x:row r="442" ht="19" customHeight="1">
      <x:c r="A442" s="29" t="str">
        <x:v>stagger_1</x:v>
      </x:c>
      <x:c r="B442" s="38" t="str">
        <x:v>CMG</x:v>
      </x:c>
      <x:c r="C442" s="38" t="str">
        <x:v>Other sectors</x:v>
      </x:c>
      <x:c r="D442" s="30" t="n">
        <x:v>8</x:v>
      </x:c>
      <x:c r="E442" s="38" t="str">
        <x:v>XLP</x:v>
      </x:c>
      <x:c r="F442" s="38" t="n">
        <x:v>0.6055169058</x:v>
      </x:c>
      <x:c r="G442" s="38" t="n">
        <x:v>1.8861499714</x:v>
      </x:c>
      <x:c r="H442" s="42" t="b">
        <x:v>0</x:v>
      </x:c>
      <x:c r="I442" s="42" t="b">
        <x:v>0</x:v>
      </x:c>
      <x:c r="J442" s="38" t="n">
        <x:v>0.1314233803</x:v>
      </x:c>
    </x:row>
    <x:row r="443" ht="19" customHeight="1">
      <x:c r="A443" s="29" t="str">
        <x:v>stagger_1</x:v>
      </x:c>
      <x:c r="B443" s="38" t="str">
        <x:v>CMG</x:v>
      </x:c>
      <x:c r="C443" s="38" t="str">
        <x:v>Other sectors</x:v>
      </x:c>
      <x:c r="D443" s="30" t="n">
        <x:v>9</x:v>
      </x:c>
      <x:c r="E443" s="38" t="str">
        <x:v>XLE</x:v>
      </x:c>
      <x:c r="F443" s="38" t="n">
        <x:v>-0.3613345304</x:v>
      </x:c>
      <x:c r="G443" s="38" t="n">
        <x:v>-2.5133798245</x:v>
      </x:c>
      <x:c r="H443" s="42" t="b">
        <x:v>0</x:v>
      </x:c>
      <x:c r="I443" s="42" t="b">
        <x:v>0</x:v>
      </x:c>
      <x:c r="J443" s="38" t="n">
        <x:v>0.1047044472</x:v>
      </x:c>
    </x:row>
    <x:row r="444" ht="19" customHeight="1">
      <x:c r="A444" s="29" t="str">
        <x:v>stagger_1</x:v>
      </x:c>
      <x:c r="B444" s="38" t="str">
        <x:v>CMG</x:v>
      </x:c>
      <x:c r="C444" s="38" t="str">
        <x:v>Other sectors</x:v>
      </x:c>
      <x:c r="D444" s="30" t="n">
        <x:v>9</x:v>
      </x:c>
      <x:c r="E444" s="38" t="str">
        <x:v>XLP</x:v>
      </x:c>
      <x:c r="F444" s="38" t="n">
        <x:v>0.631510996</x:v>
      </x:c>
      <x:c r="G444" s="38" t="n">
        <x:v>1.9529903043</x:v>
      </x:c>
      <x:c r="H444" s="42" t="b">
        <x:v>1</x:v>
      </x:c>
      <x:c r="I444" s="42" t="b">
        <x:v>0</x:v>
      </x:c>
      <x:c r="J444" s="38" t="n">
        <x:v>0.1047044472</x:v>
      </x:c>
    </x:row>
    <x:row r="445" ht="19" customHeight="1">
      <x:c r="A445" s="29" t="str">
        <x:v>stagger_1</x:v>
      </x:c>
      <x:c r="B445" s="38" t="str">
        <x:v>CMG</x:v>
      </x:c>
      <x:c r="C445" s="38" t="str">
        <x:v>Other sectors</x:v>
      </x:c>
      <x:c r="D445" s="30" t="n">
        <x:v>10</x:v>
      </x:c>
      <x:c r="E445" s="38" t="str">
        <x:v>XLE</x:v>
      </x:c>
      <x:c r="F445" s="38" t="n">
        <x:v>-0.3247562354</x:v>
      </x:c>
      <x:c r="G445" s="38" t="n">
        <x:v>-2.2383440814</x:v>
      </x:c>
      <x:c r="H445" s="42" t="b">
        <x:v>0</x:v>
      </x:c>
      <x:c r="I445" s="42" t="b">
        <x:v>1</x:v>
      </x:c>
      <x:c r="J445" s="38" t="n">
        <x:v>0.0603562596</x:v>
      </x:c>
    </x:row>
    <x:row r="446" ht="19" customHeight="1">
      <x:c r="A446" s="29" t="str">
        <x:v>stagger_1</x:v>
      </x:c>
      <x:c r="B446" s="38" t="str">
        <x:v>AMZN</x:v>
      </x:c>
      <x:c r="C446" s="38" t="str">
        <x:v>Other FX</x:v>
      </x:c>
      <x:c r="D446" s="30" t="n">
        <x:v>1</x:v>
      </x:c>
      <x:c r="E446" s="38" t="str">
        <x:v>AUD/USD</x:v>
      </x:c>
      <x:c r="F446" s="38" t="n">
        <x:v>0.7065472382</x:v>
      </x:c>
      <x:c r="G446" s="38" t="n">
        <x:v>0.9591369099</x:v>
      </x:c>
      <x:c r="H446" s="42" t="b">
        <x:v>0</x:v>
      </x:c>
      <x:c r="I446" s="42" t="b">
        <x:v>0</x:v>
      </x:c>
      <x:c r="J446" s="38" t="n">
        <x:v>0.1265577776</x:v>
      </x:c>
    </x:row>
    <x:row r="447" ht="19" customHeight="1">
      <x:c r="A447" s="29" t="str">
        <x:v>stagger_1</x:v>
      </x:c>
      <x:c r="B447" s="38" t="str">
        <x:v>AMZN</x:v>
      </x:c>
      <x:c r="C447" s="38" t="str">
        <x:v>Other FX</x:v>
      </x:c>
      <x:c r="D447" s="30" t="n">
        <x:v>1</x:v>
      </x:c>
      <x:c r="E447" s="38" t="str">
        <x:v>CAD/USD</x:v>
      </x:c>
      <x:c r="F447" s="38" t="n">
        <x:v>-0.3565061915</x:v>
      </x:c>
      <x:c r="G447" s="38" t="n">
        <x:v>-0.4007771837</x:v>
      </x:c>
      <x:c r="H447" s="42" t="b">
        <x:v>1</x:v>
      </x:c>
      <x:c r="I447" s="42" t="b">
        <x:v>0</x:v>
      </x:c>
      <x:c r="J447" s="38" t="n">
        <x:v>0.1265577776</x:v>
      </x:c>
    </x:row>
    <x:row r="448" ht="19" customHeight="1">
      <x:c r="A448" s="29" t="str">
        <x:v>stagger_1</x:v>
      </x:c>
      <x:c r="B448" s="38" t="str">
        <x:v>AMZN</x:v>
      </x:c>
      <x:c r="C448" s="38" t="str">
        <x:v>Other FX</x:v>
      </x:c>
      <x:c r="D448" s="30" t="n">
        <x:v>1</x:v>
      </x:c>
      <x:c r="E448" s="38" t="str">
        <x:v>DKK/USD</x:v>
      </x:c>
      <x:c r="F448" s="38" t="n">
        <x:v>13.496165539</x:v>
      </x:c>
      <x:c r="G448" s="38" t="n">
        <x:v>2.1793419289</x:v>
      </x:c>
      <x:c r="H448" s="42" t="b">
        <x:v>0</x:v>
      </x:c>
      <x:c r="I448" s="42" t="b">
        <x:v>0</x:v>
      </x:c>
      <x:c r="J448" s="38" t="n">
        <x:v>0.1265577776</x:v>
      </x:c>
    </x:row>
    <x:row r="449" ht="19" customHeight="1">
      <x:c r="A449" s="29" t="str">
        <x:v>stagger_1</x:v>
      </x:c>
      <x:c r="B449" s="38" t="str">
        <x:v>AMZN</x:v>
      </x:c>
      <x:c r="C449" s="38" t="str">
        <x:v>Other FX</x:v>
      </x:c>
      <x:c r="D449" s="30" t="n">
        <x:v>1</x:v>
      </x:c>
      <x:c r="E449" s="38" t="str">
        <x:v>EUR/USD</x:v>
      </x:c>
      <x:c r="F449" s="38" t="n">
        <x:v>-12.9997408429</x:v>
      </x:c>
      <x:c r="G449" s="38" t="n">
        <x:v>-2.2949072717</x:v>
      </x:c>
      <x:c r="H449" s="42" t="b">
        <x:v>0</x:v>
      </x:c>
      <x:c r="I449" s="42" t="b">
        <x:v>0</x:v>
      </x:c>
      <x:c r="J449" s="38" t="n">
        <x:v>0.1265577776</x:v>
      </x:c>
    </x:row>
    <x:row r="450" ht="19" customHeight="1">
      <x:c r="A450" s="29" t="str">
        <x:v>stagger_1</x:v>
      </x:c>
      <x:c r="B450" s="38" t="str">
        <x:v>AMZN</x:v>
      </x:c>
      <x:c r="C450" s="38" t="str">
        <x:v>Other FX</x:v>
      </x:c>
      <x:c r="D450" s="30" t="n">
        <x:v>1</x:v>
      </x:c>
      <x:c r="E450" s="38" t="str">
        <x:v>MXN/USD</x:v>
      </x:c>
      <x:c r="F450" s="38" t="n">
        <x:v>0.2936786448</x:v>
      </x:c>
      <x:c r="G450" s="38" t="n">
        <x:v>0.6222899361</x:v>
      </x:c>
      <x:c r="H450" s="42" t="b">
        <x:v>0</x:v>
      </x:c>
      <x:c r="I450" s="42" t="b">
        <x:v>0</x:v>
      </x:c>
      <x:c r="J450" s="38" t="n">
        <x:v>0.1265577776</x:v>
      </x:c>
    </x:row>
    <x:row r="451" ht="19" customHeight="1">
      <x:c r="A451" s="29" t="str">
        <x:v>stagger_1</x:v>
      </x:c>
      <x:c r="B451" s="38" t="str">
        <x:v>AMZN</x:v>
      </x:c>
      <x:c r="C451" s="38" t="str">
        <x:v>Other FX</x:v>
      </x:c>
      <x:c r="D451" s="30" t="n">
        <x:v>1</x:v>
      </x:c>
      <x:c r="E451" s="38" t="str">
        <x:v>SGD/USD</x:v>
      </x:c>
      <x:c r="F451" s="38" t="n">
        <x:v>-0.7371655982</x:v>
      </x:c>
      <x:c r="G451" s="38" t="n">
        <x:v>-0.4133090765</x:v>
      </x:c>
      <x:c r="H451" s="42" t="b">
        <x:v>0</x:v>
      </x:c>
      <x:c r="I451" s="42" t="b">
        <x:v>0</x:v>
      </x:c>
      <x:c r="J451" s="38" t="n">
        <x:v>0.1265577776</x:v>
      </x:c>
    </x:row>
    <x:row r="452" ht="19" customHeight="1">
      <x:c r="A452" s="29" t="str">
        <x:v>stagger_1</x:v>
      </x:c>
      <x:c r="B452" s="38" t="str">
        <x:v>AMZN</x:v>
      </x:c>
      <x:c r="C452" s="38" t="str">
        <x:v>Other FX</x:v>
      </x:c>
      <x:c r="D452" s="30" t="n">
        <x:v>2</x:v>
      </x:c>
      <x:c r="E452" s="38" t="str">
        <x:v>AUD/USD</x:v>
      </x:c>
      <x:c r="F452" s="38" t="n">
        <x:v>0.6347049105</x:v>
      </x:c>
      <x:c r="G452" s="38" t="n">
        <x:v>0.8933945328</x:v>
      </x:c>
      <x:c r="H452" s="42" t="b">
        <x:v>0</x:v>
      </x:c>
      <x:c r="I452" s="42" t="b">
        <x:v>0</x:v>
      </x:c>
      <x:c r="J452" s="38" t="n">
        <x:v>0.1246359372</x:v>
      </x:c>
    </x:row>
    <x:row r="453" ht="19" customHeight="1">
      <x:c r="A453" s="29" t="str">
        <x:v>stagger_1</x:v>
      </x:c>
      <x:c r="B453" s="38" t="str">
        <x:v>AMZN</x:v>
      </x:c>
      <x:c r="C453" s="38" t="str">
        <x:v>Other FX</x:v>
      </x:c>
      <x:c r="D453" s="30" t="n">
        <x:v>2</x:v>
      </x:c>
      <x:c r="E453" s="38" t="str">
        <x:v>DKK/USD</x:v>
      </x:c>
      <x:c r="F453" s="38" t="n">
        <x:v>13.2492040295</x:v>
      </x:c>
      <x:c r="G453" s="38" t="n">
        <x:v>2.1624328816</x:v>
      </x:c>
      <x:c r="H453" s="42" t="b">
        <x:v>0</x:v>
      </x:c>
      <x:c r="I453" s="42" t="b">
        <x:v>0</x:v>
      </x:c>
      <x:c r="J453" s="38" t="n">
        <x:v>0.1246359372</x:v>
      </x:c>
    </x:row>
    <x:row r="454" ht="19" customHeight="1">
      <x:c r="A454" s="29" t="str">
        <x:v>stagger_1</x:v>
      </x:c>
      <x:c r="B454" s="38" t="str">
        <x:v>AMZN</x:v>
      </x:c>
      <x:c r="C454" s="38" t="str">
        <x:v>Other FX</x:v>
      </x:c>
      <x:c r="D454" s="30" t="n">
        <x:v>2</x:v>
      </x:c>
      <x:c r="E454" s="38" t="str">
        <x:v>EUR/USD</x:v>
      </x:c>
      <x:c r="F454" s="38" t="n">
        <x:v>-12.8618748925</x:v>
      </x:c>
      <x:c r="G454" s="38" t="n">
        <x:v>-2.287779539</x:v>
      </x:c>
      <x:c r="H454" s="42" t="b">
        <x:v>0</x:v>
      </x:c>
      <x:c r="I454" s="42" t="b">
        <x:v>0</x:v>
      </x:c>
      <x:c r="J454" s="38" t="n">
        <x:v>0.1246359372</x:v>
      </x:c>
    </x:row>
    <x:row r="455" ht="19" customHeight="1">
      <x:c r="A455" s="29" t="str">
        <x:v>stagger_1</x:v>
      </x:c>
      <x:c r="B455" s="38" t="str">
        <x:v>AMZN</x:v>
      </x:c>
      <x:c r="C455" s="38" t="str">
        <x:v>Other FX</x:v>
      </x:c>
      <x:c r="D455" s="30" t="n">
        <x:v>2</x:v>
      </x:c>
      <x:c r="E455" s="38" t="str">
        <x:v>MXN/USD</x:v>
      </x:c>
      <x:c r="F455" s="38" t="n">
        <x:v>0.2974658139</x:v>
      </x:c>
      <x:c r="G455" s="38" t="n">
        <x:v>0.6340473819</x:v>
      </x:c>
      <x:c r="H455" s="42" t="b">
        <x:v>0</x:v>
      </x:c>
      <x:c r="I455" s="42" t="b">
        <x:v>0</x:v>
      </x:c>
      <x:c r="J455" s="38" t="n">
        <x:v>0.1246359372</x:v>
      </x:c>
    </x:row>
    <x:row r="456" ht="19" customHeight="1">
      <x:c r="A456" s="29" t="str">
        <x:v>stagger_1</x:v>
      </x:c>
      <x:c r="B456" s="38" t="str">
        <x:v>AMZN</x:v>
      </x:c>
      <x:c r="C456" s="38" t="str">
        <x:v>Other FX</x:v>
      </x:c>
      <x:c r="D456" s="30" t="n">
        <x:v>2</x:v>
      </x:c>
      <x:c r="E456" s="38" t="str">
        <x:v>SGD/USD</x:v>
      </x:c>
      <x:c r="F456" s="38" t="n">
        <x:v>-0.7389168968</x:v>
      </x:c>
      <x:c r="G456" s="38" t="n">
        <x:v>-0.4166620522</x:v>
      </x:c>
      <x:c r="H456" s="42" t="b">
        <x:v>1</x:v>
      </x:c>
      <x:c r="I456" s="42" t="b">
        <x:v>0</x:v>
      </x:c>
      <x:c r="J456" s="38" t="n">
        <x:v>0.1246359372</x:v>
      </x:c>
    </x:row>
    <x:row r="457" ht="19" customHeight="1">
      <x:c r="A457" s="29" t="str">
        <x:v>stagger_1</x:v>
      </x:c>
      <x:c r="B457" s="38" t="str">
        <x:v>AMZN</x:v>
      </x:c>
      <x:c r="C457" s="38" t="str">
        <x:v>Other FX</x:v>
      </x:c>
      <x:c r="D457" s="30" t="n">
        <x:v>3</x:v>
      </x:c>
      <x:c r="E457" s="38" t="str">
        <x:v>AUD/USD</x:v>
      </x:c>
      <x:c r="F457" s="38" t="n">
        <x:v>0.4931513535</x:v>
      </x:c>
      <x:c r="G457" s="38" t="n">
        <x:v>0.7947647027</x:v>
      </x:c>
      <x:c r="H457" s="42" t="b">
        <x:v>0</x:v>
      </x:c>
      <x:c r="I457" s="42" t="b">
        <x:v>0</x:v>
      </x:c>
      <x:c r="J457" s="38" t="n">
        <x:v>0.1225822945</x:v>
      </x:c>
    </x:row>
    <x:row r="458" ht="19" customHeight="1">
      <x:c r="A458" s="29" t="str">
        <x:v>stagger_1</x:v>
      </x:c>
      <x:c r="B458" s="38" t="str">
        <x:v>AMZN</x:v>
      </x:c>
      <x:c r="C458" s="38" t="str">
        <x:v>Other FX</x:v>
      </x:c>
      <x:c r="D458" s="30" t="n">
        <x:v>3</x:v>
      </x:c>
      <x:c r="E458" s="38" t="str">
        <x:v>DKK/USD</x:v>
      </x:c>
      <x:c r="F458" s="38" t="n">
        <x:v>12.2631005444</x:v>
      </x:c>
      <x:c r="G458" s="38" t="n">
        <x:v>2.1819588348</x:v>
      </x:c>
      <x:c r="H458" s="42" t="b">
        <x:v>0</x:v>
      </x:c>
      <x:c r="I458" s="42" t="b">
        <x:v>0</x:v>
      </x:c>
      <x:c r="J458" s="38" t="n">
        <x:v>0.1225822945</x:v>
      </x:c>
    </x:row>
    <x:row r="459" ht="19" customHeight="1">
      <x:c r="A459" s="29" t="str">
        <x:v>stagger_1</x:v>
      </x:c>
      <x:c r="B459" s="38" t="str">
        <x:v>AMZN</x:v>
      </x:c>
      <x:c r="C459" s="38" t="str">
        <x:v>Other FX</x:v>
      </x:c>
      <x:c r="D459" s="30" t="n">
        <x:v>3</x:v>
      </x:c>
      <x:c r="E459" s="38" t="str">
        <x:v>EUR/USD</x:v>
      </x:c>
      <x:c r="F459" s="38" t="n">
        <x:v>-12.1620846621</x:v>
      </x:c>
      <x:c r="G459" s="38" t="n">
        <x:v>-2.2794141795</x:v>
      </x:c>
      <x:c r="H459" s="42" t="b">
        <x:v>0</x:v>
      </x:c>
      <x:c r="I459" s="42" t="b">
        <x:v>0</x:v>
      </x:c>
      <x:c r="J459" s="38" t="n">
        <x:v>0.1225822945</x:v>
      </x:c>
    </x:row>
    <x:row r="460" ht="19" customHeight="1">
      <x:c r="A460" s="29" t="str">
        <x:v>stagger_1</x:v>
      </x:c>
      <x:c r="B460" s="38" t="str">
        <x:v>AMZN</x:v>
      </x:c>
      <x:c r="C460" s="38" t="str">
        <x:v>Other FX</x:v>
      </x:c>
      <x:c r="D460" s="30" t="n">
        <x:v>3</x:v>
      </x:c>
      <x:c r="E460" s="38" t="str">
        <x:v>MXN/USD</x:v>
      </x:c>
      <x:c r="F460" s="38" t="n">
        <x:v>0.3185052044</x:v>
      </x:c>
      <x:c r="G460" s="38" t="n">
        <x:v>0.6866529441</x:v>
      </x:c>
      <x:c r="H460" s="42" t="b">
        <x:v>1</x:v>
      </x:c>
      <x:c r="I460" s="42" t="b">
        <x:v>0</x:v>
      </x:c>
      <x:c r="J460" s="38" t="n">
        <x:v>0.1225822945</x:v>
      </x:c>
    </x:row>
    <x:row r="461" ht="19" customHeight="1">
      <x:c r="A461" s="29" t="str">
        <x:v>stagger_1</x:v>
      </x:c>
      <x:c r="B461" s="38" t="str">
        <x:v>AMZN</x:v>
      </x:c>
      <x:c r="C461" s="38" t="str">
        <x:v>Other FX</x:v>
      </x:c>
      <x:c r="D461" s="30" t="n">
        <x:v>4</x:v>
      </x:c>
      <x:c r="E461" s="38" t="str">
        <x:v>AUD/USD</x:v>
      </x:c>
      <x:c r="F461" s="38" t="n">
        <x:v>0.5599360769</x:v>
      </x:c>
      <x:c r="G461" s="38" t="n">
        <x:v>0.9168830713</x:v>
      </x:c>
      <x:c r="H461" s="42" t="b">
        <x:v>1</x:v>
      </x:c>
      <x:c r="I461" s="42" t="b">
        <x:v>0</x:v>
      </x:c>
      <x:c r="J461" s="38" t="n">
        <x:v>0.1170663524</x:v>
      </x:c>
    </x:row>
    <x:row r="462" ht="19" customHeight="1">
      <x:c r="A462" s="29" t="str">
        <x:v>stagger_1</x:v>
      </x:c>
      <x:c r="B462" s="38" t="str">
        <x:v>AMZN</x:v>
      </x:c>
      <x:c r="C462" s="38" t="str">
        <x:v>Other FX</x:v>
      </x:c>
      <x:c r="D462" s="30" t="n">
        <x:v>4</x:v>
      </x:c>
      <x:c r="E462" s="38" t="str">
        <x:v>DKK/USD</x:v>
      </x:c>
      <x:c r="F462" s="38" t="n">
        <x:v>13.3592564518</x:v>
      </x:c>
      <x:c r="G462" s="38" t="n">
        <x:v>2.4877708815</x:v>
      </x:c>
      <x:c r="H462" s="42" t="b">
        <x:v>0</x:v>
      </x:c>
      <x:c r="I462" s="42" t="b">
        <x:v>0</x:v>
      </x:c>
      <x:c r="J462" s="38" t="n">
        <x:v>0.1170663524</x:v>
      </x:c>
    </x:row>
    <x:row r="463" ht="19" customHeight="1">
      <x:c r="A463" s="29" t="str">
        <x:v>stagger_1</x:v>
      </x:c>
      <x:c r="B463" s="38" t="str">
        <x:v>AMZN</x:v>
      </x:c>
      <x:c r="C463" s="38" t="str">
        <x:v>Other FX</x:v>
      </x:c>
      <x:c r="D463" s="30" t="n">
        <x:v>4</x:v>
      </x:c>
      <x:c r="E463" s="38" t="str">
        <x:v>EUR/USD</x:v>
      </x:c>
      <x:c r="F463" s="38" t="n">
        <x:v>-13.0510198012</x:v>
      </x:c>
      <x:c r="G463" s="38" t="n">
        <x:v>-2.5301732085</x:v>
      </x:c>
      <x:c r="H463" s="42" t="b">
        <x:v>0</x:v>
      </x:c>
      <x:c r="I463" s="42" t="b">
        <x:v>0</x:v>
      </x:c>
      <x:c r="J463" s="38" t="n">
        <x:v>0.1170663524</x:v>
      </x:c>
    </x:row>
    <x:row r="464" ht="19" customHeight="1">
      <x:c r="A464" s="29" t="str">
        <x:v>stagger_1</x:v>
      </x:c>
      <x:c r="B464" s="38" t="str">
        <x:v>AMZN</x:v>
      </x:c>
      <x:c r="C464" s="38" t="str">
        <x:v>Other FX</x:v>
      </x:c>
      <x:c r="D464" s="30" t="n">
        <x:v>5</x:v>
      </x:c>
      <x:c r="E464" s="38" t="str">
        <x:v>DKK/USD</x:v>
      </x:c>
      <x:c r="F464" s="38" t="n">
        <x:v>14.9064040447</x:v>
      </x:c>
      <x:c r="G464" s="38" t="n">
        <x:v>2.92701965</x:v>
      </x:c>
      <x:c r="H464" s="42" t="b">
        <x:v>0</x:v>
      </x:c>
      <x:c r="I464" s="42" t="b">
        <x:v>1</x:v>
      </x:c>
      <x:c r="J464" s="38" t="n">
        <x:v>0.1072997752</x:v>
      </x:c>
    </x:row>
    <x:row r="465" ht="19" customHeight="1">
      <x:c r="A465" s="29" t="str">
        <x:v>stagger_1</x:v>
      </x:c>
      <x:c r="B465" s="38" t="str">
        <x:v>AMZN</x:v>
      </x:c>
      <x:c r="C465" s="38" t="str">
        <x:v>Other FX</x:v>
      </x:c>
      <x:c r="D465" s="30" t="n">
        <x:v>5</x:v>
      </x:c>
      <x:c r="E465" s="38" t="str">
        <x:v>EUR/USD</x:v>
      </x:c>
      <x:c r="F465" s="38" t="n">
        <x:v>-14.1551632868</x:v>
      </x:c>
      <x:c r="G465" s="38" t="n">
        <x:v>-2.8251453791</x:v>
      </x:c>
      <x:c r="H465" s="42" t="b">
        <x:v>0</x:v>
      </x:c>
      <x:c r="I465" s="42" t="b">
        <x:v>1</x:v>
      </x:c>
      <x:c r="J465" s="38" t="n">
        <x:v>0.1072997752</x:v>
      </x:c>
    </x:row>
    <x:row r="466" ht="19" customHeight="1">
      <x:c r="A466" s="29" t="str">
        <x:v>stagger_1</x:v>
      </x:c>
      <x:c r="B466" s="38" t="str">
        <x:v>AMZN</x:v>
      </x:c>
      <x:c r="C466" s="38" t="str">
        <x:v>Other sectors</x:v>
      </x:c>
      <x:c r="D466" s="30" t="n">
        <x:v>1</x:v>
      </x:c>
      <x:c r="E466" s="38" t="str">
        <x:v>XLB</x:v>
      </x:c>
      <x:c r="F466" s="38" t="n">
        <x:v>-0.5667613607</x:v>
      </x:c>
      <x:c r="G466" s="38" t="n">
        <x:v>-1.9619234177</x:v>
      </x:c>
      <x:c r="H466" s="42" t="b">
        <x:v>0</x:v>
      </x:c>
      <x:c r="I466" s="42" t="b">
        <x:v>0</x:v>
      </x:c>
      <x:c r="J466" s="38" t="n">
        <x:v>0.3343106431</x:v>
      </x:c>
    </x:row>
    <x:row r="467" ht="19" customHeight="1">
      <x:c r="A467" s="29" t="str">
        <x:v>stagger_1</x:v>
      </x:c>
      <x:c r="B467" s="38" t="str">
        <x:v>AMZN</x:v>
      </x:c>
      <x:c r="C467" s="38" t="str">
        <x:v>Other sectors</x:v>
      </x:c>
      <x:c r="D467" s="30" t="n">
        <x:v>1</x:v>
      </x:c>
      <x:c r="E467" s="38" t="str">
        <x:v>XLC</x:v>
      </x:c>
      <x:c r="F467" s="38" t="n">
        <x:v>-0.0621324363</x:v>
      </x:c>
      <x:c r="G467" s="38" t="n">
        <x:v>-0.2244352903</x:v>
      </x:c>
      <x:c r="H467" s="42" t="b">
        <x:v>1</x:v>
      </x:c>
      <x:c r="I467" s="42" t="b">
        <x:v>0</x:v>
      </x:c>
      <x:c r="J467" s="38" t="n">
        <x:v>0.3343106431</x:v>
      </x:c>
    </x:row>
    <x:row r="468" ht="19" customHeight="1">
      <x:c r="A468" s="29" t="str">
        <x:v>stagger_1</x:v>
      </x:c>
      <x:c r="B468" s="38" t="str">
        <x:v>AMZN</x:v>
      </x:c>
      <x:c r="C468" s="38" t="str">
        <x:v>Other sectors</x:v>
      </x:c>
      <x:c r="D468" s="30" t="n">
        <x:v>1</x:v>
      </x:c>
      <x:c r="E468" s="38" t="str">
        <x:v>XLE</x:v>
      </x:c>
      <x:c r="F468" s="38" t="n">
        <x:v>0.1400920498</x:v>
      </x:c>
      <x:c r="G468" s="38" t="n">
        <x:v>1.4452742252</x:v>
      </x:c>
      <x:c r="H468" s="42" t="b">
        <x:v>0</x:v>
      </x:c>
      <x:c r="I468" s="42" t="b">
        <x:v>0</x:v>
      </x:c>
      <x:c r="J468" s="38" t="n">
        <x:v>0.3343106431</x:v>
      </x:c>
    </x:row>
    <x:row r="469" ht="19" customHeight="1">
      <x:c r="A469" s="29" t="str">
        <x:v>stagger_1</x:v>
      </x:c>
      <x:c r="B469" s="38" t="str">
        <x:v>AMZN</x:v>
      </x:c>
      <x:c r="C469" s="38" t="str">
        <x:v>Other sectors</x:v>
      </x:c>
      <x:c r="D469" s="30" t="n">
        <x:v>1</x:v>
      </x:c>
      <x:c r="E469" s="38" t="str">
        <x:v>XLF</x:v>
      </x:c>
      <x:c r="F469" s="38" t="n">
        <x:v>-0.422752466</x:v>
      </x:c>
      <x:c r="G469" s="38" t="n">
        <x:v>-1.4398496094</x:v>
      </x:c>
      <x:c r="H469" s="42" t="b">
        <x:v>0</x:v>
      </x:c>
      <x:c r="I469" s="42" t="b">
        <x:v>0</x:v>
      </x:c>
      <x:c r="J469" s="38" t="n">
        <x:v>0.3343106431</x:v>
      </x:c>
    </x:row>
    <x:row r="470" ht="19" customHeight="1">
      <x:c r="A470" s="29" t="str">
        <x:v>stagger_1</x:v>
      </x:c>
      <x:c r="B470" s="38" t="str">
        <x:v>AMZN</x:v>
      </x:c>
      <x:c r="C470" s="38" t="str">
        <x:v>Other sectors</x:v>
      </x:c>
      <x:c r="D470" s="30" t="n">
        <x:v>1</x:v>
      </x:c>
      <x:c r="E470" s="38" t="str">
        <x:v>XLI</x:v>
      </x:c>
      <x:c r="F470" s="38" t="n">
        <x:v>-0.2323417912</x:v>
      </x:c>
      <x:c r="G470" s="38" t="n">
        <x:v>-0.6243473485</x:v>
      </x:c>
      <x:c r="H470" s="42" t="b">
        <x:v>0</x:v>
      </x:c>
      <x:c r="I470" s="42" t="b">
        <x:v>0</x:v>
      </x:c>
      <x:c r="J470" s="38" t="n">
        <x:v>0.3343106431</x:v>
      </x:c>
    </x:row>
    <x:row r="471" ht="19" customHeight="1">
      <x:c r="A471" s="29" t="str">
        <x:v>stagger_1</x:v>
      </x:c>
      <x:c r="B471" s="38" t="str">
        <x:v>AMZN</x:v>
      </x:c>
      <x:c r="C471" s="38" t="str">
        <x:v>Other sectors</x:v>
      </x:c>
      <x:c r="D471" s="30" t="n">
        <x:v>1</x:v>
      </x:c>
      <x:c r="E471" s="38" t="str">
        <x:v>XLK</x:v>
      </x:c>
      <x:c r="F471" s="38" t="n">
        <x:v>-0.5177199686</x:v>
      </x:c>
      <x:c r="G471" s="38" t="n">
        <x:v>-1.3106747257</x:v>
      </x:c>
      <x:c r="H471" s="42" t="b">
        <x:v>0</x:v>
      </x:c>
      <x:c r="I471" s="42" t="b">
        <x:v>0</x:v>
      </x:c>
      <x:c r="J471" s="38" t="n">
        <x:v>0.3343106431</x:v>
      </x:c>
    </x:row>
    <x:row r="472" ht="19" customHeight="1">
      <x:c r="A472" s="29" t="str">
        <x:v>stagger_1</x:v>
      </x:c>
      <x:c r="B472" s="38" t="str">
        <x:v>AMZN</x:v>
      </x:c>
      <x:c r="C472" s="38" t="str">
        <x:v>Other sectors</x:v>
      </x:c>
      <x:c r="D472" s="30" t="n">
        <x:v>1</x:v>
      </x:c>
      <x:c r="E472" s="38" t="str">
        <x:v>XLP</x:v>
      </x:c>
      <x:c r="F472" s="38" t="n">
        <x:v>-0.2312403494</x:v>
      </x:c>
      <x:c r="G472" s="38" t="n">
        <x:v>-0.7781104039</x:v>
      </x:c>
      <x:c r="H472" s="42" t="b">
        <x:v>0</x:v>
      </x:c>
      <x:c r="I472" s="42" t="b">
        <x:v>0</x:v>
      </x:c>
      <x:c r="J472" s="38" t="n">
        <x:v>0.3343106431</x:v>
      </x:c>
    </x:row>
    <x:row r="473" ht="19" customHeight="1">
      <x:c r="A473" s="29" t="str">
        <x:v>stagger_1</x:v>
      </x:c>
      <x:c r="B473" s="38" t="str">
        <x:v>AMZN</x:v>
      </x:c>
      <x:c r="C473" s="38" t="str">
        <x:v>Other sectors</x:v>
      </x:c>
      <x:c r="D473" s="30" t="n">
        <x:v>1</x:v>
      </x:c>
      <x:c r="E473" s="38" t="str">
        <x:v>XLRE</x:v>
      </x:c>
      <x:c r="F473" s="38" t="n">
        <x:v>-0.1218664984</x:v>
      </x:c>
      <x:c r="G473" s="38" t="n">
        <x:v>-0.5143024375</x:v>
      </x:c>
      <x:c r="H473" s="42" t="b">
        <x:v>0</x:v>
      </x:c>
      <x:c r="I473" s="42" t="b">
        <x:v>0</x:v>
      </x:c>
      <x:c r="J473" s="38" t="n">
        <x:v>0.3343106431</x:v>
      </x:c>
    </x:row>
    <x:row r="474" ht="19" customHeight="1">
      <x:c r="A474" s="29" t="str">
        <x:v>stagger_1</x:v>
      </x:c>
      <x:c r="B474" s="38" t="str">
        <x:v>AMZN</x:v>
      </x:c>
      <x:c r="C474" s="38" t="str">
        <x:v>Other sectors</x:v>
      </x:c>
      <x:c r="D474" s="30" t="n">
        <x:v>1</x:v>
      </x:c>
      <x:c r="E474" s="38" t="str">
        <x:v>XLU</x:v>
      </x:c>
      <x:c r="F474" s="38" t="n">
        <x:v>-0.1031183837</x:v>
      </x:c>
      <x:c r="G474" s="38" t="n">
        <x:v>-0.536741218</x:v>
      </x:c>
      <x:c r="H474" s="42" t="b">
        <x:v>0</x:v>
      </x:c>
      <x:c r="I474" s="42" t="b">
        <x:v>0</x:v>
      </x:c>
      <x:c r="J474" s="38" t="n">
        <x:v>0.3343106431</x:v>
      </x:c>
    </x:row>
    <x:row r="475" ht="19" customHeight="1">
      <x:c r="A475" s="29" t="str">
        <x:v>stagger_1</x:v>
      </x:c>
      <x:c r="B475" s="38" t="str">
        <x:v>AMZN</x:v>
      </x:c>
      <x:c r="C475" s="38" t="str">
        <x:v>Other sectors</x:v>
      </x:c>
      <x:c r="D475" s="30" t="n">
        <x:v>1</x:v>
      </x:c>
      <x:c r="E475" s="38" t="str">
        <x:v>XLV</x:v>
      </x:c>
      <x:c r="F475" s="38" t="n">
        <x:v>-0.3036515372</x:v>
      </x:c>
      <x:c r="G475" s="38" t="n">
        <x:v>-1.3387629996</x:v>
      </x:c>
      <x:c r="H475" s="42" t="b">
        <x:v>0</x:v>
      </x:c>
      <x:c r="I475" s="42" t="b">
        <x:v>0</x:v>
      </x:c>
      <x:c r="J475" s="38" t="n">
        <x:v>0.3343106431</x:v>
      </x:c>
    </x:row>
    <x:row r="476" ht="19" customHeight="1">
      <x:c r="A476" s="29" t="str">
        <x:v>stagger_1</x:v>
      </x:c>
      <x:c r="B476" s="38" t="str">
        <x:v>AMZN</x:v>
      </x:c>
      <x:c r="C476" s="38" t="str">
        <x:v>Other sectors</x:v>
      </x:c>
      <x:c r="D476" s="30" t="n">
        <x:v>2</x:v>
      </x:c>
      <x:c r="E476" s="38" t="str">
        <x:v>XLB</x:v>
      </x:c>
      <x:c r="F476" s="38" t="n">
        <x:v>-0.5665496091</x:v>
      </x:c>
      <x:c r="G476" s="38" t="n">
        <x:v>-1.9746407195</x:v>
      </x:c>
      <x:c r="H476" s="42" t="b">
        <x:v>0</x:v>
      </x:c>
      <x:c r="I476" s="42" t="b">
        <x:v>0</x:v>
      </x:c>
      <x:c r="J476" s="38" t="n">
        <x:v>0.3338246783</x:v>
      </x:c>
    </x:row>
    <x:row r="477" ht="19" customHeight="1">
      <x:c r="A477" s="29" t="str">
        <x:v>stagger_1</x:v>
      </x:c>
      <x:c r="B477" s="38" t="str">
        <x:v>AMZN</x:v>
      </x:c>
      <x:c r="C477" s="38" t="str">
        <x:v>Other sectors</x:v>
      </x:c>
      <x:c r="D477" s="30" t="n">
        <x:v>2</x:v>
      </x:c>
      <x:c r="E477" s="38" t="str">
        <x:v>XLE</x:v>
      </x:c>
      <x:c r="F477" s="38" t="n">
        <x:v>0.1427379158</x:v>
      </x:c>
      <x:c r="G477" s="38" t="n">
        <x:v>1.4937508503</x:v>
      </x:c>
      <x:c r="H477" s="42" t="b">
        <x:v>0</x:v>
      </x:c>
      <x:c r="I477" s="42" t="b">
        <x:v>0</x:v>
      </x:c>
      <x:c r="J477" s="38" t="n">
        <x:v>0.3338246783</x:v>
      </x:c>
    </x:row>
    <x:row r="478" ht="19" customHeight="1">
      <x:c r="A478" s="29" t="str">
        <x:v>stagger_1</x:v>
      </x:c>
      <x:c r="B478" s="38" t="str">
        <x:v>AMZN</x:v>
      </x:c>
      <x:c r="C478" s="38" t="str">
        <x:v>Other sectors</x:v>
      </x:c>
      <x:c r="D478" s="30" t="n">
        <x:v>2</x:v>
      </x:c>
      <x:c r="E478" s="38" t="str">
        <x:v>XLF</x:v>
      </x:c>
      <x:c r="F478" s="38" t="n">
        <x:v>-0.406445497</x:v>
      </x:c>
      <x:c r="G478" s="38" t="n">
        <x:v>-1.438539292</x:v>
      </x:c>
      <x:c r="H478" s="42" t="b">
        <x:v>0</x:v>
      </x:c>
      <x:c r="I478" s="42" t="b">
        <x:v>0</x:v>
      </x:c>
      <x:c r="J478" s="38" t="n">
        <x:v>0.3338246783</x:v>
      </x:c>
    </x:row>
    <x:row r="479" ht="19" customHeight="1">
      <x:c r="A479" s="29" t="str">
        <x:v>stagger_1</x:v>
      </x:c>
      <x:c r="B479" s="38" t="str">
        <x:v>AMZN</x:v>
      </x:c>
      <x:c r="C479" s="38" t="str">
        <x:v>Other sectors</x:v>
      </x:c>
      <x:c r="D479" s="30" t="n">
        <x:v>2</x:v>
      </x:c>
      <x:c r="E479" s="38" t="str">
        <x:v>XLI</x:v>
      </x:c>
      <x:c r="F479" s="38" t="n">
        <x:v>-0.2194027549</x:v>
      </x:c>
      <x:c r="G479" s="38" t="n">
        <x:v>-0.6008723479</x:v>
      </x:c>
      <x:c r="H479" s="42" t="b">
        <x:v>0</x:v>
      </x:c>
      <x:c r="I479" s="42" t="b">
        <x:v>0</x:v>
      </x:c>
      <x:c r="J479" s="38" t="n">
        <x:v>0.3338246783</x:v>
      </x:c>
    </x:row>
    <x:row r="480" ht="19" customHeight="1">
      <x:c r="A480" s="29" t="str">
        <x:v>stagger_1</x:v>
      </x:c>
      <x:c r="B480" s="38" t="str">
        <x:v>AMZN</x:v>
      </x:c>
      <x:c r="C480" s="38" t="str">
        <x:v>Other sectors</x:v>
      </x:c>
      <x:c r="D480" s="30" t="n">
        <x:v>2</x:v>
      </x:c>
      <x:c r="E480" s="38" t="str">
        <x:v>XLK</x:v>
      </x:c>
      <x:c r="F480" s="38" t="n">
        <x:v>-0.4666006681</x:v>
      </x:c>
      <x:c r="G480" s="38" t="n">
        <x:v>-1.4557430149</x:v>
      </x:c>
      <x:c r="H480" s="42" t="b">
        <x:v>0</x:v>
      </x:c>
      <x:c r="I480" s="42" t="b">
        <x:v>0</x:v>
      </x:c>
      <x:c r="J480" s="38" t="n">
        <x:v>0.3338246783</x:v>
      </x:c>
    </x:row>
    <x:row r="481" ht="19" customHeight="1">
      <x:c r="A481" s="29" t="str">
        <x:v>stagger_1</x:v>
      </x:c>
      <x:c r="B481" s="38" t="str">
        <x:v>AMZN</x:v>
      </x:c>
      <x:c r="C481" s="38" t="str">
        <x:v>Other sectors</x:v>
      </x:c>
      <x:c r="D481" s="30" t="n">
        <x:v>2</x:v>
      </x:c>
      <x:c r="E481" s="38" t="str">
        <x:v>XLP</x:v>
      </x:c>
      <x:c r="F481" s="38" t="n">
        <x:v>-0.232214091</x:v>
      </x:c>
      <x:c r="G481" s="38" t="n">
        <x:v>-0.7868255853</x:v>
      </x:c>
      <x:c r="H481" s="42" t="b">
        <x:v>0</x:v>
      </x:c>
      <x:c r="I481" s="42" t="b">
        <x:v>0</x:v>
      </x:c>
      <x:c r="J481" s="38" t="n">
        <x:v>0.3338246783</x:v>
      </x:c>
    </x:row>
    <x:row r="482" ht="19" customHeight="1">
      <x:c r="A482" s="29" t="str">
        <x:v>stagger_1</x:v>
      </x:c>
      <x:c r="B482" s="38" t="str">
        <x:v>AMZN</x:v>
      </x:c>
      <x:c r="C482" s="38" t="str">
        <x:v>Other sectors</x:v>
      </x:c>
      <x:c r="D482" s="30" t="n">
        <x:v>2</x:v>
      </x:c>
      <x:c r="E482" s="38" t="str">
        <x:v>XLRE</x:v>
      </x:c>
      <x:c r="F482" s="38" t="n">
        <x:v>-0.1158475262</x:v>
      </x:c>
      <x:c r="G482" s="38" t="n">
        <x:v>-0.4954348283</x:v>
      </x:c>
      <x:c r="H482" s="42" t="b">
        <x:v>1</x:v>
      </x:c>
      <x:c r="I482" s="42" t="b">
        <x:v>0</x:v>
      </x:c>
      <x:c r="J482" s="38" t="n">
        <x:v>0.3338246783</x:v>
      </x:c>
    </x:row>
    <x:row r="483" ht="19" customHeight="1">
      <x:c r="A483" s="29" t="str">
        <x:v>stagger_1</x:v>
      </x:c>
      <x:c r="B483" s="38" t="str">
        <x:v>AMZN</x:v>
      </x:c>
      <x:c r="C483" s="38" t="str">
        <x:v>Other sectors</x:v>
      </x:c>
      <x:c r="D483" s="30" t="n">
        <x:v>2</x:v>
      </x:c>
      <x:c r="E483" s="38" t="str">
        <x:v>XLU</x:v>
      </x:c>
      <x:c r="F483" s="38" t="n">
        <x:v>-0.0935529856</x:v>
      </x:c>
      <x:c r="G483" s="38" t="n">
        <x:v>-0.502818142</x:v>
      </x:c>
      <x:c r="H483" s="42" t="b">
        <x:v>0</x:v>
      </x:c>
      <x:c r="I483" s="42" t="b">
        <x:v>0</x:v>
      </x:c>
      <x:c r="J483" s="38" t="n">
        <x:v>0.3338246783</x:v>
      </x:c>
    </x:row>
    <x:row r="484" ht="19" customHeight="1">
      <x:c r="A484" s="29" t="str">
        <x:v>stagger_1</x:v>
      </x:c>
      <x:c r="B484" s="38" t="str">
        <x:v>AMZN</x:v>
      </x:c>
      <x:c r="C484" s="38" t="str">
        <x:v>Other sectors</x:v>
      </x:c>
      <x:c r="D484" s="30" t="n">
        <x:v>2</x:v>
      </x:c>
      <x:c r="E484" s="38" t="str">
        <x:v>XLV</x:v>
      </x:c>
      <x:c r="F484" s="38" t="n">
        <x:v>-0.2897180771</x:v>
      </x:c>
      <x:c r="G484" s="38" t="n">
        <x:v>-1.3371494398</x:v>
      </x:c>
      <x:c r="H484" s="42" t="b">
        <x:v>0</x:v>
      </x:c>
      <x:c r="I484" s="42" t="b">
        <x:v>0</x:v>
      </x:c>
      <x:c r="J484" s="38" t="n">
        <x:v>0.3338246783</x:v>
      </x:c>
    </x:row>
    <x:row r="485" ht="19" customHeight="1">
      <x:c r="A485" s="29" t="str">
        <x:v>stagger_1</x:v>
      </x:c>
      <x:c r="B485" s="38" t="str">
        <x:v>AMZN</x:v>
      </x:c>
      <x:c r="C485" s="38" t="str">
        <x:v>Other sectors</x:v>
      </x:c>
      <x:c r="D485" s="30" t="n">
        <x:v>3</x:v>
      </x:c>
      <x:c r="E485" s="38" t="str">
        <x:v>XLB</x:v>
      </x:c>
      <x:c r="F485" s="38" t="n">
        <x:v>-0.5866898145</x:v>
      </x:c>
      <x:c r="G485" s="38" t="n">
        <x:v>-2.0767409459</x:v>
      </x:c>
      <x:c r="H485" s="42" t="b">
        <x:v>0</x:v>
      </x:c>
      <x:c r="I485" s="42" t="b">
        <x:v>0</x:v>
      </x:c>
      <x:c r="J485" s="38" t="n">
        <x:v>0.3314887282</x:v>
      </x:c>
    </x:row>
    <x:row r="486" ht="19" customHeight="1">
      <x:c r="A486" s="29" t="str">
        <x:v>stagger_1</x:v>
      </x:c>
      <x:c r="B486" s="38" t="str">
        <x:v>AMZN</x:v>
      </x:c>
      <x:c r="C486" s="38" t="str">
        <x:v>Other sectors</x:v>
      </x:c>
      <x:c r="D486" s="30" t="n">
        <x:v>3</x:v>
      </x:c>
      <x:c r="E486" s="38" t="str">
        <x:v>XLE</x:v>
      </x:c>
      <x:c r="F486" s="38" t="n">
        <x:v>0.1448506651</x:v>
      </x:c>
      <x:c r="G486" s="38" t="n">
        <x:v>1.5255001883</x:v>
      </x:c>
      <x:c r="H486" s="42" t="b">
        <x:v>0</x:v>
      </x:c>
      <x:c r="I486" s="42" t="b">
        <x:v>0</x:v>
      </x:c>
      <x:c r="J486" s="38" t="n">
        <x:v>0.3314887282</x:v>
      </x:c>
    </x:row>
    <x:row r="487" ht="19" customHeight="1">
      <x:c r="A487" s="29" t="str">
        <x:v>stagger_1</x:v>
      </x:c>
      <x:c r="B487" s="38" t="str">
        <x:v>AMZN</x:v>
      </x:c>
      <x:c r="C487" s="38" t="str">
        <x:v>Other sectors</x:v>
      </x:c>
      <x:c r="D487" s="30" t="n">
        <x:v>3</x:v>
      </x:c>
      <x:c r="E487" s="38" t="str">
        <x:v>XLF</x:v>
      </x:c>
      <x:c r="F487" s="38" t="n">
        <x:v>-0.4227213872</x:v>
      </x:c>
      <x:c r="G487" s="38" t="n">
        <x:v>-1.5144306878</x:v>
      </x:c>
      <x:c r="H487" s="42" t="b">
        <x:v>0</x:v>
      </x:c>
      <x:c r="I487" s="42" t="b">
        <x:v>0</x:v>
      </x:c>
      <x:c r="J487" s="38" t="n">
        <x:v>0.3314887282</x:v>
      </x:c>
    </x:row>
    <x:row r="488" ht="19" customHeight="1">
      <x:c r="A488" s="29" t="str">
        <x:v>stagger_1</x:v>
      </x:c>
      <x:c r="B488" s="38" t="str">
        <x:v>AMZN</x:v>
      </x:c>
      <x:c r="C488" s="38" t="str">
        <x:v>Other sectors</x:v>
      </x:c>
      <x:c r="D488" s="30" t="n">
        <x:v>3</x:v>
      </x:c>
      <x:c r="E488" s="38" t="str">
        <x:v>XLI</x:v>
      </x:c>
      <x:c r="F488" s="38" t="n">
        <x:v>-0.189232687</x:v>
      </x:c>
      <x:c r="G488" s="38" t="n">
        <x:v>-0.5284228896</x:v>
      </x:c>
      <x:c r="H488" s="42" t="b">
        <x:v>1</x:v>
      </x:c>
      <x:c r="I488" s="42" t="b">
        <x:v>0</x:v>
      </x:c>
      <x:c r="J488" s="38" t="n">
        <x:v>0.3314887282</x:v>
      </x:c>
    </x:row>
    <x:row r="489" ht="19" customHeight="1">
      <x:c r="A489" s="29" t="str">
        <x:v>stagger_1</x:v>
      </x:c>
      <x:c r="B489" s="38" t="str">
        <x:v>AMZN</x:v>
      </x:c>
      <x:c r="C489" s="38" t="str">
        <x:v>Other sectors</x:v>
      </x:c>
      <x:c r="D489" s="30" t="n">
        <x:v>3</x:v>
      </x:c>
      <x:c r="E489" s="38" t="str">
        <x:v>XLK</x:v>
      </x:c>
      <x:c r="F489" s="38" t="n">
        <x:v>-0.4528102481</x:v>
      </x:c>
      <x:c r="G489" s="38" t="n">
        <x:v>-1.425671594</x:v>
      </x:c>
      <x:c r="H489" s="42" t="b">
        <x:v>0</x:v>
      </x:c>
      <x:c r="I489" s="42" t="b">
        <x:v>0</x:v>
      </x:c>
      <x:c r="J489" s="38" t="n">
        <x:v>0.3314887282</x:v>
      </x:c>
    </x:row>
    <x:row r="490" ht="19" customHeight="1">
      <x:c r="A490" s="29" t="str">
        <x:v>stagger_1</x:v>
      </x:c>
      <x:c r="B490" s="38" t="str">
        <x:v>AMZN</x:v>
      </x:c>
      <x:c r="C490" s="38" t="str">
        <x:v>Other sectors</x:v>
      </x:c>
      <x:c r="D490" s="30" t="n">
        <x:v>3</x:v>
      </x:c>
      <x:c r="E490" s="38" t="str">
        <x:v>XLP</x:v>
      </x:c>
      <x:c r="F490" s="38" t="n">
        <x:v>-0.2731498921</x:v>
      </x:c>
      <x:c r="G490" s="38" t="n">
        <x:v>-0.9692490682</x:v>
      </x:c>
      <x:c r="H490" s="42" t="b">
        <x:v>0</x:v>
      </x:c>
      <x:c r="I490" s="42" t="b">
        <x:v>0</x:v>
      </x:c>
      <x:c r="J490" s="38" t="n">
        <x:v>0.3314887282</x:v>
      </x:c>
    </x:row>
    <x:row r="491" ht="19" customHeight="1">
      <x:c r="A491" s="29" t="str">
        <x:v>stagger_1</x:v>
      </x:c>
      <x:c r="B491" s="38" t="str">
        <x:v>AMZN</x:v>
      </x:c>
      <x:c r="C491" s="38" t="str">
        <x:v>Other sectors</x:v>
      </x:c>
      <x:c r="D491" s="30" t="n">
        <x:v>3</x:v>
      </x:c>
      <x:c r="E491" s="38" t="str">
        <x:v>XLU</x:v>
      </x:c>
      <x:c r="F491" s="38" t="n">
        <x:v>-0.1217670936</x:v>
      </x:c>
      <x:c r="G491" s="38" t="n">
        <x:v>-0.6911359734</x:v>
      </x:c>
      <x:c r="H491" s="42" t="b">
        <x:v>0</x:v>
      </x:c>
      <x:c r="I491" s="42" t="b">
        <x:v>0</x:v>
      </x:c>
      <x:c r="J491" s="38" t="n">
        <x:v>0.3314887282</x:v>
      </x:c>
    </x:row>
    <x:row r="492" ht="19" customHeight="1">
      <x:c r="A492" s="29" t="str">
        <x:v>stagger_1</x:v>
      </x:c>
      <x:c r="B492" s="38" t="str">
        <x:v>AMZN</x:v>
      </x:c>
      <x:c r="C492" s="38" t="str">
        <x:v>Other sectors</x:v>
      </x:c>
      <x:c r="D492" s="30" t="n">
        <x:v>3</x:v>
      </x:c>
      <x:c r="E492" s="38" t="str">
        <x:v>XLV</x:v>
      </x:c>
      <x:c r="F492" s="38" t="n">
        <x:v>-0.2997954317</x:v>
      </x:c>
      <x:c r="G492" s="38" t="n">
        <x:v>-1.3972420398</x:v>
      </x:c>
      <x:c r="H492" s="42" t="b">
        <x:v>0</x:v>
      </x:c>
      <x:c r="I492" s="42" t="b">
        <x:v>0</x:v>
      </x:c>
      <x:c r="J492" s="38" t="n">
        <x:v>0.3314887282</x:v>
      </x:c>
    </x:row>
    <x:row r="493" ht="19" customHeight="1">
      <x:c r="A493" s="29" t="str">
        <x:v>stagger_1</x:v>
      </x:c>
      <x:c r="B493" s="38" t="str">
        <x:v>AMZN</x:v>
      </x:c>
      <x:c r="C493" s="38" t="str">
        <x:v>Other sectors</x:v>
      </x:c>
      <x:c r="D493" s="30" t="n">
        <x:v>4</x:v>
      </x:c>
      <x:c r="E493" s="38" t="str">
        <x:v>XLB</x:v>
      </x:c>
      <x:c r="F493" s="38" t="n">
        <x:v>-0.6905738193</x:v>
      </x:c>
      <x:c r="G493" s="38" t="n">
        <x:v>-3.4210125789</x:v>
      </x:c>
      <x:c r="H493" s="42" t="b">
        <x:v>0</x:v>
      </x:c>
      <x:c r="I493" s="42" t="b">
        <x:v>0</x:v>
      </x:c>
      <x:c r="J493" s="38" t="n">
        <x:v>0.3288595887</x:v>
      </x:c>
    </x:row>
    <x:row r="494" ht="19" customHeight="1">
      <x:c r="A494" s="29" t="str">
        <x:v>stagger_1</x:v>
      </x:c>
      <x:c r="B494" s="38" t="str">
        <x:v>AMZN</x:v>
      </x:c>
      <x:c r="C494" s="38" t="str">
        <x:v>Other sectors</x:v>
      </x:c>
      <x:c r="D494" s="30" t="n">
        <x:v>4</x:v>
      </x:c>
      <x:c r="E494" s="38" t="str">
        <x:v>XLE</x:v>
      </x:c>
      <x:c r="F494" s="38" t="n">
        <x:v>0.1499000135</x:v>
      </x:c>
      <x:c r="G494" s="38" t="n">
        <x:v>1.5947349142</x:v>
      </x:c>
      <x:c r="H494" s="42" t="b">
        <x:v>0</x:v>
      </x:c>
      <x:c r="I494" s="42" t="b">
        <x:v>0</x:v>
      </x:c>
      <x:c r="J494" s="38" t="n">
        <x:v>0.3288595887</x:v>
      </x:c>
    </x:row>
    <x:row r="495" ht="19" customHeight="1">
      <x:c r="A495" s="29" t="str">
        <x:v>stagger_1</x:v>
      </x:c>
      <x:c r="B495" s="38" t="str">
        <x:v>AMZN</x:v>
      </x:c>
      <x:c r="C495" s="38" t="str">
        <x:v>Other sectors</x:v>
      </x:c>
      <x:c r="D495" s="30" t="n">
        <x:v>4</x:v>
      </x:c>
      <x:c r="E495" s="38" t="str">
        <x:v>XLF</x:v>
      </x:c>
      <x:c r="F495" s="38" t="n">
        <x:v>-0.4480600531</x:v>
      </x:c>
      <x:c r="G495" s="38" t="n">
        <x:v>-1.6376496861</x:v>
      </x:c>
      <x:c r="H495" s="42" t="b">
        <x:v>0</x:v>
      </x:c>
      <x:c r="I495" s="42" t="b">
        <x:v>0</x:v>
      </x:c>
      <x:c r="J495" s="38" t="n">
        <x:v>0.3288595887</x:v>
      </x:c>
    </x:row>
    <x:row r="496" ht="19" customHeight="1">
      <x:c r="A496" s="29" t="str">
        <x:v>stagger_1</x:v>
      </x:c>
      <x:c r="B496" s="38" t="str">
        <x:v>AMZN</x:v>
      </x:c>
      <x:c r="C496" s="38" t="str">
        <x:v>Other sectors</x:v>
      </x:c>
      <x:c r="D496" s="30" t="n">
        <x:v>4</x:v>
      </x:c>
      <x:c r="E496" s="38" t="str">
        <x:v>XLK</x:v>
      </x:c>
      <x:c r="F496" s="38" t="n">
        <x:v>-0.4683880608</x:v>
      </x:c>
      <x:c r="G496" s="38" t="n">
        <x:v>-1.4885815914</x:v>
      </x:c>
      <x:c r="H496" s="42" t="b">
        <x:v>0</x:v>
      </x:c>
      <x:c r="I496" s="42" t="b">
        <x:v>0</x:v>
      </x:c>
      <x:c r="J496" s="38" t="n">
        <x:v>0.3288595887</x:v>
      </x:c>
    </x:row>
    <x:row r="497" ht="19" customHeight="1">
      <x:c r="A497" s="29" t="str">
        <x:v>stagger_1</x:v>
      </x:c>
      <x:c r="B497" s="38" t="str">
        <x:v>AMZN</x:v>
      </x:c>
      <x:c r="C497" s="38" t="str">
        <x:v>Other sectors</x:v>
      </x:c>
      <x:c r="D497" s="30" t="n">
        <x:v>4</x:v>
      </x:c>
      <x:c r="E497" s="38" t="str">
        <x:v>XLP</x:v>
      </x:c>
      <x:c r="F497" s="38" t="n">
        <x:v>-0.2964688837</x:v>
      </x:c>
      <x:c r="G497" s="38" t="n">
        <x:v>-1.0705059742</x:v>
      </x:c>
      <x:c r="H497" s="42" t="b">
        <x:v>0</x:v>
      </x:c>
      <x:c r="I497" s="42" t="b">
        <x:v>0</x:v>
      </x:c>
      <x:c r="J497" s="38" t="n">
        <x:v>0.3288595887</x:v>
      </x:c>
    </x:row>
    <x:row r="498" ht="19" customHeight="1">
      <x:c r="A498" s="29" t="str">
        <x:v>stagger_1</x:v>
      </x:c>
      <x:c r="B498" s="38" t="str">
        <x:v>AMZN</x:v>
      </x:c>
      <x:c r="C498" s="38" t="str">
        <x:v>Other sectors</x:v>
      </x:c>
      <x:c r="D498" s="30" t="n">
        <x:v>4</x:v>
      </x:c>
      <x:c r="E498" s="38" t="str">
        <x:v>XLU</x:v>
      </x:c>
      <x:c r="F498" s="38" t="n">
        <x:v>-0.1310553351</x:v>
      </x:c>
      <x:c r="G498" s="38" t="n">
        <x:v>-0.751355013</x:v>
      </x:c>
      <x:c r="H498" s="42" t="b">
        <x:v>1</x:v>
      </x:c>
      <x:c r="I498" s="42" t="b">
        <x:v>0</x:v>
      </x:c>
      <x:c r="J498" s="38" t="n">
        <x:v>0.3288595887</x:v>
      </x:c>
    </x:row>
    <x:row r="499" ht="19" customHeight="1">
      <x:c r="A499" s="29" t="str">
        <x:v>stagger_1</x:v>
      </x:c>
      <x:c r="B499" s="38" t="str">
        <x:v>AMZN</x:v>
      </x:c>
      <x:c r="C499" s="38" t="str">
        <x:v>Other sectors</x:v>
      </x:c>
      <x:c r="D499" s="30" t="n">
        <x:v>4</x:v>
      </x:c>
      <x:c r="E499" s="38" t="str">
        <x:v>XLV</x:v>
      </x:c>
      <x:c r="F499" s="38" t="n">
        <x:v>-0.2839054179</x:v>
      </x:c>
      <x:c r="G499" s="38" t="n">
        <x:v>-1.3431132699</x:v>
      </x:c>
      <x:c r="H499" s="42" t="b">
        <x:v>0</x:v>
      </x:c>
      <x:c r="I499" s="42" t="b">
        <x:v>0</x:v>
      </x:c>
      <x:c r="J499" s="38" t="n">
        <x:v>0.3288595887</x:v>
      </x:c>
    </x:row>
    <x:row r="500" ht="19" customHeight="1">
      <x:c r="A500" s="29" t="str">
        <x:v>stagger_1</x:v>
      </x:c>
      <x:c r="B500" s="38" t="str">
        <x:v>AMZN</x:v>
      </x:c>
      <x:c r="C500" s="38" t="str">
        <x:v>Other sectors</x:v>
      </x:c>
      <x:c r="D500" s="30" t="n">
        <x:v>5</x:v>
      </x:c>
      <x:c r="E500" s="38" t="str">
        <x:v>XLB</x:v>
      </x:c>
      <x:c r="F500" s="38" t="n">
        <x:v>-0.7186612971</x:v>
      </x:c>
      <x:c r="G500" s="38" t="n">
        <x:v>-3.6336716901</x:v>
      </x:c>
      <x:c r="H500" s="42" t="b">
        <x:v>0</x:v>
      </x:c>
      <x:c r="I500" s="42" t="b">
        <x:v>0</x:v>
      </x:c>
      <x:c r="J500" s="38" t="n">
        <x:v>0.3235973412</x:v>
      </x:c>
    </x:row>
    <x:row r="501" ht="19" customHeight="1">
      <x:c r="A501" s="29" t="str">
        <x:v>stagger_1</x:v>
      </x:c>
      <x:c r="B501" s="38" t="str">
        <x:v>AMZN</x:v>
      </x:c>
      <x:c r="C501" s="38" t="str">
        <x:v>Other sectors</x:v>
      </x:c>
      <x:c r="D501" s="30" t="n">
        <x:v>5</x:v>
      </x:c>
      <x:c r="E501" s="38" t="str">
        <x:v>XLE</x:v>
      </x:c>
      <x:c r="F501" s="38" t="n">
        <x:v>0.1561336833</x:v>
      </x:c>
      <x:c r="G501" s="38" t="n">
        <x:v>1.6725572446</x:v>
      </x:c>
      <x:c r="H501" s="42" t="b">
        <x:v>0</x:v>
      </x:c>
      <x:c r="I501" s="42" t="b">
        <x:v>0</x:v>
      </x:c>
      <x:c r="J501" s="38" t="n">
        <x:v>0.3235973412</x:v>
      </x:c>
    </x:row>
    <x:row r="502" ht="19" customHeight="1">
      <x:c r="A502" s="29" t="str">
        <x:v>stagger_1</x:v>
      </x:c>
      <x:c r="B502" s="38" t="str">
        <x:v>AMZN</x:v>
      </x:c>
      <x:c r="C502" s="38" t="str">
        <x:v>Other sectors</x:v>
      </x:c>
      <x:c r="D502" s="30" t="n">
        <x:v>5</x:v>
      </x:c>
      <x:c r="E502" s="38" t="str">
        <x:v>XLF</x:v>
      </x:c>
      <x:c r="F502" s="38" t="n">
        <x:v>-0.4347558606</x:v>
      </x:c>
      <x:c r="G502" s="38" t="n">
        <x:v>-1.5971322363</x:v>
      </x:c>
      <x:c r="H502" s="42" t="b">
        <x:v>0</x:v>
      </x:c>
      <x:c r="I502" s="42" t="b">
        <x:v>0</x:v>
      </x:c>
      <x:c r="J502" s="38" t="n">
        <x:v>0.3235973412</x:v>
      </x:c>
    </x:row>
    <x:row r="503" ht="19" customHeight="1">
      <x:c r="A503" s="29" t="str">
        <x:v>stagger_1</x:v>
      </x:c>
      <x:c r="B503" s="38" t="str">
        <x:v>AMZN</x:v>
      </x:c>
      <x:c r="C503" s="38" t="str">
        <x:v>Other sectors</x:v>
      </x:c>
      <x:c r="D503" s="30" t="n">
        <x:v>5</x:v>
      </x:c>
      <x:c r="E503" s="38" t="str">
        <x:v>XLK</x:v>
      </x:c>
      <x:c r="F503" s="38" t="n">
        <x:v>-0.4360191154</x:v>
      </x:c>
      <x:c r="G503" s="38" t="n">
        <x:v>-1.4030746626</x:v>
      </x:c>
      <x:c r="H503" s="42" t="b">
        <x:v>0</x:v>
      </x:c>
      <x:c r="I503" s="42" t="b">
        <x:v>0</x:v>
      </x:c>
      <x:c r="J503" s="38" t="n">
        <x:v>0.3235973412</x:v>
      </x:c>
    </x:row>
    <x:row r="504" ht="19" customHeight="1">
      <x:c r="A504" s="29" t="str">
        <x:v>stagger_1</x:v>
      </x:c>
      <x:c r="B504" s="38" t="str">
        <x:v>AMZN</x:v>
      </x:c>
      <x:c r="C504" s="38" t="str">
        <x:v>Other sectors</x:v>
      </x:c>
      <x:c r="D504" s="30" t="n">
        <x:v>5</x:v>
      </x:c>
      <x:c r="E504" s="38" t="str">
        <x:v>XLP</x:v>
      </x:c>
      <x:c r="F504" s="38" t="n">
        <x:v>-0.3529795827</x:v>
      </x:c>
      <x:c r="G504" s="38" t="n">
        <x:v>-1.3282989425</x:v>
      </x:c>
      <x:c r="H504" s="42" t="b">
        <x:v>1</x:v>
      </x:c>
      <x:c r="I504" s="42" t="b">
        <x:v>0</x:v>
      </x:c>
      <x:c r="J504" s="38" t="n">
        <x:v>0.3235973412</x:v>
      </x:c>
    </x:row>
    <x:row r="505" ht="19" customHeight="1">
      <x:c r="A505" s="29" t="str">
        <x:v>stagger_1</x:v>
      </x:c>
      <x:c r="B505" s="38" t="str">
        <x:v>AMZN</x:v>
      </x:c>
      <x:c r="C505" s="38" t="str">
        <x:v>Other sectors</x:v>
      </x:c>
      <x:c r="D505" s="30" t="n">
        <x:v>5</x:v>
      </x:c>
      <x:c r="E505" s="38" t="str">
        <x:v>XLV</x:v>
      </x:c>
      <x:c r="F505" s="38" t="n">
        <x:v>-0.2833273108</x:v>
      </x:c>
      <x:c r="G505" s="38" t="n">
        <x:v>-1.3444030832</x:v>
      </x:c>
      <x:c r="H505" s="42" t="b">
        <x:v>0</x:v>
      </x:c>
      <x:c r="I505" s="42" t="b">
        <x:v>0</x:v>
      </x:c>
      <x:c r="J505" s="38" t="n">
        <x:v>0.3235973412</x:v>
      </x:c>
    </x:row>
    <x:row r="506" ht="19" customHeight="1">
      <x:c r="A506" s="29" t="str">
        <x:v>stagger_1</x:v>
      </x:c>
      <x:c r="B506" s="38" t="str">
        <x:v>AMZN</x:v>
      </x:c>
      <x:c r="C506" s="38" t="str">
        <x:v>Other sectors</x:v>
      </x:c>
      <x:c r="D506" s="30" t="n">
        <x:v>6</x:v>
      </x:c>
      <x:c r="E506" s="38" t="str">
        <x:v>XLB</x:v>
      </x:c>
      <x:c r="F506" s="38" t="n">
        <x:v>-0.8250728497</x:v>
      </x:c>
      <x:c r="G506" s="38" t="n">
        <x:v>-4.5393871666</x:v>
      </x:c>
      <x:c r="H506" s="42" t="b">
        <x:v>0</x:v>
      </x:c>
      <x:c r="I506" s="42" t="b">
        <x:v>0</x:v>
      </x:c>
      <x:c r="J506" s="38" t="n">
        <x:v>0.3072489847</x:v>
      </x:c>
    </x:row>
    <x:row r="507" ht="19" customHeight="1">
      <x:c r="A507" s="29" t="str">
        <x:v>stagger_1</x:v>
      </x:c>
      <x:c r="B507" s="38" t="str">
        <x:v>AMZN</x:v>
      </x:c>
      <x:c r="C507" s="38" t="str">
        <x:v>Other sectors</x:v>
      </x:c>
      <x:c r="D507" s="30" t="n">
        <x:v>6</x:v>
      </x:c>
      <x:c r="E507" s="38" t="str">
        <x:v>XLE</x:v>
      </x:c>
      <x:c r="F507" s="38" t="n">
        <x:v>0.1721279831</x:v>
      </x:c>
      <x:c r="G507" s="38" t="n">
        <x:v>1.8498976753</x:v>
      </x:c>
      <x:c r="H507" s="42" t="b">
        <x:v>0</x:v>
      </x:c>
      <x:c r="I507" s="42" t="b">
        <x:v>0</x:v>
      </x:c>
      <x:c r="J507" s="38" t="n">
        <x:v>0.3072489847</x:v>
      </x:c>
    </x:row>
    <x:row r="508" ht="19" customHeight="1">
      <x:c r="A508" s="29" t="str">
        <x:v>stagger_1</x:v>
      </x:c>
      <x:c r="B508" s="38" t="str">
        <x:v>AMZN</x:v>
      </x:c>
      <x:c r="C508" s="38" t="str">
        <x:v>Other sectors</x:v>
      </x:c>
      <x:c r="D508" s="30" t="n">
        <x:v>6</x:v>
      </x:c>
      <x:c r="E508" s="38" t="str">
        <x:v>XLF</x:v>
      </x:c>
      <x:c r="F508" s="38" t="n">
        <x:v>-0.2817591299</x:v>
      </x:c>
      <x:c r="G508" s="38" t="n">
        <x:v>-1.1365338945</x:v>
      </x:c>
      <x:c r="H508" s="42" t="b">
        <x:v>0</x:v>
      </x:c>
      <x:c r="I508" s="42" t="b">
        <x:v>0</x:v>
      </x:c>
      <x:c r="J508" s="38" t="n">
        <x:v>0.3072489847</x:v>
      </x:c>
    </x:row>
    <x:row r="509" ht="19" customHeight="1">
      <x:c r="A509" s="29" t="str">
        <x:v>stagger_1</x:v>
      </x:c>
      <x:c r="B509" s="38" t="str">
        <x:v>AMZN</x:v>
      </x:c>
      <x:c r="C509" s="38" t="str">
        <x:v>Other sectors</x:v>
      </x:c>
      <x:c r="D509" s="30" t="n">
        <x:v>6</x:v>
      </x:c>
      <x:c r="E509" s="38" t="str">
        <x:v>XLK</x:v>
      </x:c>
      <x:c r="F509" s="38" t="n">
        <x:v>-0.2674072629</x:v>
      </x:c>
      <x:c r="G509" s="38" t="n">
        <x:v>-0.9378993491</x:v>
      </x:c>
      <x:c r="H509" s="42" t="b">
        <x:v>1</x:v>
      </x:c>
      <x:c r="I509" s="42" t="b">
        <x:v>0</x:v>
      </x:c>
      <x:c r="J509" s="38" t="n">
        <x:v>0.3072489847</x:v>
      </x:c>
    </x:row>
    <x:row r="510" ht="19" customHeight="1">
      <x:c r="A510" s="29" t="str">
        <x:v>stagger_1</x:v>
      </x:c>
      <x:c r="B510" s="38" t="str">
        <x:v>AMZN</x:v>
      </x:c>
      <x:c r="C510" s="38" t="str">
        <x:v>Other sectors</x:v>
      </x:c>
      <x:c r="D510" s="30" t="n">
        <x:v>6</x:v>
      </x:c>
      <x:c r="E510" s="38" t="str">
        <x:v>XLV</x:v>
      </x:c>
      <x:c r="F510" s="38" t="n">
        <x:v>-0.353481042</x:v>
      </x:c>
      <x:c r="G510" s="38" t="n">
        <x:v>-1.7236958216</x:v>
      </x:c>
      <x:c r="H510" s="42" t="b">
        <x:v>0</x:v>
      </x:c>
      <x:c r="I510" s="42" t="b">
        <x:v>0</x:v>
      </x:c>
      <x:c r="J510" s="38" t="n">
        <x:v>0.3072489847</x:v>
      </x:c>
    </x:row>
    <x:row r="511" ht="19" customHeight="1">
      <x:c r="A511" s="29" t="str">
        <x:v>stagger_1</x:v>
      </x:c>
      <x:c r="B511" s="38" t="str">
        <x:v>AMZN</x:v>
      </x:c>
      <x:c r="C511" s="38" t="str">
        <x:v>Other sectors</x:v>
      </x:c>
      <x:c r="D511" s="30" t="n">
        <x:v>7</x:v>
      </x:c>
      <x:c r="E511" s="38" t="str">
        <x:v>XLB</x:v>
      </x:c>
      <x:c r="F511" s="38" t="n">
        <x:v>-0.7825774697</x:v>
      </x:c>
      <x:c r="G511" s="38" t="n">
        <x:v>-4.4495110947</x:v>
      </x:c>
      <x:c r="H511" s="42" t="b">
        <x:v>0</x:v>
      </x:c>
      <x:c r="I511" s="42" t="b">
        <x:v>0</x:v>
      </x:c>
      <x:c r="J511" s="38" t="n">
        <x:v>0.2990140924</x:v>
      </x:c>
    </x:row>
    <x:row r="512" ht="19" customHeight="1">
      <x:c r="A512" s="29" t="str">
        <x:v>stagger_1</x:v>
      </x:c>
      <x:c r="B512" s="38" t="str">
        <x:v>AMZN</x:v>
      </x:c>
      <x:c r="C512" s="38" t="str">
        <x:v>Other sectors</x:v>
      </x:c>
      <x:c r="D512" s="30" t="n">
        <x:v>7</x:v>
      </x:c>
      <x:c r="E512" s="38" t="str">
        <x:v>XLE</x:v>
      </x:c>
      <x:c r="F512" s="38" t="n">
        <x:v>0.1924381415</x:v>
      </x:c>
      <x:c r="G512" s="38" t="n">
        <x:v>2.1282765327</x:v>
      </x:c>
      <x:c r="H512" s="42" t="b">
        <x:v>0</x:v>
      </x:c>
      <x:c r="I512" s="42" t="b">
        <x:v>0</x:v>
      </x:c>
      <x:c r="J512" s="38" t="n">
        <x:v>0.2990140924</x:v>
      </x:c>
    </x:row>
    <x:row r="513" ht="19" customHeight="1">
      <x:c r="A513" s="29" t="str">
        <x:v>stagger_1</x:v>
      </x:c>
      <x:c r="B513" s="38" t="str">
        <x:v>AMZN</x:v>
      </x:c>
      <x:c r="C513" s="38" t="str">
        <x:v>Other sectors</x:v>
      </x:c>
      <x:c r="D513" s="30" t="n">
        <x:v>7</x:v>
      </x:c>
      <x:c r="E513" s="38" t="str">
        <x:v>XLF</x:v>
      </x:c>
      <x:c r="F513" s="38" t="n">
        <x:v>-0.1730525724</x:v>
      </x:c>
      <x:c r="G513" s="38" t="n">
        <x:v>-0.7902937377</x:v>
      </x:c>
      <x:c r="H513" s="42" t="b">
        <x:v>1</x:v>
      </x:c>
      <x:c r="I513" s="42" t="b">
        <x:v>0</x:v>
      </x:c>
      <x:c r="J513" s="38" t="n">
        <x:v>0.2990140924</x:v>
      </x:c>
    </x:row>
    <x:row r="514" ht="19" customHeight="1">
      <x:c r="A514" s="29" t="str">
        <x:v>stagger_1</x:v>
      </x:c>
      <x:c r="B514" s="38" t="str">
        <x:v>AMZN</x:v>
      </x:c>
      <x:c r="C514" s="38" t="str">
        <x:v>Other sectors</x:v>
      </x:c>
      <x:c r="D514" s="30" t="n">
        <x:v>7</x:v>
      </x:c>
      <x:c r="E514" s="38" t="str">
        <x:v>XLV</x:v>
      </x:c>
      <x:c r="F514" s="38" t="n">
        <x:v>-0.2643180405</x:v>
      </x:c>
      <x:c r="G514" s="38" t="n">
        <x:v>-1.4558238532</x:v>
      </x:c>
      <x:c r="H514" s="42" t="b">
        <x:v>0</x:v>
      </x:c>
      <x:c r="I514" s="42" t="b">
        <x:v>0</x:v>
      </x:c>
      <x:c r="J514" s="38" t="n">
        <x:v>0.2990140924</x:v>
      </x:c>
    </x:row>
    <x:row r="515" ht="19" customHeight="1">
      <x:c r="A515" s="29" t="str">
        <x:v>stagger_1</x:v>
      </x:c>
      <x:c r="B515" s="38" t="str">
        <x:v>AMZN</x:v>
      </x:c>
      <x:c r="C515" s="38" t="str">
        <x:v>Other sectors</x:v>
      </x:c>
      <x:c r="D515" s="30" t="n">
        <x:v>8</x:v>
      </x:c>
      <x:c r="E515" s="38" t="str">
        <x:v>XLB</x:v>
      </x:c>
      <x:c r="F515" s="38" t="n">
        <x:v>-0.820010853</x:v>
      </x:c>
      <x:c r="G515" s="38" t="n">
        <x:v>-4.853217006</x:v>
      </x:c>
      <x:c r="H515" s="42" t="b">
        <x:v>0</x:v>
      </x:c>
      <x:c r="I515" s="42" t="b">
        <x:v>0</x:v>
      </x:c>
      <x:c r="J515" s="38" t="n">
        <x:v>0.2931766165</x:v>
      </x:c>
    </x:row>
    <x:row r="516" ht="19" customHeight="1">
      <x:c r="A516" s="29" t="str">
        <x:v>stagger_1</x:v>
      </x:c>
      <x:c r="B516" s="38" t="str">
        <x:v>AMZN</x:v>
      </x:c>
      <x:c r="C516" s="38" t="str">
        <x:v>Other sectors</x:v>
      </x:c>
      <x:c r="D516" s="30" t="n">
        <x:v>8</x:v>
      </x:c>
      <x:c r="E516" s="38" t="str">
        <x:v>XLE</x:v>
      </x:c>
      <x:c r="F516" s="38" t="n">
        <x:v>0.1805769701</x:v>
      </x:c>
      <x:c r="G516" s="38" t="n">
        <x:v>2.0302120748</x:v>
      </x:c>
      <x:c r="H516" s="42" t="b">
        <x:v>0</x:v>
      </x:c>
      <x:c r="I516" s="42" t="b">
        <x:v>0</x:v>
      </x:c>
      <x:c r="J516" s="38" t="n">
        <x:v>0.2931766165</x:v>
      </x:c>
    </x:row>
    <x:row r="517" ht="19" customHeight="1">
      <x:c r="A517" s="29" t="str">
        <x:v>stagger_1</x:v>
      </x:c>
      <x:c r="B517" s="38" t="str">
        <x:v>AMZN</x:v>
      </x:c>
      <x:c r="C517" s="38" t="str">
        <x:v>Other sectors</x:v>
      </x:c>
      <x:c r="D517" s="30" t="n">
        <x:v>8</x:v>
      </x:c>
      <x:c r="E517" s="38" t="str">
        <x:v>XLV</x:v>
      </x:c>
      <x:c r="F517" s="38" t="n">
        <x:v>-0.2822726278</x:v>
      </x:c>
      <x:c r="G517" s="38" t="n">
        <x:v>-1.5709166725</x:v>
      </x:c>
      <x:c r="H517" s="42" t="b">
        <x:v>1</x:v>
      </x:c>
      <x:c r="I517" s="42" t="b">
        <x:v>0</x:v>
      </x:c>
      <x:c r="J517" s="38" t="n">
        <x:v>0.2931766165</x:v>
      </x:c>
    </x:row>
    <x:row r="518" ht="19" customHeight="1">
      <x:c r="A518" s="29" t="str">
        <x:v>stagger_1</x:v>
      </x:c>
      <x:c r="B518" s="38" t="str">
        <x:v>AMZN</x:v>
      </x:c>
      <x:c r="C518" s="38" t="str">
        <x:v>Other sectors</x:v>
      </x:c>
      <x:c r="D518" s="30" t="n">
        <x:v>9</x:v>
      </x:c>
      <x:c r="E518" s="38" t="str">
        <x:v>XLB</x:v>
      </x:c>
      <x:c r="F518" s="38" t="n">
        <x:v>-0.8836280339</x:v>
      </x:c>
      <x:c r="G518" s="38" t="n">
        <x:v>-5.3361281162</x:v>
      </x:c>
      <x:c r="H518" s="42" t="b">
        <x:v>0</x:v>
      </x:c>
      <x:c r="I518" s="42" t="b">
        <x:v>0</x:v>
      </x:c>
      <x:c r="J518" s="38" t="n">
        <x:v>0.2702255107</x:v>
      </x:c>
    </x:row>
    <x:row r="519" ht="19" customHeight="1">
      <x:c r="A519" s="29" t="str">
        <x:v>stagger_1</x:v>
      </x:c>
      <x:c r="B519" s="38" t="str">
        <x:v>AMZN</x:v>
      </x:c>
      <x:c r="C519" s="38" t="str">
        <x:v>Other sectors</x:v>
      </x:c>
      <x:c r="D519" s="30" t="n">
        <x:v>9</x:v>
      </x:c>
      <x:c r="E519" s="38" t="str">
        <x:v>XLE</x:v>
      </x:c>
      <x:c r="F519" s="38" t="n">
        <x:v>0.1682835898</x:v>
      </x:c>
      <x:c r="G519" s="38" t="n">
        <x:v>1.8815161945</x:v>
      </x:c>
      <x:c r="H519" s="42" t="b">
        <x:v>1</x:v>
      </x:c>
      <x:c r="I519" s="42" t="b">
        <x:v>0</x:v>
      </x:c>
      <x:c r="J519" s="38" t="n">
        <x:v>0.2702255107</x:v>
      </x:c>
    </x:row>
    <x:row r="520" ht="19" customHeight="1">
      <x:c r="A520" s="29" t="str">
        <x:v>stagger_1</x:v>
      </x:c>
      <x:c r="B520" s="38" t="str">
        <x:v>AMZN</x:v>
      </x:c>
      <x:c r="C520" s="38" t="str">
        <x:v>Other sectors</x:v>
      </x:c>
      <x:c r="D520" s="30" t="n">
        <x:v>10</x:v>
      </x:c>
      <x:c r="E520" s="38" t="str">
        <x:v>XLB</x:v>
      </x:c>
      <x:c r="F520" s="38" t="n">
        <x:v>-0.78452981</x:v>
      </x:c>
      <x:c r="G520" s="38" t="n">
        <x:v>-4.9177605923</x:v>
      </x:c>
      <x:c r="H520" s="42" t="b">
        <x:v>0</x:v>
      </x:c>
      <x:c r="I520" s="42" t="b">
        <x:v>1</x:v>
      </x:c>
      <x:c r="J520" s="38" t="n">
        <x:v>0.2366738614</x:v>
      </x:c>
    </x:row>
    <x:row r="521" ht="19" customHeight="1">
      <x:c r="A521" s="29" t="str">
        <x:v>stagger_1</x:v>
      </x:c>
      <x:c r="B521" s="38" t="str">
        <x:v>FIX</x:v>
      </x:c>
      <x:c r="C521" s="38" t="str">
        <x:v>Other FX</x:v>
      </x:c>
      <x:c r="D521" s="30" t="n">
        <x:v>1</x:v>
      </x:c>
      <x:c r="E521" s="38" t="str">
        <x:v>AUD/USD</x:v>
      </x:c>
      <x:c r="F521" s="38" t="n">
        <x:v>1.1278306328</x:v>
      </x:c>
      <x:c r="G521" s="38" t="n">
        <x:v>1.2439915787</x:v>
      </x:c>
      <x:c r="H521" s="42" t="b">
        <x:v>0</x:v>
      </x:c>
      <x:c r="I521" s="42" t="b">
        <x:v>0</x:v>
      </x:c>
      <x:c r="J521" s="38" t="n">
        <x:v>0.1979057343</x:v>
      </x:c>
    </x:row>
    <x:row r="522" ht="19" customHeight="1">
      <x:c r="A522" s="29" t="str">
        <x:v>stagger_1</x:v>
      </x:c>
      <x:c r="B522" s="38" t="str">
        <x:v>FIX</x:v>
      </x:c>
      <x:c r="C522" s="38" t="str">
        <x:v>Other FX</x:v>
      </x:c>
      <x:c r="D522" s="30" t="n">
        <x:v>1</x:v>
      </x:c>
      <x:c r="E522" s="38" t="str">
        <x:v>CAD/USD</x:v>
      </x:c>
      <x:c r="F522" s="38" t="n">
        <x:v>-0.6282848668</x:v>
      </x:c>
      <x:c r="G522" s="38" t="n">
        <x:v>-0.5738873672</x:v>
      </x:c>
      <x:c r="H522" s="42" t="b">
        <x:v>0</x:v>
      </x:c>
      <x:c r="I522" s="42" t="b">
        <x:v>0</x:v>
      </x:c>
      <x:c r="J522" s="38" t="n">
        <x:v>0.1979057343</x:v>
      </x:c>
    </x:row>
    <x:row r="523" ht="19" customHeight="1">
      <x:c r="A523" s="29" t="str">
        <x:v>stagger_1</x:v>
      </x:c>
      <x:c r="B523" s="38" t="str">
        <x:v>FIX</x:v>
      </x:c>
      <x:c r="C523" s="38" t="str">
        <x:v>Other FX</x:v>
      </x:c>
      <x:c r="D523" s="30" t="n">
        <x:v>1</x:v>
      </x:c>
      <x:c r="E523" s="38" t="str">
        <x:v>DKK/USD</x:v>
      </x:c>
      <x:c r="F523" s="38" t="n">
        <x:v>5.7270656284</x:v>
      </x:c>
      <x:c r="G523" s="38" t="n">
        <x:v>0.7514174755</x:v>
      </x:c>
      <x:c r="H523" s="42" t="b">
        <x:v>0</x:v>
      </x:c>
      <x:c r="I523" s="42" t="b">
        <x:v>0</x:v>
      </x:c>
      <x:c r="J523" s="38" t="n">
        <x:v>0.1979057343</x:v>
      </x:c>
    </x:row>
    <x:row r="524" ht="19" customHeight="1">
      <x:c r="A524" s="29" t="str">
        <x:v>stagger_1</x:v>
      </x:c>
      <x:c r="B524" s="38" t="str">
        <x:v>FIX</x:v>
      </x:c>
      <x:c r="C524" s="38" t="str">
        <x:v>Other FX</x:v>
      </x:c>
      <x:c r="D524" s="30" t="n">
        <x:v>1</x:v>
      </x:c>
      <x:c r="E524" s="38" t="str">
        <x:v>EUR/USD</x:v>
      </x:c>
      <x:c r="F524" s="38" t="n">
        <x:v>-6.2816962691</x:v>
      </x:c>
      <x:c r="G524" s="38" t="n">
        <x:v>-0.9010347374</x:v>
      </x:c>
      <x:c r="H524" s="42" t="b">
        <x:v>0</x:v>
      </x:c>
      <x:c r="I524" s="42" t="b">
        <x:v>0</x:v>
      </x:c>
      <x:c r="J524" s="38" t="n">
        <x:v>0.1979057343</x:v>
      </x:c>
    </x:row>
    <x:row r="525" ht="19" customHeight="1">
      <x:c r="A525" s="29" t="str">
        <x:v>stagger_1</x:v>
      </x:c>
      <x:c r="B525" s="38" t="str">
        <x:v>FIX</x:v>
      </x:c>
      <x:c r="C525" s="38" t="str">
        <x:v>Other FX</x:v>
      </x:c>
      <x:c r="D525" s="30" t="n">
        <x:v>1</x:v>
      </x:c>
      <x:c r="E525" s="38" t="str">
        <x:v>MXN/USD</x:v>
      </x:c>
      <x:c r="F525" s="38" t="n">
        <x:v>1.5488831201</x:v>
      </x:c>
      <x:c r="G525" s="38" t="n">
        <x:v>2.666694162</x:v>
      </x:c>
      <x:c r="H525" s="42" t="b">
        <x:v>0</x:v>
      </x:c>
      <x:c r="I525" s="42" t="b">
        <x:v>0</x:v>
      </x:c>
      <x:c r="J525" s="38" t="n">
        <x:v>0.1979057343</x:v>
      </x:c>
    </x:row>
    <x:row r="526" ht="19" customHeight="1">
      <x:c r="A526" s="29" t="str">
        <x:v>stagger_1</x:v>
      </x:c>
      <x:c r="B526" s="38" t="str">
        <x:v>FIX</x:v>
      </x:c>
      <x:c r="C526" s="38" t="str">
        <x:v>Other FX</x:v>
      </x:c>
      <x:c r="D526" s="30" t="n">
        <x:v>1</x:v>
      </x:c>
      <x:c r="E526" s="38" t="str">
        <x:v>SGD/USD</x:v>
      </x:c>
      <x:c r="F526" s="38" t="n">
        <x:v>-0.0122637814</x:v>
      </x:c>
      <x:c r="G526" s="38" t="n">
        <x:v>-0.0055868684</x:v>
      </x:c>
      <x:c r="H526" s="42" t="b">
        <x:v>1</x:v>
      </x:c>
      <x:c r="I526" s="42" t="b">
        <x:v>0</x:v>
      </x:c>
      <x:c r="J526" s="38" t="n">
        <x:v>0.1979057343</x:v>
      </x:c>
    </x:row>
    <x:row r="527" ht="19" customHeight="1">
      <x:c r="A527" s="29" t="str">
        <x:v>stagger_1</x:v>
      </x:c>
      <x:c r="B527" s="38" t="str">
        <x:v>FIX</x:v>
      </x:c>
      <x:c r="C527" s="38" t="str">
        <x:v>Other FX</x:v>
      </x:c>
      <x:c r="D527" s="30" t="n">
        <x:v>2</x:v>
      </x:c>
      <x:c r="E527" s="38" t="str">
        <x:v>AUD/USD</x:v>
      </x:c>
      <x:c r="F527" s="38" t="n">
        <x:v>1.1254843066</x:v>
      </x:c>
      <x:c r="G527" s="38" t="n">
        <x:v>1.4103147651</x:v>
      </x:c>
      <x:c r="H527" s="42" t="b">
        <x:v>0</x:v>
      </x:c>
      <x:c r="I527" s="42" t="b">
        <x:v>0</x:v>
      </x:c>
      <x:c r="J527" s="38" t="n">
        <x:v>0.1979053914</x:v>
      </x:c>
    </x:row>
    <x:row r="528" ht="19" customHeight="1">
      <x:c r="A528" s="29" t="str">
        <x:v>stagger_1</x:v>
      </x:c>
      <x:c r="B528" s="38" t="str">
        <x:v>FIX</x:v>
      </x:c>
      <x:c r="C528" s="38" t="str">
        <x:v>Other FX</x:v>
      </x:c>
      <x:c r="D528" s="30" t="n">
        <x:v>2</x:v>
      </x:c>
      <x:c r="E528" s="38" t="str">
        <x:v>CAD/USD</x:v>
      </x:c>
      <x:c r="F528" s="38" t="n">
        <x:v>-0.6282998521</x:v>
      </x:c>
      <x:c r="G528" s="38" t="n">
        <x:v>-0.5778201245</x:v>
      </x:c>
      <x:c r="H528" s="42" t="b">
        <x:v>1</x:v>
      </x:c>
      <x:c r="I528" s="42" t="b">
        <x:v>0</x:v>
      </x:c>
      <x:c r="J528" s="38" t="n">
        <x:v>0.1979053914</x:v>
      </x:c>
    </x:row>
    <x:row r="529" ht="19" customHeight="1">
      <x:c r="A529" s="29" t="str">
        <x:v>stagger_1</x:v>
      </x:c>
      <x:c r="B529" s="38" t="str">
        <x:v>FIX</x:v>
      </x:c>
      <x:c r="C529" s="38" t="str">
        <x:v>Other FX</x:v>
      </x:c>
      <x:c r="D529" s="30" t="n">
        <x:v>2</x:v>
      </x:c>
      <x:c r="E529" s="38" t="str">
        <x:v>DKK/USD</x:v>
      </x:c>
      <x:c r="F529" s="38" t="n">
        <x:v>5.7107097776</x:v>
      </x:c>
      <x:c r="G529" s="38" t="n">
        <x:v>0.8170645537</x:v>
      </x:c>
      <x:c r="H529" s="42" t="b">
        <x:v>0</x:v>
      </x:c>
      <x:c r="I529" s="42" t="b">
        <x:v>0</x:v>
      </x:c>
      <x:c r="J529" s="38" t="n">
        <x:v>0.1979053914</x:v>
      </x:c>
    </x:row>
    <x:row r="530" ht="19" customHeight="1">
      <x:c r="A530" s="29" t="str">
        <x:v>stagger_1</x:v>
      </x:c>
      <x:c r="B530" s="38" t="str">
        <x:v>FIX</x:v>
      </x:c>
      <x:c r="C530" s="38" t="str">
        <x:v>Other FX</x:v>
      </x:c>
      <x:c r="D530" s="30" t="n">
        <x:v>2</x:v>
      </x:c>
      <x:c r="E530" s="38" t="str">
        <x:v>EUR/USD</x:v>
      </x:c>
      <x:c r="F530" s="38" t="n">
        <x:v>-6.2700877365</x:v>
      </x:c>
      <x:c r="G530" s="38" t="n">
        <x:v>-0.9486199005</x:v>
      </x:c>
      <x:c r="H530" s="42" t="b">
        <x:v>0</x:v>
      </x:c>
      <x:c r="I530" s="42" t="b">
        <x:v>0</x:v>
      </x:c>
      <x:c r="J530" s="38" t="n">
        <x:v>0.1979053914</x:v>
      </x:c>
    </x:row>
    <x:row r="531" ht="19" customHeight="1">
      <x:c r="A531" s="29" t="str">
        <x:v>stagger_1</x:v>
      </x:c>
      <x:c r="B531" s="38" t="str">
        <x:v>FIX</x:v>
      </x:c>
      <x:c r="C531" s="38" t="str">
        <x:v>Other FX</x:v>
      </x:c>
      <x:c r="D531" s="30" t="n">
        <x:v>2</x:v>
      </x:c>
      <x:c r="E531" s="38" t="str">
        <x:v>MXN/USD</x:v>
      </x:c>
      <x:c r="F531" s="38" t="n">
        <x:v>1.549232149</x:v>
      </x:c>
      <x:c r="G531" s="38" t="n">
        <x:v>2.7011718598</x:v>
      </x:c>
      <x:c r="H531" s="42" t="b">
        <x:v>0</x:v>
      </x:c>
      <x:c r="I531" s="42" t="b">
        <x:v>0</x:v>
      </x:c>
      <x:c r="J531" s="38" t="n">
        <x:v>0.1979053914</x:v>
      </x:c>
    </x:row>
    <x:row r="532" ht="19" customHeight="1">
      <x:c r="A532" s="29" t="str">
        <x:v>stagger_1</x:v>
      </x:c>
      <x:c r="B532" s="38" t="str">
        <x:v>FIX</x:v>
      </x:c>
      <x:c r="C532" s="38" t="str">
        <x:v>Other FX</x:v>
      </x:c>
      <x:c r="D532" s="30" t="n">
        <x:v>3</x:v>
      </x:c>
      <x:c r="E532" s="38" t="str">
        <x:v>AUD/USD</x:v>
      </x:c>
      <x:c r="F532" s="38" t="n">
        <x:v>0.9982794612</x:v>
      </x:c>
      <x:c r="G532" s="38" t="n">
        <x:v>1.3072333347</x:v>
      </x:c>
      <x:c r="H532" s="42" t="b">
        <x:v>0</x:v>
      </x:c>
      <x:c r="I532" s="42" t="b">
        <x:v>0</x:v>
      </x:c>
      <x:c r="J532" s="38" t="n">
        <x:v>0.1942864695</x:v>
      </x:c>
    </x:row>
    <x:row r="533" ht="19" customHeight="1">
      <x:c r="A533" s="29" t="str">
        <x:v>stagger_1</x:v>
      </x:c>
      <x:c r="B533" s="38" t="str">
        <x:v>FIX</x:v>
      </x:c>
      <x:c r="C533" s="38" t="str">
        <x:v>Other FX</x:v>
      </x:c>
      <x:c r="D533" s="30" t="n">
        <x:v>3</x:v>
      </x:c>
      <x:c r="E533" s="38" t="str">
        <x:v>DKK/USD</x:v>
      </x:c>
      <x:c r="F533" s="38" t="n">
        <x:v>5.2713504725</x:v>
      </x:c>
      <x:c r="G533" s="38" t="n">
        <x:v>0.7620979478</x:v>
      </x:c>
      <x:c r="H533" s="42" t="b">
        <x:v>1</x:v>
      </x:c>
      <x:c r="I533" s="42" t="b">
        <x:v>0</x:v>
      </x:c>
      <x:c r="J533" s="38" t="n">
        <x:v>0.1942864695</x:v>
      </x:c>
    </x:row>
    <x:row r="534" ht="19" customHeight="1">
      <x:c r="A534" s="29" t="str">
        <x:v>stagger_1</x:v>
      </x:c>
      <x:c r="B534" s="38" t="str">
        <x:v>FIX</x:v>
      </x:c>
      <x:c r="C534" s="38" t="str">
        <x:v>Other FX</x:v>
      </x:c>
      <x:c r="D534" s="30" t="n">
        <x:v>3</x:v>
      </x:c>
      <x:c r="E534" s="38" t="str">
        <x:v>EUR/USD</x:v>
      </x:c>
      <x:c r="F534" s="38" t="n">
        <x:v>-6.0241923372</x:v>
      </x:c>
      <x:c r="G534" s="38" t="n">
        <x:v>-0.9173956766</x:v>
      </x:c>
      <x:c r="H534" s="42" t="b">
        <x:v>0</x:v>
      </x:c>
      <x:c r="I534" s="42" t="b">
        <x:v>0</x:v>
      </x:c>
      <x:c r="J534" s="38" t="n">
        <x:v>0.1942864695</x:v>
      </x:c>
    </x:row>
    <x:row r="535" ht="19" customHeight="1">
      <x:c r="A535" s="29" t="str">
        <x:v>stagger_1</x:v>
      </x:c>
      <x:c r="B535" s="38" t="str">
        <x:v>FIX</x:v>
      </x:c>
      <x:c r="C535" s="38" t="str">
        <x:v>Other FX</x:v>
      </x:c>
      <x:c r="D535" s="30" t="n">
        <x:v>3</x:v>
      </x:c>
      <x:c r="E535" s="38" t="str">
        <x:v>MXN/USD</x:v>
      </x:c>
      <x:c r="F535" s="38" t="n">
        <x:v>1.5559944666</x:v>
      </x:c>
      <x:c r="G535" s="38" t="n">
        <x:v>2.7256584772</x:v>
      </x:c>
      <x:c r="H535" s="42" t="b">
        <x:v>0</x:v>
      </x:c>
      <x:c r="I535" s="42" t="b">
        <x:v>0</x:v>
      </x:c>
      <x:c r="J535" s="38" t="n">
        <x:v>0.1942864695</x:v>
      </x:c>
    </x:row>
    <x:row r="536" ht="19" customHeight="1">
      <x:c r="A536" s="29" t="str">
        <x:v>stagger_1</x:v>
      </x:c>
      <x:c r="B536" s="38" t="str">
        <x:v>FIX</x:v>
      </x:c>
      <x:c r="C536" s="38" t="str">
        <x:v>Other FX</x:v>
      </x:c>
      <x:c r="D536" s="30" t="n">
        <x:v>4</x:v>
      </x:c>
      <x:c r="E536" s="38" t="str">
        <x:v>AUD/USD</x:v>
      </x:c>
      <x:c r="F536" s="38" t="n">
        <x:v>1.1455440186</x:v>
      </x:c>
      <x:c r="G536" s="38" t="n">
        <x:v>1.5548290314</x:v>
      </x:c>
      <x:c r="H536" s="42" t="b">
        <x:v>0</x:v>
      </x:c>
      <x:c r="I536" s="42" t="b">
        <x:v>0</x:v>
      </x:c>
      <x:c r="J536" s="38" t="n">
        <x:v>0.1880470961</x:v>
      </x:c>
    </x:row>
    <x:row r="537" ht="19" customHeight="1">
      <x:c r="A537" s="29" t="str">
        <x:v>stagger_1</x:v>
      </x:c>
      <x:c r="B537" s="38" t="str">
        <x:v>FIX</x:v>
      </x:c>
      <x:c r="C537" s="38" t="str">
        <x:v>Other FX</x:v>
      </x:c>
      <x:c r="D537" s="30" t="n">
        <x:v>4</x:v>
      </x:c>
      <x:c r="E537" s="38" t="str">
        <x:v>EUR/USD</x:v>
      </x:c>
      <x:c r="F537" s="38" t="n">
        <x:v>-1.0640127569</x:v>
      </x:c>
      <x:c r="G537" s="38" t="n">
        <x:v>-1.2248013915</x:v>
      </x:c>
      <x:c r="H537" s="42" t="b">
        <x:v>1</x:v>
      </x:c>
      <x:c r="I537" s="42" t="b">
        <x:v>0</x:v>
      </x:c>
      <x:c r="J537" s="38" t="n">
        <x:v>0.1880470961</x:v>
      </x:c>
    </x:row>
    <x:row r="538" ht="19" customHeight="1">
      <x:c r="A538" s="29" t="str">
        <x:v>stagger_1</x:v>
      </x:c>
      <x:c r="B538" s="38" t="str">
        <x:v>FIX</x:v>
      </x:c>
      <x:c r="C538" s="38" t="str">
        <x:v>Other FX</x:v>
      </x:c>
      <x:c r="D538" s="30" t="n">
        <x:v>4</x:v>
      </x:c>
      <x:c r="E538" s="38" t="str">
        <x:v>MXN/USD</x:v>
      </x:c>
      <x:c r="F538" s="38" t="n">
        <x:v>1.6795689228</x:v>
      </x:c>
      <x:c r="G538" s="38" t="n">
        <x:v>3.0770092045</x:v>
      </x:c>
      <x:c r="H538" s="42" t="b">
        <x:v>0</x:v>
      </x:c>
      <x:c r="I538" s="42" t="b">
        <x:v>0</x:v>
      </x:c>
      <x:c r="J538" s="38" t="n">
        <x:v>0.1880470961</x:v>
      </x:c>
    </x:row>
    <x:row r="539" ht="19" customHeight="1">
      <x:c r="A539" s="29" t="str">
        <x:v>stagger_1</x:v>
      </x:c>
      <x:c r="B539" s="38" t="str">
        <x:v>FIX</x:v>
      </x:c>
      <x:c r="C539" s="38" t="str">
        <x:v>Other FX</x:v>
      </x:c>
      <x:c r="D539" s="30" t="n">
        <x:v>5</x:v>
      </x:c>
      <x:c r="E539" s="38" t="str">
        <x:v>AUD/USD</x:v>
      </x:c>
      <x:c r="F539" s="38" t="n">
        <x:v>0.6874811199</x:v>
      </x:c>
      <x:c r="G539" s="38" t="n">
        <x:v>1.0795100467</x:v>
      </x:c>
      <x:c r="H539" s="42" t="b">
        <x:v>1</x:v>
      </x:c>
      <x:c r="I539" s="42" t="b">
        <x:v>0</x:v>
      </x:c>
      <x:c r="J539" s="38" t="n">
        <x:v>0.1720202307</x:v>
      </x:c>
    </x:row>
    <x:row r="540" ht="19" customHeight="1">
      <x:c r="A540" s="29" t="str">
        <x:v>stagger_1</x:v>
      </x:c>
      <x:c r="B540" s="38" t="str">
        <x:v>FIX</x:v>
      </x:c>
      <x:c r="C540" s="38" t="str">
        <x:v>Other FX</x:v>
      </x:c>
      <x:c r="D540" s="30" t="n">
        <x:v>5</x:v>
      </x:c>
      <x:c r="E540" s="38" t="str">
        <x:v>MXN/USD</x:v>
      </x:c>
      <x:c r="F540" s="38" t="n">
        <x:v>1.4751144023</x:v>
      </x:c>
      <x:c r="G540" s="38" t="n">
        <x:v>2.8292588674</x:v>
      </x:c>
      <x:c r="H540" s="42" t="b">
        <x:v>0</x:v>
      </x:c>
      <x:c r="I540" s="42" t="b">
        <x:v>0</x:v>
      </x:c>
      <x:c r="J540" s="38" t="n">
        <x:v>0.1720202307</x:v>
      </x:c>
    </x:row>
    <x:row r="541" ht="19" customHeight="1">
      <x:c r="A541" s="29" t="str">
        <x:v>stagger_1</x:v>
      </x:c>
      <x:c r="B541" s="38" t="str">
        <x:v>FIX</x:v>
      </x:c>
      <x:c r="C541" s="38" t="str">
        <x:v>Other FX</x:v>
      </x:c>
      <x:c r="D541" s="30" t="n">
        <x:v>6</x:v>
      </x:c>
      <x:c r="E541" s="38" t="str">
        <x:v>MXN/USD</x:v>
      </x:c>
      <x:c r="F541" s="38" t="n">
        <x:v>1.7507289915</x:v>
      </x:c>
      <x:c r="G541" s="38" t="n">
        <x:v>3.8471710726</x:v>
      </x:c>
      <x:c r="H541" s="42" t="b">
        <x:v>0</x:v>
      </x:c>
      <x:c r="I541" s="42" t="b">
        <x:v>1</x:v>
      </x:c>
      <x:c r="J541" s="38" t="n">
        <x:v>0.1594893275</x:v>
      </x:c>
    </x:row>
    <x:row r="542" ht="19" customHeight="1">
      <x:c r="A542" s="29" t="str">
        <x:v>stagger_1</x:v>
      </x:c>
      <x:c r="B542" s="38" t="str">
        <x:v>FIX</x:v>
      </x:c>
      <x:c r="C542" s="38" t="str">
        <x:v>Other sectors</x:v>
      </x:c>
      <x:c r="D542" s="30" t="n">
        <x:v>1</x:v>
      </x:c>
      <x:c r="E542" s="38" t="str">
        <x:v>XLB</x:v>
      </x:c>
      <x:c r="F542" s="38" t="n">
        <x:v>0.1876531157</x:v>
      </x:c>
      <x:c r="G542" s="38" t="n">
        <x:v>0.557159816</x:v>
      </x:c>
      <x:c r="H542" s="42" t="b">
        <x:v>0</x:v>
      </x:c>
      <x:c r="I542" s="42" t="b">
        <x:v>0</x:v>
      </x:c>
      <x:c r="J542" s="38" t="n">
        <x:v>0.2632653514</x:v>
      </x:c>
    </x:row>
    <x:row r="543" ht="19" customHeight="1">
      <x:c r="A543" s="29" t="str">
        <x:v>stagger_1</x:v>
      </x:c>
      <x:c r="B543" s="38" t="str">
        <x:v>FIX</x:v>
      </x:c>
      <x:c r="C543" s="38" t="str">
        <x:v>Other sectors</x:v>
      </x:c>
      <x:c r="D543" s="30" t="n">
        <x:v>1</x:v>
      </x:c>
      <x:c r="E543" s="38" t="str">
        <x:v>XLC</x:v>
      </x:c>
      <x:c r="F543" s="38" t="n">
        <x:v>-0.6182691052</x:v>
      </x:c>
      <x:c r="G543" s="38" t="n">
        <x:v>-1.3956678726</x:v>
      </x:c>
      <x:c r="H543" s="42" t="b">
        <x:v>0</x:v>
      </x:c>
      <x:c r="I543" s="42" t="b">
        <x:v>0</x:v>
      </x:c>
      <x:c r="J543" s="38" t="n">
        <x:v>0.2632653514</x:v>
      </x:c>
    </x:row>
    <x:row r="544" ht="19" customHeight="1">
      <x:c r="A544" s="29" t="str">
        <x:v>stagger_1</x:v>
      </x:c>
      <x:c r="B544" s="38" t="str">
        <x:v>FIX</x:v>
      </x:c>
      <x:c r="C544" s="38" t="str">
        <x:v>Other sectors</x:v>
      </x:c>
      <x:c r="D544" s="30" t="n">
        <x:v>1</x:v>
      </x:c>
      <x:c r="E544" s="38" t="str">
        <x:v>XLE</x:v>
      </x:c>
      <x:c r="F544" s="38" t="n">
        <x:v>0.1265590572</x:v>
      </x:c>
      <x:c r="G544" s="38" t="n">
        <x:v>0.7250211986</x:v>
      </x:c>
      <x:c r="H544" s="42" t="b">
        <x:v>0</x:v>
      </x:c>
      <x:c r="I544" s="42" t="b">
        <x:v>0</x:v>
      </x:c>
      <x:c r="J544" s="38" t="n">
        <x:v>0.2632653514</x:v>
      </x:c>
    </x:row>
    <x:row r="545" ht="19" customHeight="1">
      <x:c r="A545" s="29" t="str">
        <x:v>stagger_1</x:v>
      </x:c>
      <x:c r="B545" s="38" t="str">
        <x:v>FIX</x:v>
      </x:c>
      <x:c r="C545" s="38" t="str">
        <x:v>Other sectors</x:v>
      </x:c>
      <x:c r="D545" s="30" t="n">
        <x:v>1</x:v>
      </x:c>
      <x:c r="E545" s="38" t="str">
        <x:v>XLF</x:v>
      </x:c>
      <x:c r="F545" s="38" t="n">
        <x:v>-1.0149079302</x:v>
      </x:c>
      <x:c r="G545" s="38" t="n">
        <x:v>-2.0139345885</x:v>
      </x:c>
      <x:c r="H545" s="42" t="b">
        <x:v>0</x:v>
      </x:c>
      <x:c r="I545" s="42" t="b">
        <x:v>0</x:v>
      </x:c>
      <x:c r="J545" s="38" t="n">
        <x:v>0.2632653514</x:v>
      </x:c>
    </x:row>
    <x:row r="546" ht="19" customHeight="1">
      <x:c r="A546" s="29" t="str">
        <x:v>stagger_1</x:v>
      </x:c>
      <x:c r="B546" s="38" t="str">
        <x:v>FIX</x:v>
      </x:c>
      <x:c r="C546" s="38" t="str">
        <x:v>Other sectors</x:v>
      </x:c>
      <x:c r="D546" s="30" t="n">
        <x:v>1</x:v>
      </x:c>
      <x:c r="E546" s="38" t="str">
        <x:v>XLK</x:v>
      </x:c>
      <x:c r="F546" s="38" t="n">
        <x:v>-0.2716455543</x:v>
      </x:c>
      <x:c r="G546" s="38" t="n">
        <x:v>-0.3601048631</x:v>
      </x:c>
      <x:c r="H546" s="42" t="b">
        <x:v>0</x:v>
      </x:c>
      <x:c r="I546" s="42" t="b">
        <x:v>0</x:v>
      </x:c>
      <x:c r="J546" s="38" t="n">
        <x:v>0.2632653514</x:v>
      </x:c>
    </x:row>
    <x:row r="547" ht="19" customHeight="1">
      <x:c r="A547" s="29" t="str">
        <x:v>stagger_1</x:v>
      </x:c>
      <x:c r="B547" s="38" t="str">
        <x:v>FIX</x:v>
      </x:c>
      <x:c r="C547" s="38" t="str">
        <x:v>Other sectors</x:v>
      </x:c>
      <x:c r="D547" s="30" t="n">
        <x:v>1</x:v>
      </x:c>
      <x:c r="E547" s="38" t="str">
        <x:v>XLP</x:v>
      </x:c>
      <x:c r="F547" s="38" t="n">
        <x:v>-0.147912426</x:v>
      </x:c>
      <x:c r="G547" s="38" t="n">
        <x:v>-0.2964885337</x:v>
      </x:c>
      <x:c r="H547" s="42" t="b">
        <x:v>1</x:v>
      </x:c>
      <x:c r="I547" s="42" t="b">
        <x:v>0</x:v>
      </x:c>
      <x:c r="J547" s="38" t="n">
        <x:v>0.2632653514</x:v>
      </x:c>
    </x:row>
    <x:row r="548" ht="19" customHeight="1">
      <x:c r="A548" s="29" t="str">
        <x:v>stagger_1</x:v>
      </x:c>
      <x:c r="B548" s="38" t="str">
        <x:v>FIX</x:v>
      </x:c>
      <x:c r="C548" s="38" t="str">
        <x:v>Other sectors</x:v>
      </x:c>
      <x:c r="D548" s="30" t="n">
        <x:v>1</x:v>
      </x:c>
      <x:c r="E548" s="38" t="str">
        <x:v>XLRE</x:v>
      </x:c>
      <x:c r="F548" s="38" t="n">
        <x:v>-0.7499993754</x:v>
      </x:c>
      <x:c r="G548" s="38" t="n">
        <x:v>-1.8922435837</x:v>
      </x:c>
      <x:c r="H548" s="42" t="b">
        <x:v>0</x:v>
      </x:c>
      <x:c r="I548" s="42" t="b">
        <x:v>0</x:v>
      </x:c>
      <x:c r="J548" s="38" t="n">
        <x:v>0.2632653514</x:v>
      </x:c>
    </x:row>
    <x:row r="549" ht="19" customHeight="1">
      <x:c r="A549" s="29" t="str">
        <x:v>stagger_1</x:v>
      </x:c>
      <x:c r="B549" s="38" t="str">
        <x:v>FIX</x:v>
      </x:c>
      <x:c r="C549" s="38" t="str">
        <x:v>Other sectors</x:v>
      </x:c>
      <x:c r="D549" s="30" t="n">
        <x:v>1</x:v>
      </x:c>
      <x:c r="E549" s="38" t="str">
        <x:v>XLU</x:v>
      </x:c>
      <x:c r="F549" s="38" t="n">
        <x:v>0.317286514</x:v>
      </x:c>
      <x:c r="G549" s="38" t="n">
        <x:v>1.0111340357</x:v>
      </x:c>
      <x:c r="H549" s="42" t="b">
        <x:v>0</x:v>
      </x:c>
      <x:c r="I549" s="42" t="b">
        <x:v>0</x:v>
      </x:c>
      <x:c r="J549" s="38" t="n">
        <x:v>0.2632653514</x:v>
      </x:c>
    </x:row>
    <x:row r="550" ht="19" customHeight="1">
      <x:c r="A550" s="29" t="str">
        <x:v>stagger_1</x:v>
      </x:c>
      <x:c r="B550" s="38" t="str">
        <x:v>FIX</x:v>
      </x:c>
      <x:c r="C550" s="38" t="str">
        <x:v>Other sectors</x:v>
      </x:c>
      <x:c r="D550" s="30" t="n">
        <x:v>1</x:v>
      </x:c>
      <x:c r="E550" s="38" t="str">
        <x:v>XLV</x:v>
      </x:c>
      <x:c r="F550" s="38" t="n">
        <x:v>-0.6062420508</x:v>
      </x:c>
      <x:c r="G550" s="38" t="n">
        <x:v>-1.4420832306</x:v>
      </x:c>
      <x:c r="H550" s="42" t="b">
        <x:v>0</x:v>
      </x:c>
      <x:c r="I550" s="42" t="b">
        <x:v>0</x:v>
      </x:c>
      <x:c r="J550" s="38" t="n">
        <x:v>0.2632653514</x:v>
      </x:c>
    </x:row>
    <x:row r="551" ht="19" customHeight="1">
      <x:c r="A551" s="29" t="str">
        <x:v>stagger_1</x:v>
      </x:c>
      <x:c r="B551" s="38" t="str">
        <x:v>FIX</x:v>
      </x:c>
      <x:c r="C551" s="38" t="str">
        <x:v>Other sectors</x:v>
      </x:c>
      <x:c r="D551" s="30" t="n">
        <x:v>1</x:v>
      </x:c>
      <x:c r="E551" s="38" t="str">
        <x:v>XLY</x:v>
      </x:c>
      <x:c r="F551" s="38" t="n">
        <x:v>0.4273462091</x:v>
      </x:c>
      <x:c r="G551" s="38" t="n">
        <x:v>0.8843008562</x:v>
      </x:c>
      <x:c r="H551" s="42" t="b">
        <x:v>0</x:v>
      </x:c>
      <x:c r="I551" s="42" t="b">
        <x:v>0</x:v>
      </x:c>
      <x:c r="J551" s="38" t="n">
        <x:v>0.2632653514</x:v>
      </x:c>
    </x:row>
    <x:row r="552" ht="19" customHeight="1">
      <x:c r="A552" s="29" t="str">
        <x:v>stagger_1</x:v>
      </x:c>
      <x:c r="B552" s="38" t="str">
        <x:v>FIX</x:v>
      </x:c>
      <x:c r="C552" s="38" t="str">
        <x:v>Other sectors</x:v>
      </x:c>
      <x:c r="D552" s="30" t="n">
        <x:v>2</x:v>
      </x:c>
      <x:c r="E552" s="38" t="str">
        <x:v>XLB</x:v>
      </x:c>
      <x:c r="F552" s="38" t="n">
        <x:v>0.1581224258</x:v>
      </x:c>
      <x:c r="G552" s="38" t="n">
        <x:v>0.4946956431</x:v>
      </x:c>
      <x:c r="H552" s="42" t="b">
        <x:v>0</x:v>
      </x:c>
      <x:c r="I552" s="42" t="b">
        <x:v>0</x:v>
      </x:c>
      <x:c r="J552" s="38" t="n">
        <x:v>0.2623267574</x:v>
      </x:c>
    </x:row>
    <x:row r="553" ht="19" customHeight="1">
      <x:c r="A553" s="29" t="str">
        <x:v>stagger_1</x:v>
      </x:c>
      <x:c r="B553" s="38" t="str">
        <x:v>FIX</x:v>
      </x:c>
      <x:c r="C553" s="38" t="str">
        <x:v>Other sectors</x:v>
      </x:c>
      <x:c r="D553" s="30" t="n">
        <x:v>2</x:v>
      </x:c>
      <x:c r="E553" s="38" t="str">
        <x:v>XLC</x:v>
      </x:c>
      <x:c r="F553" s="38" t="n">
        <x:v>-0.6177589967</x:v>
      </x:c>
      <x:c r="G553" s="38" t="n">
        <x:v>-1.4037019309</x:v>
      </x:c>
      <x:c r="H553" s="42" t="b">
        <x:v>0</x:v>
      </x:c>
      <x:c r="I553" s="42" t="b">
        <x:v>0</x:v>
      </x:c>
      <x:c r="J553" s="38" t="n">
        <x:v>0.2623267574</x:v>
      </x:c>
    </x:row>
    <x:row r="554" ht="19" customHeight="1">
      <x:c r="A554" s="29" t="str">
        <x:v>stagger_1</x:v>
      </x:c>
      <x:c r="B554" s="38" t="str">
        <x:v>FIX</x:v>
      </x:c>
      <x:c r="C554" s="38" t="str">
        <x:v>Other sectors</x:v>
      </x:c>
      <x:c r="D554" s="30" t="n">
        <x:v>2</x:v>
      </x:c>
      <x:c r="E554" s="38" t="str">
        <x:v>XLE</x:v>
      </x:c>
      <x:c r="F554" s="38" t="n">
        <x:v>0.1381070483</x:v>
      </x:c>
      <x:c r="G554" s="38" t="n">
        <x:v>0.8169787063</x:v>
      </x:c>
      <x:c r="H554" s="42" t="b">
        <x:v>0</x:v>
      </x:c>
      <x:c r="I554" s="42" t="b">
        <x:v>0</x:v>
      </x:c>
      <x:c r="J554" s="38" t="n">
        <x:v>0.2623267574</x:v>
      </x:c>
    </x:row>
    <x:row r="555" ht="19" customHeight="1">
      <x:c r="A555" s="29" t="str">
        <x:v>stagger_1</x:v>
      </x:c>
      <x:c r="B555" s="38" t="str">
        <x:v>FIX</x:v>
      </x:c>
      <x:c r="C555" s="38" t="str">
        <x:v>Other sectors</x:v>
      </x:c>
      <x:c r="D555" s="30" t="n">
        <x:v>2</x:v>
      </x:c>
      <x:c r="E555" s="38" t="str">
        <x:v>XLF</x:v>
      </x:c>
      <x:c r="F555" s="38" t="n">
        <x:v>-0.946615657</x:v>
      </x:c>
      <x:c r="G555" s="38" t="n">
        <x:v>-2.1258283208</x:v>
      </x:c>
      <x:c r="H555" s="42" t="b">
        <x:v>0</x:v>
      </x:c>
      <x:c r="I555" s="42" t="b">
        <x:v>0</x:v>
      </x:c>
      <x:c r="J555" s="38" t="n">
        <x:v>0.2623267574</x:v>
      </x:c>
    </x:row>
    <x:row r="556" ht="19" customHeight="1">
      <x:c r="A556" s="29" t="str">
        <x:v>stagger_1</x:v>
      </x:c>
      <x:c r="B556" s="38" t="str">
        <x:v>FIX</x:v>
      </x:c>
      <x:c r="C556" s="38" t="str">
        <x:v>Other sectors</x:v>
      </x:c>
      <x:c r="D556" s="30" t="n">
        <x:v>2</x:v>
      </x:c>
      <x:c r="E556" s="38" t="str">
        <x:v>XLK</x:v>
      </x:c>
      <x:c r="F556" s="38" t="n">
        <x:v>-0.1857181174</x:v>
      </x:c>
      <x:c r="G556" s="38" t="n">
        <x:v>-0.2684158662</x:v>
      </x:c>
      <x:c r="H556" s="42" t="b">
        <x:v>1</x:v>
      </x:c>
      <x:c r="I556" s="42" t="b">
        <x:v>0</x:v>
      </x:c>
      <x:c r="J556" s="38" t="n">
        <x:v>0.2623267574</x:v>
      </x:c>
    </x:row>
    <x:row r="557" ht="19" customHeight="1">
      <x:c r="A557" s="29" t="str">
        <x:v>stagger_1</x:v>
      </x:c>
      <x:c r="B557" s="38" t="str">
        <x:v>FIX</x:v>
      </x:c>
      <x:c r="C557" s="38" t="str">
        <x:v>Other sectors</x:v>
      </x:c>
      <x:c r="D557" s="30" t="n">
        <x:v>2</x:v>
      </x:c>
      <x:c r="E557" s="38" t="str">
        <x:v>XLRE</x:v>
      </x:c>
      <x:c r="F557" s="38" t="n">
        <x:v>-0.7885238191</x:v>
      </x:c>
      <x:c r="G557" s="38" t="n">
        <x:v>-2.1196671583</x:v>
      </x:c>
      <x:c r="H557" s="42" t="b">
        <x:v>0</x:v>
      </x:c>
      <x:c r="I557" s="42" t="b">
        <x:v>0</x:v>
      </x:c>
      <x:c r="J557" s="38" t="n">
        <x:v>0.2623267574</x:v>
      </x:c>
    </x:row>
    <x:row r="558" ht="19" customHeight="1">
      <x:c r="A558" s="29" t="str">
        <x:v>stagger_1</x:v>
      </x:c>
      <x:c r="B558" s="38" t="str">
        <x:v>FIX</x:v>
      </x:c>
      <x:c r="C558" s="38" t="str">
        <x:v>Other sectors</x:v>
      </x:c>
      <x:c r="D558" s="30" t="n">
        <x:v>2</x:v>
      </x:c>
      <x:c r="E558" s="38" t="str">
        <x:v>XLU</x:v>
      </x:c>
      <x:c r="F558" s="38" t="n">
        <x:v>0.3078095564</x:v>
      </x:c>
      <x:c r="G558" s="38" t="n">
        <x:v>0.9925494332</x:v>
      </x:c>
      <x:c r="H558" s="42" t="b">
        <x:v>0</x:v>
      </x:c>
      <x:c r="I558" s="42" t="b">
        <x:v>0</x:v>
      </x:c>
      <x:c r="J558" s="38" t="n">
        <x:v>0.2623267574</x:v>
      </x:c>
    </x:row>
    <x:row r="559" ht="19" customHeight="1">
      <x:c r="A559" s="29" t="str">
        <x:v>stagger_1</x:v>
      </x:c>
      <x:c r="B559" s="38" t="str">
        <x:v>FIX</x:v>
      </x:c>
      <x:c r="C559" s="38" t="str">
        <x:v>Other sectors</x:v>
      </x:c>
      <x:c r="D559" s="30" t="n">
        <x:v>2</x:v>
      </x:c>
      <x:c r="E559" s="38" t="str">
        <x:v>XLV</x:v>
      </x:c>
      <x:c r="F559" s="38" t="n">
        <x:v>-0.6052488144</x:v>
      </x:c>
      <x:c r="G559" s="38" t="n">
        <x:v>-1.4492390018</x:v>
      </x:c>
      <x:c r="H559" s="42" t="b">
        <x:v>0</x:v>
      </x:c>
      <x:c r="I559" s="42" t="b">
        <x:v>0</x:v>
      </x:c>
      <x:c r="J559" s="38" t="n">
        <x:v>0.2623267574</x:v>
      </x:c>
    </x:row>
    <x:row r="560" ht="19" customHeight="1">
      <x:c r="A560" s="29" t="str">
        <x:v>stagger_1</x:v>
      </x:c>
      <x:c r="B560" s="38" t="str">
        <x:v>FIX</x:v>
      </x:c>
      <x:c r="C560" s="38" t="str">
        <x:v>Other sectors</x:v>
      </x:c>
      <x:c r="D560" s="30" t="n">
        <x:v>2</x:v>
      </x:c>
      <x:c r="E560" s="38" t="str">
        <x:v>XLY</x:v>
      </x:c>
      <x:c r="F560" s="38" t="n">
        <x:v>0.4738717144</x:v>
      </x:c>
      <x:c r="G560" s="38" t="n">
        <x:v>1.0435765852</x:v>
      </x:c>
      <x:c r="H560" s="42" t="b">
        <x:v>0</x:v>
      </x:c>
      <x:c r="I560" s="42" t="b">
        <x:v>0</x:v>
      </x:c>
      <x:c r="J560" s="38" t="n">
        <x:v>0.2623267574</x:v>
      </x:c>
    </x:row>
    <x:row r="561" ht="19" customHeight="1">
      <x:c r="A561" s="29" t="str">
        <x:v>stagger_1</x:v>
      </x:c>
      <x:c r="B561" s="38" t="str">
        <x:v>FIX</x:v>
      </x:c>
      <x:c r="C561" s="38" t="str">
        <x:v>Other sectors</x:v>
      </x:c>
      <x:c r="D561" s="30" t="n">
        <x:v>3</x:v>
      </x:c>
      <x:c r="E561" s="38" t="str">
        <x:v>XLB</x:v>
      </x:c>
      <x:c r="F561" s="38" t="n">
        <x:v>0.1764621451</x:v>
      </x:c>
      <x:c r="G561" s="38" t="n">
        <x:v>0.5688648422</x:v>
      </x:c>
      <x:c r="H561" s="42" t="b">
        <x:v>1</x:v>
      </x:c>
      <x:c r="I561" s="42" t="b">
        <x:v>0</x:v>
      </x:c>
      <x:c r="J561" s="38" t="n">
        <x:v>0.2615675116</x:v>
      </x:c>
    </x:row>
    <x:row r="562" ht="19" customHeight="1">
      <x:c r="A562" s="29" t="str">
        <x:v>stagger_1</x:v>
      </x:c>
      <x:c r="B562" s="38" t="str">
        <x:v>FIX</x:v>
      </x:c>
      <x:c r="C562" s="38" t="str">
        <x:v>Other sectors</x:v>
      </x:c>
      <x:c r="D562" s="30" t="n">
        <x:v>3</x:v>
      </x:c>
      <x:c r="E562" s="38" t="str">
        <x:v>XLC</x:v>
      </x:c>
      <x:c r="F562" s="38" t="n">
        <x:v>-0.5575212774</x:v>
      </x:c>
      <x:c r="G562" s="38" t="n">
        <x:v>-1.482410683</x:v>
      </x:c>
      <x:c r="H562" s="42" t="b">
        <x:v>0</x:v>
      </x:c>
      <x:c r="I562" s="42" t="b">
        <x:v>0</x:v>
      </x:c>
      <x:c r="J562" s="38" t="n">
        <x:v>0.2615675116</x:v>
      </x:c>
    </x:row>
    <x:row r="563" ht="19" customHeight="1">
      <x:c r="A563" s="29" t="str">
        <x:v>stagger_1</x:v>
      </x:c>
      <x:c r="B563" s="38" t="str">
        <x:v>FIX</x:v>
      </x:c>
      <x:c r="C563" s="38" t="str">
        <x:v>Other sectors</x:v>
      </x:c>
      <x:c r="D563" s="30" t="n">
        <x:v>3</x:v>
      </x:c>
      <x:c r="E563" s="38" t="str">
        <x:v>XLE</x:v>
      </x:c>
      <x:c r="F563" s="38" t="n">
        <x:v>0.1566350839</x:v>
      </x:c>
      <x:c r="G563" s="38" t="n">
        <x:v>1.0217618411</x:v>
      </x:c>
      <x:c r="H563" s="42" t="b">
        <x:v>0</x:v>
      </x:c>
      <x:c r="I563" s="42" t="b">
        <x:v>0</x:v>
      </x:c>
      <x:c r="J563" s="38" t="n">
        <x:v>0.2615675116</x:v>
      </x:c>
    </x:row>
    <x:row r="564" ht="19" customHeight="1">
      <x:c r="A564" s="29" t="str">
        <x:v>stagger_1</x:v>
      </x:c>
      <x:c r="B564" s="38" t="str">
        <x:v>FIX</x:v>
      </x:c>
      <x:c r="C564" s="38" t="str">
        <x:v>Other sectors</x:v>
      </x:c>
      <x:c r="D564" s="30" t="n">
        <x:v>3</x:v>
      </x:c>
      <x:c r="E564" s="38" t="str">
        <x:v>XLF</x:v>
      </x:c>
      <x:c r="F564" s="38" t="n">
        <x:v>-0.8766778386</x:v>
      </x:c>
      <x:c r="G564" s="38" t="n">
        <x:v>-2.4438018544</x:v>
      </x:c>
      <x:c r="H564" s="42" t="b">
        <x:v>0</x:v>
      </x:c>
      <x:c r="I564" s="42" t="b">
        <x:v>0</x:v>
      </x:c>
      <x:c r="J564" s="38" t="n">
        <x:v>0.2615675116</x:v>
      </x:c>
    </x:row>
    <x:row r="565" ht="19" customHeight="1">
      <x:c r="A565" s="29" t="str">
        <x:v>stagger_1</x:v>
      </x:c>
      <x:c r="B565" s="38" t="str">
        <x:v>FIX</x:v>
      </x:c>
      <x:c r="C565" s="38" t="str">
        <x:v>Other sectors</x:v>
      </x:c>
      <x:c r="D565" s="30" t="n">
        <x:v>3</x:v>
      </x:c>
      <x:c r="E565" s="38" t="str">
        <x:v>XLRE</x:v>
      </x:c>
      <x:c r="F565" s="38" t="n">
        <x:v>-0.7804873228</x:v>
      </x:c>
      <x:c r="G565" s="38" t="n">
        <x:v>-2.1187839589</x:v>
      </x:c>
      <x:c r="H565" s="42" t="b">
        <x:v>0</x:v>
      </x:c>
      <x:c r="I565" s="42" t="b">
        <x:v>0</x:v>
      </x:c>
      <x:c r="J565" s="38" t="n">
        <x:v>0.2615675116</x:v>
      </x:c>
    </x:row>
    <x:row r="566" ht="19" customHeight="1">
      <x:c r="A566" s="29" t="str">
        <x:v>stagger_1</x:v>
      </x:c>
      <x:c r="B566" s="38" t="str">
        <x:v>FIX</x:v>
      </x:c>
      <x:c r="C566" s="38" t="str">
        <x:v>Other sectors</x:v>
      </x:c>
      <x:c r="D566" s="30" t="n">
        <x:v>3</x:v>
      </x:c>
      <x:c r="E566" s="38" t="str">
        <x:v>XLU</x:v>
      </x:c>
      <x:c r="F566" s="38" t="n">
        <x:v>0.3361784704</x:v>
      </x:c>
      <x:c r="G566" s="38" t="n">
        <x:v>1.1606646856</x:v>
      </x:c>
      <x:c r="H566" s="42" t="b">
        <x:v>0</x:v>
      </x:c>
      <x:c r="I566" s="42" t="b">
        <x:v>0</x:v>
      </x:c>
      <x:c r="J566" s="38" t="n">
        <x:v>0.2615675116</x:v>
      </x:c>
    </x:row>
    <x:row r="567" ht="19" customHeight="1">
      <x:c r="A567" s="29" t="str">
        <x:v>stagger_1</x:v>
      </x:c>
      <x:c r="B567" s="38" t="str">
        <x:v>FIX</x:v>
      </x:c>
      <x:c r="C567" s="38" t="str">
        <x:v>Other sectors</x:v>
      </x:c>
      <x:c r="D567" s="30" t="n">
        <x:v>3</x:v>
      </x:c>
      <x:c r="E567" s="38" t="str">
        <x:v>XLV</x:v>
      </x:c>
      <x:c r="F567" s="38" t="n">
        <x:v>-0.5396055555</x:v>
      </x:c>
      <x:c r="G567" s="38" t="n">
        <x:v>-1.6044483701</x:v>
      </x:c>
      <x:c r="H567" s="42" t="b">
        <x:v>0</x:v>
      </x:c>
      <x:c r="I567" s="42" t="b">
        <x:v>0</x:v>
      </x:c>
      <x:c r="J567" s="38" t="n">
        <x:v>0.2615675116</x:v>
      </x:c>
    </x:row>
    <x:row r="568" ht="19" customHeight="1">
      <x:c r="A568" s="29" t="str">
        <x:v>stagger_1</x:v>
      </x:c>
      <x:c r="B568" s="38" t="str">
        <x:v>FIX</x:v>
      </x:c>
      <x:c r="C568" s="38" t="str">
        <x:v>Other sectors</x:v>
      </x:c>
      <x:c r="D568" s="30" t="n">
        <x:v>3</x:v>
      </x:c>
      <x:c r="E568" s="38" t="str">
        <x:v>XLY</x:v>
      </x:c>
      <x:c r="F568" s="38" t="n">
        <x:v>0.5305887508</x:v>
      </x:c>
      <x:c r="G568" s="38" t="n">
        <x:v>1.3288314134</x:v>
      </x:c>
      <x:c r="H568" s="42" t="b">
        <x:v>0</x:v>
      </x:c>
      <x:c r="I568" s="42" t="b">
        <x:v>0</x:v>
      </x:c>
      <x:c r="J568" s="38" t="n">
        <x:v>0.2615675116</x:v>
      </x:c>
    </x:row>
    <x:row r="569" ht="19" customHeight="1">
      <x:c r="A569" s="29" t="str">
        <x:v>stagger_1</x:v>
      </x:c>
      <x:c r="B569" s="38" t="str">
        <x:v>FIX</x:v>
      </x:c>
      <x:c r="C569" s="38" t="str">
        <x:v>Other sectors</x:v>
      </x:c>
      <x:c r="D569" s="30" t="n">
        <x:v>4</x:v>
      </x:c>
      <x:c r="E569" s="38" t="str">
        <x:v>XLC</x:v>
      </x:c>
      <x:c r="F569" s="38" t="n">
        <x:v>-0.5717115937</x:v>
      </x:c>
      <x:c r="G569" s="38" t="n">
        <x:v>-1.5307035275</x:v>
      </x:c>
      <x:c r="H569" s="42" t="b">
        <x:v>0</x:v>
      </x:c>
      <x:c r="I569" s="42" t="b">
        <x:v>0</x:v>
      </x:c>
      <x:c r="J569" s="38" t="n">
        <x:v>0.2582018486</x:v>
      </x:c>
    </x:row>
    <x:row r="570" ht="19" customHeight="1">
      <x:c r="A570" s="29" t="str">
        <x:v>stagger_1</x:v>
      </x:c>
      <x:c r="B570" s="38" t="str">
        <x:v>FIX</x:v>
      </x:c>
      <x:c r="C570" s="38" t="str">
        <x:v>Other sectors</x:v>
      </x:c>
      <x:c r="D570" s="30" t="n">
        <x:v>4</x:v>
      </x:c>
      <x:c r="E570" s="38" t="str">
        <x:v>XLE</x:v>
      </x:c>
      <x:c r="F570" s="38" t="n">
        <x:v>0.1766440518</x:v>
      </x:c>
      <x:c r="G570" s="38" t="n">
        <x:v>1.1894679542</x:v>
      </x:c>
      <x:c r="H570" s="42" t="b">
        <x:v>1</x:v>
      </x:c>
      <x:c r="I570" s="42" t="b">
        <x:v>0</x:v>
      </x:c>
      <x:c r="J570" s="38" t="n">
        <x:v>0.2582018486</x:v>
      </x:c>
    </x:row>
    <x:row r="571" ht="19" customHeight="1">
      <x:c r="A571" s="29" t="str">
        <x:v>stagger_1</x:v>
      </x:c>
      <x:c r="B571" s="38" t="str">
        <x:v>FIX</x:v>
      </x:c>
      <x:c r="C571" s="38" t="str">
        <x:v>Other sectors</x:v>
      </x:c>
      <x:c r="D571" s="30" t="n">
        <x:v>4</x:v>
      </x:c>
      <x:c r="E571" s="38" t="str">
        <x:v>XLF</x:v>
      </x:c>
      <x:c r="F571" s="38" t="n">
        <x:v>-0.8233863064</x:v>
      </x:c>
      <x:c r="G571" s="38" t="n">
        <x:v>-2.3890024479</x:v>
      </x:c>
      <x:c r="H571" s="42" t="b">
        <x:v>0</x:v>
      </x:c>
      <x:c r="I571" s="42" t="b">
        <x:v>0</x:v>
      </x:c>
      <x:c r="J571" s="38" t="n">
        <x:v>0.2582018486</x:v>
      </x:c>
    </x:row>
    <x:row r="572" ht="19" customHeight="1">
      <x:c r="A572" s="29" t="str">
        <x:v>stagger_1</x:v>
      </x:c>
      <x:c r="B572" s="38" t="str">
        <x:v>FIX</x:v>
      </x:c>
      <x:c r="C572" s="38" t="str">
        <x:v>Other sectors</x:v>
      </x:c>
      <x:c r="D572" s="30" t="n">
        <x:v>4</x:v>
      </x:c>
      <x:c r="E572" s="38" t="str">
        <x:v>XLRE</x:v>
      </x:c>
      <x:c r="F572" s="38" t="n">
        <x:v>-0.7503543123</x:v>
      </x:c>
      <x:c r="G572" s="38" t="n">
        <x:v>-2.0681119707</x:v>
      </x:c>
      <x:c r="H572" s="42" t="b">
        <x:v>0</x:v>
      </x:c>
      <x:c r="I572" s="42" t="b">
        <x:v>0</x:v>
      </x:c>
      <x:c r="J572" s="38" t="n">
        <x:v>0.2582018486</x:v>
      </x:c>
    </x:row>
    <x:row r="573" ht="19" customHeight="1">
      <x:c r="A573" s="29" t="str">
        <x:v>stagger_1</x:v>
      </x:c>
      <x:c r="B573" s="38" t="str">
        <x:v>FIX</x:v>
      </x:c>
      <x:c r="C573" s="38" t="str">
        <x:v>Other sectors</x:v>
      </x:c>
      <x:c r="D573" s="30" t="n">
        <x:v>4</x:v>
      </x:c>
      <x:c r="E573" s="38" t="str">
        <x:v>XLU</x:v>
      </x:c>
      <x:c r="F573" s="38" t="n">
        <x:v>0.3783102309</x:v>
      </x:c>
      <x:c r="G573" s="38" t="n">
        <x:v>1.3574319533</x:v>
      </x:c>
      <x:c r="H573" s="42" t="b">
        <x:v>0</x:v>
      </x:c>
      <x:c r="I573" s="42" t="b">
        <x:v>0</x:v>
      </x:c>
      <x:c r="J573" s="38" t="n">
        <x:v>0.2582018486</x:v>
      </x:c>
    </x:row>
    <x:row r="574" ht="19" customHeight="1">
      <x:c r="A574" s="29" t="str">
        <x:v>stagger_1</x:v>
      </x:c>
      <x:c r="B574" s="38" t="str">
        <x:v>FIX</x:v>
      </x:c>
      <x:c r="C574" s="38" t="str">
        <x:v>Other sectors</x:v>
      </x:c>
      <x:c r="D574" s="30" t="n">
        <x:v>4</x:v>
      </x:c>
      <x:c r="E574" s="38" t="str">
        <x:v>XLV</x:v>
      </x:c>
      <x:c r="F574" s="38" t="n">
        <x:v>-0.5281874487</x:v>
      </x:c>
      <x:c r="G574" s="38" t="n">
        <x:v>-1.5807450249</x:v>
      </x:c>
      <x:c r="H574" s="42" t="b">
        <x:v>0</x:v>
      </x:c>
      <x:c r="I574" s="42" t="b">
        <x:v>0</x:v>
      </x:c>
      <x:c r="J574" s="38" t="n">
        <x:v>0.2582018486</x:v>
      </x:c>
    </x:row>
    <x:row r="575" ht="19" customHeight="1">
      <x:c r="A575" s="29" t="str">
        <x:v>stagger_1</x:v>
      </x:c>
      <x:c r="B575" s="38" t="str">
        <x:v>FIX</x:v>
      </x:c>
      <x:c r="C575" s="38" t="str">
        <x:v>Other sectors</x:v>
      </x:c>
      <x:c r="D575" s="30" t="n">
        <x:v>4</x:v>
      </x:c>
      <x:c r="E575" s="38" t="str">
        <x:v>XLY</x:v>
      </x:c>
      <x:c r="F575" s="38" t="n">
        <x:v>0.5342911632</x:v>
      </x:c>
      <x:c r="G575" s="38" t="n">
        <x:v>1.3446124847</x:v>
      </x:c>
      <x:c r="H575" s="42" t="b">
        <x:v>0</x:v>
      </x:c>
      <x:c r="I575" s="42" t="b">
        <x:v>0</x:v>
      </x:c>
      <x:c r="J575" s="38" t="n">
        <x:v>0.2582018486</x:v>
      </x:c>
    </x:row>
    <x:row r="576" ht="19" customHeight="1">
      <x:c r="A576" s="29" t="str">
        <x:v>stagger_1</x:v>
      </x:c>
      <x:c r="B576" s="38" t="str">
        <x:v>FIX</x:v>
      </x:c>
      <x:c r="C576" s="38" t="str">
        <x:v>Other sectors</x:v>
      </x:c>
      <x:c r="D576" s="30" t="n">
        <x:v>5</x:v>
      </x:c>
      <x:c r="E576" s="38" t="str">
        <x:v>XLC</x:v>
      </x:c>
      <x:c r="F576" s="38" t="n">
        <x:v>-0.5031489169</x:v>
      </x:c>
      <x:c r="G576" s="38" t="n">
        <x:v>-1.3596109737</x:v>
      </x:c>
      <x:c r="H576" s="42" t="b">
        <x:v>0</x:v>
      </x:c>
      <x:c r="I576" s="42" t="b">
        <x:v>0</x:v>
      </x:c>
      <x:c r="J576" s="38" t="n">
        <x:v>0.2436251645</x:v>
      </x:c>
    </x:row>
    <x:row r="577" ht="19" customHeight="1">
      <x:c r="A577" s="29" t="str">
        <x:v>stagger_1</x:v>
      </x:c>
      <x:c r="B577" s="38" t="str">
        <x:v>FIX</x:v>
      </x:c>
      <x:c r="C577" s="38" t="str">
        <x:v>Other sectors</x:v>
      </x:c>
      <x:c r="D577" s="30" t="n">
        <x:v>5</x:v>
      </x:c>
      <x:c r="E577" s="38" t="str">
        <x:v>XLF</x:v>
      </x:c>
      <x:c r="F577" s="38" t="n">
        <x:v>-0.7281407485</x:v>
      </x:c>
      <x:c r="G577" s="38" t="n">
        <x:v>-2.1659428576</x:v>
      </x:c>
      <x:c r="H577" s="42" t="b">
        <x:v>0</x:v>
      </x:c>
      <x:c r="I577" s="42" t="b">
        <x:v>0</x:v>
      </x:c>
      <x:c r="J577" s="38" t="n">
        <x:v>0.2436251645</x:v>
      </x:c>
    </x:row>
    <x:row r="578" ht="19" customHeight="1">
      <x:c r="A578" s="29" t="str">
        <x:v>stagger_1</x:v>
      </x:c>
      <x:c r="B578" s="38" t="str">
        <x:v>FIX</x:v>
      </x:c>
      <x:c r="C578" s="38" t="str">
        <x:v>Other sectors</x:v>
      </x:c>
      <x:c r="D578" s="30" t="n">
        <x:v>5</x:v>
      </x:c>
      <x:c r="E578" s="38" t="str">
        <x:v>XLRE</x:v>
      </x:c>
      <x:c r="F578" s="38" t="n">
        <x:v>-0.7007847514</x:v>
      </x:c>
      <x:c r="G578" s="38" t="n">
        <x:v>-1.9388566194</x:v>
      </x:c>
      <x:c r="H578" s="42" t="b">
        <x:v>0</x:v>
      </x:c>
      <x:c r="I578" s="42" t="b">
        <x:v>0</x:v>
      </x:c>
      <x:c r="J578" s="38" t="n">
        <x:v>0.2436251645</x:v>
      </x:c>
    </x:row>
    <x:row r="579" ht="19" customHeight="1">
      <x:c r="A579" s="29" t="str">
        <x:v>stagger_1</x:v>
      </x:c>
      <x:c r="B579" s="38" t="str">
        <x:v>FIX</x:v>
      </x:c>
      <x:c r="C579" s="38" t="str">
        <x:v>Other sectors</x:v>
      </x:c>
      <x:c r="D579" s="30" t="n">
        <x:v>5</x:v>
      </x:c>
      <x:c r="E579" s="38" t="str">
        <x:v>XLU</x:v>
      </x:c>
      <x:c r="F579" s="38" t="n">
        <x:v>0.3772053967</x:v>
      </x:c>
      <x:c r="G579" s="38" t="n">
        <x:v>1.3496458098</x:v>
      </x:c>
      <x:c r="H579" s="42" t="b">
        <x:v>0</x:v>
      </x:c>
      <x:c r="I579" s="42" t="b">
        <x:v>0</x:v>
      </x:c>
      <x:c r="J579" s="38" t="n">
        <x:v>0.2436251645</x:v>
      </x:c>
    </x:row>
    <x:row r="580" ht="19" customHeight="1">
      <x:c r="A580" s="29" t="str">
        <x:v>stagger_1</x:v>
      </x:c>
      <x:c r="B580" s="38" t="str">
        <x:v>FIX</x:v>
      </x:c>
      <x:c r="C580" s="38" t="str">
        <x:v>Other sectors</x:v>
      </x:c>
      <x:c r="D580" s="30" t="n">
        <x:v>5</x:v>
      </x:c>
      <x:c r="E580" s="38" t="str">
        <x:v>XLV</x:v>
      </x:c>
      <x:c r="F580" s="38" t="n">
        <x:v>-0.5367697713</x:v>
      </x:c>
      <x:c r="G580" s="38" t="n">
        <x:v>-1.6022585308</x:v>
      </x:c>
      <x:c r="H580" s="42" t="b">
        <x:v>0</x:v>
      </x:c>
      <x:c r="I580" s="42" t="b">
        <x:v>0</x:v>
      </x:c>
      <x:c r="J580" s="38" t="n">
        <x:v>0.2436251645</x:v>
      </x:c>
    </x:row>
    <x:row r="581" ht="19" customHeight="1">
      <x:c r="A581" s="29" t="str">
        <x:v>stagger_1</x:v>
      </x:c>
      <x:c r="B581" s="38" t="str">
        <x:v>FIX</x:v>
      </x:c>
      <x:c r="C581" s="38" t="str">
        <x:v>Other sectors</x:v>
      </x:c>
      <x:c r="D581" s="30" t="n">
        <x:v>5</x:v>
      </x:c>
      <x:c r="E581" s="38" t="str">
        <x:v>XLY</x:v>
      </x:c>
      <x:c r="F581" s="38" t="n">
        <x:v>0.4028674645</x:v>
      </x:c>
      <x:c r="G581" s="38" t="n">
        <x:v>1.0525065816</x:v>
      </x:c>
      <x:c r="H581" s="42" t="b">
        <x:v>1</x:v>
      </x:c>
      <x:c r="I581" s="42" t="b">
        <x:v>0</x:v>
      </x:c>
      <x:c r="J581" s="38" t="n">
        <x:v>0.2436251645</x:v>
      </x:c>
    </x:row>
    <x:row r="582" ht="19" customHeight="1">
      <x:c r="A582" s="29" t="str">
        <x:v>stagger_1</x:v>
      </x:c>
      <x:c r="B582" s="38" t="str">
        <x:v>FIX</x:v>
      </x:c>
      <x:c r="C582" s="38" t="str">
        <x:v>Other sectors</x:v>
      </x:c>
      <x:c r="D582" s="30" t="n">
        <x:v>6</x:v>
      </x:c>
      <x:c r="E582" s="38" t="str">
        <x:v>XLC</x:v>
      </x:c>
      <x:c r="F582" s="38" t="n">
        <x:v>-0.3723783177</x:v>
      </x:c>
      <x:c r="G582" s="38" t="n">
        <x:v>-1.0674720603</x:v>
      </x:c>
      <x:c r="H582" s="42" t="b">
        <x:v>1</x:v>
      </x:c>
      <x:c r="I582" s="42" t="b">
        <x:v>0</x:v>
      </x:c>
      <x:c r="J582" s="38" t="n">
        <x:v>0.2321472271</x:v>
      </x:c>
    </x:row>
    <x:row r="583" ht="19" customHeight="1">
      <x:c r="A583" s="29" t="str">
        <x:v>stagger_1</x:v>
      </x:c>
      <x:c r="B583" s="38" t="str">
        <x:v>FIX</x:v>
      </x:c>
      <x:c r="C583" s="38" t="str">
        <x:v>Other sectors</x:v>
      </x:c>
      <x:c r="D583" s="30" t="n">
        <x:v>6</x:v>
      </x:c>
      <x:c r="E583" s="38" t="str">
        <x:v>XLF</x:v>
      </x:c>
      <x:c r="F583" s="38" t="n">
        <x:v>-0.7383784532</x:v>
      </x:c>
      <x:c r="G583" s="38" t="n">
        <x:v>-2.1957178295</x:v>
      </x:c>
      <x:c r="H583" s="42" t="b">
        <x:v>0</x:v>
      </x:c>
      <x:c r="I583" s="42" t="b">
        <x:v>0</x:v>
      </x:c>
      <x:c r="J583" s="38" t="n">
        <x:v>0.2321472271</x:v>
      </x:c>
    </x:row>
    <x:row r="584" ht="19" customHeight="1">
      <x:c r="A584" s="29" t="str">
        <x:v>stagger_1</x:v>
      </x:c>
      <x:c r="B584" s="38" t="str">
        <x:v>FIX</x:v>
      </x:c>
      <x:c r="C584" s="38" t="str">
        <x:v>Other sectors</x:v>
      </x:c>
      <x:c r="D584" s="30" t="n">
        <x:v>6</x:v>
      </x:c>
      <x:c r="E584" s="38" t="str">
        <x:v>XLRE</x:v>
      </x:c>
      <x:c r="F584" s="38" t="n">
        <x:v>-0.5929858315</x:v>
      </x:c>
      <x:c r="G584" s="38" t="n">
        <x:v>-1.709486353</x:v>
      </x:c>
      <x:c r="H584" s="42" t="b">
        <x:v>0</x:v>
      </x:c>
      <x:c r="I584" s="42" t="b">
        <x:v>0</x:v>
      </x:c>
      <x:c r="J584" s="38" t="n">
        <x:v>0.2321472271</x:v>
      </x:c>
    </x:row>
    <x:row r="585" ht="19" customHeight="1">
      <x:c r="A585" s="29" t="str">
        <x:v>stagger_1</x:v>
      </x:c>
      <x:c r="B585" s="38" t="str">
        <x:v>FIX</x:v>
      </x:c>
      <x:c r="C585" s="38" t="str">
        <x:v>Other sectors</x:v>
      </x:c>
      <x:c r="D585" s="30" t="n">
        <x:v>6</x:v>
      </x:c>
      <x:c r="E585" s="38" t="str">
        <x:v>XLU</x:v>
      </x:c>
      <x:c r="F585" s="38" t="n">
        <x:v>0.3573771903</x:v>
      </x:c>
      <x:c r="G585" s="38" t="n">
        <x:v>1.2806829004</x:v>
      </x:c>
      <x:c r="H585" s="42" t="b">
        <x:v>0</x:v>
      </x:c>
      <x:c r="I585" s="42" t="b">
        <x:v>0</x:v>
      </x:c>
      <x:c r="J585" s="38" t="n">
        <x:v>0.2321472271</x:v>
      </x:c>
    </x:row>
    <x:row r="586" ht="19" customHeight="1">
      <x:c r="A586" s="29" t="str">
        <x:v>stagger_1</x:v>
      </x:c>
      <x:c r="B586" s="38" t="str">
        <x:v>FIX</x:v>
      </x:c>
      <x:c r="C586" s="38" t="str">
        <x:v>Other sectors</x:v>
      </x:c>
      <x:c r="D586" s="30" t="n">
        <x:v>6</x:v>
      </x:c>
      <x:c r="E586" s="38" t="str">
        <x:v>XLV</x:v>
      </x:c>
      <x:c r="F586" s="38" t="n">
        <x:v>-0.667556803</x:v>
      </x:c>
      <x:c r="G586" s="38" t="n">
        <x:v>-2.1441660883</x:v>
      </x:c>
      <x:c r="H586" s="42" t="b">
        <x:v>0</x:v>
      </x:c>
      <x:c r="I586" s="42" t="b">
        <x:v>0</x:v>
      </x:c>
      <x:c r="J586" s="38" t="n">
        <x:v>0.2321472271</x:v>
      </x:c>
    </x:row>
    <x:row r="587" ht="19" customHeight="1">
      <x:c r="A587" s="29" t="str">
        <x:v>stagger_1</x:v>
      </x:c>
      <x:c r="B587" s="38" t="str">
        <x:v>FIX</x:v>
      </x:c>
      <x:c r="C587" s="38" t="str">
        <x:v>Other sectors</x:v>
      </x:c>
      <x:c r="D587" s="30" t="n">
        <x:v>7</x:v>
      </x:c>
      <x:c r="E587" s="38" t="str">
        <x:v>XLF</x:v>
      </x:c>
      <x:c r="F587" s="38" t="n">
        <x:v>-0.7568133301</x:v>
      </x:c>
      <x:c r="G587" s="38" t="n">
        <x:v>-2.2514184476</x:v>
      </x:c>
      <x:c r="H587" s="42" t="b">
        <x:v>0</x:v>
      </x:c>
      <x:c r="I587" s="42" t="b">
        <x:v>0</x:v>
      </x:c>
      <x:c r="J587" s="38" t="n">
        <x:v>0.2203233673</x:v>
      </x:c>
    </x:row>
    <x:row r="588" ht="19" customHeight="1">
      <x:c r="A588" s="29" t="str">
        <x:v>stagger_1</x:v>
      </x:c>
      <x:c r="B588" s="38" t="str">
        <x:v>FIX</x:v>
      </x:c>
      <x:c r="C588" s="38" t="str">
        <x:v>Other sectors</x:v>
      </x:c>
      <x:c r="D588" s="30" t="n">
        <x:v>7</x:v>
      </x:c>
      <x:c r="E588" s="38" t="str">
        <x:v>XLRE</x:v>
      </x:c>
      <x:c r="F588" s="38" t="n">
        <x:v>-0.605847166</x:v>
      </x:c>
      <x:c r="G588" s="38" t="n">
        <x:v>-1.7459951141</x:v>
      </x:c>
      <x:c r="H588" s="42" t="b">
        <x:v>0</x:v>
      </x:c>
      <x:c r="I588" s="42" t="b">
        <x:v>0</x:v>
      </x:c>
      <x:c r="J588" s="38" t="n">
        <x:v>0.2203233673</x:v>
      </x:c>
    </x:row>
    <x:row r="589" ht="19" customHeight="1">
      <x:c r="A589" s="29" t="str">
        <x:v>stagger_1</x:v>
      </x:c>
      <x:c r="B589" s="38" t="str">
        <x:v>FIX</x:v>
      </x:c>
      <x:c r="C589" s="38" t="str">
        <x:v>Other sectors</x:v>
      </x:c>
      <x:c r="D589" s="30" t="n">
        <x:v>7</x:v>
      </x:c>
      <x:c r="E589" s="38" t="str">
        <x:v>XLU</x:v>
      </x:c>
      <x:c r="F589" s="38" t="n">
        <x:v>0.3953011242</x:v>
      </x:c>
      <x:c r="G589" s="38" t="n">
        <x:v>1.4268811223</x:v>
      </x:c>
      <x:c r="H589" s="42" t="b">
        <x:v>1</x:v>
      </x:c>
      <x:c r="I589" s="42" t="b">
        <x:v>0</x:v>
      </x:c>
      <x:c r="J589" s="38" t="n">
        <x:v>0.2203233673</x:v>
      </x:c>
    </x:row>
    <x:row r="590" ht="19" customHeight="1">
      <x:c r="A590" s="29" t="str">
        <x:v>stagger_1</x:v>
      </x:c>
      <x:c r="B590" s="38" t="str">
        <x:v>FIX</x:v>
      </x:c>
      <x:c r="C590" s="38" t="str">
        <x:v>Other sectors</x:v>
      </x:c>
      <x:c r="D590" s="30" t="n">
        <x:v>7</x:v>
      </x:c>
      <x:c r="E590" s="38" t="str">
        <x:v>XLV</x:v>
      </x:c>
      <x:c r="F590" s="38" t="n">
        <x:v>-0.6706563743</x:v>
      </x:c>
      <x:c r="G590" s="38" t="n">
        <x:v>-2.1522148992</x:v>
      </x:c>
      <x:c r="H590" s="42" t="b">
        <x:v>0</x:v>
      </x:c>
      <x:c r="I590" s="42" t="b">
        <x:v>0</x:v>
      </x:c>
      <x:c r="J590" s="38" t="n">
        <x:v>0.2203233673</x:v>
      </x:c>
    </x:row>
    <x:row r="591" ht="19" customHeight="1">
      <x:c r="A591" s="29" t="str">
        <x:v>stagger_1</x:v>
      </x:c>
      <x:c r="B591" s="38" t="str">
        <x:v>FIX</x:v>
      </x:c>
      <x:c r="C591" s="38" t="str">
        <x:v>Other sectors</x:v>
      </x:c>
      <x:c r="D591" s="30" t="n">
        <x:v>8</x:v>
      </x:c>
      <x:c r="E591" s="38" t="str">
        <x:v>XLF</x:v>
      </x:c>
      <x:c r="F591" s="38" t="n">
        <x:v>-0.7766977387</x:v>
      </x:c>
      <x:c r="G591" s="38" t="n">
        <x:v>-2.2969575532</x:v>
      </x:c>
      <x:c r="H591" s="42" t="b">
        <x:v>0</x:v>
      </x:c>
      <x:c r="I591" s="42" t="b">
        <x:v>0</x:v>
      </x:c>
      <x:c r="J591" s="38" t="n">
        <x:v>0.1991578523</x:v>
      </x:c>
    </x:row>
    <x:row r="592" ht="19" customHeight="1">
      <x:c r="A592" s="29" t="str">
        <x:v>stagger_1</x:v>
      </x:c>
      <x:c r="B592" s="38" t="str">
        <x:v>FIX</x:v>
      </x:c>
      <x:c r="C592" s="38" t="str">
        <x:v>Other sectors</x:v>
      </x:c>
      <x:c r="D592" s="30" t="n">
        <x:v>8</x:v>
      </x:c>
      <x:c r="E592" s="38" t="str">
        <x:v>XLRE</x:v>
      </x:c>
      <x:c r="F592" s="38" t="n">
        <x:v>-0.3777727669</x:v>
      </x:c>
      <x:c r="G592" s="38" t="n">
        <x:v>-1.2183203201</x:v>
      </x:c>
      <x:c r="H592" s="42" t="b">
        <x:v>1</x:v>
      </x:c>
      <x:c r="I592" s="42" t="b">
        <x:v>0</x:v>
      </x:c>
      <x:c r="J592" s="38" t="n">
        <x:v>0.1991578523</x:v>
      </x:c>
    </x:row>
    <x:row r="593" ht="19" customHeight="1">
      <x:c r="A593" s="29" t="str">
        <x:v>stagger_1</x:v>
      </x:c>
      <x:c r="B593" s="38" t="str">
        <x:v>FIX</x:v>
      </x:c>
      <x:c r="C593" s="38" t="str">
        <x:v>Other sectors</x:v>
      </x:c>
      <x:c r="D593" s="30" t="n">
        <x:v>8</x:v>
      </x:c>
      <x:c r="E593" s="38" t="str">
        <x:v>XLV</x:v>
      </x:c>
      <x:c r="F593" s="38" t="n">
        <x:v>-0.6316742775</x:v>
      </x:c>
      <x:c r="G593" s="38" t="n">
        <x:v>-2.021223187</x:v>
      </x:c>
      <x:c r="H593" s="42" t="b">
        <x:v>0</x:v>
      </x:c>
      <x:c r="I593" s="42" t="b">
        <x:v>0</x:v>
      </x:c>
      <x:c r="J593" s="38" t="n">
        <x:v>0.1991578523</x:v>
      </x:c>
    </x:row>
    <x:row r="594" ht="19" customHeight="1">
      <x:c r="A594" s="29" t="str">
        <x:v>stagger_1</x:v>
      </x:c>
      <x:c r="B594" s="38" t="str">
        <x:v>FIX</x:v>
      </x:c>
      <x:c r="C594" s="38" t="str">
        <x:v>Other sectors</x:v>
      </x:c>
      <x:c r="D594" s="30" t="n">
        <x:v>9</x:v>
      </x:c>
      <x:c r="E594" s="38" t="str">
        <x:v>XLF</x:v>
      </x:c>
      <x:c r="F594" s="38" t="n">
        <x:v>-0.8388154103</x:v>
      </x:c>
      <x:c r="G594" s="38" t="n">
        <x:v>-2.5014960192</x:v>
      </x:c>
      <x:c r="H594" s="42" t="b">
        <x:v>0</x:v>
      </x:c>
      <x:c r="I594" s="42" t="b">
        <x:v>1</x:v>
      </x:c>
      <x:c r="J594" s="38" t="n">
        <x:v>0.183517148</x:v>
      </x:c>
    </x:row>
    <x:row r="595" ht="19" customHeight="1">
      <x:c r="A595" s="29" t="str">
        <x:v>stagger_1</x:v>
      </x:c>
      <x:c r="B595" s="38" t="str">
        <x:v>FIX</x:v>
      </x:c>
      <x:c r="C595" s="38" t="str">
        <x:v>Other sectors</x:v>
      </x:c>
      <x:c r="D595" s="30" t="n">
        <x:v>9</x:v>
      </x:c>
      <x:c r="E595" s="38" t="str">
        <x:v>XLV</x:v>
      </x:c>
      <x:c r="F595" s="38" t="n">
        <x:v>-0.776604736</x:v>
      </x:c>
      <x:c r="G595" s="38" t="n">
        <x:v>-2.6788514008</x:v>
      </x:c>
      <x:c r="H595" s="42" t="b">
        <x:v>0</x:v>
      </x:c>
      <x:c r="I595" s="42" t="b">
        <x:v>1</x:v>
      </x:c>
      <x:c r="J595" s="38" t="n">
        <x:v>0.183517148</x:v>
      </x:c>
    </x:row>
    <x:row r="596" ht="19" customHeight="1">
      <x:c r="A596" s="29" t="str">
        <x:v>stagger_1</x:v>
      </x:c>
      <x:c r="B596" s="38" t="str">
        <x:v>STX</x:v>
      </x:c>
      <x:c r="C596" s="38" t="str">
        <x:v>Other FX</x:v>
      </x:c>
      <x:c r="D596" s="30" t="n">
        <x:v>1</x:v>
      </x:c>
      <x:c r="E596" s="38" t="str">
        <x:v>AUD/USD</x:v>
      </x:c>
      <x:c r="F596" s="38" t="n">
        <x:v>2.1773645358</x:v>
      </x:c>
      <x:c r="G596" s="38" t="n">
        <x:v>1.8918349904</x:v>
      </x:c>
      <x:c r="H596" s="42" t="b">
        <x:v>0</x:v>
      </x:c>
      <x:c r="I596" s="42" t="b">
        <x:v>0</x:v>
      </x:c>
      <x:c r="J596" s="38" t="n">
        <x:v>0.155077449</x:v>
      </x:c>
    </x:row>
    <x:row r="597" ht="19" customHeight="1">
      <x:c r="A597" s="29" t="str">
        <x:v>stagger_1</x:v>
      </x:c>
      <x:c r="B597" s="38" t="str">
        <x:v>STX</x:v>
      </x:c>
      <x:c r="C597" s="38" t="str">
        <x:v>Other FX</x:v>
      </x:c>
      <x:c r="D597" s="30" t="n">
        <x:v>1</x:v>
      </x:c>
      <x:c r="E597" s="38" t="str">
        <x:v>CAD/USD</x:v>
      </x:c>
      <x:c r="F597" s="38" t="n">
        <x:v>-0.6782679671</x:v>
      </x:c>
      <x:c r="G597" s="38" t="n">
        <x:v>-0.4325163334</x:v>
      </x:c>
      <x:c r="H597" s="42" t="b">
        <x:v>1</x:v>
      </x:c>
      <x:c r="I597" s="42" t="b">
        <x:v>0</x:v>
      </x:c>
      <x:c r="J597" s="38" t="n">
        <x:v>0.155077449</x:v>
      </x:c>
    </x:row>
    <x:row r="598" ht="19" customHeight="1">
      <x:c r="A598" s="29" t="str">
        <x:v>stagger_1</x:v>
      </x:c>
      <x:c r="B598" s="38" t="str">
        <x:v>STX</x:v>
      </x:c>
      <x:c r="C598" s="38" t="str">
        <x:v>Other FX</x:v>
      </x:c>
      <x:c r="D598" s="30" t="n">
        <x:v>1</x:v>
      </x:c>
      <x:c r="E598" s="38" t="str">
        <x:v>DKK/USD</x:v>
      </x:c>
      <x:c r="F598" s="38" t="n">
        <x:v>7.7708594567</x:v>
      </x:c>
      <x:c r="G598" s="38" t="n">
        <x:v>0.7709227015</x:v>
      </x:c>
      <x:c r="H598" s="42" t="b">
        <x:v>0</x:v>
      </x:c>
      <x:c r="I598" s="42" t="b">
        <x:v>0</x:v>
      </x:c>
      <x:c r="J598" s="38" t="n">
        <x:v>0.155077449</x:v>
      </x:c>
    </x:row>
    <x:row r="599" ht="19" customHeight="1">
      <x:c r="A599" s="29" t="str">
        <x:v>stagger_1</x:v>
      </x:c>
      <x:c r="B599" s="38" t="str">
        <x:v>STX</x:v>
      </x:c>
      <x:c r="C599" s="38" t="str">
        <x:v>Other FX</x:v>
      </x:c>
      <x:c r="D599" s="30" t="n">
        <x:v>1</x:v>
      </x:c>
      <x:c r="E599" s="38" t="str">
        <x:v>EUR/USD</x:v>
      </x:c>
      <x:c r="F599" s="38" t="n">
        <x:v>-11.0322335447</x:v>
      </x:c>
      <x:c r="G599" s="38" t="n">
        <x:v>-1.15733093</x:v>
      </x:c>
      <x:c r="H599" s="42" t="b">
        <x:v>0</x:v>
      </x:c>
      <x:c r="I599" s="42" t="b">
        <x:v>0</x:v>
      </x:c>
      <x:c r="J599" s="38" t="n">
        <x:v>0.155077449</x:v>
      </x:c>
    </x:row>
    <x:row r="600" ht="19" customHeight="1">
      <x:c r="A600" s="29" t="str">
        <x:v>stagger_1</x:v>
      </x:c>
      <x:c r="B600" s="38" t="str">
        <x:v>STX</x:v>
      </x:c>
      <x:c r="C600" s="38" t="str">
        <x:v>Other FX</x:v>
      </x:c>
      <x:c r="D600" s="30" t="n">
        <x:v>1</x:v>
      </x:c>
      <x:c r="E600" s="38" t="str">
        <x:v>MXN/USD</x:v>
      </x:c>
      <x:c r="F600" s="38" t="n">
        <x:v>1.4724701364</x:v>
      </x:c>
      <x:c r="G600" s="38" t="n">
        <x:v>1.7801545603</x:v>
      </x:c>
      <x:c r="H600" s="42" t="b">
        <x:v>0</x:v>
      </x:c>
      <x:c r="I600" s="42" t="b">
        <x:v>0</x:v>
      </x:c>
      <x:c r="J600" s="38" t="n">
        <x:v>0.155077449</x:v>
      </x:c>
    </x:row>
    <x:row r="601" ht="19" customHeight="1">
      <x:c r="A601" s="29" t="str">
        <x:v>stagger_1</x:v>
      </x:c>
      <x:c r="B601" s="38" t="str">
        <x:v>STX</x:v>
      </x:c>
      <x:c r="C601" s="38" t="str">
        <x:v>Other FX</x:v>
      </x:c>
      <x:c r="D601" s="30" t="n">
        <x:v>2</x:v>
      </x:c>
      <x:c r="E601" s="38" t="str">
        <x:v>AUD/USD</x:v>
      </x:c>
      <x:c r="F601" s="38" t="n">
        <x:v>2.0400432049</x:v>
      </x:c>
      <x:c r="G601" s="38" t="n">
        <x:v>1.8541510948</x:v>
      </x:c>
      <x:c r="H601" s="42" t="b">
        <x:v>0</x:v>
      </x:c>
      <x:c r="I601" s="42" t="b">
        <x:v>0</x:v>
      </x:c>
      <x:c r="J601" s="38" t="n">
        <x:v>0.1529415033</x:v>
      </x:c>
    </x:row>
    <x:row r="602" ht="19" customHeight="1">
      <x:c r="A602" s="29" t="str">
        <x:v>stagger_1</x:v>
      </x:c>
      <x:c r="B602" s="38" t="str">
        <x:v>STX</x:v>
      </x:c>
      <x:c r="C602" s="38" t="str">
        <x:v>Other FX</x:v>
      </x:c>
      <x:c r="D602" s="30" t="n">
        <x:v>2</x:v>
      </x:c>
      <x:c r="E602" s="38" t="str">
        <x:v>DKK/USD</x:v>
      </x:c>
      <x:c r="F602" s="38" t="n">
        <x:v>7.2965583062</x:v>
      </x:c>
      <x:c r="G602" s="38" t="n">
        <x:v>0.7321696733</x:v>
      </x:c>
      <x:c r="H602" s="42" t="b">
        <x:v>1</x:v>
      </x:c>
      <x:c r="I602" s="42" t="b">
        <x:v>0</x:v>
      </x:c>
      <x:c r="J602" s="38" t="n">
        <x:v>0.1529415033</x:v>
      </x:c>
    </x:row>
    <x:row r="603" ht="19" customHeight="1">
      <x:c r="A603" s="29" t="str">
        <x:v>stagger_1</x:v>
      </x:c>
      <x:c r="B603" s="38" t="str">
        <x:v>STX</x:v>
      </x:c>
      <x:c r="C603" s="38" t="str">
        <x:v>Other FX</x:v>
      </x:c>
      <x:c r="D603" s="30" t="n">
        <x:v>2</x:v>
      </x:c>
      <x:c r="E603" s="38" t="str">
        <x:v>EUR/USD</x:v>
      </x:c>
      <x:c r="F603" s="38" t="n">
        <x:v>-10.7667823083</x:v>
      </x:c>
      <x:c r="G603" s="38" t="n">
        <x:v>-1.138016531</x:v>
      </x:c>
      <x:c r="H603" s="42" t="b">
        <x:v>0</x:v>
      </x:c>
      <x:c r="I603" s="42" t="b">
        <x:v>0</x:v>
      </x:c>
      <x:c r="J603" s="38" t="n">
        <x:v>0.1529415033</x:v>
      </x:c>
    </x:row>
    <x:row r="604" ht="19" customHeight="1">
      <x:c r="A604" s="29" t="str">
        <x:v>stagger_1</x:v>
      </x:c>
      <x:c r="B604" s="38" t="str">
        <x:v>STX</x:v>
      </x:c>
      <x:c r="C604" s="38" t="str">
        <x:v>Other FX</x:v>
      </x:c>
      <x:c r="D604" s="30" t="n">
        <x:v>2</x:v>
      </x:c>
      <x:c r="E604" s="38" t="str">
        <x:v>MXN/USD</x:v>
      </x:c>
      <x:c r="F604" s="38" t="n">
        <x:v>1.4797702549</x:v>
      </x:c>
      <x:c r="G604" s="38" t="n">
        <x:v>1.7991296544</x:v>
      </x:c>
      <x:c r="H604" s="42" t="b">
        <x:v>0</x:v>
      </x:c>
      <x:c r="I604" s="42" t="b">
        <x:v>0</x:v>
      </x:c>
      <x:c r="J604" s="38" t="n">
        <x:v>0.1529415033</x:v>
      </x:c>
    </x:row>
    <x:row r="605" ht="19" customHeight="1">
      <x:c r="A605" s="29" t="str">
        <x:v>stagger_1</x:v>
      </x:c>
      <x:c r="B605" s="38" t="str">
        <x:v>STX</x:v>
      </x:c>
      <x:c r="C605" s="38" t="str">
        <x:v>Other FX</x:v>
      </x:c>
      <x:c r="D605" s="30" t="n">
        <x:v>3</x:v>
      </x:c>
      <x:c r="E605" s="38" t="str">
        <x:v>AUD/USD</x:v>
      </x:c>
      <x:c r="F605" s="38" t="n">
        <x:v>2.2438855476</x:v>
      </x:c>
      <x:c r="G605" s="38" t="n">
        <x:v>2.1144862352</x:v>
      </x:c>
      <x:c r="H605" s="42" t="b">
        <x:v>0</x:v>
      </x:c>
      <x:c r="I605" s="42" t="b">
        <x:v>1</x:v>
      </x:c>
      <x:c r="J605" s="38" t="n">
        <x:v>0.1468870405</x:v>
      </x:c>
    </x:row>
    <x:row r="606" ht="19" customHeight="1">
      <x:c r="A606" s="29" t="str">
        <x:v>stagger_1</x:v>
      </x:c>
      <x:c r="B606" s="38" t="str">
        <x:v>STX</x:v>
      </x:c>
      <x:c r="C606" s="38" t="str">
        <x:v>Other FX</x:v>
      </x:c>
      <x:c r="D606" s="30" t="n">
        <x:v>3</x:v>
      </x:c>
      <x:c r="E606" s="38" t="str">
        <x:v>EUR/USD</x:v>
      </x:c>
      <x:c r="F606" s="38" t="n">
        <x:v>-3.9009440936</x:v>
      </x:c>
      <x:c r="G606" s="38" t="n">
        <x:v>-3.1176105636</x:v>
      </x:c>
      <x:c r="H606" s="42" t="b">
        <x:v>0</x:v>
      </x:c>
      <x:c r="I606" s="42" t="b">
        <x:v>1</x:v>
      </x:c>
      <x:c r="J606" s="38" t="n">
        <x:v>0.1468870405</x:v>
      </x:c>
    </x:row>
    <x:row r="607" ht="19" customHeight="1">
      <x:c r="A607" s="29" t="str">
        <x:v>stagger_1</x:v>
      </x:c>
      <x:c r="B607" s="38" t="str">
        <x:v>STX</x:v>
      </x:c>
      <x:c r="C607" s="38" t="str">
        <x:v>Other FX</x:v>
      </x:c>
      <x:c r="D607" s="30" t="n">
        <x:v>3</x:v>
      </x:c>
      <x:c r="E607" s="38" t="str">
        <x:v>MXN/USD</x:v>
      </x:c>
      <x:c r="F607" s="38" t="n">
        <x:v>1.650820962</x:v>
      </x:c>
      <x:c r="G607" s="38" t="n">
        <x:v>2.0997338129</x:v>
      </x:c>
      <x:c r="H607" s="42" t="b">
        <x:v>0</x:v>
      </x:c>
      <x:c r="I607" s="42" t="b">
        <x:v>1</x:v>
      </x:c>
      <x:c r="J607" s="38" t="n">
        <x:v>0.1468870405</x:v>
      </x:c>
    </x:row>
    <x:row r="608" ht="19" customHeight="1">
      <x:c r="A608" s="29" t="str">
        <x:v>stagger_1</x:v>
      </x:c>
      <x:c r="B608" s="38" t="str">
        <x:v>STX</x:v>
      </x:c>
      <x:c r="C608" s="38" t="str">
        <x:v>Other sectors</x:v>
      </x:c>
      <x:c r="D608" s="30" t="n">
        <x:v>1</x:v>
      </x:c>
      <x:c r="E608" s="38" t="str">
        <x:v>XLB</x:v>
      </x:c>
      <x:c r="F608" s="38" t="n">
        <x:v>0.0465288896</x:v>
      </x:c>
      <x:c r="G608" s="38" t="n">
        <x:v>0.0782292894</x:v>
      </x:c>
      <x:c r="H608" s="42" t="b">
        <x:v>1</x:v>
      </x:c>
      <x:c r="I608" s="42" t="b">
        <x:v>0</x:v>
      </x:c>
      <x:c r="J608" s="38" t="n">
        <x:v>0.1246429071</x:v>
      </x:c>
    </x:row>
    <x:row r="609" ht="19" customHeight="1">
      <x:c r="A609" s="29" t="str">
        <x:v>stagger_1</x:v>
      </x:c>
      <x:c r="B609" s="38" t="str">
        <x:v>STX</x:v>
      </x:c>
      <x:c r="C609" s="38" t="str">
        <x:v>Other sectors</x:v>
      </x:c>
      <x:c r="D609" s="30" t="n">
        <x:v>1</x:v>
      </x:c>
      <x:c r="E609" s="38" t="str">
        <x:v>XLC</x:v>
      </x:c>
      <x:c r="F609" s="38" t="n">
        <x:v>0.1083127035</x:v>
      </x:c>
      <x:c r="G609" s="38" t="n">
        <x:v>0.2173727358</x:v>
      </x:c>
      <x:c r="H609" s="42" t="b">
        <x:v>0</x:v>
      </x:c>
      <x:c r="I609" s="42" t="b">
        <x:v>0</x:v>
      </x:c>
      <x:c r="J609" s="38" t="n">
        <x:v>0.1246429071</x:v>
      </x:c>
    </x:row>
    <x:row r="610" ht="19" customHeight="1">
      <x:c r="A610" s="29" t="str">
        <x:v>stagger_1</x:v>
      </x:c>
      <x:c r="B610" s="38" t="str">
        <x:v>STX</x:v>
      </x:c>
      <x:c r="C610" s="38" t="str">
        <x:v>Other sectors</x:v>
      </x:c>
      <x:c r="D610" s="30" t="n">
        <x:v>1</x:v>
      </x:c>
      <x:c r="E610" s="38" t="str">
        <x:v>XLE</x:v>
      </x:c>
      <x:c r="F610" s="38" t="n">
        <x:v>0.2284236481</x:v>
      </x:c>
      <x:c r="G610" s="38" t="n">
        <x:v>1.1481801595</x:v>
      </x:c>
      <x:c r="H610" s="42" t="b">
        <x:v>0</x:v>
      </x:c>
      <x:c r="I610" s="42" t="b">
        <x:v>0</x:v>
      </x:c>
      <x:c r="J610" s="38" t="n">
        <x:v>0.1246429071</x:v>
      </x:c>
    </x:row>
    <x:row r="611" ht="19" customHeight="1">
      <x:c r="A611" s="29" t="str">
        <x:v>stagger_1</x:v>
      </x:c>
      <x:c r="B611" s="38" t="str">
        <x:v>STX</x:v>
      </x:c>
      <x:c r="C611" s="38" t="str">
        <x:v>Other sectors</x:v>
      </x:c>
      <x:c r="D611" s="30" t="n">
        <x:v>1</x:v>
      </x:c>
      <x:c r="E611" s="38" t="str">
        <x:v>XLF</x:v>
      </x:c>
      <x:c r="F611" s="38" t="n">
        <x:v>-0.2806868398</x:v>
      </x:c>
      <x:c r="G611" s="38" t="n">
        <x:v>-0.5721271085</x:v>
      </x:c>
      <x:c r="H611" s="42" t="b">
        <x:v>0</x:v>
      </x:c>
      <x:c r="I611" s="42" t="b">
        <x:v>0</x:v>
      </x:c>
      <x:c r="J611" s="38" t="n">
        <x:v>0.1246429071</x:v>
      </x:c>
    </x:row>
    <x:row r="612" ht="19" customHeight="1">
      <x:c r="A612" s="29" t="str">
        <x:v>stagger_1</x:v>
      </x:c>
      <x:c r="B612" s="38" t="str">
        <x:v>STX</x:v>
      </x:c>
      <x:c r="C612" s="38" t="str">
        <x:v>Other sectors</x:v>
      </x:c>
      <x:c r="D612" s="30" t="n">
        <x:v>1</x:v>
      </x:c>
      <x:c r="E612" s="38" t="str">
        <x:v>XLI</x:v>
      </x:c>
      <x:c r="F612" s="38" t="n">
        <x:v>0.8431486838</x:v>
      </x:c>
      <x:c r="G612" s="38" t="n">
        <x:v>1.1018570076</x:v>
      </x:c>
      <x:c r="H612" s="42" t="b">
        <x:v>0</x:v>
      </x:c>
      <x:c r="I612" s="42" t="b">
        <x:v>0</x:v>
      </x:c>
      <x:c r="J612" s="38" t="n">
        <x:v>0.1246429071</x:v>
      </x:c>
    </x:row>
    <x:row r="613" ht="19" customHeight="1">
      <x:c r="A613" s="29" t="str">
        <x:v>stagger_1</x:v>
      </x:c>
      <x:c r="B613" s="38" t="str">
        <x:v>STX</x:v>
      </x:c>
      <x:c r="C613" s="38" t="str">
        <x:v>Other sectors</x:v>
      </x:c>
      <x:c r="D613" s="30" t="n">
        <x:v>1</x:v>
      </x:c>
      <x:c r="E613" s="38" t="str">
        <x:v>XLP</x:v>
      </x:c>
      <x:c r="F613" s="38" t="n">
        <x:v>-0.5776517239</x:v>
      </x:c>
      <x:c r="G613" s="38" t="n">
        <x:v>-0.9717904019</x:v>
      </x:c>
      <x:c r="H613" s="42" t="b">
        <x:v>0</x:v>
      </x:c>
      <x:c r="I613" s="42" t="b">
        <x:v>0</x:v>
      </x:c>
      <x:c r="J613" s="38" t="n">
        <x:v>0.1246429071</x:v>
      </x:c>
    </x:row>
    <x:row r="614" ht="19" customHeight="1">
      <x:c r="A614" s="29" t="str">
        <x:v>stagger_1</x:v>
      </x:c>
      <x:c r="B614" s="38" t="str">
        <x:v>STX</x:v>
      </x:c>
      <x:c r="C614" s="38" t="str">
        <x:v>Other sectors</x:v>
      </x:c>
      <x:c r="D614" s="30" t="n">
        <x:v>1</x:v>
      </x:c>
      <x:c r="E614" s="38" t="str">
        <x:v>XLRE</x:v>
      </x:c>
      <x:c r="F614" s="38" t="n">
        <x:v>0.5654964266</x:v>
      </x:c>
      <x:c r="G614" s="38" t="n">
        <x:v>1.1172277257</x:v>
      </x:c>
      <x:c r="H614" s="42" t="b">
        <x:v>0</x:v>
      </x:c>
      <x:c r="I614" s="42" t="b">
        <x:v>0</x:v>
      </x:c>
      <x:c r="J614" s="38" t="n">
        <x:v>0.1246429071</x:v>
      </x:c>
    </x:row>
    <x:row r="615" ht="19" customHeight="1">
      <x:c r="A615" s="29" t="str">
        <x:v>stagger_1</x:v>
      </x:c>
      <x:c r="B615" s="38" t="str">
        <x:v>STX</x:v>
      </x:c>
      <x:c r="C615" s="38" t="str">
        <x:v>Other sectors</x:v>
      </x:c>
      <x:c r="D615" s="30" t="n">
        <x:v>1</x:v>
      </x:c>
      <x:c r="E615" s="38" t="str">
        <x:v>XLU</x:v>
      </x:c>
      <x:c r="F615" s="38" t="n">
        <x:v>-0.6891534781</x:v>
      </x:c>
      <x:c r="G615" s="38" t="n">
        <x:v>-1.7925451552</x:v>
      </x:c>
      <x:c r="H615" s="42" t="b">
        <x:v>0</x:v>
      </x:c>
      <x:c r="I615" s="42" t="b">
        <x:v>0</x:v>
      </x:c>
      <x:c r="J615" s="38" t="n">
        <x:v>0.1246429071</x:v>
      </x:c>
    </x:row>
    <x:row r="616" ht="19" customHeight="1">
      <x:c r="A616" s="29" t="str">
        <x:v>stagger_1</x:v>
      </x:c>
      <x:c r="B616" s="38" t="str">
        <x:v>STX</x:v>
      </x:c>
      <x:c r="C616" s="38" t="str">
        <x:v>Other sectors</x:v>
      </x:c>
      <x:c r="D616" s="30" t="n">
        <x:v>1</x:v>
      </x:c>
      <x:c r="E616" s="38" t="str">
        <x:v>XLV</x:v>
      </x:c>
      <x:c r="F616" s="38" t="n">
        <x:v>-0.1234621159</x:v>
      </x:c>
      <x:c r="G616" s="38" t="n">
        <x:v>-0.2719754233</x:v>
      </x:c>
      <x:c r="H616" s="42" t="b">
        <x:v>0</x:v>
      </x:c>
      <x:c r="I616" s="42" t="b">
        <x:v>0</x:v>
      </x:c>
      <x:c r="J616" s="38" t="n">
        <x:v>0.1246429071</x:v>
      </x:c>
    </x:row>
    <x:row r="617" ht="19" customHeight="1">
      <x:c r="A617" s="29" t="str">
        <x:v>stagger_1</x:v>
      </x:c>
      <x:c r="B617" s="38" t="str">
        <x:v>STX</x:v>
      </x:c>
      <x:c r="C617" s="38" t="str">
        <x:v>Other sectors</x:v>
      </x:c>
      <x:c r="D617" s="30" t="n">
        <x:v>1</x:v>
      </x:c>
      <x:c r="E617" s="38" t="str">
        <x:v>XLY</x:v>
      </x:c>
      <x:c r="F617" s="38" t="n">
        <x:v>-0.5800355934</x:v>
      </x:c>
      <x:c r="G617" s="38" t="n">
        <x:v>-1.1147323157</x:v>
      </x:c>
      <x:c r="H617" s="42" t="b">
        <x:v>0</x:v>
      </x:c>
      <x:c r="I617" s="42" t="b">
        <x:v>0</x:v>
      </x:c>
      <x:c r="J617" s="38" t="n">
        <x:v>0.1246429071</x:v>
      </x:c>
    </x:row>
    <x:row r="618" ht="19" customHeight="1">
      <x:c r="A618" s="29" t="str">
        <x:v>stagger_1</x:v>
      </x:c>
      <x:c r="B618" s="38" t="str">
        <x:v>STX</x:v>
      </x:c>
      <x:c r="C618" s="38" t="str">
        <x:v>Other sectors</x:v>
      </x:c>
      <x:c r="D618" s="30" t="n">
        <x:v>2</x:v>
      </x:c>
      <x:c r="E618" s="38" t="str">
        <x:v>XLC</x:v>
      </x:c>
      <x:c r="F618" s="38" t="n">
        <x:v>0.1079444658</x:v>
      </x:c>
      <x:c r="G618" s="38" t="n">
        <x:v>0.2181979431</x:v>
      </x:c>
      <x:c r="H618" s="42" t="b">
        <x:v>1</x:v>
      </x:c>
      <x:c r="I618" s="42" t="b">
        <x:v>0</x:v>
      </x:c>
      <x:c r="J618" s="38" t="n">
        <x:v>0.124565269</x:v>
      </x:c>
    </x:row>
    <x:row r="619" ht="19" customHeight="1">
      <x:c r="A619" s="29" t="str">
        <x:v>stagger_1</x:v>
      </x:c>
      <x:c r="B619" s="38" t="str">
        <x:v>STX</x:v>
      </x:c>
      <x:c r="C619" s="38" t="str">
        <x:v>Other sectors</x:v>
      </x:c>
      <x:c r="D619" s="30" t="n">
        <x:v>2</x:v>
      </x:c>
      <x:c r="E619" s="38" t="str">
        <x:v>XLE</x:v>
      </x:c>
      <x:c r="F619" s="38" t="n">
        <x:v>0.2325401638</x:v>
      </x:c>
      <x:c r="G619" s="38" t="n">
        <x:v>1.2207358164</x:v>
      </x:c>
      <x:c r="H619" s="42" t="b">
        <x:v>0</x:v>
      </x:c>
      <x:c r="I619" s="42" t="b">
        <x:v>0</x:v>
      </x:c>
      <x:c r="J619" s="38" t="n">
        <x:v>0.124565269</x:v>
      </x:c>
    </x:row>
    <x:row r="620" ht="19" customHeight="1">
      <x:c r="A620" s="29" t="str">
        <x:v>stagger_1</x:v>
      </x:c>
      <x:c r="B620" s="38" t="str">
        <x:v>STX</x:v>
      </x:c>
      <x:c r="C620" s="38" t="str">
        <x:v>Other sectors</x:v>
      </x:c>
      <x:c r="D620" s="30" t="n">
        <x:v>2</x:v>
      </x:c>
      <x:c r="E620" s="38" t="str">
        <x:v>XLF</x:v>
      </x:c>
      <x:c r="F620" s="38" t="n">
        <x:v>-0.2767650938</x:v>
      </x:c>
      <x:c r="G620" s="38" t="n">
        <x:v>-0.5711711461</x:v>
      </x:c>
      <x:c r="H620" s="42" t="b">
        <x:v>0</x:v>
      </x:c>
      <x:c r="I620" s="42" t="b">
        <x:v>0</x:v>
      </x:c>
      <x:c r="J620" s="38" t="n">
        <x:v>0.124565269</x:v>
      </x:c>
    </x:row>
    <x:row r="621" ht="19" customHeight="1">
      <x:c r="A621" s="29" t="str">
        <x:v>stagger_1</x:v>
      </x:c>
      <x:c r="B621" s="38" t="str">
        <x:v>STX</x:v>
      </x:c>
      <x:c r="C621" s="38" t="str">
        <x:v>Other sectors</x:v>
      </x:c>
      <x:c r="D621" s="30" t="n">
        <x:v>2</x:v>
      </x:c>
      <x:c r="E621" s="38" t="str">
        <x:v>XLI</x:v>
      </x:c>
      <x:c r="F621" s="38" t="n">
        <x:v>0.8850086216</x:v>
      </x:c>
      <x:c r="G621" s="38" t="n">
        <x:v>1.6295187208</x:v>
      </x:c>
      <x:c r="H621" s="42" t="b">
        <x:v>0</x:v>
      </x:c>
      <x:c r="I621" s="42" t="b">
        <x:v>0</x:v>
      </x:c>
      <x:c r="J621" s="38" t="n">
        <x:v>0.124565269</x:v>
      </x:c>
    </x:row>
    <x:row r="622" ht="19" customHeight="1">
      <x:c r="A622" s="29" t="str">
        <x:v>stagger_1</x:v>
      </x:c>
      <x:c r="B622" s="38" t="str">
        <x:v>STX</x:v>
      </x:c>
      <x:c r="C622" s="38" t="str">
        <x:v>Other sectors</x:v>
      </x:c>
      <x:c r="D622" s="30" t="n">
        <x:v>2</x:v>
      </x:c>
      <x:c r="E622" s="38" t="str">
        <x:v>XLP</x:v>
      </x:c>
      <x:c r="F622" s="38" t="n">
        <x:v>-0.5724787985</x:v>
      </x:c>
      <x:c r="G622" s="38" t="n">
        <x:v>-0.9760568802</x:v>
      </x:c>
      <x:c r="H622" s="42" t="b">
        <x:v>0</x:v>
      </x:c>
      <x:c r="I622" s="42" t="b">
        <x:v>0</x:v>
      </x:c>
      <x:c r="J622" s="38" t="n">
        <x:v>0.124565269</x:v>
      </x:c>
    </x:row>
    <x:row r="623" ht="19" customHeight="1">
      <x:c r="A623" s="29" t="str">
        <x:v>stagger_1</x:v>
      </x:c>
      <x:c r="B623" s="38" t="str">
        <x:v>STX</x:v>
      </x:c>
      <x:c r="C623" s="38" t="str">
        <x:v>Other sectors</x:v>
      </x:c>
      <x:c r="D623" s="30" t="n">
        <x:v>2</x:v>
      </x:c>
      <x:c r="E623" s="38" t="str">
        <x:v>XLRE</x:v>
      </x:c>
      <x:c r="F623" s="38" t="n">
        <x:v>0.5697205563</x:v>
      </x:c>
      <x:c r="G623" s="38" t="n">
        <x:v>1.1401561871</x:v>
      </x:c>
      <x:c r="H623" s="42" t="b">
        <x:v>0</x:v>
      </x:c>
      <x:c r="I623" s="42" t="b">
        <x:v>0</x:v>
      </x:c>
      <x:c r="J623" s="38" t="n">
        <x:v>0.124565269</x:v>
      </x:c>
    </x:row>
    <x:row r="624" ht="19" customHeight="1">
      <x:c r="A624" s="29" t="str">
        <x:v>stagger_1</x:v>
      </x:c>
      <x:c r="B624" s="38" t="str">
        <x:v>STX</x:v>
      </x:c>
      <x:c r="C624" s="38" t="str">
        <x:v>Other sectors</x:v>
      </x:c>
      <x:c r="D624" s="30" t="n">
        <x:v>2</x:v>
      </x:c>
      <x:c r="E624" s="38" t="str">
        <x:v>XLU</x:v>
      </x:c>
      <x:c r="F624" s="38" t="n">
        <x:v>-0.6882847219</x:v>
      </x:c>
      <x:c r="G624" s="38" t="n">
        <x:v>-1.8038846265</x:v>
      </x:c>
      <x:c r="H624" s="42" t="b">
        <x:v>0</x:v>
      </x:c>
      <x:c r="I624" s="42" t="b">
        <x:v>0</x:v>
      </x:c>
      <x:c r="J624" s="38" t="n">
        <x:v>0.124565269</x:v>
      </x:c>
    </x:row>
    <x:row r="625" ht="19" customHeight="1">
      <x:c r="A625" s="29" t="str">
        <x:v>stagger_1</x:v>
      </x:c>
      <x:c r="B625" s="38" t="str">
        <x:v>STX</x:v>
      </x:c>
      <x:c r="C625" s="38" t="str">
        <x:v>Other sectors</x:v>
      </x:c>
      <x:c r="D625" s="30" t="n">
        <x:v>2</x:v>
      </x:c>
      <x:c r="E625" s="38" t="str">
        <x:v>XLV</x:v>
      </x:c>
      <x:c r="F625" s="38" t="n">
        <x:v>-0.1199675962</x:v>
      </x:c>
      <x:c r="G625" s="38" t="n">
        <x:v>-0.2674718554</x:v>
      </x:c>
      <x:c r="H625" s="42" t="b">
        <x:v>0</x:v>
      </x:c>
      <x:c r="I625" s="42" t="b">
        <x:v>0</x:v>
      </x:c>
      <x:c r="J625" s="38" t="n">
        <x:v>0.124565269</x:v>
      </x:c>
    </x:row>
    <x:row r="626" ht="19" customHeight="1">
      <x:c r="A626" s="29" t="str">
        <x:v>stagger_1</x:v>
      </x:c>
      <x:c r="B626" s="38" t="str">
        <x:v>STX</x:v>
      </x:c>
      <x:c r="C626" s="38" t="str">
        <x:v>Other sectors</x:v>
      </x:c>
      <x:c r="D626" s="30" t="n">
        <x:v>2</x:v>
      </x:c>
      <x:c r="E626" s="38" t="str">
        <x:v>XLY</x:v>
      </x:c>
      <x:c r="F626" s="38" t="n">
        <x:v>-0.5755476248</x:v>
      </x:c>
      <x:c r="G626" s="38" t="n">
        <x:v>-1.120877776</x:v>
      </x:c>
      <x:c r="H626" s="42" t="b">
        <x:v>0</x:v>
      </x:c>
      <x:c r="I626" s="42" t="b">
        <x:v>0</x:v>
      </x:c>
      <x:c r="J626" s="38" t="n">
        <x:v>0.124565269</x:v>
      </x:c>
    </x:row>
    <x:row r="627" ht="19" customHeight="1">
      <x:c r="A627" s="29" t="str">
        <x:v>stagger_1</x:v>
      </x:c>
      <x:c r="B627" s="38" t="str">
        <x:v>STX</x:v>
      </x:c>
      <x:c r="C627" s="38" t="str">
        <x:v>Other sectors</x:v>
      </x:c>
      <x:c r="D627" s="30" t="n">
        <x:v>3</x:v>
      </x:c>
      <x:c r="E627" s="38" t="str">
        <x:v>XLE</x:v>
      </x:c>
      <x:c r="F627" s="38" t="n">
        <x:v>0.2390318021</x:v>
      </x:c>
      <x:c r="G627" s="38" t="n">
        <x:v>1.2790111377</x:v>
      </x:c>
      <x:c r="H627" s="42" t="b">
        <x:v>0</x:v>
      </x:c>
      <x:c r="I627" s="42" t="b">
        <x:v>0</x:v>
      </x:c>
      <x:c r="J627" s="38" t="n">
        <x:v>0.123969844</x:v>
      </x:c>
    </x:row>
    <x:row r="628" ht="19" customHeight="1">
      <x:c r="A628" s="29" t="str">
        <x:v>stagger_1</x:v>
      </x:c>
      <x:c r="B628" s="38" t="str">
        <x:v>STX</x:v>
      </x:c>
      <x:c r="C628" s="38" t="str">
        <x:v>Other sectors</x:v>
      </x:c>
      <x:c r="D628" s="30" t="n">
        <x:v>3</x:v>
      </x:c>
      <x:c r="E628" s="38" t="str">
        <x:v>XLF</x:v>
      </x:c>
      <x:c r="F628" s="38" t="n">
        <x:v>-0.2641259843</x:v>
      </x:c>
      <x:c r="G628" s="38" t="n">
        <x:v>-0.5527440444</x:v>
      </x:c>
      <x:c r="H628" s="42" t="b">
        <x:v>0</x:v>
      </x:c>
      <x:c r="I628" s="42" t="b">
        <x:v>0</x:v>
      </x:c>
      <x:c r="J628" s="38" t="n">
        <x:v>0.123969844</x:v>
      </x:c>
    </x:row>
    <x:row r="629" ht="19" customHeight="1">
      <x:c r="A629" s="29" t="str">
        <x:v>stagger_1</x:v>
      </x:c>
      <x:c r="B629" s="38" t="str">
        <x:v>STX</x:v>
      </x:c>
      <x:c r="C629" s="38" t="str">
        <x:v>Other sectors</x:v>
      </x:c>
      <x:c r="D629" s="30" t="n">
        <x:v>3</x:v>
      </x:c>
      <x:c r="E629" s="38" t="str">
        <x:v>XLI</x:v>
      </x:c>
      <x:c r="F629" s="38" t="n">
        <x:v>0.8630385446</x:v>
      </x:c>
      <x:c r="G629" s="38" t="n">
        <x:v>1.6280558148</x:v>
      </x:c>
      <x:c r="H629" s="42" t="b">
        <x:v>0</x:v>
      </x:c>
      <x:c r="I629" s="42" t="b">
        <x:v>0</x:v>
      </x:c>
      <x:c r="J629" s="38" t="n">
        <x:v>0.123969844</x:v>
      </x:c>
    </x:row>
    <x:row r="630" ht="19" customHeight="1">
      <x:c r="A630" s="29" t="str">
        <x:v>stagger_1</x:v>
      </x:c>
      <x:c r="B630" s="38" t="str">
        <x:v>STX</x:v>
      </x:c>
      <x:c r="C630" s="38" t="str">
        <x:v>Other sectors</x:v>
      </x:c>
      <x:c r="D630" s="30" t="n">
        <x:v>3</x:v>
      </x:c>
      <x:c r="E630" s="38" t="str">
        <x:v>XLP</x:v>
      </x:c>
      <x:c r="F630" s="38" t="n">
        <x:v>-0.5421177196</x:v>
      </x:c>
      <x:c r="G630" s="38" t="n">
        <x:v>-0.9579008682</x:v>
      </x:c>
      <x:c r="H630" s="42" t="b">
        <x:v>0</x:v>
      </x:c>
      <x:c r="I630" s="42" t="b">
        <x:v>0</x:v>
      </x:c>
      <x:c r="J630" s="38" t="n">
        <x:v>0.123969844</x:v>
      </x:c>
    </x:row>
    <x:row r="631" ht="19" customHeight="1">
      <x:c r="A631" s="29" t="str">
        <x:v>stagger_1</x:v>
      </x:c>
      <x:c r="B631" s="38" t="str">
        <x:v>STX</x:v>
      </x:c>
      <x:c r="C631" s="38" t="str">
        <x:v>Other sectors</x:v>
      </x:c>
      <x:c r="D631" s="30" t="n">
        <x:v>3</x:v>
      </x:c>
      <x:c r="E631" s="38" t="str">
        <x:v>XLRE</x:v>
      </x:c>
      <x:c r="F631" s="38" t="n">
        <x:v>0.5529168331</x:v>
      </x:c>
      <x:c r="G631" s="38" t="n">
        <x:v>1.1274956636</x:v>
      </x:c>
      <x:c r="H631" s="42" t="b">
        <x:v>0</x:v>
      </x:c>
      <x:c r="I631" s="42" t="b">
        <x:v>0</x:v>
      </x:c>
      <x:c r="J631" s="38" t="n">
        <x:v>0.123969844</x:v>
      </x:c>
    </x:row>
    <x:row r="632" ht="19" customHeight="1">
      <x:c r="A632" s="29" t="str">
        <x:v>stagger_1</x:v>
      </x:c>
      <x:c r="B632" s="38" t="str">
        <x:v>STX</x:v>
      </x:c>
      <x:c r="C632" s="38" t="str">
        <x:v>Other sectors</x:v>
      </x:c>
      <x:c r="D632" s="30" t="n">
        <x:v>3</x:v>
      </x:c>
      <x:c r="E632" s="38" t="str">
        <x:v>XLU</x:v>
      </x:c>
      <x:c r="F632" s="38" t="n">
        <x:v>-0.6971609782</x:v>
      </x:c>
      <x:c r="G632" s="38" t="n">
        <x:v>-1.8500719707</x:v>
      </x:c>
      <x:c r="H632" s="42" t="b">
        <x:v>0</x:v>
      </x:c>
      <x:c r="I632" s="42" t="b">
        <x:v>0</x:v>
      </x:c>
      <x:c r="J632" s="38" t="n">
        <x:v>0.123969844</x:v>
      </x:c>
    </x:row>
    <x:row r="633" ht="19" customHeight="1">
      <x:c r="A633" s="29" t="str">
        <x:v>stagger_1</x:v>
      </x:c>
      <x:c r="B633" s="38" t="str">
        <x:v>STX</x:v>
      </x:c>
      <x:c r="C633" s="38" t="str">
        <x:v>Other sectors</x:v>
      </x:c>
      <x:c r="D633" s="30" t="n">
        <x:v>3</x:v>
      </x:c>
      <x:c r="E633" s="38" t="str">
        <x:v>XLV</x:v>
      </x:c>
      <x:c r="F633" s="38" t="n">
        <x:v>-0.1152281406</x:v>
      </x:c>
      <x:c r="G633" s="38" t="n">
        <x:v>-0.2589494877</x:v>
      </x:c>
      <x:c r="H633" s="42" t="b">
        <x:v>1</x:v>
      </x:c>
      <x:c r="I633" s="42" t="b">
        <x:v>0</x:v>
      </x:c>
      <x:c r="J633" s="38" t="n">
        <x:v>0.123969844</x:v>
      </x:c>
    </x:row>
    <x:row r="634" ht="19" customHeight="1">
      <x:c r="A634" s="29" t="str">
        <x:v>stagger_1</x:v>
      </x:c>
      <x:c r="B634" s="38" t="str">
        <x:v>STX</x:v>
      </x:c>
      <x:c r="C634" s="38" t="str">
        <x:v>Other sectors</x:v>
      </x:c>
      <x:c r="D634" s="30" t="n">
        <x:v>3</x:v>
      </x:c>
      <x:c r="E634" s="38" t="str">
        <x:v>XLY</x:v>
      </x:c>
      <x:c r="F634" s="38" t="n">
        <x:v>-0.5342842181</x:v>
      </x:c>
      <x:c r="G634" s="38" t="n">
        <x:v>-1.126767035</x:v>
      </x:c>
      <x:c r="H634" s="42" t="b">
        <x:v>0</x:v>
      </x:c>
      <x:c r="I634" s="42" t="b">
        <x:v>0</x:v>
      </x:c>
      <x:c r="J634" s="38" t="n">
        <x:v>0.123969844</x:v>
      </x:c>
    </x:row>
    <x:row r="635" ht="19" customHeight="1">
      <x:c r="A635" s="29" t="str">
        <x:v>stagger_1</x:v>
      </x:c>
      <x:c r="B635" s="38" t="str">
        <x:v>STX</x:v>
      </x:c>
      <x:c r="C635" s="38" t="str">
        <x:v>Other sectors</x:v>
      </x:c>
      <x:c r="D635" s="30" t="n">
        <x:v>4</x:v>
      </x:c>
      <x:c r="E635" s="38" t="str">
        <x:v>XLE</x:v>
      </x:c>
      <x:c r="F635" s="38" t="n">
        <x:v>0.2395032556</x:v>
      </x:c>
      <x:c r="G635" s="38" t="n">
        <x:v>1.2899793564</x:v>
      </x:c>
      <x:c r="H635" s="42" t="b">
        <x:v>0</x:v>
      </x:c>
      <x:c r="I635" s="42" t="b">
        <x:v>0</x:v>
      </x:c>
      <x:c r="J635" s="38" t="n">
        <x:v>0.123142491</x:v>
      </x:c>
    </x:row>
    <x:row r="636" ht="19" customHeight="1">
      <x:c r="A636" s="29" t="str">
        <x:v>stagger_1</x:v>
      </x:c>
      <x:c r="B636" s="38" t="str">
        <x:v>STX</x:v>
      </x:c>
      <x:c r="C636" s="38" t="str">
        <x:v>Other sectors</x:v>
      </x:c>
      <x:c r="D636" s="30" t="n">
        <x:v>4</x:v>
      </x:c>
      <x:c r="E636" s="38" t="str">
        <x:v>XLF</x:v>
      </x:c>
      <x:c r="F636" s="38" t="n">
        <x:v>-0.2920183057</x:v>
      </x:c>
      <x:c r="G636" s="38" t="n">
        <x:v>-0.6313627543</x:v>
      </x:c>
      <x:c r="H636" s="42" t="b">
        <x:v>1</x:v>
      </x:c>
      <x:c r="I636" s="42" t="b">
        <x:v>0</x:v>
      </x:c>
      <x:c r="J636" s="38" t="n">
        <x:v>0.123142491</x:v>
      </x:c>
    </x:row>
    <x:row r="637" ht="19" customHeight="1">
      <x:c r="A637" s="29" t="str">
        <x:v>stagger_1</x:v>
      </x:c>
      <x:c r="B637" s="38" t="str">
        <x:v>STX</x:v>
      </x:c>
      <x:c r="C637" s="38" t="str">
        <x:v>Other sectors</x:v>
      </x:c>
      <x:c r="D637" s="30" t="n">
        <x:v>4</x:v>
      </x:c>
      <x:c r="E637" s="38" t="str">
        <x:v>XLI</x:v>
      </x:c>
      <x:c r="F637" s="38" t="n">
        <x:v>0.8858373343</x:v>
      </x:c>
      <x:c r="G637" s="38" t="n">
        <x:v>1.7056869362</x:v>
      </x:c>
      <x:c r="H637" s="42" t="b">
        <x:v>0</x:v>
      </x:c>
      <x:c r="I637" s="42" t="b">
        <x:v>0</x:v>
      </x:c>
      <x:c r="J637" s="38" t="n">
        <x:v>0.123142491</x:v>
      </x:c>
    </x:row>
    <x:row r="638" ht="19" customHeight="1">
      <x:c r="A638" s="29" t="str">
        <x:v>stagger_1</x:v>
      </x:c>
      <x:c r="B638" s="38" t="str">
        <x:v>STX</x:v>
      </x:c>
      <x:c r="C638" s="38" t="str">
        <x:v>Other sectors</x:v>
      </x:c>
      <x:c r="D638" s="30" t="n">
        <x:v>4</x:v>
      </x:c>
      <x:c r="E638" s="38" t="str">
        <x:v>XLP</x:v>
      </x:c>
      <x:c r="F638" s="38" t="n">
        <x:v>-0.5890391666</x:v>
      </x:c>
      <x:c r="G638" s="38" t="n">
        <x:v>-1.1058301805</x:v>
      </x:c>
      <x:c r="H638" s="42" t="b">
        <x:v>0</x:v>
      </x:c>
      <x:c r="I638" s="42" t="b">
        <x:v>0</x:v>
      </x:c>
      <x:c r="J638" s="38" t="n">
        <x:v>0.123142491</x:v>
      </x:c>
    </x:row>
    <x:row r="639" ht="19" customHeight="1">
      <x:c r="A639" s="29" t="str">
        <x:v>stagger_1</x:v>
      </x:c>
      <x:c r="B639" s="38" t="str">
        <x:v>STX</x:v>
      </x:c>
      <x:c r="C639" s="38" t="str">
        <x:v>Other sectors</x:v>
      </x:c>
      <x:c r="D639" s="30" t="n">
        <x:v>4</x:v>
      </x:c>
      <x:c r="E639" s="38" t="str">
        <x:v>XLRE</x:v>
      </x:c>
      <x:c r="F639" s="38" t="n">
        <x:v>0.5257478876</x:v>
      </x:c>
      <x:c r="G639" s="38" t="n">
        <x:v>1.1046869727</x:v>
      </x:c>
      <x:c r="H639" s="42" t="b">
        <x:v>0</x:v>
      </x:c>
      <x:c r="I639" s="42" t="b">
        <x:v>0</x:v>
      </x:c>
      <x:c r="J639" s="38" t="n">
        <x:v>0.123142491</x:v>
      </x:c>
    </x:row>
    <x:row r="640" ht="19" customHeight="1">
      <x:c r="A640" s="29" t="str">
        <x:v>stagger_1</x:v>
      </x:c>
      <x:c r="B640" s="38" t="str">
        <x:v>STX</x:v>
      </x:c>
      <x:c r="C640" s="38" t="str">
        <x:v>Other sectors</x:v>
      </x:c>
      <x:c r="D640" s="30" t="n">
        <x:v>4</x:v>
      </x:c>
      <x:c r="E640" s="38" t="str">
        <x:v>XLU</x:v>
      </x:c>
      <x:c r="F640" s="38" t="n">
        <x:v>-0.6966287615</x:v>
      </x:c>
      <x:c r="G640" s="38" t="n">
        <x:v>-1.8607820291</x:v>
      </x:c>
      <x:c r="H640" s="42" t="b">
        <x:v>0</x:v>
      </x:c>
      <x:c r="I640" s="42" t="b">
        <x:v>0</x:v>
      </x:c>
      <x:c r="J640" s="38" t="n">
        <x:v>0.123142491</x:v>
      </x:c>
    </x:row>
    <x:row r="641" ht="19" customHeight="1">
      <x:c r="A641" s="29" t="str">
        <x:v>stagger_1</x:v>
      </x:c>
      <x:c r="B641" s="38" t="str">
        <x:v>STX</x:v>
      </x:c>
      <x:c r="C641" s="38" t="str">
        <x:v>Other sectors</x:v>
      </x:c>
      <x:c r="D641" s="30" t="n">
        <x:v>4</x:v>
      </x:c>
      <x:c r="E641" s="38" t="str">
        <x:v>XLY</x:v>
      </x:c>
      <x:c r="F641" s="38" t="n">
        <x:v>-0.4959315892</x:v>
      </x:c>
      <x:c r="G641" s="38" t="n">
        <x:v>-1.1081718797</x:v>
      </x:c>
      <x:c r="H641" s="42" t="b">
        <x:v>0</x:v>
      </x:c>
      <x:c r="I641" s="42" t="b">
        <x:v>0</x:v>
      </x:c>
      <x:c r="J641" s="38" t="n">
        <x:v>0.123142491</x:v>
      </x:c>
    </x:row>
    <x:row r="642" ht="19" customHeight="1">
      <x:c r="A642" s="29" t="str">
        <x:v>stagger_1</x:v>
      </x:c>
      <x:c r="B642" s="38" t="str">
        <x:v>STX</x:v>
      </x:c>
      <x:c r="C642" s="38" t="str">
        <x:v>Other sectors</x:v>
      </x:c>
      <x:c r="D642" s="30" t="n">
        <x:v>5</x:v>
      </x:c>
      <x:c r="E642" s="38" t="str">
        <x:v>XLE</x:v>
      </x:c>
      <x:c r="F642" s="38" t="n">
        <x:v>0.213976894</x:v>
      </x:c>
      <x:c r="G642" s="38" t="n">
        <x:v>1.1857245284</x:v>
      </x:c>
      <x:c r="H642" s="42" t="b">
        <x:v>0</x:v>
      </x:c>
      <x:c r="I642" s="42" t="b">
        <x:v>0</x:v>
      </x:c>
      <x:c r="J642" s="38" t="n">
        <x:v>0.1182878799</x:v>
      </x:c>
    </x:row>
    <x:row r="643" ht="19" customHeight="1">
      <x:c r="A643" s="29" t="str">
        <x:v>stagger_1</x:v>
      </x:c>
      <x:c r="B643" s="38" t="str">
        <x:v>STX</x:v>
      </x:c>
      <x:c r="C643" s="38" t="str">
        <x:v>Other sectors</x:v>
      </x:c>
      <x:c r="D643" s="30" t="n">
        <x:v>5</x:v>
      </x:c>
      <x:c r="E643" s="38" t="str">
        <x:v>XLI</x:v>
      </x:c>
      <x:c r="F643" s="38" t="n">
        <x:v>0.7766530444</x:v>
      </x:c>
      <x:c r="G643" s="38" t="n">
        <x:v>1.5925331561</x:v>
      </x:c>
      <x:c r="H643" s="42" t="b">
        <x:v>0</x:v>
      </x:c>
      <x:c r="I643" s="42" t="b">
        <x:v>0</x:v>
      </x:c>
      <x:c r="J643" s="38" t="n">
        <x:v>0.1182878799</x:v>
      </x:c>
    </x:row>
    <x:row r="644" ht="19" customHeight="1">
      <x:c r="A644" s="29" t="str">
        <x:v>stagger_1</x:v>
      </x:c>
      <x:c r="B644" s="38" t="str">
        <x:v>STX</x:v>
      </x:c>
      <x:c r="C644" s="38" t="str">
        <x:v>Other sectors</x:v>
      </x:c>
      <x:c r="D644" s="30" t="n">
        <x:v>5</x:v>
      </x:c>
      <x:c r="E644" s="38" t="str">
        <x:v>XLP</x:v>
      </x:c>
      <x:c r="F644" s="38" t="n">
        <x:v>-0.5078817429</x:v>
      </x:c>
      <x:c r="G644" s="38" t="n">
        <x:v>-0.9865792499</x:v>
      </x:c>
      <x:c r="H644" s="42" t="b">
        <x:v>0</x:v>
      </x:c>
      <x:c r="I644" s="42" t="b">
        <x:v>0</x:v>
      </x:c>
      <x:c r="J644" s="38" t="n">
        <x:v>0.1182878799</x:v>
      </x:c>
    </x:row>
    <x:row r="645" ht="19" customHeight="1">
      <x:c r="A645" s="29" t="str">
        <x:v>stagger_1</x:v>
      </x:c>
      <x:c r="B645" s="38" t="str">
        <x:v>STX</x:v>
      </x:c>
      <x:c r="C645" s="38" t="str">
        <x:v>Other sectors</x:v>
      </x:c>
      <x:c r="D645" s="30" t="n">
        <x:v>5</x:v>
      </x:c>
      <x:c r="E645" s="38" t="str">
        <x:v>XLRE</x:v>
      </x:c>
      <x:c r="F645" s="38" t="n">
        <x:v>0.45087548</x:v>
      </x:c>
      <x:c r="G645" s="38" t="n">
        <x:v>0.9822761587</x:v>
      </x:c>
      <x:c r="H645" s="42" t="b">
        <x:v>1</x:v>
      </x:c>
      <x:c r="I645" s="42" t="b">
        <x:v>0</x:v>
      </x:c>
      <x:c r="J645" s="38" t="n">
        <x:v>0.1182878799</x:v>
      </x:c>
    </x:row>
    <x:row r="646" ht="19" customHeight="1">
      <x:c r="A646" s="29" t="str">
        <x:v>stagger_1</x:v>
      </x:c>
      <x:c r="B646" s="38" t="str">
        <x:v>STX</x:v>
      </x:c>
      <x:c r="C646" s="38" t="str">
        <x:v>Other sectors</x:v>
      </x:c>
      <x:c r="D646" s="30" t="n">
        <x:v>5</x:v>
      </x:c>
      <x:c r="E646" s="38" t="str">
        <x:v>XLU</x:v>
      </x:c>
      <x:c r="F646" s="38" t="n">
        <x:v>-0.6829711957</x:v>
      </x:c>
      <x:c r="G646" s="38" t="n">
        <x:v>-1.8349278002</x:v>
      </x:c>
      <x:c r="H646" s="42" t="b">
        <x:v>0</x:v>
      </x:c>
      <x:c r="I646" s="42" t="b">
        <x:v>0</x:v>
      </x:c>
      <x:c r="J646" s="38" t="n">
        <x:v>0.1182878799</x:v>
      </x:c>
    </x:row>
    <x:row r="647" ht="19" customHeight="1">
      <x:c r="A647" s="29" t="str">
        <x:v>stagger_1</x:v>
      </x:c>
      <x:c r="B647" s="38" t="str">
        <x:v>STX</x:v>
      </x:c>
      <x:c r="C647" s="38" t="str">
        <x:v>Other sectors</x:v>
      </x:c>
      <x:c r="D647" s="30" t="n">
        <x:v>5</x:v>
      </x:c>
      <x:c r="E647" s="38" t="str">
        <x:v>XLY</x:v>
      </x:c>
      <x:c r="F647" s="38" t="n">
        <x:v>-0.4933987655</x:v>
      </x:c>
      <x:c r="G647" s="38" t="n">
        <x:v>-1.1071262577</x:v>
      </x:c>
      <x:c r="H647" s="42" t="b">
        <x:v>0</x:v>
      </x:c>
      <x:c r="I647" s="42" t="b">
        <x:v>0</x:v>
      </x:c>
      <x:c r="J647" s="38" t="n">
        <x:v>0.1182878799</x:v>
      </x:c>
    </x:row>
    <x:row r="648" ht="19" customHeight="1">
      <x:c r="A648" s="29" t="str">
        <x:v>stagger_1</x:v>
      </x:c>
      <x:c r="B648" s="38" t="str">
        <x:v>STX</x:v>
      </x:c>
      <x:c r="C648" s="38" t="str">
        <x:v>Other sectors</x:v>
      </x:c>
      <x:c r="D648" s="30" t="n">
        <x:v>6</x:v>
      </x:c>
      <x:c r="E648" s="38" t="str">
        <x:v>XLE</x:v>
      </x:c>
      <x:c r="F648" s="38" t="n">
        <x:v>0.2393828729</x:v>
      </x:c>
      <x:c r="G648" s="38" t="n">
        <x:v>1.3406646791</x:v>
      </x:c>
      <x:c r="H648" s="42" t="b">
        <x:v>0</x:v>
      </x:c>
      <x:c r="I648" s="42" t="b">
        <x:v>0</x:v>
      </x:c>
      <x:c r="J648" s="38" t="n">
        <x:v>0.1066339834</x:v>
      </x:c>
    </x:row>
    <x:row r="649" ht="19" customHeight="1">
      <x:c r="A649" s="29" t="str">
        <x:v>stagger_1</x:v>
      </x:c>
      <x:c r="B649" s="38" t="str">
        <x:v>STX</x:v>
      </x:c>
      <x:c r="C649" s="38" t="str">
        <x:v>Other sectors</x:v>
      </x:c>
      <x:c r="D649" s="30" t="n">
        <x:v>6</x:v>
      </x:c>
      <x:c r="E649" s="38" t="str">
        <x:v>XLI</x:v>
      </x:c>
      <x:c r="F649" s="38" t="n">
        <x:v>0.7631255386</x:v>
      </x:c>
      <x:c r="G649" s="38" t="n">
        <x:v>1.5657909233</x:v>
      </x:c>
      <x:c r="H649" s="42" t="b">
        <x:v>0</x:v>
      </x:c>
      <x:c r="I649" s="42" t="b">
        <x:v>0</x:v>
      </x:c>
      <x:c r="J649" s="38" t="n">
        <x:v>0.1066339834</x:v>
      </x:c>
    </x:row>
    <x:row r="650" ht="19" customHeight="1">
      <x:c r="A650" s="29" t="str">
        <x:v>stagger_1</x:v>
      </x:c>
      <x:c r="B650" s="38" t="str">
        <x:v>STX</x:v>
      </x:c>
      <x:c r="C650" s="38" t="str">
        <x:v>Other sectors</x:v>
      </x:c>
      <x:c r="D650" s="30" t="n">
        <x:v>6</x:v>
      </x:c>
      <x:c r="E650" s="38" t="str">
        <x:v>XLP</x:v>
      </x:c>
      <x:c r="F650" s="38" t="n">
        <x:v>-0.300452085</x:v>
      </x:c>
      <x:c r="G650" s="38" t="n">
        <x:v>-0.6401138125</x:v>
      </x:c>
      <x:c r="H650" s="42" t="b">
        <x:v>1</x:v>
      </x:c>
      <x:c r="I650" s="42" t="b">
        <x:v>0</x:v>
      </x:c>
      <x:c r="J650" s="38" t="n">
        <x:v>0.1066339834</x:v>
      </x:c>
    </x:row>
    <x:row r="651" ht="19" customHeight="1">
      <x:c r="A651" s="29" t="str">
        <x:v>stagger_1</x:v>
      </x:c>
      <x:c r="B651" s="38" t="str">
        <x:v>STX</x:v>
      </x:c>
      <x:c r="C651" s="38" t="str">
        <x:v>Other sectors</x:v>
      </x:c>
      <x:c r="D651" s="30" t="n">
        <x:v>6</x:v>
      </x:c>
      <x:c r="E651" s="38" t="str">
        <x:v>XLU</x:v>
      </x:c>
      <x:c r="F651" s="38" t="n">
        <x:v>-0.5616726813</x:v>
      </x:c>
      <x:c r="G651" s="38" t="n">
        <x:v>-1.600020639</x:v>
      </x:c>
      <x:c r="H651" s="42" t="b">
        <x:v>0</x:v>
      </x:c>
      <x:c r="I651" s="42" t="b">
        <x:v>0</x:v>
      </x:c>
      <x:c r="J651" s="38" t="n">
        <x:v>0.1066339834</x:v>
      </x:c>
    </x:row>
    <x:row r="652" ht="19" customHeight="1">
      <x:c r="A652" s="29" t="str">
        <x:v>stagger_1</x:v>
      </x:c>
      <x:c r="B652" s="38" t="str">
        <x:v>STX</x:v>
      </x:c>
      <x:c r="C652" s="38" t="str">
        <x:v>Other sectors</x:v>
      </x:c>
      <x:c r="D652" s="30" t="n">
        <x:v>6</x:v>
      </x:c>
      <x:c r="E652" s="38" t="str">
        <x:v>XLY</x:v>
      </x:c>
      <x:c r="F652" s="38" t="n">
        <x:v>-0.3839413452</x:v>
      </x:c>
      <x:c r="G652" s="38" t="n">
        <x:v>-0.8899921397</x:v>
      </x:c>
      <x:c r="H652" s="42" t="b">
        <x:v>0</x:v>
      </x:c>
      <x:c r="I652" s="42" t="b">
        <x:v>0</x:v>
      </x:c>
      <x:c r="J652" s="38" t="n">
        <x:v>0.1066339834</x:v>
      </x:c>
    </x:row>
    <x:row r="653" ht="19" customHeight="1">
      <x:c r="A653" s="29" t="str">
        <x:v>stagger_1</x:v>
      </x:c>
      <x:c r="B653" s="38" t="str">
        <x:v>STX</x:v>
      </x:c>
      <x:c r="C653" s="38" t="str">
        <x:v>Other sectors</x:v>
      </x:c>
      <x:c r="D653" s="30" t="n">
        <x:v>7</x:v>
      </x:c>
      <x:c r="E653" s="38" t="str">
        <x:v>XLE</x:v>
      </x:c>
      <x:c r="F653" s="38" t="n">
        <x:v>0.2341364991</x:v>
      </x:c>
      <x:c r="G653" s="38" t="n">
        <x:v>1.317862014</x:v>
      </x:c>
      <x:c r="H653" s="42" t="b">
        <x:v>0</x:v>
      </x:c>
      <x:c r="I653" s="42" t="b">
        <x:v>0</x:v>
      </x:c>
      <x:c r="J653" s="38" t="n">
        <x:v>0.1016873229</x:v>
      </x:c>
    </x:row>
    <x:row r="654" ht="19" customHeight="1">
      <x:c r="A654" s="29" t="str">
        <x:v>stagger_1</x:v>
      </x:c>
      <x:c r="B654" s="38" t="str">
        <x:v>STX</x:v>
      </x:c>
      <x:c r="C654" s="38" t="str">
        <x:v>Other sectors</x:v>
      </x:c>
      <x:c r="D654" s="30" t="n">
        <x:v>7</x:v>
      </x:c>
      <x:c r="E654" s="38" t="str">
        <x:v>XLI</x:v>
      </x:c>
      <x:c r="F654" s="38" t="n">
        <x:v>0.6762192137</x:v>
      </x:c>
      <x:c r="G654" s="38" t="n">
        <x:v>1.4503788481</x:v>
      </x:c>
      <x:c r="H654" s="42" t="b">
        <x:v>0</x:v>
      </x:c>
      <x:c r="I654" s="42" t="b">
        <x:v>0</x:v>
      </x:c>
      <x:c r="J654" s="38" t="n">
        <x:v>0.1016873229</x:v>
      </x:c>
    </x:row>
    <x:row r="655" ht="19" customHeight="1">
      <x:c r="A655" s="29" t="str">
        <x:v>stagger_1</x:v>
      </x:c>
      <x:c r="B655" s="38" t="str">
        <x:v>STX</x:v>
      </x:c>
      <x:c r="C655" s="38" t="str">
        <x:v>Other sectors</x:v>
      </x:c>
      <x:c r="D655" s="30" t="n">
        <x:v>7</x:v>
      </x:c>
      <x:c r="E655" s="38" t="str">
        <x:v>XLU</x:v>
      </x:c>
      <x:c r="F655" s="38" t="n">
        <x:v>-0.6549747706</x:v>
      </x:c>
      <x:c r="G655" s="38" t="n">
        <x:v>-2.059083532</x:v>
      </x:c>
      <x:c r="H655" s="42" t="b">
        <x:v>0</x:v>
      </x:c>
      <x:c r="I655" s="42" t="b">
        <x:v>0</x:v>
      </x:c>
      <x:c r="J655" s="38" t="n">
        <x:v>0.1016873229</x:v>
      </x:c>
    </x:row>
    <x:row r="656" ht="19" customHeight="1">
      <x:c r="A656" s="29" t="str">
        <x:v>stagger_1</x:v>
      </x:c>
      <x:c r="B656" s="38" t="str">
        <x:v>STX</x:v>
      </x:c>
      <x:c r="C656" s="38" t="str">
        <x:v>Other sectors</x:v>
      </x:c>
      <x:c r="D656" s="30" t="n">
        <x:v>7</x:v>
      </x:c>
      <x:c r="E656" s="38" t="str">
        <x:v>XLY</x:v>
      </x:c>
      <x:c r="F656" s="38" t="n">
        <x:v>-0.3667445321</x:v>
      </x:c>
      <x:c r="G656" s="38" t="n">
        <x:v>-0.8551541818</x:v>
      </x:c>
      <x:c r="H656" s="42" t="b">
        <x:v>1</x:v>
      </x:c>
      <x:c r="I656" s="42" t="b">
        <x:v>0</x:v>
      </x:c>
      <x:c r="J656" s="38" t="n">
        <x:v>0.1016873229</x:v>
      </x:c>
    </x:row>
    <x:row r="657" ht="19" customHeight="1">
      <x:c r="A657" s="29" t="str">
        <x:v>stagger_1</x:v>
      </x:c>
      <x:c r="B657" s="38" t="str">
        <x:v>STX</x:v>
      </x:c>
      <x:c r="C657" s="38" t="str">
        <x:v>Other sectors</x:v>
      </x:c>
      <x:c r="D657" s="30" t="n">
        <x:v>8</x:v>
      </x:c>
      <x:c r="E657" s="38" t="str">
        <x:v>XLE</x:v>
      </x:c>
      <x:c r="F657" s="38" t="n">
        <x:v>0.2683943723</x:v>
      </x:c>
      <x:c r="G657" s="38" t="n">
        <x:v>1.5533681102</x:v>
      </x:c>
      <x:c r="H657" s="42" t="b">
        <x:v>0</x:v>
      </x:c>
      <x:c r="I657" s="42" t="b">
        <x:v>0</x:v>
      </x:c>
      <x:c r="J657" s="38" t="n">
        <x:v>0.0929283111</x:v>
      </x:c>
    </x:row>
    <x:row r="658" ht="19" customHeight="1">
      <x:c r="A658" s="29" t="str">
        <x:v>stagger_1</x:v>
      </x:c>
      <x:c r="B658" s="38" t="str">
        <x:v>STX</x:v>
      </x:c>
      <x:c r="C658" s="38" t="str">
        <x:v>Other sectors</x:v>
      </x:c>
      <x:c r="D658" s="30" t="n">
        <x:v>8</x:v>
      </x:c>
      <x:c r="E658" s="38" t="str">
        <x:v>XLI</x:v>
      </x:c>
      <x:c r="F658" s="38" t="n">
        <x:v>0.7063358573</x:v>
      </x:c>
      <x:c r="G658" s="38" t="n">
        <x:v>1.5220077437</x:v>
      </x:c>
      <x:c r="H658" s="42" t="b">
        <x:v>1</x:v>
      </x:c>
      <x:c r="I658" s="42" t="b">
        <x:v>0</x:v>
      </x:c>
      <x:c r="J658" s="38" t="n">
        <x:v>0.0929283111</x:v>
      </x:c>
    </x:row>
    <x:row r="659" ht="19" customHeight="1">
      <x:c r="A659" s="29" t="str">
        <x:v>stagger_1</x:v>
      </x:c>
      <x:c r="B659" s="38" t="str">
        <x:v>STX</x:v>
      </x:c>
      <x:c r="C659" s="38" t="str">
        <x:v>Other sectors</x:v>
      </x:c>
      <x:c r="D659" s="30" t="n">
        <x:v>8</x:v>
      </x:c>
      <x:c r="E659" s="38" t="str">
        <x:v>XLU</x:v>
      </x:c>
      <x:c r="F659" s="38" t="n">
        <x:v>-0.6545379413</x:v>
      </x:c>
      <x:c r="G659" s="38" t="n">
        <x:v>-2.0613602759</x:v>
      </x:c>
      <x:c r="H659" s="42" t="b">
        <x:v>0</x:v>
      </x:c>
      <x:c r="I659" s="42" t="b">
        <x:v>0</x:v>
      </x:c>
      <x:c r="J659" s="38" t="n">
        <x:v>0.0929283111</x:v>
      </x:c>
    </x:row>
    <x:row r="660" ht="19" customHeight="1">
      <x:c r="A660" s="29" t="str">
        <x:v>stagger_1</x:v>
      </x:c>
      <x:c r="B660" s="38" t="str">
        <x:v>STX</x:v>
      </x:c>
      <x:c r="C660" s="38" t="str">
        <x:v>Other sectors</x:v>
      </x:c>
      <x:c r="D660" s="30" t="n">
        <x:v>9</x:v>
      </x:c>
      <x:c r="E660" s="38" t="str">
        <x:v>XLE</x:v>
      </x:c>
      <x:c r="F660" s="38" t="n">
        <x:v>0.3101557246</x:v>
      </x:c>
      <x:c r="G660" s="38" t="n">
        <x:v>1.8027928365</x:v>
      </x:c>
      <x:c r="H660" s="42" t="b">
        <x:v>0</x:v>
      </x:c>
      <x:c r="I660" s="42" t="b">
        <x:v>0</x:v>
      </x:c>
      <x:c r="J660" s="38" t="n">
        <x:v>0.0652804369</x:v>
      </x:c>
    </x:row>
    <x:row r="661" ht="19" customHeight="1">
      <x:c r="A661" s="29" t="str">
        <x:v>stagger_1</x:v>
      </x:c>
      <x:c r="B661" s="38" t="str">
        <x:v>STX</x:v>
      </x:c>
      <x:c r="C661" s="38" t="str">
        <x:v>Other sectors</x:v>
      </x:c>
      <x:c r="D661" s="30" t="n">
        <x:v>9</x:v>
      </x:c>
      <x:c r="E661" s="38" t="str">
        <x:v>XLU</x:v>
      </x:c>
      <x:c r="F661" s="38" t="n">
        <x:v>-0.4748470021</x:v>
      </x:c>
      <x:c r="G661" s="38" t="n">
        <x:v>-1.5973502981</x:v>
      </x:c>
      <x:c r="H661" s="42" t="b">
        <x:v>1</x:v>
      </x:c>
      <x:c r="I661" s="42" t="b">
        <x:v>0</x:v>
      </x:c>
      <x:c r="J661" s="38" t="n">
        <x:v>0.0652804369</x:v>
      </x:c>
    </x:row>
    <x:row r="662" ht="19" customHeight="1">
      <x:c r="A662" s="29" t="str">
        <x:v>stagger_1</x:v>
      </x:c>
      <x:c r="B662" s="38" t="str">
        <x:v>STX</x:v>
      </x:c>
      <x:c r="C662" s="38" t="str">
        <x:v>Other sectors</x:v>
      </x:c>
      <x:c r="D662" s="30" t="n">
        <x:v>10</x:v>
      </x:c>
      <x:c r="E662" s="38" t="str">
        <x:v>XLE</x:v>
      </x:c>
      <x:c r="F662" s="38" t="n">
        <x:v>0.2883049884</x:v>
      </x:c>
      <x:c r="G662" s="38" t="n">
        <x:v>1.6646326555</x:v>
      </x:c>
      <x:c r="H662" s="42" t="b">
        <x:v>1</x:v>
      </x:c>
      <x:c r="I662" s="42" t="b">
        <x:v>0</x:v>
      </x:c>
      <x:c r="J662" s="38" t="n">
        <x:v>0.03430689</x:v>
      </x:c>
    </x:row>
    <x:row r="663" ht="19" customHeight="1">
      <x:c r="A663" s="29" t="str">
        <x:v>stagger_1</x:v>
      </x:c>
      <x:c r="B663" s="38" t="str">
        <x:v>VLO</x:v>
      </x:c>
      <x:c r="C663" s="38" t="str">
        <x:v>Other FX</x:v>
      </x:c>
      <x:c r="D663" s="30" t="n">
        <x:v>1</x:v>
      </x:c>
      <x:c r="E663" s="38" t="str">
        <x:v>AUD/USD</x:v>
      </x:c>
      <x:c r="F663" s="38" t="n">
        <x:v>1.1059020151</x:v>
      </x:c>
      <x:c r="G663" s="38" t="n">
        <x:v>1.2195298674</x:v>
      </x:c>
      <x:c r="H663" s="42" t="b">
        <x:v>0</x:v>
      </x:c>
      <x:c r="I663" s="42" t="b">
        <x:v>0</x:v>
      </x:c>
      <x:c r="J663" s="38" t="n">
        <x:v>0.0781920635</x:v>
      </x:c>
    </x:row>
    <x:row r="664" ht="19" customHeight="1">
      <x:c r="A664" s="29" t="str">
        <x:v>stagger_1</x:v>
      </x:c>
      <x:c r="B664" s="38" t="str">
        <x:v>VLO</x:v>
      </x:c>
      <x:c r="C664" s="38" t="str">
        <x:v>Other FX</x:v>
      </x:c>
      <x:c r="D664" s="30" t="n">
        <x:v>1</x:v>
      </x:c>
      <x:c r="E664" s="38" t="str">
        <x:v>CAD/USD</x:v>
      </x:c>
      <x:c r="F664" s="38" t="n">
        <x:v>-0.4013581864</x:v>
      </x:c>
      <x:c r="G664" s="38" t="n">
        <x:v>-0.3665256974</x:v>
      </x:c>
      <x:c r="H664" s="42" t="b">
        <x:v>1</x:v>
      </x:c>
      <x:c r="I664" s="42" t="b">
        <x:v>0</x:v>
      </x:c>
      <x:c r="J664" s="38" t="n">
        <x:v>0.0781920635</x:v>
      </x:c>
    </x:row>
    <x:row r="665" ht="19" customHeight="1">
      <x:c r="A665" s="29" t="str">
        <x:v>stagger_1</x:v>
      </x:c>
      <x:c r="B665" s="38" t="str">
        <x:v>VLO</x:v>
      </x:c>
      <x:c r="C665" s="38" t="str">
        <x:v>Other FX</x:v>
      </x:c>
      <x:c r="D665" s="30" t="n">
        <x:v>1</x:v>
      </x:c>
      <x:c r="E665" s="38" t="str">
        <x:v>DKK/USD</x:v>
      </x:c>
      <x:c r="F665" s="38" t="n">
        <x:v>-10.3060065702</x:v>
      </x:c>
      <x:c r="G665" s="38" t="n">
        <x:v>-1.3518913327</x:v>
      </x:c>
      <x:c r="H665" s="42" t="b">
        <x:v>0</x:v>
      </x:c>
      <x:c r="I665" s="42" t="b">
        <x:v>0</x:v>
      </x:c>
      <x:c r="J665" s="38" t="n">
        <x:v>0.0781920635</x:v>
      </x:c>
    </x:row>
    <x:row r="666" ht="19" customHeight="1">
      <x:c r="A666" s="29" t="str">
        <x:v>stagger_1</x:v>
      </x:c>
      <x:c r="B666" s="38" t="str">
        <x:v>VLO</x:v>
      </x:c>
      <x:c r="C666" s="38" t="str">
        <x:v>Other FX</x:v>
      </x:c>
      <x:c r="D666" s="30" t="n">
        <x:v>1</x:v>
      </x:c>
      <x:c r="E666" s="38" t="str">
        <x:v>EUR/USD</x:v>
      </x:c>
      <x:c r="F666" s="38" t="n">
        <x:v>7.7772721388</x:v>
      </x:c>
      <x:c r="G666" s="38" t="n">
        <x:v>1.1153062456</x:v>
      </x:c>
      <x:c r="H666" s="42" t="b">
        <x:v>0</x:v>
      </x:c>
      <x:c r="I666" s="42" t="b">
        <x:v>0</x:v>
      </x:c>
      <x:c r="J666" s="38" t="n">
        <x:v>0.0781920635</x:v>
      </x:c>
    </x:row>
    <x:row r="667" ht="19" customHeight="1">
      <x:c r="A667" s="29" t="str">
        <x:v>stagger_1</x:v>
      </x:c>
      <x:c r="B667" s="38" t="str">
        <x:v>VLO</x:v>
      </x:c>
      <x:c r="C667" s="38" t="str">
        <x:v>Other FX</x:v>
      </x:c>
      <x:c r="D667" s="30" t="n">
        <x:v>1</x:v>
      </x:c>
      <x:c r="E667" s="38" t="str">
        <x:v>MXN/USD</x:v>
      </x:c>
      <x:c r="F667" s="38" t="n">
        <x:v>0.7144246495</x:v>
      </x:c>
      <x:c r="G667" s="38" t="n">
        <x:v>1.2297398062</x:v>
      </x:c>
      <x:c r="H667" s="42" t="b">
        <x:v>0</x:v>
      </x:c>
      <x:c r="I667" s="42" t="b">
        <x:v>0</x:v>
      </x:c>
      <x:c r="J667" s="38" t="n">
        <x:v>0.0781920635</x:v>
      </x:c>
    </x:row>
    <x:row r="668" ht="19" customHeight="1">
      <x:c r="A668" s="29" t="str">
        <x:v>stagger_1</x:v>
      </x:c>
      <x:c r="B668" s="38" t="str">
        <x:v>VLO</x:v>
      </x:c>
      <x:c r="C668" s="38" t="str">
        <x:v>Other FX</x:v>
      </x:c>
      <x:c r="D668" s="30" t="n">
        <x:v>1</x:v>
      </x:c>
      <x:c r="E668" s="38" t="str">
        <x:v>SGD/USD</x:v>
      </x:c>
      <x:c r="F668" s="38" t="n">
        <x:v>1.1325446333</x:v>
      </x:c>
      <x:c r="G668" s="38" t="n">
        <x:v>0.515824066</x:v>
      </x:c>
      <x:c r="H668" s="42" t="b">
        <x:v>0</x:v>
      </x:c>
      <x:c r="I668" s="42" t="b">
        <x:v>0</x:v>
      </x:c>
      <x:c r="J668" s="38" t="n">
        <x:v>0.0781920635</x:v>
      </x:c>
    </x:row>
    <x:row r="669" ht="19" customHeight="1">
      <x:c r="A669" s="29" t="str">
        <x:v>stagger_1</x:v>
      </x:c>
      <x:c r="B669" s="38" t="str">
        <x:v>VLO</x:v>
      </x:c>
      <x:c r="C669" s="38" t="str">
        <x:v>Other FX</x:v>
      </x:c>
      <x:c r="D669" s="30" t="n">
        <x:v>2</x:v>
      </x:c>
      <x:c r="E669" s="38" t="str">
        <x:v>AUD/USD</x:v>
      </x:c>
      <x:c r="F669" s="38" t="n">
        <x:v>1.0250212141</x:v>
      </x:c>
      <x:c r="G669" s="38" t="n">
        <x:v>1.172245828</x:v>
      </x:c>
      <x:c r="H669" s="42" t="b">
        <x:v>0</x:v>
      </x:c>
      <x:c r="I669" s="42" t="b">
        <x:v>0</x:v>
      </x:c>
      <x:c r="J669" s="38" t="n">
        <x:v>0.0764956706</x:v>
      </x:c>
    </x:row>
    <x:row r="670" ht="19" customHeight="1">
      <x:c r="A670" s="29" t="str">
        <x:v>stagger_1</x:v>
      </x:c>
      <x:c r="B670" s="38" t="str">
        <x:v>VLO</x:v>
      </x:c>
      <x:c r="C670" s="38" t="str">
        <x:v>Other FX</x:v>
      </x:c>
      <x:c r="D670" s="30" t="n">
        <x:v>2</x:v>
      </x:c>
      <x:c r="E670" s="38" t="str">
        <x:v>DKK/USD</x:v>
      </x:c>
      <x:c r="F670" s="38" t="n">
        <x:v>-10.5840382733</x:v>
      </x:c>
      <x:c r="G670" s="38" t="n">
        <x:v>-1.403520176</x:v>
      </x:c>
      <x:c r="H670" s="42" t="b">
        <x:v>0</x:v>
      </x:c>
      <x:c r="I670" s="42" t="b">
        <x:v>0</x:v>
      </x:c>
      <x:c r="J670" s="38" t="n">
        <x:v>0.0764956706</x:v>
      </x:c>
    </x:row>
    <x:row r="671" ht="19" customHeight="1">
      <x:c r="A671" s="29" t="str">
        <x:v>stagger_1</x:v>
      </x:c>
      <x:c r="B671" s="38" t="str">
        <x:v>VLO</x:v>
      </x:c>
      <x:c r="C671" s="38" t="str">
        <x:v>Other FX</x:v>
      </x:c>
      <x:c r="D671" s="30" t="n">
        <x:v>2</x:v>
      </x:c>
      <x:c r="E671" s="38" t="str">
        <x:v>EUR/USD</x:v>
      </x:c>
      <x:c r="F671" s="38" t="n">
        <x:v>7.9324829855</x:v>
      </x:c>
      <x:c r="G671" s="38" t="n">
        <x:v>1.1463928</x:v>
      </x:c>
      <x:c r="H671" s="42" t="b">
        <x:v>0</x:v>
      </x:c>
      <x:c r="I671" s="42" t="b">
        <x:v>0</x:v>
      </x:c>
      <x:c r="J671" s="38" t="n">
        <x:v>0.0764956706</x:v>
      </x:c>
    </x:row>
    <x:row r="672" ht="19" customHeight="1">
      <x:c r="A672" s="29" t="str">
        <x:v>stagger_1</x:v>
      </x:c>
      <x:c r="B672" s="38" t="str">
        <x:v>VLO</x:v>
      </x:c>
      <x:c r="C672" s="38" t="str">
        <x:v>Other FX</x:v>
      </x:c>
      <x:c r="D672" s="30" t="n">
        <x:v>2</x:v>
      </x:c>
      <x:c r="E672" s="38" t="str">
        <x:v>MXN/USD</x:v>
      </x:c>
      <x:c r="F672" s="38" t="n">
        <x:v>0.7186882818</x:v>
      </x:c>
      <x:c r="G672" s="38" t="n">
        <x:v>1.2446281675</x:v>
      </x:c>
      <x:c r="H672" s="42" t="b">
        <x:v>0</x:v>
      </x:c>
      <x:c r="I672" s="42" t="b">
        <x:v>0</x:v>
      </x:c>
      <x:c r="J672" s="38" t="n">
        <x:v>0.0764956706</x:v>
      </x:c>
    </x:row>
    <x:row r="673" ht="19" customHeight="1">
      <x:c r="A673" s="29" t="str">
        <x:v>stagger_1</x:v>
      </x:c>
      <x:c r="B673" s="38" t="str">
        <x:v>VLO</x:v>
      </x:c>
      <x:c r="C673" s="38" t="str">
        <x:v>Other FX</x:v>
      </x:c>
      <x:c r="D673" s="30" t="n">
        <x:v>2</x:v>
      </x:c>
      <x:c r="E673" s="38" t="str">
        <x:v>SGD/USD</x:v>
      </x:c>
      <x:c r="F673" s="38" t="n">
        <x:v>1.1305730042</x:v>
      </x:c>
      <x:c r="G673" s="38" t="n">
        <x:v>0.5179661419</x:v>
      </x:c>
      <x:c r="H673" s="42" t="b">
        <x:v>1</x:v>
      </x:c>
      <x:c r="I673" s="42" t="b">
        <x:v>0</x:v>
      </x:c>
      <x:c r="J673" s="38" t="n">
        <x:v>0.0764956706</x:v>
      </x:c>
    </x:row>
    <x:row r="674" ht="19" customHeight="1">
      <x:c r="A674" s="29" t="str">
        <x:v>stagger_1</x:v>
      </x:c>
      <x:c r="B674" s="38" t="str">
        <x:v>VLO</x:v>
      </x:c>
      <x:c r="C674" s="38" t="str">
        <x:v>Other FX</x:v>
      </x:c>
      <x:c r="D674" s="30" t="n">
        <x:v>3</x:v>
      </x:c>
      <x:c r="E674" s="38" t="str">
        <x:v>AUD/USD</x:v>
      </x:c>
      <x:c r="F674" s="38" t="n">
        <x:v>1.2416039325</x:v>
      </x:c>
      <x:c r="G674" s="38" t="n">
        <x:v>1.6247211048</x:v>
      </x:c>
      <x:c r="H674" s="42" t="b">
        <x:v>0</x:v>
      </x:c>
      <x:c r="I674" s="42" t="b">
        <x:v>0</x:v>
      </x:c>
      <x:c r="J674" s="38" t="n">
        <x:v>0.0731474817</x:v>
      </x:c>
    </x:row>
    <x:row r="675" ht="19" customHeight="1">
      <x:c r="A675" s="29" t="str">
        <x:v>stagger_1</x:v>
      </x:c>
      <x:c r="B675" s="38" t="str">
        <x:v>VLO</x:v>
      </x:c>
      <x:c r="C675" s="38" t="str">
        <x:v>Other FX</x:v>
      </x:c>
      <x:c r="D675" s="30" t="n">
        <x:v>3</x:v>
      </x:c>
      <x:c r="E675" s="38" t="str">
        <x:v>DKK/USD</x:v>
      </x:c>
      <x:c r="F675" s="38" t="n">
        <x:v>-9.0752597023</x:v>
      </x:c>
      <x:c r="G675" s="38" t="n">
        <x:v>-1.3111208589</x:v>
      </x:c>
      <x:c r="H675" s="42" t="b">
        <x:v>0</x:v>
      </x:c>
      <x:c r="I675" s="42" t="b">
        <x:v>0</x:v>
      </x:c>
      <x:c r="J675" s="38" t="n">
        <x:v>0.0731474817</x:v>
      </x:c>
    </x:row>
    <x:row r="676" ht="19" customHeight="1">
      <x:c r="A676" s="29" t="str">
        <x:v>stagger_1</x:v>
      </x:c>
      <x:c r="B676" s="38" t="str">
        <x:v>VLO</x:v>
      </x:c>
      <x:c r="C676" s="38" t="str">
        <x:v>Other FX</x:v>
      </x:c>
      <x:c r="D676" s="30" t="n">
        <x:v>3</x:v>
      </x:c>
      <x:c r="E676" s="38" t="str">
        <x:v>EUR/USD</x:v>
      </x:c>
      <x:c r="F676" s="38" t="n">
        <x:v>6.8617753774</x:v>
      </x:c>
      <x:c r="G676" s="38" t="n">
        <x:v>1.0442130619</x:v>
      </x:c>
      <x:c r="H676" s="42" t="b">
        <x:v>1</x:v>
      </x:c>
      <x:c r="I676" s="42" t="b">
        <x:v>0</x:v>
      </x:c>
      <x:c r="J676" s="38" t="n">
        <x:v>0.0731474817</x:v>
      </x:c>
    </x:row>
    <x:row r="677" ht="19" customHeight="1">
      <x:c r="A677" s="29" t="str">
        <x:v>stagger_1</x:v>
      </x:c>
      <x:c r="B677" s="38" t="str">
        <x:v>VLO</x:v>
      </x:c>
      <x:c r="C677" s="38" t="str">
        <x:v>Other FX</x:v>
      </x:c>
      <x:c r="D677" s="30" t="n">
        <x:v>3</x:v>
      </x:c>
      <x:c r="E677" s="38" t="str">
        <x:v>MXN/USD</x:v>
      </x:c>
      <x:c r="F677" s="38" t="n">
        <x:v>0.6864971559</x:v>
      </x:c>
      <x:c r="G677" s="38" t="n">
        <x:v>1.201702312</x:v>
      </x:c>
      <x:c r="H677" s="42" t="b">
        <x:v>0</x:v>
      </x:c>
      <x:c r="I677" s="42" t="b">
        <x:v>0</x:v>
      </x:c>
      <x:c r="J677" s="38" t="n">
        <x:v>0.0731474817</x:v>
      </x:c>
    </x:row>
    <x:row r="678" ht="19" customHeight="1">
      <x:c r="A678" s="29" t="str">
        <x:v>stagger_1</x:v>
      </x:c>
      <x:c r="B678" s="38" t="str">
        <x:v>VLO</x:v>
      </x:c>
      <x:c r="C678" s="38" t="str">
        <x:v>Other FX</x:v>
      </x:c>
      <x:c r="D678" s="30" t="n">
        <x:v>4</x:v>
      </x:c>
      <x:c r="E678" s="38" t="str">
        <x:v>AUD/USD</x:v>
      </x:c>
      <x:c r="F678" s="38" t="n">
        <x:v>1.0934544729</x:v>
      </x:c>
      <x:c r="G678" s="38" t="n">
        <x:v>1.4553082148</x:v>
      </x:c>
      <x:c r="H678" s="42" t="b">
        <x:v>0</x:v>
      </x:c>
      <x:c r="I678" s="42" t="b">
        <x:v>0</x:v>
      </x:c>
      <x:c r="J678" s="38" t="n">
        <x:v>0.0596725177</x:v>
      </x:c>
    </x:row>
    <x:row r="679" ht="19" customHeight="1">
      <x:c r="A679" s="29" t="str">
        <x:v>stagger_1</x:v>
      </x:c>
      <x:c r="B679" s="38" t="str">
        <x:v>VLO</x:v>
      </x:c>
      <x:c r="C679" s="38" t="str">
        <x:v>Other FX</x:v>
      </x:c>
      <x:c r="D679" s="30" t="n">
        <x:v>4</x:v>
      </x:c>
      <x:c r="E679" s="38" t="str">
        <x:v>DKK/USD</x:v>
      </x:c>
      <x:c r="F679" s="38" t="n">
        <x:v>-1.9113529485</x:v>
      </x:c>
      <x:c r="G679" s="38" t="n">
        <x:v>-2.0803019487</x:v>
      </x:c>
      <x:c r="H679" s="42" t="b">
        <x:v>0</x:v>
      </x:c>
      <x:c r="I679" s="42" t="b">
        <x:v>0</x:v>
      </x:c>
      <x:c r="J679" s="38" t="n">
        <x:v>0.0596725177</x:v>
      </x:c>
    </x:row>
    <x:row r="680" ht="19" customHeight="1">
      <x:c r="A680" s="29" t="str">
        <x:v>stagger_1</x:v>
      </x:c>
      <x:c r="B680" s="38" t="str">
        <x:v>VLO</x:v>
      </x:c>
      <x:c r="C680" s="38" t="str">
        <x:v>Other FX</x:v>
      </x:c>
      <x:c r="D680" s="30" t="n">
        <x:v>4</x:v>
      </x:c>
      <x:c r="E680" s="38" t="str">
        <x:v>MXN/USD</x:v>
      </x:c>
      <x:c r="F680" s="38" t="n">
        <x:v>0.5417603521</x:v>
      </x:c>
      <x:c r="G680" s="38" t="n">
        <x:v>0.9769729595</x:v>
      </x:c>
      <x:c r="H680" s="42" t="b">
        <x:v>1</x:v>
      </x:c>
      <x:c r="I680" s="42" t="b">
        <x:v>0</x:v>
      </x:c>
      <x:c r="J680" s="38" t="n">
        <x:v>0.0596725177</x:v>
      </x:c>
    </x:row>
    <x:row r="681" ht="19" customHeight="1">
      <x:c r="A681" s="29" t="str">
        <x:v>stagger_1</x:v>
      </x:c>
      <x:c r="B681" s="38" t="str">
        <x:v>VLO</x:v>
      </x:c>
      <x:c r="C681" s="38" t="str">
        <x:v>Other FX</x:v>
      </x:c>
      <x:c r="D681" s="30" t="n">
        <x:v>5</x:v>
      </x:c>
      <x:c r="E681" s="38" t="str">
        <x:v>AUD/USD</x:v>
      </x:c>
      <x:c r="F681" s="38" t="n">
        <x:v>1.2488451921</x:v>
      </x:c>
      <x:c r="G681" s="38" t="n">
        <x:v>1.7011666316</x:v>
      </x:c>
      <x:c r="H681" s="42" t="b">
        <x:v>1</x:v>
      </x:c>
      <x:c r="I681" s="42" t="b">
        <x:v>0</x:v>
      </x:c>
      <x:c r="J681" s="38" t="n">
        <x:v>0.0478630418</x:v>
      </x:c>
    </x:row>
    <x:row r="682" ht="19" customHeight="1">
      <x:c r="A682" s="29" t="str">
        <x:v>stagger_1</x:v>
      </x:c>
      <x:c r="B682" s="38" t="str">
        <x:v>VLO</x:v>
      </x:c>
      <x:c r="C682" s="38" t="str">
        <x:v>Other FX</x:v>
      </x:c>
      <x:c r="D682" s="30" t="n">
        <x:v>5</x:v>
      </x:c>
      <x:c r="E682" s="38" t="str">
        <x:v>DKK/USD</x:v>
      </x:c>
      <x:c r="F682" s="38" t="n">
        <x:v>-1.6075743195</x:v>
      </x:c>
      <x:c r="G682" s="38" t="n">
        <x:v>-1.8599364557</x:v>
      </x:c>
      <x:c r="H682" s="42" t="b">
        <x:v>0</x:v>
      </x:c>
      <x:c r="I682" s="42" t="b">
        <x:v>0</x:v>
      </x:c>
      <x:c r="J682" s="38" t="n">
        <x:v>0.0478630418</x:v>
      </x:c>
    </x:row>
    <x:row r="683" ht="19" customHeight="1">
      <x:c r="A683" s="29" t="str">
        <x:v>stagger_1</x:v>
      </x:c>
      <x:c r="B683" s="38" t="str">
        <x:v>VLO</x:v>
      </x:c>
      <x:c r="C683" s="38" t="str">
        <x:v>Other FX</x:v>
      </x:c>
      <x:c r="D683" s="30" t="n">
        <x:v>6</x:v>
      </x:c>
      <x:c r="E683" s="38" t="str">
        <x:v>DKK/USD</x:v>
      </x:c>
      <x:c r="F683" s="38" t="n">
        <x:v>-0.6464453821</x:v>
      </x:c>
      <x:c r="G683" s="38" t="n">
        <x:v>-0.9765223003</x:v>
      </x:c>
      <x:c r="H683" s="42" t="b">
        <x:v>1</x:v>
      </x:c>
      <x:c r="I683" s="42" t="b">
        <x:v>0</x:v>
      </x:c>
      <x:c r="J683" s="38" t="n">
        <x:v>0.0120779275</x:v>
      </x:c>
    </x:row>
    <x:row r="684" ht="19" customHeight="1">
      <x:c r="A684" s="29" t="str">
        <x:v>stagger_1</x:v>
      </x:c>
      <x:c r="B684" s="38" t="str">
        <x:v>VLO</x:v>
      </x:c>
      <x:c r="C684" s="38" t="str">
        <x:v>Other sectors</x:v>
      </x:c>
      <x:c r="D684" s="30" t="n">
        <x:v>1</x:v>
      </x:c>
      <x:c r="E684" s="38" t="str">
        <x:v>XLB</x:v>
      </x:c>
      <x:c r="F684" s="38" t="n">
        <x:v>-0.5608589984</x:v>
      </x:c>
      <x:c r="G684" s="38" t="n">
        <x:v>-1.5468583631</x:v>
      </x:c>
      <x:c r="H684" s="42" t="b">
        <x:v>0</x:v>
      </x:c>
      <x:c r="I684" s="42" t="b">
        <x:v>0</x:v>
      </x:c>
      <x:c r="J684" s="38" t="n">
        <x:v>0.0958344652</x:v>
      </x:c>
    </x:row>
    <x:row r="685" ht="19" customHeight="1">
      <x:c r="A685" s="29" t="str">
        <x:v>stagger_1</x:v>
      </x:c>
      <x:c r="B685" s="38" t="str">
        <x:v>VLO</x:v>
      </x:c>
      <x:c r="C685" s="38" t="str">
        <x:v>Other sectors</x:v>
      </x:c>
      <x:c r="D685" s="30" t="n">
        <x:v>1</x:v>
      </x:c>
      <x:c r="E685" s="38" t="str">
        <x:v>XLC</x:v>
      </x:c>
      <x:c r="F685" s="38" t="n">
        <x:v>0.1200418511</x:v>
      </x:c>
      <x:c r="G685" s="38" t="n">
        <x:v>0.3387895284</x:v>
      </x:c>
      <x:c r="H685" s="42" t="b">
        <x:v>0</x:v>
      </x:c>
      <x:c r="I685" s="42" t="b">
        <x:v>0</x:v>
      </x:c>
      <x:c r="J685" s="38" t="n">
        <x:v>0.0958344652</x:v>
      </x:c>
    </x:row>
    <x:row r="686" ht="19" customHeight="1">
      <x:c r="A686" s="29" t="str">
        <x:v>stagger_1</x:v>
      </x:c>
      <x:c r="B686" s="38" t="str">
        <x:v>VLO</x:v>
      </x:c>
      <x:c r="C686" s="38" t="str">
        <x:v>Other sectors</x:v>
      </x:c>
      <x:c r="D686" s="30" t="n">
        <x:v>1</x:v>
      </x:c>
      <x:c r="E686" s="38" t="str">
        <x:v>XLF</x:v>
      </x:c>
      <x:c r="F686" s="38" t="n">
        <x:v>0.4104519869</x:v>
      </x:c>
      <x:c r="G686" s="38" t="n">
        <x:v>1.039557376</x:v>
      </x:c>
      <x:c r="H686" s="42" t="b">
        <x:v>0</x:v>
      </x:c>
      <x:c r="I686" s="42" t="b">
        <x:v>0</x:v>
      </x:c>
      <x:c r="J686" s="38" t="n">
        <x:v>0.0958344652</x:v>
      </x:c>
    </x:row>
    <x:row r="687" ht="19" customHeight="1">
      <x:c r="A687" s="29" t="str">
        <x:v>stagger_1</x:v>
      </x:c>
      <x:c r="B687" s="38" t="str">
        <x:v>VLO</x:v>
      </x:c>
      <x:c r="C687" s="38" t="str">
        <x:v>Other sectors</x:v>
      </x:c>
      <x:c r="D687" s="30" t="n">
        <x:v>1</x:v>
      </x:c>
      <x:c r="E687" s="38" t="str">
        <x:v>XLI</x:v>
      </x:c>
      <x:c r="F687" s="38" t="n">
        <x:v>0.8290329616</x:v>
      </x:c>
      <x:c r="G687" s="38" t="n">
        <x:v>1.7431183766</x:v>
      </x:c>
      <x:c r="H687" s="42" t="b">
        <x:v>0</x:v>
      </x:c>
      <x:c r="I687" s="42" t="b">
        <x:v>0</x:v>
      </x:c>
      <x:c r="J687" s="38" t="n">
        <x:v>0.0958344652</x:v>
      </x:c>
    </x:row>
    <x:row r="688" ht="19" customHeight="1">
      <x:c r="A688" s="29" t="str">
        <x:v>stagger_1</x:v>
      </x:c>
      <x:c r="B688" s="38" t="str">
        <x:v>VLO</x:v>
      </x:c>
      <x:c r="C688" s="38" t="str">
        <x:v>Other sectors</x:v>
      </x:c>
      <x:c r="D688" s="30" t="n">
        <x:v>1</x:v>
      </x:c>
      <x:c r="E688" s="38" t="str">
        <x:v>XLK</x:v>
      </x:c>
      <x:c r="F688" s="38" t="n">
        <x:v>0.1579881914</x:v>
      </x:c>
      <x:c r="G688" s="38" t="n">
        <x:v>0.2956626904</x:v>
      </x:c>
      <x:c r="H688" s="42" t="b">
        <x:v>0</x:v>
      </x:c>
      <x:c r="I688" s="42" t="b">
        <x:v>0</x:v>
      </x:c>
      <x:c r="J688" s="38" t="n">
        <x:v>0.0958344652</x:v>
      </x:c>
    </x:row>
    <x:row r="689" ht="19" customHeight="1">
      <x:c r="A689" s="29" t="str">
        <x:v>stagger_1</x:v>
      </x:c>
      <x:c r="B689" s="38" t="str">
        <x:v>VLO</x:v>
      </x:c>
      <x:c r="C689" s="38" t="str">
        <x:v>Other sectors</x:v>
      </x:c>
      <x:c r="D689" s="30" t="n">
        <x:v>1</x:v>
      </x:c>
      <x:c r="E689" s="38" t="str">
        <x:v>XLP</x:v>
      </x:c>
      <x:c r="F689" s="38" t="n">
        <x:v>-0.3785580904</x:v>
      </x:c>
      <x:c r="G689" s="38" t="n">
        <x:v>-0.9625755573</x:v>
      </x:c>
      <x:c r="H689" s="42" t="b">
        <x:v>0</x:v>
      </x:c>
      <x:c r="I689" s="42" t="b">
        <x:v>0</x:v>
      </x:c>
      <x:c r="J689" s="38" t="n">
        <x:v>0.0958344652</x:v>
      </x:c>
    </x:row>
    <x:row r="690" ht="19" customHeight="1">
      <x:c r="A690" s="29" t="str">
        <x:v>stagger_1</x:v>
      </x:c>
      <x:c r="B690" s="38" t="str">
        <x:v>VLO</x:v>
      </x:c>
      <x:c r="C690" s="38" t="str">
        <x:v>Other sectors</x:v>
      </x:c>
      <x:c r="D690" s="30" t="n">
        <x:v>1</x:v>
      </x:c>
      <x:c r="E690" s="38" t="str">
        <x:v>XLRE</x:v>
      </x:c>
      <x:c r="F690" s="38" t="n">
        <x:v>0.1192861801</x:v>
      </x:c>
      <x:c r="G690" s="38" t="n">
        <x:v>0.3764142359</x:v>
      </x:c>
      <x:c r="H690" s="42" t="b">
        <x:v>0</x:v>
      </x:c>
      <x:c r="I690" s="42" t="b">
        <x:v>0</x:v>
      </x:c>
      <x:c r="J690" s="38" t="n">
        <x:v>0.0958344652</x:v>
      </x:c>
    </x:row>
    <x:row r="691" ht="19" customHeight="1">
      <x:c r="A691" s="29" t="str">
        <x:v>stagger_1</x:v>
      </x:c>
      <x:c r="B691" s="38" t="str">
        <x:v>VLO</x:v>
      </x:c>
      <x:c r="C691" s="38" t="str">
        <x:v>Other sectors</x:v>
      </x:c>
      <x:c r="D691" s="30" t="n">
        <x:v>1</x:v>
      </x:c>
      <x:c r="E691" s="38" t="str">
        <x:v>XLU</x:v>
      </x:c>
      <x:c r="F691" s="38" t="n">
        <x:v>0.1264345883</x:v>
      </x:c>
      <x:c r="G691" s="38" t="n">
        <x:v>0.5108428328</x:v>
      </x:c>
      <x:c r="H691" s="42" t="b">
        <x:v>0</x:v>
      </x:c>
      <x:c r="I691" s="42" t="b">
        <x:v>0</x:v>
      </x:c>
      <x:c r="J691" s="38" t="n">
        <x:v>0.0958344652</x:v>
      </x:c>
    </x:row>
    <x:row r="692" ht="19" customHeight="1">
      <x:c r="A692" s="29" t="str">
        <x:v>stagger_1</x:v>
      </x:c>
      <x:c r="B692" s="38" t="str">
        <x:v>VLO</x:v>
      </x:c>
      <x:c r="C692" s="38" t="str">
        <x:v>Other sectors</x:v>
      </x:c>
      <x:c r="D692" s="30" t="n">
        <x:v>1</x:v>
      </x:c>
      <x:c r="E692" s="38" t="str">
        <x:v>XLV</x:v>
      </x:c>
      <x:c r="F692" s="38" t="n">
        <x:v>0.0458483271</x:v>
      </x:c>
      <x:c r="G692" s="38" t="n">
        <x:v>0.1403406982</x:v>
      </x:c>
      <x:c r="H692" s="42" t="b">
        <x:v>1</x:v>
      </x:c>
      <x:c r="I692" s="42" t="b">
        <x:v>0</x:v>
      </x:c>
      <x:c r="J692" s="38" t="n">
        <x:v>0.0958344652</x:v>
      </x:c>
    </x:row>
    <x:row r="693" ht="19" customHeight="1">
      <x:c r="A693" s="29" t="str">
        <x:v>stagger_1</x:v>
      </x:c>
      <x:c r="B693" s="38" t="str">
        <x:v>VLO</x:v>
      </x:c>
      <x:c r="C693" s="38" t="str">
        <x:v>Other sectors</x:v>
      </x:c>
      <x:c r="D693" s="30" t="n">
        <x:v>1</x:v>
      </x:c>
      <x:c r="E693" s="38" t="str">
        <x:v>XLY</x:v>
      </x:c>
      <x:c r="F693" s="38" t="n">
        <x:v>-0.0951264964</x:v>
      </x:c>
      <x:c r="G693" s="38" t="n">
        <x:v>-0.2773684949</x:v>
      </x:c>
      <x:c r="H693" s="42" t="b">
        <x:v>0</x:v>
      </x:c>
      <x:c r="I693" s="42" t="b">
        <x:v>0</x:v>
      </x:c>
      <x:c r="J693" s="38" t="n">
        <x:v>0.0958344652</x:v>
      </x:c>
    </x:row>
    <x:row r="694" ht="19" customHeight="1">
      <x:c r="A694" s="29" t="str">
        <x:v>stagger_1</x:v>
      </x:c>
      <x:c r="B694" s="38" t="str">
        <x:v>VLO</x:v>
      </x:c>
      <x:c r="C694" s="38" t="str">
        <x:v>Other sectors</x:v>
      </x:c>
      <x:c r="D694" s="30" t="n">
        <x:v>2</x:v>
      </x:c>
      <x:c r="E694" s="38" t="str">
        <x:v>XLB</x:v>
      </x:c>
      <x:c r="F694" s="38" t="n">
        <x:v>-0.5598349174</x:v>
      </x:c>
      <x:c r="G694" s="38" t="n">
        <x:v>-1.5552754294</x:v>
      </x:c>
      <x:c r="H694" s="42" t="b">
        <x:v>0</x:v>
      </x:c>
      <x:c r="I694" s="42" t="b">
        <x:v>0</x:v>
      </x:c>
      <x:c r="J694" s="38" t="n">
        <x:v>0.0955763782</x:v>
      </x:c>
    </x:row>
    <x:row r="695" ht="19" customHeight="1">
      <x:c r="A695" s="29" t="str">
        <x:v>stagger_1</x:v>
      </x:c>
      <x:c r="B695" s="38" t="str">
        <x:v>VLO</x:v>
      </x:c>
      <x:c r="C695" s="38" t="str">
        <x:v>Other sectors</x:v>
      </x:c>
      <x:c r="D695" s="30" t="n">
        <x:v>2</x:v>
      </x:c>
      <x:c r="E695" s="38" t="str">
        <x:v>XLC</x:v>
      </x:c>
      <x:c r="F695" s="38" t="n">
        <x:v>0.1097418181</x:v>
      </x:c>
      <x:c r="G695" s="38" t="n">
        <x:v>0.3188264526</x:v>
      </x:c>
      <x:c r="H695" s="42" t="b">
        <x:v>0</x:v>
      </x:c>
      <x:c r="I695" s="42" t="b">
        <x:v>0</x:v>
      </x:c>
      <x:c r="J695" s="38" t="n">
        <x:v>0.0955763782</x:v>
      </x:c>
    </x:row>
    <x:row r="696" ht="19" customHeight="1">
      <x:c r="A696" s="29" t="str">
        <x:v>stagger_1</x:v>
      </x:c>
      <x:c r="B696" s="38" t="str">
        <x:v>VLO</x:v>
      </x:c>
      <x:c r="C696" s="38" t="str">
        <x:v>Other sectors</x:v>
      </x:c>
      <x:c r="D696" s="30" t="n">
        <x:v>2</x:v>
      </x:c>
      <x:c r="E696" s="38" t="str">
        <x:v>XLF</x:v>
      </x:c>
      <x:c r="F696" s="38" t="n">
        <x:v>0.4006089437</x:v>
      </x:c>
      <x:c r="G696" s="38" t="n">
        <x:v>1.0383211247</x:v>
      </x:c>
      <x:c r="H696" s="42" t="b">
        <x:v>0</x:v>
      </x:c>
      <x:c r="I696" s="42" t="b">
        <x:v>0</x:v>
      </x:c>
      <x:c r="J696" s="38" t="n">
        <x:v>0.0955763782</x:v>
      </x:c>
    </x:row>
    <x:row r="697" ht="19" customHeight="1">
      <x:c r="A697" s="29" t="str">
        <x:v>stagger_1</x:v>
      </x:c>
      <x:c r="B697" s="38" t="str">
        <x:v>VLO</x:v>
      </x:c>
      <x:c r="C697" s="38" t="str">
        <x:v>Other sectors</x:v>
      </x:c>
      <x:c r="D697" s="30" t="n">
        <x:v>2</x:v>
      </x:c>
      <x:c r="E697" s="38" t="str">
        <x:v>XLI</x:v>
      </x:c>
      <x:c r="F697" s="38" t="n">
        <x:v>0.8184538881</x:v>
      </x:c>
      <x:c r="G697" s="38" t="n">
        <x:v>1.755239802</x:v>
      </x:c>
      <x:c r="H697" s="42" t="b">
        <x:v>0</x:v>
      </x:c>
      <x:c r="I697" s="42" t="b">
        <x:v>0</x:v>
      </x:c>
      <x:c r="J697" s="38" t="n">
        <x:v>0.0955763782</x:v>
      </x:c>
    </x:row>
    <x:row r="698" ht="19" customHeight="1">
      <x:c r="A698" s="29" t="str">
        <x:v>stagger_1</x:v>
      </x:c>
      <x:c r="B698" s="38" t="str">
        <x:v>VLO</x:v>
      </x:c>
      <x:c r="C698" s="38" t="str">
        <x:v>Other sectors</x:v>
      </x:c>
      <x:c r="D698" s="30" t="n">
        <x:v>2</x:v>
      </x:c>
      <x:c r="E698" s="38" t="str">
        <x:v>XLK</x:v>
      </x:c>
      <x:c r="F698" s="38" t="n">
        <x:v>0.1211946104</x:v>
      </x:c>
      <x:c r="G698" s="38" t="n">
        <x:v>0.2621308084</x:v>
      </x:c>
      <x:c r="H698" s="42" t="b">
        <x:v>1</x:v>
      </x:c>
      <x:c r="I698" s="42" t="b">
        <x:v>0</x:v>
      </x:c>
      <x:c r="J698" s="38" t="n">
        <x:v>0.0955763782</x:v>
      </x:c>
    </x:row>
    <x:row r="699" ht="19" customHeight="1">
      <x:c r="A699" s="29" t="str">
        <x:v>stagger_1</x:v>
      </x:c>
      <x:c r="B699" s="38" t="str">
        <x:v>VLO</x:v>
      </x:c>
      <x:c r="C699" s="38" t="str">
        <x:v>Other sectors</x:v>
      </x:c>
      <x:c r="D699" s="30" t="n">
        <x:v>2</x:v>
      </x:c>
      <x:c r="E699" s="38" t="str">
        <x:v>XLP</x:v>
      </x:c>
      <x:c r="F699" s="38" t="n">
        <x:v>-0.3740857188</x:v>
      </x:c>
      <x:c r="G699" s="38" t="n">
        <x:v>-0.9610953081</x:v>
      </x:c>
      <x:c r="H699" s="42" t="b">
        <x:v>0</x:v>
      </x:c>
      <x:c r="I699" s="42" t="b">
        <x:v>0</x:v>
      </x:c>
      <x:c r="J699" s="38" t="n">
        <x:v>0.0955763782</x:v>
      </x:c>
    </x:row>
    <x:row r="700" ht="19" customHeight="1">
      <x:c r="A700" s="29" t="str">
        <x:v>stagger_1</x:v>
      </x:c>
      <x:c r="B700" s="38" t="str">
        <x:v>VLO</x:v>
      </x:c>
      <x:c r="C700" s="38" t="str">
        <x:v>Other sectors</x:v>
      </x:c>
      <x:c r="D700" s="30" t="n">
        <x:v>2</x:v>
      </x:c>
      <x:c r="E700" s="38" t="str">
        <x:v>XLRE</x:v>
      </x:c>
      <x:c r="F700" s="38" t="n">
        <x:v>0.1272924503</x:v>
      </x:c>
      <x:c r="G700" s="38" t="n">
        <x:v>0.4112394793</x:v>
      </x:c>
      <x:c r="H700" s="42" t="b">
        <x:v>0</x:v>
      </x:c>
      <x:c r="I700" s="42" t="b">
        <x:v>0</x:v>
      </x:c>
      <x:c r="J700" s="38" t="n">
        <x:v>0.0955763782</x:v>
      </x:c>
    </x:row>
    <x:row r="701" ht="19" customHeight="1">
      <x:c r="A701" s="29" t="str">
        <x:v>stagger_1</x:v>
      </x:c>
      <x:c r="B701" s="38" t="str">
        <x:v>VLO</x:v>
      </x:c>
      <x:c r="C701" s="38" t="str">
        <x:v>Other sectors</x:v>
      </x:c>
      <x:c r="D701" s="30" t="n">
        <x:v>2</x:v>
      </x:c>
      <x:c r="E701" s="38" t="str">
        <x:v>XLU</x:v>
      </x:c>
      <x:c r="F701" s="38" t="n">
        <x:v>0.1225600624</x:v>
      </x:c>
      <x:c r="G701" s="38" t="n">
        <x:v>0.5018243324</x:v>
      </x:c>
      <x:c r="H701" s="42" t="b">
        <x:v>0</x:v>
      </x:c>
      <x:c r="I701" s="42" t="b">
        <x:v>0</x:v>
      </x:c>
      <x:c r="J701" s="38" t="n">
        <x:v>0.0955763782</x:v>
      </x:c>
    </x:row>
    <x:row r="702" ht="19" customHeight="1">
      <x:c r="A702" s="29" t="str">
        <x:v>stagger_1</x:v>
      </x:c>
      <x:c r="B702" s="38" t="str">
        <x:v>VLO</x:v>
      </x:c>
      <x:c r="C702" s="38" t="str">
        <x:v>Other sectors</x:v>
      </x:c>
      <x:c r="D702" s="30" t="n">
        <x:v>2</x:v>
      </x:c>
      <x:c r="E702" s="38" t="str">
        <x:v>XLY</x:v>
      </x:c>
      <x:c r="F702" s="38" t="n">
        <x:v>-0.1169359776</x:v>
      </x:c>
      <x:c r="G702" s="38" t="n">
        <x:v>-0.3851860742</x:v>
      </x:c>
      <x:c r="H702" s="42" t="b">
        <x:v>0</x:v>
      </x:c>
      <x:c r="I702" s="42" t="b">
        <x:v>0</x:v>
      </x:c>
      <x:c r="J702" s="38" t="n">
        <x:v>0.0955763782</x:v>
      </x:c>
    </x:row>
    <x:row r="703" ht="19" customHeight="1">
      <x:c r="A703" s="29" t="str">
        <x:v>stagger_1</x:v>
      </x:c>
      <x:c r="B703" s="38" t="str">
        <x:v>VLO</x:v>
      </x:c>
      <x:c r="C703" s="38" t="str">
        <x:v>Other sectors</x:v>
      </x:c>
      <x:c r="D703" s="30" t="n">
        <x:v>3</x:v>
      </x:c>
      <x:c r="E703" s="38" t="str">
        <x:v>XLB</x:v>
      </x:c>
      <x:c r="F703" s="38" t="n">
        <x:v>-0.5737394537</x:v>
      </x:c>
      <x:c r="G703" s="38" t="n">
        <x:v>-1.6221708105</x:v>
      </x:c>
      <x:c r="H703" s="42" t="b">
        <x:v>0</x:v>
      </x:c>
      <x:c r="I703" s="42" t="b">
        <x:v>0</x:v>
      </x:c>
      <x:c r="J703" s="38" t="n">
        <x:v>0.0946885887</x:v>
      </x:c>
    </x:row>
    <x:row r="704" ht="19" customHeight="1">
      <x:c r="A704" s="29" t="str">
        <x:v>stagger_1</x:v>
      </x:c>
      <x:c r="B704" s="38" t="str">
        <x:v>VLO</x:v>
      </x:c>
      <x:c r="C704" s="38" t="str">
        <x:v>Other sectors</x:v>
      </x:c>
      <x:c r="D704" s="30" t="n">
        <x:v>3</x:v>
      </x:c>
      <x:c r="E704" s="38" t="str">
        <x:v>XLC</x:v>
      </x:c>
      <x:c r="F704" s="38" t="n">
        <x:v>0.0687380599</x:v>
      </x:c>
      <x:c r="G704" s="38" t="n">
        <x:v>0.2256733794</x:v>
      </x:c>
      <x:c r="H704" s="42" t="b">
        <x:v>1</x:v>
      </x:c>
      <x:c r="I704" s="42" t="b">
        <x:v>0</x:v>
      </x:c>
      <x:c r="J704" s="38" t="n">
        <x:v>0.0946885887</x:v>
      </x:c>
    </x:row>
    <x:row r="705" ht="19" customHeight="1">
      <x:c r="A705" s="29" t="str">
        <x:v>stagger_1</x:v>
      </x:c>
      <x:c r="B705" s="38" t="str">
        <x:v>VLO</x:v>
      </x:c>
      <x:c r="C705" s="38" t="str">
        <x:v>Other sectors</x:v>
      </x:c>
      <x:c r="D705" s="30" t="n">
        <x:v>3</x:v>
      </x:c>
      <x:c r="E705" s="38" t="str">
        <x:v>XLF</x:v>
      </x:c>
      <x:c r="F705" s="38" t="n">
        <x:v>0.3356746742</x:v>
      </x:c>
      <x:c r="G705" s="38" t="n">
        <x:v>1.1423285197</x:v>
      </x:c>
      <x:c r="H705" s="42" t="b">
        <x:v>0</x:v>
      </x:c>
      <x:c r="I705" s="42" t="b">
        <x:v>0</x:v>
      </x:c>
      <x:c r="J705" s="38" t="n">
        <x:v>0.0946885887</x:v>
      </x:c>
    </x:row>
    <x:row r="706" ht="19" customHeight="1">
      <x:c r="A706" s="29" t="str">
        <x:v>stagger_1</x:v>
      </x:c>
      <x:c r="B706" s="38" t="str">
        <x:v>VLO</x:v>
      </x:c>
      <x:c r="C706" s="38" t="str">
        <x:v>Other sectors</x:v>
      </x:c>
      <x:c r="D706" s="30" t="n">
        <x:v>3</x:v>
      </x:c>
      <x:c r="E706" s="38" t="str">
        <x:v>XLI</x:v>
      </x:c>
      <x:c r="F706" s="38" t="n">
        <x:v>0.8275846406</x:v>
      </x:c>
      <x:c r="G706" s="38" t="n">
        <x:v>1.7915829508</x:v>
      </x:c>
      <x:c r="H706" s="42" t="b">
        <x:v>0</x:v>
      </x:c>
      <x:c r="I706" s="42" t="b">
        <x:v>0</x:v>
      </x:c>
      <x:c r="J706" s="38" t="n">
        <x:v>0.0946885887</x:v>
      </x:c>
    </x:row>
    <x:row r="707" ht="19" customHeight="1">
      <x:c r="A707" s="29" t="str">
        <x:v>stagger_1</x:v>
      </x:c>
      <x:c r="B707" s="38" t="str">
        <x:v>VLO</x:v>
      </x:c>
      <x:c r="C707" s="38" t="str">
        <x:v>Other sectors</x:v>
      </x:c>
      <x:c r="D707" s="30" t="n">
        <x:v>3</x:v>
      </x:c>
      <x:c r="E707" s="38" t="str">
        <x:v>XLP</x:v>
      </x:c>
      <x:c r="F707" s="38" t="n">
        <x:v>-0.4160601027</x:v>
      </x:c>
      <x:c r="G707" s="38" t="n">
        <x:v>-1.1805456118</x:v>
      </x:c>
      <x:c r="H707" s="42" t="b">
        <x:v>0</x:v>
      </x:c>
      <x:c r="I707" s="42" t="b">
        <x:v>0</x:v>
      </x:c>
      <x:c r="J707" s="38" t="n">
        <x:v>0.0946885887</x:v>
      </x:c>
    </x:row>
    <x:row r="708" ht="19" customHeight="1">
      <x:c r="A708" s="29" t="str">
        <x:v>stagger_1</x:v>
      </x:c>
      <x:c r="B708" s="38" t="str">
        <x:v>VLO</x:v>
      </x:c>
      <x:c r="C708" s="38" t="str">
        <x:v>Other sectors</x:v>
      </x:c>
      <x:c r="D708" s="30" t="n">
        <x:v>3</x:v>
      </x:c>
      <x:c r="E708" s="38" t="str">
        <x:v>XLRE</x:v>
      </x:c>
      <x:c r="F708" s="38" t="n">
        <x:v>0.1194546706</x:v>
      </x:c>
      <x:c r="G708" s="38" t="n">
        <x:v>0.3902996273</x:v>
      </x:c>
      <x:c r="H708" s="42" t="b">
        <x:v>0</x:v>
      </x:c>
      <x:c r="I708" s="42" t="b">
        <x:v>0</x:v>
      </x:c>
      <x:c r="J708" s="38" t="n">
        <x:v>0.0946885887</x:v>
      </x:c>
    </x:row>
    <x:row r="709" ht="19" customHeight="1">
      <x:c r="A709" s="29" t="str">
        <x:v>stagger_1</x:v>
      </x:c>
      <x:c r="B709" s="38" t="str">
        <x:v>VLO</x:v>
      </x:c>
      <x:c r="C709" s="38" t="str">
        <x:v>Other sectors</x:v>
      </x:c>
      <x:c r="D709" s="30" t="n">
        <x:v>3</x:v>
      </x:c>
      <x:c r="E709" s="38" t="str">
        <x:v>XLU</x:v>
      </x:c>
      <x:c r="F709" s="38" t="n">
        <x:v>0.1100322751</x:v>
      </x:c>
      <x:c r="G709" s="38" t="n">
        <x:v>0.4624539847</x:v>
      </x:c>
      <x:c r="H709" s="42" t="b">
        <x:v>0</x:v>
      </x:c>
      <x:c r="I709" s="42" t="b">
        <x:v>0</x:v>
      </x:c>
      <x:c r="J709" s="38" t="n">
        <x:v>0.0946885887</x:v>
      </x:c>
    </x:row>
    <x:row r="710" ht="19" customHeight="1">
      <x:c r="A710" s="29" t="str">
        <x:v>stagger_1</x:v>
      </x:c>
      <x:c r="B710" s="38" t="str">
        <x:v>VLO</x:v>
      </x:c>
      <x:c r="C710" s="38" t="str">
        <x:v>Other sectors</x:v>
      </x:c>
      <x:c r="D710" s="30" t="n">
        <x:v>3</x:v>
      </x:c>
      <x:c r="E710" s="38" t="str">
        <x:v>XLY</x:v>
      </x:c>
      <x:c r="F710" s="38" t="n">
        <x:v>-0.1362057292</x:v>
      </x:c>
      <x:c r="G710" s="38" t="n">
        <x:v>-0.4654853416</x:v>
      </x:c>
      <x:c r="H710" s="42" t="b">
        <x:v>0</x:v>
      </x:c>
      <x:c r="I710" s="42" t="b">
        <x:v>0</x:v>
      </x:c>
      <x:c r="J710" s="38" t="n">
        <x:v>0.0946885887</x:v>
      </x:c>
    </x:row>
    <x:row r="711" ht="19" customHeight="1">
      <x:c r="A711" s="29" t="str">
        <x:v>stagger_1</x:v>
      </x:c>
      <x:c r="B711" s="38" t="str">
        <x:v>VLO</x:v>
      </x:c>
      <x:c r="C711" s="38" t="str">
        <x:v>Other sectors</x:v>
      </x:c>
      <x:c r="D711" s="30" t="n">
        <x:v>4</x:v>
      </x:c>
      <x:c r="E711" s="38" t="str">
        <x:v>XLB</x:v>
      </x:c>
      <x:c r="F711" s="38" t="n">
        <x:v>-0.5708124912</x:v>
      </x:c>
      <x:c r="G711" s="38" t="n">
        <x:v>-1.6257318233</x:v>
      </x:c>
      <x:c r="H711" s="42" t="b">
        <x:v>0</x:v>
      </x:c>
      <x:c r="I711" s="42" t="b">
        <x:v>0</x:v>
      </x:c>
      <x:c r="J711" s="38" t="n">
        <x:v>0.0940392066</x:v>
      </x:c>
    </x:row>
    <x:row r="712" ht="19" customHeight="1">
      <x:c r="A712" s="29" t="str">
        <x:v>stagger_1</x:v>
      </x:c>
      <x:c r="B712" s="38" t="str">
        <x:v>VLO</x:v>
      </x:c>
      <x:c r="C712" s="38" t="str">
        <x:v>Other sectors</x:v>
      </x:c>
      <x:c r="D712" s="30" t="n">
        <x:v>4</x:v>
      </x:c>
      <x:c r="E712" s="38" t="str">
        <x:v>XLF</x:v>
      </x:c>
      <x:c r="F712" s="38" t="n">
        <x:v>0.3462533192</x:v>
      </x:c>
      <x:c r="G712" s="38" t="n">
        <x:v>1.2015590741</x:v>
      </x:c>
      <x:c r="H712" s="42" t="b">
        <x:v>0</x:v>
      </x:c>
      <x:c r="I712" s="42" t="b">
        <x:v>0</x:v>
      </x:c>
      <x:c r="J712" s="38" t="n">
        <x:v>0.0940392066</x:v>
      </x:c>
    </x:row>
    <x:row r="713" ht="19" customHeight="1">
      <x:c r="A713" s="29" t="str">
        <x:v>stagger_1</x:v>
      </x:c>
      <x:c r="B713" s="38" t="str">
        <x:v>VLO</x:v>
      </x:c>
      <x:c r="C713" s="38" t="str">
        <x:v>Other sectors</x:v>
      </x:c>
      <x:c r="D713" s="30" t="n">
        <x:v>4</x:v>
      </x:c>
      <x:c r="E713" s="38" t="str">
        <x:v>XLI</x:v>
      </x:c>
      <x:c r="F713" s="38" t="n">
        <x:v>0.8108289207</x:v>
      </x:c>
      <x:c r="G713" s="38" t="n">
        <x:v>1.7902715841</x:v>
      </x:c>
      <x:c r="H713" s="42" t="b">
        <x:v>0</x:v>
      </x:c>
      <x:c r="I713" s="42" t="b">
        <x:v>0</x:v>
      </x:c>
      <x:c r="J713" s="38" t="n">
        <x:v>0.0940392066</x:v>
      </x:c>
    </x:row>
    <x:row r="714" ht="19" customHeight="1">
      <x:c r="A714" s="29" t="str">
        <x:v>stagger_1</x:v>
      </x:c>
      <x:c r="B714" s="38" t="str">
        <x:v>VLO</x:v>
      </x:c>
      <x:c r="C714" s="38" t="str">
        <x:v>Other sectors</x:v>
      </x:c>
      <x:c r="D714" s="30" t="n">
        <x:v>4</x:v>
      </x:c>
      <x:c r="E714" s="38" t="str">
        <x:v>XLP</x:v>
      </x:c>
      <x:c r="F714" s="38" t="n">
        <x:v>-0.3955051481</x:v>
      </x:c>
      <x:c r="G714" s="38" t="n">
        <x:v>-1.1694213829</x:v>
      </x:c>
      <x:c r="H714" s="42" t="b">
        <x:v>0</x:v>
      </x:c>
      <x:c r="I714" s="42" t="b">
        <x:v>0</x:v>
      </x:c>
      <x:c r="J714" s="38" t="n">
        <x:v>0.0940392066</x:v>
      </x:c>
    </x:row>
    <x:row r="715" ht="19" customHeight="1">
      <x:c r="A715" s="29" t="str">
        <x:v>stagger_1</x:v>
      </x:c>
      <x:c r="B715" s="38" t="str">
        <x:v>VLO</x:v>
      </x:c>
      <x:c r="C715" s="38" t="str">
        <x:v>Other sectors</x:v>
      </x:c>
      <x:c r="D715" s="30" t="n">
        <x:v>4</x:v>
      </x:c>
      <x:c r="E715" s="38" t="str">
        <x:v>XLRE</x:v>
      </x:c>
      <x:c r="F715" s="38" t="n">
        <x:v>0.1099494493</x:v>
      </x:c>
      <x:c r="G715" s="38" t="n">
        <x:v>0.3651080364</x:v>
      </x:c>
      <x:c r="H715" s="42" t="b">
        <x:v>1</x:v>
      </x:c>
      <x:c r="I715" s="42" t="b">
        <x:v>0</x:v>
      </x:c>
      <x:c r="J715" s="38" t="n">
        <x:v>0.0940392066</x:v>
      </x:c>
    </x:row>
    <x:row r="716" ht="19" customHeight="1">
      <x:c r="A716" s="29" t="str">
        <x:v>stagger_1</x:v>
      </x:c>
      <x:c r="B716" s="38" t="str">
        <x:v>VLO</x:v>
      </x:c>
      <x:c r="C716" s="38" t="str">
        <x:v>Other sectors</x:v>
      </x:c>
      <x:c r="D716" s="30" t="n">
        <x:v>4</x:v>
      </x:c>
      <x:c r="E716" s="38" t="str">
        <x:v>XLU</x:v>
      </x:c>
      <x:c r="F716" s="38" t="n">
        <x:v>0.1039968118</x:v>
      </x:c>
      <x:c r="G716" s="38" t="n">
        <x:v>0.4428033013</x:v>
      </x:c>
      <x:c r="H716" s="42" t="b">
        <x:v>0</x:v>
      </x:c>
      <x:c r="I716" s="42" t="b">
        <x:v>0</x:v>
      </x:c>
      <x:c r="J716" s="38" t="n">
        <x:v>0.0940392066</x:v>
      </x:c>
    </x:row>
    <x:row r="717" ht="19" customHeight="1">
      <x:c r="A717" s="29" t="str">
        <x:v>stagger_1</x:v>
      </x:c>
      <x:c r="B717" s="38" t="str">
        <x:v>VLO</x:v>
      </x:c>
      <x:c r="C717" s="38" t="str">
        <x:v>Other sectors</x:v>
      </x:c>
      <x:c r="D717" s="30" t="n">
        <x:v>4</x:v>
      </x:c>
      <x:c r="E717" s="38" t="str">
        <x:v>XLY</x:v>
      </x:c>
      <x:c r="F717" s="38" t="n">
        <x:v>-0.1133760142</x:v>
      </x:c>
      <x:c r="G717" s="38" t="n">
        <x:v>-0.4156759191</x:v>
      </x:c>
      <x:c r="H717" s="42" t="b">
        <x:v>0</x:v>
      </x:c>
      <x:c r="I717" s="42" t="b">
        <x:v>0</x:v>
      </x:c>
      <x:c r="J717" s="38" t="n">
        <x:v>0.0940392066</x:v>
      </x:c>
    </x:row>
    <x:row r="718" ht="19" customHeight="1">
      <x:c r="A718" s="29" t="str">
        <x:v>stagger_1</x:v>
      </x:c>
      <x:c r="B718" s="38" t="str">
        <x:v>VLO</x:v>
      </x:c>
      <x:c r="C718" s="38" t="str">
        <x:v>Other sectors</x:v>
      </x:c>
      <x:c r="D718" s="30" t="n">
        <x:v>5</x:v>
      </x:c>
      <x:c r="E718" s="38" t="str">
        <x:v>XLB</x:v>
      </x:c>
      <x:c r="F718" s="38" t="n">
        <x:v>-0.5516961717</x:v>
      </x:c>
      <x:c r="G718" s="38" t="n">
        <x:v>-1.5985717457</x:v>
      </x:c>
      <x:c r="H718" s="42" t="b">
        <x:v>0</x:v>
      </x:c>
      <x:c r="I718" s="42" t="b">
        <x:v>0</x:v>
      </x:c>
      <x:c r="J718" s="38" t="n">
        <x:v>0.0923618721</x:v>
      </x:c>
    </x:row>
    <x:row r="719" ht="19" customHeight="1">
      <x:c r="A719" s="29" t="str">
        <x:v>stagger_1</x:v>
      </x:c>
      <x:c r="B719" s="38" t="str">
        <x:v>VLO</x:v>
      </x:c>
      <x:c r="C719" s="38" t="str">
        <x:v>Other sectors</x:v>
      </x:c>
      <x:c r="D719" s="30" t="n">
        <x:v>5</x:v>
      </x:c>
      <x:c r="E719" s="38" t="str">
        <x:v>XLF</x:v>
      </x:c>
      <x:c r="F719" s="38" t="n">
        <x:v>0.3714702349</x:v>
      </x:c>
      <x:c r="G719" s="38" t="n">
        <x:v>1.3357190014</x:v>
      </x:c>
      <x:c r="H719" s="42" t="b">
        <x:v>0</x:v>
      </x:c>
      <x:c r="I719" s="42" t="b">
        <x:v>0</x:v>
      </x:c>
      <x:c r="J719" s="38" t="n">
        <x:v>0.0923618721</x:v>
      </x:c>
    </x:row>
    <x:row r="720" ht="19" customHeight="1">
      <x:c r="A720" s="29" t="str">
        <x:v>stagger_1</x:v>
      </x:c>
      <x:c r="B720" s="38" t="str">
        <x:v>VLO</x:v>
      </x:c>
      <x:c r="C720" s="38" t="str">
        <x:v>Other sectors</x:v>
      </x:c>
      <x:c r="D720" s="30" t="n">
        <x:v>5</x:v>
      </x:c>
      <x:c r="E720" s="38" t="str">
        <x:v>XLI</x:v>
      </x:c>
      <x:c r="F720" s="38" t="n">
        <x:v>0.7812326464</x:v>
      </x:c>
      <x:c r="G720" s="38" t="n">
        <x:v>1.7637357966</x:v>
      </x:c>
      <x:c r="H720" s="42" t="b">
        <x:v>0</x:v>
      </x:c>
      <x:c r="I720" s="42" t="b">
        <x:v>0</x:v>
      </x:c>
      <x:c r="J720" s="38" t="n">
        <x:v>0.0923618721</x:v>
      </x:c>
    </x:row>
    <x:row r="721" ht="19" customHeight="1">
      <x:c r="A721" s="29" t="str">
        <x:v>stagger_1</x:v>
      </x:c>
      <x:c r="B721" s="38" t="str">
        <x:v>VLO</x:v>
      </x:c>
      <x:c r="C721" s="38" t="str">
        <x:v>Other sectors</x:v>
      </x:c>
      <x:c r="D721" s="30" t="n">
        <x:v>5</x:v>
      </x:c>
      <x:c r="E721" s="38" t="str">
        <x:v>XLP</x:v>
      </x:c>
      <x:c r="F721" s="38" t="n">
        <x:v>-0.344009536</x:v>
      </x:c>
      <x:c r="G721" s="38" t="n">
        <x:v>-1.1258236118</x:v>
      </x:c>
      <x:c r="H721" s="42" t="b">
        <x:v>0</x:v>
      </x:c>
      <x:c r="I721" s="42" t="b">
        <x:v>0</x:v>
      </x:c>
      <x:c r="J721" s="38" t="n">
        <x:v>0.0923618721</x:v>
      </x:c>
    </x:row>
    <x:row r="722" ht="19" customHeight="1">
      <x:c r="A722" s="29" t="str">
        <x:v>stagger_1</x:v>
      </x:c>
      <x:c r="B722" s="38" t="str">
        <x:v>VLO</x:v>
      </x:c>
      <x:c r="C722" s="38" t="str">
        <x:v>Other sectors</x:v>
      </x:c>
      <x:c r="D722" s="30" t="n">
        <x:v>5</x:v>
      </x:c>
      <x:c r="E722" s="38" t="str">
        <x:v>XLU</x:v>
      </x:c>
      <x:c r="F722" s="38" t="n">
        <x:v>0.1320236759</x:v>
      </x:c>
      <x:c r="G722" s="38" t="n">
        <x:v>0.5983685774</x:v>
      </x:c>
      <x:c r="H722" s="42" t="b">
        <x:v>0</x:v>
      </x:c>
      <x:c r="I722" s="42" t="b">
        <x:v>0</x:v>
      </x:c>
      <x:c r="J722" s="38" t="n">
        <x:v>0.0923618721</x:v>
      </x:c>
    </x:row>
    <x:row r="723" ht="19" customHeight="1">
      <x:c r="A723" s="29" t="str">
        <x:v>stagger_1</x:v>
      </x:c>
      <x:c r="B723" s="38" t="str">
        <x:v>VLO</x:v>
      </x:c>
      <x:c r="C723" s="38" t="str">
        <x:v>Other sectors</x:v>
      </x:c>
      <x:c r="D723" s="30" t="n">
        <x:v>5</x:v>
      </x:c>
      <x:c r="E723" s="38" t="str">
        <x:v>XLY</x:v>
      </x:c>
      <x:c r="F723" s="38" t="n">
        <x:v>-0.0908346709</x:v>
      </x:c>
      <x:c r="G723" s="38" t="n">
        <x:v>-0.3439537022</x:v>
      </x:c>
      <x:c r="H723" s="42" t="b">
        <x:v>1</x:v>
      </x:c>
      <x:c r="I723" s="42" t="b">
        <x:v>0</x:v>
      </x:c>
      <x:c r="J723" s="38" t="n">
        <x:v>0.0923618721</x:v>
      </x:c>
    </x:row>
    <x:row r="724" ht="19" customHeight="1">
      <x:c r="A724" s="29" t="str">
        <x:v>stagger_1</x:v>
      </x:c>
      <x:c r="B724" s="38" t="str">
        <x:v>VLO</x:v>
      </x:c>
      <x:c r="C724" s="38" t="str">
        <x:v>Other sectors</x:v>
      </x:c>
      <x:c r="D724" s="30" t="n">
        <x:v>6</x:v>
      </x:c>
      <x:c r="E724" s="38" t="str">
        <x:v>XLB</x:v>
      </x:c>
      <x:c r="F724" s="38" t="n">
        <x:v>-0.5586635552</x:v>
      </x:c>
      <x:c r="G724" s="38" t="n">
        <x:v>-1.6313032331</x:v>
      </x:c>
      <x:c r="H724" s="42" t="b">
        <x:v>0</x:v>
      </x:c>
      <x:c r="I724" s="42" t="b">
        <x:v>0</x:v>
      </x:c>
      <x:c r="J724" s="38" t="n">
        <x:v>0.0908909494</x:v>
      </x:c>
    </x:row>
    <x:row r="725" ht="19" customHeight="1">
      <x:c r="A725" s="29" t="str">
        <x:v>stagger_1</x:v>
      </x:c>
      <x:c r="B725" s="38" t="str">
        <x:v>VLO</x:v>
      </x:c>
      <x:c r="C725" s="38" t="str">
        <x:v>Other sectors</x:v>
      </x:c>
      <x:c r="D725" s="30" t="n">
        <x:v>6</x:v>
      </x:c>
      <x:c r="E725" s="38" t="str">
        <x:v>XLF</x:v>
      </x:c>
      <x:c r="F725" s="38" t="n">
        <x:v>0.3728416918</x:v>
      </x:c>
      <x:c r="G725" s="38" t="n">
        <x:v>1.3488479636</x:v>
      </x:c>
      <x:c r="H725" s="42" t="b">
        <x:v>0</x:v>
      </x:c>
      <x:c r="I725" s="42" t="b">
        <x:v>0</x:v>
      </x:c>
      <x:c r="J725" s="38" t="n">
        <x:v>0.0908909494</x:v>
      </x:c>
    </x:row>
    <x:row r="726" ht="19" customHeight="1">
      <x:c r="A726" s="29" t="str">
        <x:v>stagger_1</x:v>
      </x:c>
      <x:c r="B726" s="38" t="str">
        <x:v>VLO</x:v>
      </x:c>
      <x:c r="C726" s="38" t="str">
        <x:v>Other sectors</x:v>
      </x:c>
      <x:c r="D726" s="30" t="n">
        <x:v>6</x:v>
      </x:c>
      <x:c r="E726" s="38" t="str">
        <x:v>XLI</x:v>
      </x:c>
      <x:c r="F726" s="38" t="n">
        <x:v>0.7960935755</x:v>
      </x:c>
      <x:c r="G726" s="38" t="n">
        <x:v>1.8167537603</x:v>
      </x:c>
      <x:c r="H726" s="42" t="b">
        <x:v>0</x:v>
      </x:c>
      <x:c r="I726" s="42" t="b">
        <x:v>0</x:v>
      </x:c>
      <x:c r="J726" s="38" t="n">
        <x:v>0.0908909494</x:v>
      </x:c>
    </x:row>
    <x:row r="727" ht="19" customHeight="1">
      <x:c r="A727" s="29" t="str">
        <x:v>stagger_1</x:v>
      </x:c>
      <x:c r="B727" s="38" t="str">
        <x:v>VLO</x:v>
      </x:c>
      <x:c r="C727" s="38" t="str">
        <x:v>Other sectors</x:v>
      </x:c>
      <x:c r="D727" s="30" t="n">
        <x:v>6</x:v>
      </x:c>
      <x:c r="E727" s="38" t="str">
        <x:v>XLP</x:v>
      </x:c>
      <x:c r="F727" s="38" t="n">
        <x:v>-0.3350031927</x:v>
      </x:c>
      <x:c r="G727" s="38" t="n">
        <x:v>-1.1070114257</x:v>
      </x:c>
      <x:c r="H727" s="42" t="b">
        <x:v>0</x:v>
      </x:c>
      <x:c r="I727" s="42" t="b">
        <x:v>0</x:v>
      </x:c>
      <x:c r="J727" s="38" t="n">
        <x:v>0.0908909494</x:v>
      </x:c>
    </x:row>
    <x:row r="728" ht="19" customHeight="1">
      <x:c r="A728" s="29" t="str">
        <x:v>stagger_1</x:v>
      </x:c>
      <x:c r="B728" s="38" t="str">
        <x:v>VLO</x:v>
      </x:c>
      <x:c r="C728" s="38" t="str">
        <x:v>Other sectors</x:v>
      </x:c>
      <x:c r="D728" s="30" t="n">
        <x:v>6</x:v>
      </x:c>
      <x:c r="E728" s="38" t="str">
        <x:v>XLU</x:v>
      </x:c>
      <x:c r="F728" s="38" t="n">
        <x:v>0.1303251676</x:v>
      </x:c>
      <x:c r="G728" s="38" t="n">
        <x:v>0.5943699665</x:v>
      </x:c>
      <x:c r="H728" s="42" t="b">
        <x:v>1</x:v>
      </x:c>
      <x:c r="I728" s="42" t="b">
        <x:v>0</x:v>
      </x:c>
      <x:c r="J728" s="38" t="n">
        <x:v>0.0908909494</x:v>
      </x:c>
    </x:row>
    <x:row r="729" ht="19" customHeight="1">
      <x:c r="A729" s="29" t="str">
        <x:v>stagger_1</x:v>
      </x:c>
      <x:c r="B729" s="38" t="str">
        <x:v>VLO</x:v>
      </x:c>
      <x:c r="C729" s="38" t="str">
        <x:v>Other sectors</x:v>
      </x:c>
      <x:c r="D729" s="30" t="n">
        <x:v>7</x:v>
      </x:c>
      <x:c r="E729" s="38" t="str">
        <x:v>XLB</x:v>
      </x:c>
      <x:c r="F729" s="38" t="n">
        <x:v>-0.5438887716</x:v>
      </x:c>
      <x:c r="G729" s="38" t="n">
        <x:v>-1.5992712111</x:v>
      </x:c>
      <x:c r="H729" s="42" t="b">
        <x:v>0</x:v>
      </x:c>
      <x:c r="I729" s="42" t="b">
        <x:v>0</x:v>
      </x:c>
      <x:c r="J729" s="38" t="n">
        <x:v>0.086550867</x:v>
      </x:c>
    </x:row>
    <x:row r="730" ht="19" customHeight="1">
      <x:c r="A730" s="29" t="str">
        <x:v>stagger_1</x:v>
      </x:c>
      <x:c r="B730" s="38" t="str">
        <x:v>VLO</x:v>
      </x:c>
      <x:c r="C730" s="38" t="str">
        <x:v>Other sectors</x:v>
      </x:c>
      <x:c r="D730" s="30" t="n">
        <x:v>7</x:v>
      </x:c>
      <x:c r="E730" s="38" t="str">
        <x:v>XLF</x:v>
      </x:c>
      <x:c r="F730" s="38" t="n">
        <x:v>0.3742263352</x:v>
      </x:c>
      <x:c r="G730" s="38" t="n">
        <x:v>1.3597807236</x:v>
      </x:c>
      <x:c r="H730" s="42" t="b">
        <x:v>0</x:v>
      </x:c>
      <x:c r="I730" s="42" t="b">
        <x:v>0</x:v>
      </x:c>
      <x:c r="J730" s="38" t="n">
        <x:v>0.086550867</x:v>
      </x:c>
    </x:row>
    <x:row r="731" ht="19" customHeight="1">
      <x:c r="A731" s="29" t="str">
        <x:v>stagger_1</x:v>
      </x:c>
      <x:c r="B731" s="38" t="str">
        <x:v>VLO</x:v>
      </x:c>
      <x:c r="C731" s="38" t="str">
        <x:v>Other sectors</x:v>
      </x:c>
      <x:c r="D731" s="30" t="n">
        <x:v>7</x:v>
      </x:c>
      <x:c r="E731" s="38" t="str">
        <x:v>XLI</x:v>
      </x:c>
      <x:c r="F731" s="38" t="n">
        <x:v>0.8184233619</x:v>
      </x:c>
      <x:c r="G731" s="38" t="n">
        <x:v>1.8827497125</x:v>
      </x:c>
      <x:c r="H731" s="42" t="b">
        <x:v>0</x:v>
      </x:c>
      <x:c r="I731" s="42" t="b">
        <x:v>0</x:v>
      </x:c>
      <x:c r="J731" s="38" t="n">
        <x:v>0.086550867</x:v>
      </x:c>
    </x:row>
    <x:row r="732" ht="19" customHeight="1">
      <x:c r="A732" s="29" t="str">
        <x:v>stagger_1</x:v>
      </x:c>
      <x:c r="B732" s="38" t="str">
        <x:v>VLO</x:v>
      </x:c>
      <x:c r="C732" s="38" t="str">
        <x:v>Other sectors</x:v>
      </x:c>
      <x:c r="D732" s="30" t="n">
        <x:v>7</x:v>
      </x:c>
      <x:c r="E732" s="38" t="str">
        <x:v>XLP</x:v>
      </x:c>
      <x:c r="F732" s="38" t="n">
        <x:v>-0.2659139879</x:v>
      </x:c>
      <x:c r="G732" s="38" t="n">
        <x:v>-0.9558465833</x:v>
      </x:c>
      <x:c r="H732" s="42" t="b">
        <x:v>1</x:v>
      </x:c>
      <x:c r="I732" s="42" t="b">
        <x:v>0</x:v>
      </x:c>
      <x:c r="J732" s="38" t="n">
        <x:v>0.086550867</x:v>
      </x:c>
    </x:row>
    <x:row r="733" ht="19" customHeight="1">
      <x:c r="A733" s="29" t="str">
        <x:v>stagger_1</x:v>
      </x:c>
      <x:c r="B733" s="38" t="str">
        <x:v>VLO</x:v>
      </x:c>
      <x:c r="C733" s="38" t="str">
        <x:v>Other sectors</x:v>
      </x:c>
      <x:c r="D733" s="30" t="n">
        <x:v>8</x:v>
      </x:c>
      <x:c r="E733" s="38" t="str">
        <x:v>XLB</x:v>
      </x:c>
      <x:c r="F733" s="38" t="n">
        <x:v>-0.6373778723</x:v>
      </x:c>
      <x:c r="G733" s="38" t="n">
        <x:v>-1.9579566993</x:v>
      </x:c>
      <x:c r="H733" s="42" t="b">
        <x:v>0</x:v>
      </x:c>
      <x:c r="I733" s="42" t="b">
        <x:v>0</x:v>
      </x:c>
      <x:c r="J733" s="38" t="n">
        <x:v>0.0754233187</x:v>
      </x:c>
    </x:row>
    <x:row r="734" ht="19" customHeight="1">
      <x:c r="A734" s="29" t="str">
        <x:v>stagger_1</x:v>
      </x:c>
      <x:c r="B734" s="38" t="str">
        <x:v>VLO</x:v>
      </x:c>
      <x:c r="C734" s="38" t="str">
        <x:v>Other sectors</x:v>
      </x:c>
      <x:c r="D734" s="30" t="n">
        <x:v>8</x:v>
      </x:c>
      <x:c r="E734" s="38" t="str">
        <x:v>XLF</x:v>
      </x:c>
      <x:c r="F734" s="38" t="n">
        <x:v>0.4250066109</x:v>
      </x:c>
      <x:c r="G734" s="38" t="n">
        <x:v>1.5747925964</x:v>
      </x:c>
      <x:c r="H734" s="42" t="b">
        <x:v>1</x:v>
      </x:c>
      <x:c r="I734" s="42" t="b">
        <x:v>0</x:v>
      </x:c>
      <x:c r="J734" s="38" t="n">
        <x:v>0.0754233187</x:v>
      </x:c>
    </x:row>
    <x:row r="735" ht="19" customHeight="1">
      <x:c r="A735" s="29" t="str">
        <x:v>stagger_1</x:v>
      </x:c>
      <x:c r="B735" s="38" t="str">
        <x:v>VLO</x:v>
      </x:c>
      <x:c r="C735" s="38" t="str">
        <x:v>Other sectors</x:v>
      </x:c>
      <x:c r="D735" s="30" t="n">
        <x:v>8</x:v>
      </x:c>
      <x:c r="E735" s="38" t="str">
        <x:v>XLI</x:v>
      </x:c>
      <x:c r="F735" s="38" t="n">
        <x:v>0.7745732717</x:v>
      </x:c>
      <x:c r="G735" s="38" t="n">
        <x:v>1.7928998845</x:v>
      </x:c>
      <x:c r="H735" s="42" t="b">
        <x:v>0</x:v>
      </x:c>
      <x:c r="I735" s="42" t="b">
        <x:v>0</x:v>
      </x:c>
      <x:c r="J735" s="38" t="n">
        <x:v>0.0754233187</x:v>
      </x:c>
    </x:row>
    <x:row r="736" ht="19" customHeight="1">
      <x:c r="A736" s="29" t="str">
        <x:v>stagger_1</x:v>
      </x:c>
      <x:c r="B736" s="38" t="str">
        <x:v>VLO</x:v>
      </x:c>
      <x:c r="C736" s="38" t="str">
        <x:v>Other sectors</x:v>
      </x:c>
      <x:c r="D736" s="30" t="n">
        <x:v>9</x:v>
      </x:c>
      <x:c r="E736" s="38" t="str">
        <x:v>XLB</x:v>
      </x:c>
      <x:c r="F736" s="38" t="n">
        <x:v>-0.5437425326</x:v>
      </x:c>
      <x:c r="G736" s="38" t="n">
        <x:v>-1.6828030758</x:v>
      </x:c>
      <x:c r="H736" s="42" t="b">
        <x:v>1</x:v>
      </x:c>
      <x:c r="I736" s="42" t="b">
        <x:v>0</x:v>
      </x:c>
      <x:c r="J736" s="38" t="n">
        <x:v>0.0452532657</x:v>
      </x:c>
    </x:row>
    <x:row r="737" ht="19" customHeight="1">
      <x:c r="A737" s="29" t="str">
        <x:v>stagger_1</x:v>
      </x:c>
      <x:c r="B737" s="38" t="str">
        <x:v>VLO</x:v>
      </x:c>
      <x:c r="C737" s="38" t="str">
        <x:v>Other sectors</x:v>
      </x:c>
      <x:c r="D737" s="30" t="n">
        <x:v>9</x:v>
      </x:c>
      <x:c r="E737" s="38" t="str">
        <x:v>XLI</x:v>
      </x:c>
      <x:c r="F737" s="38" t="n">
        <x:v>0.8198002495</x:v>
      </x:c>
      <x:c r="G737" s="38" t="n">
        <x:v>1.8837759501</x:v>
      </x:c>
      <x:c r="H737" s="42" t="b">
        <x:v>0</x:v>
      </x:c>
      <x:c r="I737" s="42" t="b">
        <x:v>0</x:v>
      </x:c>
      <x:c r="J737" s="38" t="n">
        <x:v>0.0452532657</x:v>
      </x:c>
    </x:row>
    <x:row r="738" ht="19" customHeight="1">
      <x:c r="A738" s="29" t="str">
        <x:v>stagger_1</x:v>
      </x:c>
      <x:c r="B738" s="38" t="str">
        <x:v>VLO</x:v>
      </x:c>
      <x:c r="C738" s="38" t="str">
        <x:v>Other sectors</x:v>
      </x:c>
      <x:c r="D738" s="30" t="n">
        <x:v>10</x:v>
      </x:c>
      <x:c r="E738" s="38" t="str">
        <x:v>XLI</x:v>
      </x:c>
      <x:c r="F738" s="38" t="n">
        <x:v>0.241389274</x:v>
      </x:c>
      <x:c r="G738" s="38" t="n">
        <x:v>0.8939061746</x:v>
      </x:c>
      <x:c r="H738" s="42" t="b">
        <x:v>1</x:v>
      </x:c>
      <x:c r="I738" s="42" t="b">
        <x:v>0</x:v>
      </x:c>
      <x:c r="J738" s="38" t="n">
        <x:v>0.0101405799</x:v>
      </x:c>
    </x:row>
    <x:row r="739" ht="19" customHeight="1">
      <x:c r="A739" s="29" t="str">
        <x:v>stagger_1</x:v>
      </x:c>
      <x:c r="B739" s="38" t="str">
        <x:v>CF</x:v>
      </x:c>
      <x:c r="C739" s="38" t="str">
        <x:v>Other FX</x:v>
      </x:c>
      <x:c r="D739" s="30" t="n">
        <x:v>1</x:v>
      </x:c>
      <x:c r="E739" s="38" t="str">
        <x:v>AUD/USD</x:v>
      </x:c>
      <x:c r="F739" s="38" t="n">
        <x:v>0.8200308028</x:v>
      </x:c>
      <x:c r="G739" s="38" t="n">
        <x:v>0.976718608</x:v>
      </x:c>
      <x:c r="H739" s="42" t="b">
        <x:v>0</x:v>
      </x:c>
      <x:c r="I739" s="42" t="b">
        <x:v>0</x:v>
      </x:c>
      <x:c r="J739" s="38" t="n">
        <x:v>0.1521548466</x:v>
      </x:c>
    </x:row>
    <x:row r="740" ht="19" customHeight="1">
      <x:c r="A740" s="29" t="str">
        <x:v>stagger_1</x:v>
      </x:c>
      <x:c r="B740" s="38" t="str">
        <x:v>CF</x:v>
      </x:c>
      <x:c r="C740" s="38" t="str">
        <x:v>Other FX</x:v>
      </x:c>
      <x:c r="D740" s="30" t="n">
        <x:v>1</x:v>
      </x:c>
      <x:c r="E740" s="38" t="str">
        <x:v>CAD/USD</x:v>
      </x:c>
      <x:c r="F740" s="38" t="n">
        <x:v>2.4015056656</x:v>
      </x:c>
      <x:c r="G740" s="38" t="n">
        <x:v>2.3687510662</x:v>
      </x:c>
      <x:c r="H740" s="42" t="b">
        <x:v>0</x:v>
      </x:c>
      <x:c r="I740" s="42" t="b">
        <x:v>0</x:v>
      </x:c>
      <x:c r="J740" s="38" t="n">
        <x:v>0.1521548466</x:v>
      </x:c>
    </x:row>
    <x:row r="741" ht="19" customHeight="1">
      <x:c r="A741" s="29" t="str">
        <x:v>stagger_1</x:v>
      </x:c>
      <x:c r="B741" s="38" t="str">
        <x:v>CF</x:v>
      </x:c>
      <x:c r="C741" s="38" t="str">
        <x:v>Other FX</x:v>
      </x:c>
      <x:c r="D741" s="30" t="n">
        <x:v>1</x:v>
      </x:c>
      <x:c r="E741" s="38" t="str">
        <x:v>DKK/USD</x:v>
      </x:c>
      <x:c r="F741" s="38" t="n">
        <x:v>-10.3993907732</x:v>
      </x:c>
      <x:c r="G741" s="38" t="n">
        <x:v>-1.4734071416</x:v>
      </x:c>
      <x:c r="H741" s="42" t="b">
        <x:v>0</x:v>
      </x:c>
      <x:c r="I741" s="42" t="b">
        <x:v>0</x:v>
      </x:c>
      <x:c r="J741" s="38" t="n">
        <x:v>0.1521548466</x:v>
      </x:c>
    </x:row>
    <x:row r="742" ht="19" customHeight="1">
      <x:c r="A742" s="29" t="str">
        <x:v>stagger_1</x:v>
      </x:c>
      <x:c r="B742" s="38" t="str">
        <x:v>CF</x:v>
      </x:c>
      <x:c r="C742" s="38" t="str">
        <x:v>Other FX</x:v>
      </x:c>
      <x:c r="D742" s="30" t="n">
        <x:v>1</x:v>
      </x:c>
      <x:c r="E742" s="38" t="str">
        <x:v>EUR/USD</x:v>
      </x:c>
      <x:c r="F742" s="38" t="n">
        <x:v>8.3157225809</x:v>
      </x:c>
      <x:c r="G742" s="38" t="n">
        <x:v>1.2880429204</x:v>
      </x:c>
      <x:c r="H742" s="42" t="b">
        <x:v>0</x:v>
      </x:c>
      <x:c r="I742" s="42" t="b">
        <x:v>0</x:v>
      </x:c>
      <x:c r="J742" s="38" t="n">
        <x:v>0.1521548466</x:v>
      </x:c>
    </x:row>
    <x:row r="743" ht="19" customHeight="1">
      <x:c r="A743" s="29" t="str">
        <x:v>stagger_1</x:v>
      </x:c>
      <x:c r="B743" s="38" t="str">
        <x:v>CF</x:v>
      </x:c>
      <x:c r="C743" s="38" t="str">
        <x:v>Other FX</x:v>
      </x:c>
      <x:c r="D743" s="30" t="n">
        <x:v>1</x:v>
      </x:c>
      <x:c r="E743" s="38" t="str">
        <x:v>MXN/USD</x:v>
      </x:c>
      <x:c r="F743" s="38" t="n">
        <x:v>-0.7427192243</x:v>
      </x:c>
      <x:c r="G743" s="38" t="n">
        <x:v>-1.3808451218</x:v>
      </x:c>
      <x:c r="H743" s="42" t="b">
        <x:v>0</x:v>
      </x:c>
      <x:c r="I743" s="42" t="b">
        <x:v>0</x:v>
      </x:c>
      <x:c r="J743" s="38" t="n">
        <x:v>0.1521548466</x:v>
      </x:c>
    </x:row>
    <x:row r="744" ht="19" customHeight="1">
      <x:c r="A744" s="29" t="str">
        <x:v>stagger_1</x:v>
      </x:c>
      <x:c r="B744" s="38" t="str">
        <x:v>CF</x:v>
      </x:c>
      <x:c r="C744" s="38" t="str">
        <x:v>Other FX</x:v>
      </x:c>
      <x:c r="D744" s="30" t="n">
        <x:v>1</x:v>
      </x:c>
      <x:c r="E744" s="38" t="str">
        <x:v>SGD/USD</x:v>
      </x:c>
      <x:c r="F744" s="38" t="n">
        <x:v>0.6335082069</x:v>
      </x:c>
      <x:c r="G744" s="38" t="n">
        <x:v>0.3116463347</x:v>
      </x:c>
      <x:c r="H744" s="42" t="b">
        <x:v>1</x:v>
      </x:c>
      <x:c r="I744" s="42" t="b">
        <x:v>0</x:v>
      </x:c>
      <x:c r="J744" s="38" t="n">
        <x:v>0.1521548466</x:v>
      </x:c>
    </x:row>
    <x:row r="745" ht="19" customHeight="1">
      <x:c r="A745" s="29" t="str">
        <x:v>stagger_1</x:v>
      </x:c>
      <x:c r="B745" s="38" t="str">
        <x:v>CF</x:v>
      </x:c>
      <x:c r="C745" s="38" t="str">
        <x:v>Other FX</x:v>
      </x:c>
      <x:c r="D745" s="30" t="n">
        <x:v>2</x:v>
      </x:c>
      <x:c r="E745" s="38" t="str">
        <x:v>AUD/USD</x:v>
      </x:c>
      <x:c r="F745" s="38" t="n">
        <x:v>0.9412346025</x:v>
      </x:c>
      <x:c r="G745" s="38" t="n">
        <x:v>1.2727749372</x:v>
      </x:c>
      <x:c r="H745" s="42" t="b">
        <x:v>0</x:v>
      </x:c>
      <x:c r="I745" s="42" t="b">
        <x:v>0</x:v>
      </x:c>
      <x:c r="J745" s="38" t="n">
        <x:v>0.1510268242</x:v>
      </x:c>
    </x:row>
    <x:row r="746" ht="19" customHeight="1">
      <x:c r="A746" s="29" t="str">
        <x:v>stagger_1</x:v>
      </x:c>
      <x:c r="B746" s="38" t="str">
        <x:v>CF</x:v>
      </x:c>
      <x:c r="C746" s="38" t="str">
        <x:v>Other FX</x:v>
      </x:c>
      <x:c r="D746" s="30" t="n">
        <x:v>2</x:v>
      </x:c>
      <x:c r="E746" s="38" t="str">
        <x:v>CAD/USD</x:v>
      </x:c>
      <x:c r="F746" s="38" t="n">
        <x:v>2.4022797589</x:v>
      </x:c>
      <x:c r="G746" s="38" t="n">
        <x:v>2.384110658</x:v>
      </x:c>
      <x:c r="H746" s="42" t="b">
        <x:v>0</x:v>
      </x:c>
      <x:c r="I746" s="42" t="b">
        <x:v>0</x:v>
      </x:c>
      <x:c r="J746" s="38" t="n">
        <x:v>0.1510268242</x:v>
      </x:c>
    </x:row>
    <x:row r="747" ht="19" customHeight="1">
      <x:c r="A747" s="29" t="str">
        <x:v>stagger_1</x:v>
      </x:c>
      <x:c r="B747" s="38" t="str">
        <x:v>CF</x:v>
      </x:c>
      <x:c r="C747" s="38" t="str">
        <x:v>Other FX</x:v>
      </x:c>
      <x:c r="D747" s="30" t="n">
        <x:v>2</x:v>
      </x:c>
      <x:c r="E747" s="38" t="str">
        <x:v>DKK/USD</x:v>
      </x:c>
      <x:c r="F747" s="38" t="n">
        <x:v>-9.5544991892</x:v>
      </x:c>
      <x:c r="G747" s="38" t="n">
        <x:v>-1.4752014465</x:v>
      </x:c>
      <x:c r="H747" s="42" t="b">
        <x:v>0</x:v>
      </x:c>
      <x:c r="I747" s="42" t="b">
        <x:v>0</x:v>
      </x:c>
      <x:c r="J747" s="38" t="n">
        <x:v>0.1510268242</x:v>
      </x:c>
    </x:row>
    <x:row r="748" ht="19" customHeight="1">
      <x:c r="A748" s="29" t="str">
        <x:v>stagger_1</x:v>
      </x:c>
      <x:c r="B748" s="38" t="str">
        <x:v>CF</x:v>
      </x:c>
      <x:c r="C748" s="38" t="str">
        <x:v>Other FX</x:v>
      </x:c>
      <x:c r="D748" s="30" t="n">
        <x:v>2</x:v>
      </x:c>
      <x:c r="E748" s="38" t="str">
        <x:v>EUR/USD</x:v>
      </x:c>
      <x:c r="F748" s="38" t="n">
        <x:v>7.7160624593</x:v>
      </x:c>
      <x:c r="G748" s="38" t="n">
        <x:v>1.2597706003</x:v>
      </x:c>
      <x:c r="H748" s="42" t="b">
        <x:v>1</x:v>
      </x:c>
      <x:c r="I748" s="42" t="b">
        <x:v>0</x:v>
      </x:c>
      <x:c r="J748" s="38" t="n">
        <x:v>0.1510268242</x:v>
      </x:c>
    </x:row>
    <x:row r="749" ht="19" customHeight="1">
      <x:c r="A749" s="29" t="str">
        <x:v>stagger_1</x:v>
      </x:c>
      <x:c r="B749" s="38" t="str">
        <x:v>CF</x:v>
      </x:c>
      <x:c r="C749" s="38" t="str">
        <x:v>Other FX</x:v>
      </x:c>
      <x:c r="D749" s="30" t="n">
        <x:v>2</x:v>
      </x:c>
      <x:c r="E749" s="38" t="str">
        <x:v>MXN/USD</x:v>
      </x:c>
      <x:c r="F749" s="38" t="n">
        <x:v>-0.7607489517</x:v>
      </x:c>
      <x:c r="G749" s="38" t="n">
        <x:v>-1.4313775444</x:v>
      </x:c>
      <x:c r="H749" s="42" t="b">
        <x:v>0</x:v>
      </x:c>
      <x:c r="I749" s="42" t="b">
        <x:v>0</x:v>
      </x:c>
      <x:c r="J749" s="38" t="n">
        <x:v>0.1510268242</x:v>
      </x:c>
    </x:row>
    <x:row r="750" ht="19" customHeight="1">
      <x:c r="A750" s="29" t="str">
        <x:v>stagger_1</x:v>
      </x:c>
      <x:c r="B750" s="38" t="str">
        <x:v>CF</x:v>
      </x:c>
      <x:c r="C750" s="38" t="str">
        <x:v>Other FX</x:v>
      </x:c>
      <x:c r="D750" s="30" t="n">
        <x:v>3</x:v>
      </x:c>
      <x:c r="E750" s="38" t="str">
        <x:v>AUD/USD</x:v>
      </x:c>
      <x:c r="F750" s="38" t="n">
        <x:v>0.7918775278</x:v>
      </x:c>
      <x:c r="G750" s="38" t="n">
        <x:v>1.0806199441</x:v>
      </x:c>
      <x:c r="H750" s="42" t="b">
        <x:v>1</x:v>
      </x:c>
      <x:c r="I750" s="42" t="b">
        <x:v>0</x:v>
      </x:c>
      <x:c r="J750" s="38" t="n">
        <x:v>0.1328195393</x:v>
      </x:c>
    </x:row>
    <x:row r="751" ht="19" customHeight="1">
      <x:c r="A751" s="29" t="str">
        <x:v>stagger_1</x:v>
      </x:c>
      <x:c r="B751" s="38" t="str">
        <x:v>CF</x:v>
      </x:c>
      <x:c r="C751" s="38" t="str">
        <x:v>Other FX</x:v>
      </x:c>
      <x:c r="D751" s="30" t="n">
        <x:v>3</x:v>
      </x:c>
      <x:c r="E751" s="38" t="str">
        <x:v>CAD/USD</x:v>
      </x:c>
      <x:c r="F751" s="38" t="n">
        <x:v>2.3205528648</x:v>
      </x:c>
      <x:c r="G751" s="38" t="n">
        <x:v>2.2988112429</x:v>
      </x:c>
      <x:c r="H751" s="42" t="b">
        <x:v>0</x:v>
      </x:c>
      <x:c r="I751" s="42" t="b">
        <x:v>0</x:v>
      </x:c>
      <x:c r="J751" s="38" t="n">
        <x:v>0.1328195393</x:v>
      </x:c>
    </x:row>
    <x:row r="752" ht="19" customHeight="1">
      <x:c r="A752" s="29" t="str">
        <x:v>stagger_1</x:v>
      </x:c>
      <x:c r="B752" s="38" t="str">
        <x:v>CF</x:v>
      </x:c>
      <x:c r="C752" s="38" t="str">
        <x:v>Other FX</x:v>
      </x:c>
      <x:c r="D752" s="30" t="n">
        <x:v>3</x:v>
      </x:c>
      <x:c r="E752" s="38" t="str">
        <x:v>DKK/USD</x:v>
      </x:c>
      <x:c r="F752" s="38" t="n">
        <x:v>-1.474933451</x:v>
      </x:c>
      <x:c r="G752" s="38" t="n">
        <x:v>-1.6274935542</x:v>
      </x:c>
      <x:c r="H752" s="42" t="b">
        <x:v>0</x:v>
      </x:c>
      <x:c r="I752" s="42" t="b">
        <x:v>0</x:v>
      </x:c>
      <x:c r="J752" s="38" t="n">
        <x:v>0.1328195393</x:v>
      </x:c>
    </x:row>
    <x:row r="753" ht="19" customHeight="1">
      <x:c r="A753" s="29" t="str">
        <x:v>stagger_1</x:v>
      </x:c>
      <x:c r="B753" s="38" t="str">
        <x:v>CF</x:v>
      </x:c>
      <x:c r="C753" s="38" t="str">
        <x:v>Other FX</x:v>
      </x:c>
      <x:c r="D753" s="30" t="n">
        <x:v>3</x:v>
      </x:c>
      <x:c r="E753" s="38" t="str">
        <x:v>MXN/USD</x:v>
      </x:c>
      <x:c r="F753" s="38" t="n">
        <x:v>-0.9237103518</x:v>
      </x:c>
      <x:c r="G753" s="38" t="n">
        <x:v>-1.7849092964</x:v>
      </x:c>
      <x:c r="H753" s="42" t="b">
        <x:v>0</x:v>
      </x:c>
      <x:c r="I753" s="42" t="b">
        <x:v>0</x:v>
      </x:c>
      <x:c r="J753" s="38" t="n">
        <x:v>0.1328195393</x:v>
      </x:c>
    </x:row>
    <x:row r="754" ht="19" customHeight="1">
      <x:c r="A754" s="29" t="str">
        <x:v>stagger_1</x:v>
      </x:c>
      <x:c r="B754" s="38" t="str">
        <x:v>CF</x:v>
      </x:c>
      <x:c r="C754" s="38" t="str">
        <x:v>Other FX</x:v>
      </x:c>
      <x:c r="D754" s="30" t="n">
        <x:v>4</x:v>
      </x:c>
      <x:c r="E754" s="38" t="str">
        <x:v>CAD/USD</x:v>
      </x:c>
      <x:c r="F754" s="38" t="n">
        <x:v>2.6374793954</x:v>
      </x:c>
      <x:c r="G754" s="38" t="n">
        <x:v>2.7275436609</x:v>
      </x:c>
      <x:c r="H754" s="42" t="b">
        <x:v>0</x:v>
      </x:c>
      <x:c r="I754" s="42" t="b">
        <x:v>0</x:v>
      </x:c>
      <x:c r="J754" s="38" t="n">
        <x:v>0.1193176614</x:v>
      </x:c>
    </x:row>
    <x:row r="755" ht="19" customHeight="1">
      <x:c r="A755" s="29" t="str">
        <x:v>stagger_1</x:v>
      </x:c>
      <x:c r="B755" s="38" t="str">
        <x:v>CF</x:v>
      </x:c>
      <x:c r="C755" s="38" t="str">
        <x:v>Other FX</x:v>
      </x:c>
      <x:c r="D755" s="30" t="n">
        <x:v>4</x:v>
      </x:c>
      <x:c r="E755" s="38" t="str">
        <x:v>DKK/USD</x:v>
      </x:c>
      <x:c r="F755" s="38" t="n">
        <x:v>-1.0975829703</x:v>
      </x:c>
      <x:c r="G755" s="38" t="n">
        <x:v>-1.31100817</x:v>
      </x:c>
      <x:c r="H755" s="42" t="b">
        <x:v>1</x:v>
      </x:c>
      <x:c r="I755" s="42" t="b">
        <x:v>0</x:v>
      </x:c>
      <x:c r="J755" s="38" t="n">
        <x:v>0.1193176614</x:v>
      </x:c>
    </x:row>
    <x:row r="756" ht="19" customHeight="1">
      <x:c r="A756" s="29" t="str">
        <x:v>stagger_1</x:v>
      </x:c>
      <x:c r="B756" s="38" t="str">
        <x:v>CF</x:v>
      </x:c>
      <x:c r="C756" s="38" t="str">
        <x:v>Other FX</x:v>
      </x:c>
      <x:c r="D756" s="30" t="n">
        <x:v>4</x:v>
      </x:c>
      <x:c r="E756" s="38" t="str">
        <x:v>MXN/USD</x:v>
      </x:c>
      <x:c r="F756" s="38" t="n">
        <x:v>-0.8096404204</x:v>
      </x:c>
      <x:c r="G756" s="38" t="n">
        <x:v>-1.5963266592</x:v>
      </x:c>
      <x:c r="H756" s="42" t="b">
        <x:v>0</x:v>
      </x:c>
      <x:c r="I756" s="42" t="b">
        <x:v>0</x:v>
      </x:c>
      <x:c r="J756" s="38" t="n">
        <x:v>0.1193176614</x:v>
      </x:c>
    </x:row>
    <x:row r="757" ht="19" customHeight="1">
      <x:c r="A757" s="29" t="str">
        <x:v>stagger_1</x:v>
      </x:c>
      <x:c r="B757" s="38" t="str">
        <x:v>CF</x:v>
      </x:c>
      <x:c r="C757" s="38" t="str">
        <x:v>Other FX</x:v>
      </x:c>
      <x:c r="D757" s="30" t="n">
        <x:v>5</x:v>
      </x:c>
      <x:c r="E757" s="38" t="str">
        <x:v>CAD/USD</x:v>
      </x:c>
      <x:c r="F757" s="38" t="n">
        <x:v>2.0118855475</x:v>
      </x:c>
      <x:c r="G757" s="38" t="n">
        <x:v>2.3810605015</x:v>
      </x:c>
      <x:c r="H757" s="42" t="b">
        <x:v>0</x:v>
      </x:c>
      <x:c r="I757" s="42" t="b">
        <x:v>1</x:v>
      </x:c>
      <x:c r="J757" s="38" t="n">
        <x:v>0.0994010022</x:v>
      </x:c>
    </x:row>
    <x:row r="758" ht="19" customHeight="1">
      <x:c r="A758" s="29" t="str">
        <x:v>stagger_1</x:v>
      </x:c>
      <x:c r="B758" s="38" t="str">
        <x:v>CF</x:v>
      </x:c>
      <x:c r="C758" s="38" t="str">
        <x:v>Other FX</x:v>
      </x:c>
      <x:c r="D758" s="30" t="n">
        <x:v>5</x:v>
      </x:c>
      <x:c r="E758" s="38" t="str">
        <x:v>MXN/USD</x:v>
      </x:c>
      <x:c r="F758" s="38" t="n">
        <x:v>-1.1043288681</x:v>
      </x:c>
      <x:c r="G758" s="38" t="n">
        <x:v>-2.4176563682</x:v>
      </x:c>
      <x:c r="H758" s="42" t="b">
        <x:v>0</x:v>
      </x:c>
      <x:c r="I758" s="42" t="b">
        <x:v>1</x:v>
      </x:c>
      <x:c r="J758" s="38" t="n">
        <x:v>0.0994010022</x:v>
      </x:c>
    </x:row>
    <x:row r="759" ht="19" customHeight="1">
      <x:c r="A759" s="29" t="str">
        <x:v>stagger_1</x:v>
      </x:c>
      <x:c r="B759" s="38" t="str">
        <x:v>CF</x:v>
      </x:c>
      <x:c r="C759" s="38" t="str">
        <x:v>Other sectors</x:v>
      </x:c>
      <x:c r="D759" s="30" t="n">
        <x:v>1</x:v>
      </x:c>
      <x:c r="E759" s="38" t="str">
        <x:v>XLC</x:v>
      </x:c>
      <x:c r="F759" s="38" t="n">
        <x:v>-0.4437329215</x:v>
      </x:c>
      <x:c r="G759" s="38" t="n">
        <x:v>-1.091162821</x:v>
      </x:c>
      <x:c r="H759" s="42" t="b">
        <x:v>0</x:v>
      </x:c>
      <x:c r="I759" s="42" t="b">
        <x:v>0</x:v>
      </x:c>
      <x:c r="J759" s="38" t="n">
        <x:v>0.4013730101</x:v>
      </x:c>
    </x:row>
    <x:row r="760" ht="19" customHeight="1">
      <x:c r="A760" s="29" t="str">
        <x:v>stagger_1</x:v>
      </x:c>
      <x:c r="B760" s="38" t="str">
        <x:v>CF</x:v>
      </x:c>
      <x:c r="C760" s="38" t="str">
        <x:v>Other sectors</x:v>
      </x:c>
      <x:c r="D760" s="30" t="n">
        <x:v>1</x:v>
      </x:c>
      <x:c r="E760" s="38" t="str">
        <x:v>XLE</x:v>
      </x:c>
      <x:c r="F760" s="38" t="n">
        <x:v>0.8192342532</x:v>
      </x:c>
      <x:c r="G760" s="38" t="n">
        <x:v>5.2536472041</x:v>
      </x:c>
      <x:c r="H760" s="42" t="b">
        <x:v>0</x:v>
      </x:c>
      <x:c r="I760" s="42" t="b">
        <x:v>0</x:v>
      </x:c>
      <x:c r="J760" s="38" t="n">
        <x:v>0.4013730101</x:v>
      </x:c>
    </x:row>
    <x:row r="761" ht="19" customHeight="1">
      <x:c r="A761" s="29" t="str">
        <x:v>stagger_1</x:v>
      </x:c>
      <x:c r="B761" s="38" t="str">
        <x:v>CF</x:v>
      </x:c>
      <x:c r="C761" s="38" t="str">
        <x:v>Other sectors</x:v>
      </x:c>
      <x:c r="D761" s="30" t="n">
        <x:v>1</x:v>
      </x:c>
      <x:c r="E761" s="38" t="str">
        <x:v>XLF</x:v>
      </x:c>
      <x:c r="F761" s="38" t="n">
        <x:v>-0.2395749626</x:v>
      </x:c>
      <x:c r="G761" s="38" t="n">
        <x:v>-0.5235955716</x:v>
      </x:c>
      <x:c r="H761" s="42" t="b">
        <x:v>0</x:v>
      </x:c>
      <x:c r="I761" s="42" t="b">
        <x:v>0</x:v>
      </x:c>
      <x:c r="J761" s="38" t="n">
        <x:v>0.4013730101</x:v>
      </x:c>
    </x:row>
    <x:row r="762" ht="19" customHeight="1">
      <x:c r="A762" s="29" t="str">
        <x:v>stagger_1</x:v>
      </x:c>
      <x:c r="B762" s="38" t="str">
        <x:v>CF</x:v>
      </x:c>
      <x:c r="C762" s="38" t="str">
        <x:v>Other sectors</x:v>
      </x:c>
      <x:c r="D762" s="30" t="n">
        <x:v>1</x:v>
      </x:c>
      <x:c r="E762" s="38" t="str">
        <x:v>XLI</x:v>
      </x:c>
      <x:c r="F762" s="38" t="n">
        <x:v>-0.4662887799</x:v>
      </x:c>
      <x:c r="G762" s="38" t="n">
        <x:v>-1.1814967382</x:v>
      </x:c>
      <x:c r="H762" s="42" t="b">
        <x:v>0</x:v>
      </x:c>
      <x:c r="I762" s="42" t="b">
        <x:v>0</x:v>
      </x:c>
      <x:c r="J762" s="38" t="n">
        <x:v>0.4013730101</x:v>
      </x:c>
    </x:row>
    <x:row r="763" ht="19" customHeight="1">
      <x:c r="A763" s="29" t="str">
        <x:v>stagger_1</x:v>
      </x:c>
      <x:c r="B763" s="38" t="str">
        <x:v>CF</x:v>
      </x:c>
      <x:c r="C763" s="38" t="str">
        <x:v>Other sectors</x:v>
      </x:c>
      <x:c r="D763" s="30" t="n">
        <x:v>1</x:v>
      </x:c>
      <x:c r="E763" s="38" t="str">
        <x:v>XLK</x:v>
      </x:c>
      <x:c r="F763" s="38" t="n">
        <x:v>-0.5564268855</x:v>
      </x:c>
      <x:c r="G763" s="38" t="n">
        <x:v>-0.8098669399</x:v>
      </x:c>
      <x:c r="H763" s="42" t="b">
        <x:v>0</x:v>
      </x:c>
      <x:c r="I763" s="42" t="b">
        <x:v>0</x:v>
      </x:c>
      <x:c r="J763" s="38" t="n">
        <x:v>0.4013730101</x:v>
      </x:c>
    </x:row>
    <x:row r="764" ht="19" customHeight="1">
      <x:c r="A764" s="29" t="str">
        <x:v>stagger_1</x:v>
      </x:c>
      <x:c r="B764" s="38" t="str">
        <x:v>CF</x:v>
      </x:c>
      <x:c r="C764" s="38" t="str">
        <x:v>Other sectors</x:v>
      </x:c>
      <x:c r="D764" s="30" t="n">
        <x:v>1</x:v>
      </x:c>
      <x:c r="E764" s="38" t="str">
        <x:v>XLP</x:v>
      </x:c>
      <x:c r="F764" s="38" t="n">
        <x:v>-0.1445378318</x:v>
      </x:c>
      <x:c r="G764" s="38" t="n">
        <x:v>-0.3175715835</x:v>
      </x:c>
      <x:c r="H764" s="42" t="b">
        <x:v>1</x:v>
      </x:c>
      <x:c r="I764" s="42" t="b">
        <x:v>0</x:v>
      </x:c>
      <x:c r="J764" s="38" t="n">
        <x:v>0.4013730101</x:v>
      </x:c>
    </x:row>
    <x:row r="765" ht="19" customHeight="1">
      <x:c r="A765" s="29" t="str">
        <x:v>stagger_1</x:v>
      </x:c>
      <x:c r="B765" s="38" t="str">
        <x:v>CF</x:v>
      </x:c>
      <x:c r="C765" s="38" t="str">
        <x:v>Other sectors</x:v>
      </x:c>
      <x:c r="D765" s="30" t="n">
        <x:v>1</x:v>
      </x:c>
      <x:c r="E765" s="38" t="str">
        <x:v>XLRE</x:v>
      </x:c>
      <x:c r="F765" s="38" t="n">
        <x:v>-0.3401481093</x:v>
      </x:c>
      <x:c r="G765" s="38" t="n">
        <x:v>-0.9420720552</x:v>
      </x:c>
      <x:c r="H765" s="42" t="b">
        <x:v>0</x:v>
      </x:c>
      <x:c r="I765" s="42" t="b">
        <x:v>0</x:v>
      </x:c>
      <x:c r="J765" s="38" t="n">
        <x:v>0.4013730101</x:v>
      </x:c>
    </x:row>
    <x:row r="766" ht="19" customHeight="1">
      <x:c r="A766" s="29" t="str">
        <x:v>stagger_1</x:v>
      </x:c>
      <x:c r="B766" s="38" t="str">
        <x:v>CF</x:v>
      </x:c>
      <x:c r="C766" s="38" t="str">
        <x:v>Other sectors</x:v>
      </x:c>
      <x:c r="D766" s="30" t="n">
        <x:v>1</x:v>
      </x:c>
      <x:c r="E766" s="38" t="str">
        <x:v>XLU</x:v>
      </x:c>
      <x:c r="F766" s="38" t="n">
        <x:v>0.3441484097</x:v>
      </x:c>
      <x:c r="G766" s="38" t="n">
        <x:v>1.2049772951</x:v>
      </x:c>
      <x:c r="H766" s="42" t="b">
        <x:v>0</x:v>
      </x:c>
      <x:c r="I766" s="42" t="b">
        <x:v>0</x:v>
      </x:c>
      <x:c r="J766" s="38" t="n">
        <x:v>0.4013730101</x:v>
      </x:c>
    </x:row>
    <x:row r="767" ht="19" customHeight="1">
      <x:c r="A767" s="29" t="str">
        <x:v>stagger_1</x:v>
      </x:c>
      <x:c r="B767" s="38" t="str">
        <x:v>CF</x:v>
      </x:c>
      <x:c r="C767" s="38" t="str">
        <x:v>Other sectors</x:v>
      </x:c>
      <x:c r="D767" s="30" t="n">
        <x:v>1</x:v>
      </x:c>
      <x:c r="E767" s="38" t="str">
        <x:v>XLV</x:v>
      </x:c>
      <x:c r="F767" s="38" t="n">
        <x:v>-0.523244883</x:v>
      </x:c>
      <x:c r="G767" s="38" t="n">
        <x:v>-1.3500597812</x:v>
      </x:c>
      <x:c r="H767" s="42" t="b">
        <x:v>0</x:v>
      </x:c>
      <x:c r="I767" s="42" t="b">
        <x:v>0</x:v>
      </x:c>
      <x:c r="J767" s="38" t="n">
        <x:v>0.4013730101</x:v>
      </x:c>
    </x:row>
    <x:row r="768" ht="19" customHeight="1">
      <x:c r="A768" s="29" t="str">
        <x:v>stagger_1</x:v>
      </x:c>
      <x:c r="B768" s="38" t="str">
        <x:v>CF</x:v>
      </x:c>
      <x:c r="C768" s="38" t="str">
        <x:v>Other sectors</x:v>
      </x:c>
      <x:c r="D768" s="30" t="n">
        <x:v>1</x:v>
      </x:c>
      <x:c r="E768" s="38" t="str">
        <x:v>XLY</x:v>
      </x:c>
      <x:c r="F768" s="38" t="n">
        <x:v>0.5339900552</x:v>
      </x:c>
      <x:c r="G768" s="38" t="n">
        <x:v>1.2147580665</x:v>
      </x:c>
      <x:c r="H768" s="42" t="b">
        <x:v>0</x:v>
      </x:c>
      <x:c r="I768" s="42" t="b">
        <x:v>0</x:v>
      </x:c>
      <x:c r="J768" s="38" t="n">
        <x:v>0.4013730101</x:v>
      </x:c>
    </x:row>
    <x:row r="769" ht="19" customHeight="1">
      <x:c r="A769" s="29" t="str">
        <x:v>stagger_1</x:v>
      </x:c>
      <x:c r="B769" s="38" t="str">
        <x:v>CF</x:v>
      </x:c>
      <x:c r="C769" s="38" t="str">
        <x:v>Other sectors</x:v>
      </x:c>
      <x:c r="D769" s="30" t="n">
        <x:v>2</x:v>
      </x:c>
      <x:c r="E769" s="38" t="str">
        <x:v>XLC</x:v>
      </x:c>
      <x:c r="F769" s="38" t="n">
        <x:v>-0.4460996977</x:v>
      </x:c>
      <x:c r="G769" s="38" t="n">
        <x:v>-1.1042822775</x:v>
      </x:c>
      <x:c r="H769" s="42" t="b">
        <x:v>0</x:v>
      </x:c>
      <x:c r="I769" s="42" t="b">
        <x:v>0</x:v>
      </x:c>
      <x:c r="J769" s="38" t="n">
        <x:v>0.4004980455</x:v>
      </x:c>
    </x:row>
    <x:row r="770" ht="19" customHeight="1">
      <x:c r="A770" s="29" t="str">
        <x:v>stagger_1</x:v>
      </x:c>
      <x:c r="B770" s="38" t="str">
        <x:v>CF</x:v>
      </x:c>
      <x:c r="C770" s="38" t="str">
        <x:v>Other sectors</x:v>
      </x:c>
      <x:c r="D770" s="30" t="n">
        <x:v>2</x:v>
      </x:c>
      <x:c r="E770" s="38" t="str">
        <x:v>XLE</x:v>
      </x:c>
      <x:c r="F770" s="38" t="n">
        <x:v>0.8278512031</x:v>
      </x:c>
      <x:c r="G770" s="38" t="n">
        <x:v>5.4261128117</x:v>
      </x:c>
      <x:c r="H770" s="42" t="b">
        <x:v>0</x:v>
      </x:c>
      <x:c r="I770" s="42" t="b">
        <x:v>0</x:v>
      </x:c>
      <x:c r="J770" s="38" t="n">
        <x:v>0.4004980455</x:v>
      </x:c>
    </x:row>
    <x:row r="771" ht="19" customHeight="1">
      <x:c r="A771" s="29" t="str">
        <x:v>stagger_1</x:v>
      </x:c>
      <x:c r="B771" s="38" t="str">
        <x:v>CF</x:v>
      </x:c>
      <x:c r="C771" s="38" t="str">
        <x:v>Other sectors</x:v>
      </x:c>
      <x:c r="D771" s="30" t="n">
        <x:v>2</x:v>
      </x:c>
      <x:c r="E771" s="38" t="str">
        <x:v>XLF</x:v>
      </x:c>
      <x:c r="F771" s="38" t="n">
        <x:v>-0.1728863076</x:v>
      </x:c>
      <x:c r="G771" s="38" t="n">
        <x:v>-0.4280390706</x:v>
      </x:c>
      <x:c r="H771" s="42" t="b">
        <x:v>1</x:v>
      </x:c>
      <x:c r="I771" s="42" t="b">
        <x:v>0</x:v>
      </x:c>
      <x:c r="J771" s="38" t="n">
        <x:v>0.4004980455</x:v>
      </x:c>
    </x:row>
    <x:row r="772" ht="19" customHeight="1">
      <x:c r="A772" s="29" t="str">
        <x:v>stagger_1</x:v>
      </x:c>
      <x:c r="B772" s="38" t="str">
        <x:v>CF</x:v>
      </x:c>
      <x:c r="C772" s="38" t="str">
        <x:v>Other sectors</x:v>
      </x:c>
      <x:c r="D772" s="30" t="n">
        <x:v>2</x:v>
      </x:c>
      <x:c r="E772" s="38" t="str">
        <x:v>XLI</x:v>
      </x:c>
      <x:c r="F772" s="38" t="n">
        <x:v>-0.505394375</x:v>
      </x:c>
      <x:c r="G772" s="38" t="n">
        <x:v>-1.3566141129</x:v>
      </x:c>
      <x:c r="H772" s="42" t="b">
        <x:v>0</x:v>
      </x:c>
      <x:c r="I772" s="42" t="b">
        <x:v>0</x:v>
      </x:c>
      <x:c r="J772" s="38" t="n">
        <x:v>0.4004980455</x:v>
      </x:c>
    </x:row>
    <x:row r="773" ht="19" customHeight="1">
      <x:c r="A773" s="29" t="str">
        <x:v>stagger_1</x:v>
      </x:c>
      <x:c r="B773" s="38" t="str">
        <x:v>CF</x:v>
      </x:c>
      <x:c r="C773" s="38" t="str">
        <x:v>Other sectors</x:v>
      </x:c>
      <x:c r="D773" s="30" t="n">
        <x:v>2</x:v>
      </x:c>
      <x:c r="E773" s="38" t="str">
        <x:v>XLK</x:v>
      </x:c>
      <x:c r="F773" s="38" t="n">
        <x:v>-0.4763798478</x:v>
      </x:c>
      <x:c r="G773" s="38" t="n">
        <x:v>-0.750163184</x:v>
      </x:c>
      <x:c r="H773" s="42" t="b">
        <x:v>0</x:v>
      </x:c>
      <x:c r="I773" s="42" t="b">
        <x:v>0</x:v>
      </x:c>
      <x:c r="J773" s="38" t="n">
        <x:v>0.4004980455</x:v>
      </x:c>
    </x:row>
    <x:row r="774" ht="19" customHeight="1">
      <x:c r="A774" s="29" t="str">
        <x:v>stagger_1</x:v>
      </x:c>
      <x:c r="B774" s="38" t="str">
        <x:v>CF</x:v>
      </x:c>
      <x:c r="C774" s="38" t="str">
        <x:v>Other sectors</x:v>
      </x:c>
      <x:c r="D774" s="30" t="n">
        <x:v>2</x:v>
      </x:c>
      <x:c r="E774" s="38" t="str">
        <x:v>XLRE</x:v>
      </x:c>
      <x:c r="F774" s="38" t="n">
        <x:v>-0.3810728816</x:v>
      </x:c>
      <x:c r="G774" s="38" t="n">
        <x:v>-1.1371566973</x:v>
      </x:c>
      <x:c r="H774" s="42" t="b">
        <x:v>0</x:v>
      </x:c>
      <x:c r="I774" s="42" t="b">
        <x:v>0</x:v>
      </x:c>
      <x:c r="J774" s="38" t="n">
        <x:v>0.4004980455</x:v>
      </x:c>
    </x:row>
    <x:row r="775" ht="19" customHeight="1">
      <x:c r="A775" s="29" t="str">
        <x:v>stagger_1</x:v>
      </x:c>
      <x:c r="B775" s="38" t="str">
        <x:v>CF</x:v>
      </x:c>
      <x:c r="C775" s="38" t="str">
        <x:v>Other sectors</x:v>
      </x:c>
      <x:c r="D775" s="30" t="n">
        <x:v>2</x:v>
      </x:c>
      <x:c r="E775" s="38" t="str">
        <x:v>XLU</x:v>
      </x:c>
      <x:c r="F775" s="38" t="n">
        <x:v>0.3358381958</x:v>
      </x:c>
      <x:c r="G775" s="38" t="n">
        <x:v>1.1885052216</x:v>
      </x:c>
      <x:c r="H775" s="42" t="b">
        <x:v>0</x:v>
      </x:c>
      <x:c r="I775" s="42" t="b">
        <x:v>0</x:v>
      </x:c>
      <x:c r="J775" s="38" t="n">
        <x:v>0.4004980455</x:v>
      </x:c>
    </x:row>
    <x:row r="776" ht="19" customHeight="1">
      <x:c r="A776" s="29" t="str">
        <x:v>stagger_1</x:v>
      </x:c>
      <x:c r="B776" s="38" t="str">
        <x:v>CF</x:v>
      </x:c>
      <x:c r="C776" s="38" t="str">
        <x:v>Other sectors</x:v>
      </x:c>
      <x:c r="D776" s="30" t="n">
        <x:v>2</x:v>
      </x:c>
      <x:c r="E776" s="38" t="str">
        <x:v>XLV</x:v>
      </x:c>
      <x:c r="F776" s="38" t="n">
        <x:v>-0.527044315</x:v>
      </x:c>
      <x:c r="G776" s="38" t="n">
        <x:v>-1.3693342858</x:v>
      </x:c>
      <x:c r="H776" s="42" t="b">
        <x:v>0</x:v>
      </x:c>
      <x:c r="I776" s="42" t="b">
        <x:v>0</x:v>
      </x:c>
      <x:c r="J776" s="38" t="n">
        <x:v>0.4004980455</x:v>
      </x:c>
    </x:row>
    <x:row r="777" ht="19" customHeight="1">
      <x:c r="A777" s="29" t="str">
        <x:v>stagger_1</x:v>
      </x:c>
      <x:c r="B777" s="38" t="str">
        <x:v>CF</x:v>
      </x:c>
      <x:c r="C777" s="38" t="str">
        <x:v>Other sectors</x:v>
      </x:c>
      <x:c r="D777" s="30" t="n">
        <x:v>2</x:v>
      </x:c>
      <x:c r="E777" s="38" t="str">
        <x:v>XLY</x:v>
      </x:c>
      <x:c r="F777" s="38" t="n">
        <x:v>0.5749993618</x:v>
      </x:c>
      <x:c r="G777" s="38" t="n">
        <x:v>1.3773006062</x:v>
      </x:c>
      <x:c r="H777" s="42" t="b">
        <x:v>0</x:v>
      </x:c>
      <x:c r="I777" s="42" t="b">
        <x:v>0</x:v>
      </x:c>
      <x:c r="J777" s="38" t="n">
        <x:v>0.4004980455</x:v>
      </x:c>
    </x:row>
    <x:row r="778" ht="19" customHeight="1">
      <x:c r="A778" s="29" t="str">
        <x:v>stagger_1</x:v>
      </x:c>
      <x:c r="B778" s="38" t="str">
        <x:v>CF</x:v>
      </x:c>
      <x:c r="C778" s="38" t="str">
        <x:v>Other sectors</x:v>
      </x:c>
      <x:c r="D778" s="30" t="n">
        <x:v>3</x:v>
      </x:c>
      <x:c r="E778" s="38" t="str">
        <x:v>XLC</x:v>
      </x:c>
      <x:c r="F778" s="38" t="n">
        <x:v>-0.4000613487</x:v>
      </x:c>
      <x:c r="G778" s="38" t="n">
        <x:v>-1.0333635271</x:v>
      </x:c>
      <x:c r="H778" s="42" t="b">
        <x:v>0</x:v>
      </x:c>
      <x:c r="I778" s="42" t="b">
        <x:v>0</x:v>
      </x:c>
      <x:c r="J778" s="38" t="n">
        <x:v>0.3989289138</x:v>
      </x:c>
    </x:row>
    <x:row r="779" ht="19" customHeight="1">
      <x:c r="A779" s="29" t="str">
        <x:v>stagger_1</x:v>
      </x:c>
      <x:c r="B779" s="38" t="str">
        <x:v>CF</x:v>
      </x:c>
      <x:c r="C779" s="38" t="str">
        <x:v>Other sectors</x:v>
      </x:c>
      <x:c r="D779" s="30" t="n">
        <x:v>3</x:v>
      </x:c>
      <x:c r="E779" s="38" t="str">
        <x:v>XLE</x:v>
      </x:c>
      <x:c r="F779" s="38" t="n">
        <x:v>0.8349416342</x:v>
      </x:c>
      <x:c r="G779" s="38" t="n">
        <x:v>5.5370723188</x:v>
      </x:c>
      <x:c r="H779" s="42" t="b">
        <x:v>0</x:v>
      </x:c>
      <x:c r="I779" s="42" t="b">
        <x:v>0</x:v>
      </x:c>
      <x:c r="J779" s="38" t="n">
        <x:v>0.3989289138</x:v>
      </x:c>
    </x:row>
    <x:row r="780" ht="19" customHeight="1">
      <x:c r="A780" s="29" t="str">
        <x:v>stagger_1</x:v>
      </x:c>
      <x:c r="B780" s="38" t="str">
        <x:v>CF</x:v>
      </x:c>
      <x:c r="C780" s="38" t="str">
        <x:v>Other sectors</x:v>
      </x:c>
      <x:c r="D780" s="30" t="n">
        <x:v>3</x:v>
      </x:c>
      <x:c r="E780" s="38" t="str">
        <x:v>XLI</x:v>
      </x:c>
      <x:c r="F780" s="38" t="n">
        <x:v>-0.5175903527</x:v>
      </x:c>
      <x:c r="G780" s="38" t="n">
        <x:v>-1.4015176392</x:v>
      </x:c>
      <x:c r="H780" s="42" t="b">
        <x:v>0</x:v>
      </x:c>
      <x:c r="I780" s="42" t="b">
        <x:v>0</x:v>
      </x:c>
      <x:c r="J780" s="38" t="n">
        <x:v>0.3989289138</x:v>
      </x:c>
    </x:row>
    <x:row r="781" ht="19" customHeight="1">
      <x:c r="A781" s="29" t="str">
        <x:v>stagger_1</x:v>
      </x:c>
      <x:c r="B781" s="38" t="str">
        <x:v>CF</x:v>
      </x:c>
      <x:c r="C781" s="38" t="str">
        <x:v>Other sectors</x:v>
      </x:c>
      <x:c r="D781" s="30" t="n">
        <x:v>3</x:v>
      </x:c>
      <x:c r="E781" s="38" t="str">
        <x:v>XLK</x:v>
      </x:c>
      <x:c r="F781" s="38" t="n">
        <x:v>-0.3197447962</x:v>
      </x:c>
      <x:c r="G781" s="38" t="n">
        <x:v>-0.6196543105</x:v>
      </x:c>
      <x:c r="H781" s="42" t="b">
        <x:v>1</x:v>
      </x:c>
      <x:c r="I781" s="42" t="b">
        <x:v>0</x:v>
      </x:c>
      <x:c r="J781" s="38" t="n">
        <x:v>0.3989289138</x:v>
      </x:c>
    </x:row>
    <x:row r="782" ht="19" customHeight="1">
      <x:c r="A782" s="29" t="str">
        <x:v>stagger_1</x:v>
      </x:c>
      <x:c r="B782" s="38" t="str">
        <x:v>CF</x:v>
      </x:c>
      <x:c r="C782" s="38" t="str">
        <x:v>Other sectors</x:v>
      </x:c>
      <x:c r="D782" s="30" t="n">
        <x:v>3</x:v>
      </x:c>
      <x:c r="E782" s="38" t="str">
        <x:v>XLRE</x:v>
      </x:c>
      <x:c r="F782" s="38" t="n">
        <x:v>-0.3845549206</x:v>
      </x:c>
      <x:c r="G782" s="38" t="n">
        <x:v>-1.1545458348</x:v>
      </x:c>
      <x:c r="H782" s="42" t="b">
        <x:v>0</x:v>
      </x:c>
      <x:c r="I782" s="42" t="b">
        <x:v>0</x:v>
      </x:c>
      <x:c r="J782" s="38" t="n">
        <x:v>0.3989289138</x:v>
      </x:c>
    </x:row>
    <x:row r="783" ht="19" customHeight="1">
      <x:c r="A783" s="29" t="str">
        <x:v>stagger_1</x:v>
      </x:c>
      <x:c r="B783" s="38" t="str">
        <x:v>CF</x:v>
      </x:c>
      <x:c r="C783" s="38" t="str">
        <x:v>Other sectors</x:v>
      </x:c>
      <x:c r="D783" s="30" t="n">
        <x:v>3</x:v>
      </x:c>
      <x:c r="E783" s="38" t="str">
        <x:v>XLU</x:v>
      </x:c>
      <x:c r="F783" s="38" t="n">
        <x:v>0.3690861096</x:v>
      </x:c>
      <x:c r="G783" s="38" t="n">
        <x:v>1.3663827539</x:v>
      </x:c>
      <x:c r="H783" s="42" t="b">
        <x:v>0</x:v>
      </x:c>
      <x:c r="I783" s="42" t="b">
        <x:v>0</x:v>
      </x:c>
      <x:c r="J783" s="38" t="n">
        <x:v>0.3989289138</x:v>
      </x:c>
    </x:row>
    <x:row r="784" ht="19" customHeight="1">
      <x:c r="A784" s="29" t="str">
        <x:v>stagger_1</x:v>
      </x:c>
      <x:c r="B784" s="38" t="str">
        <x:v>CF</x:v>
      </x:c>
      <x:c r="C784" s="38" t="str">
        <x:v>Other sectors</x:v>
      </x:c>
      <x:c r="D784" s="30" t="n">
        <x:v>3</x:v>
      </x:c>
      <x:c r="E784" s="38" t="str">
        <x:v>XLV</x:v>
      </x:c>
      <x:c r="F784" s="38" t="n">
        <x:v>-0.4844828269</x:v>
      </x:c>
      <x:c r="G784" s="38" t="n">
        <x:v>-1.3105456003</x:v>
      </x:c>
      <x:c r="H784" s="42" t="b">
        <x:v>0</x:v>
      </x:c>
      <x:c r="I784" s="42" t="b">
        <x:v>0</x:v>
      </x:c>
      <x:c r="J784" s="38" t="n">
        <x:v>0.3989289138</x:v>
      </x:c>
    </x:row>
    <x:row r="785" ht="19" customHeight="1">
      <x:c r="A785" s="29" t="str">
        <x:v>stagger_1</x:v>
      </x:c>
      <x:c r="B785" s="38" t="str">
        <x:v>CF</x:v>
      </x:c>
      <x:c r="C785" s="38" t="str">
        <x:v>Other sectors</x:v>
      </x:c>
      <x:c r="D785" s="30" t="n">
        <x:v>3</x:v>
      </x:c>
      <x:c r="E785" s="38" t="str">
        <x:v>XLY</x:v>
      </x:c>
      <x:c r="F785" s="38" t="n">
        <x:v>0.6177420444</x:v>
      </x:c>
      <x:c r="G785" s="38" t="n">
        <x:v>1.5327588038</x:v>
      </x:c>
      <x:c r="H785" s="42" t="b">
        <x:v>0</x:v>
      </x:c>
      <x:c r="I785" s="42" t="b">
        <x:v>0</x:v>
      </x:c>
      <x:c r="J785" s="38" t="n">
        <x:v>0.3989289138</x:v>
      </x:c>
    </x:row>
    <x:row r="786" ht="19" customHeight="1">
      <x:c r="A786" s="29" t="str">
        <x:v>stagger_1</x:v>
      </x:c>
      <x:c r="B786" s="38" t="str">
        <x:v>CF</x:v>
      </x:c>
      <x:c r="C786" s="38" t="str">
        <x:v>Other sectors</x:v>
      </x:c>
      <x:c r="D786" s="30" t="n">
        <x:v>4</x:v>
      </x:c>
      <x:c r="E786" s="38" t="str">
        <x:v>XLC</x:v>
      </x:c>
      <x:c r="F786" s="38" t="n">
        <x:v>-0.2879747287</x:v>
      </x:c>
      <x:c r="G786" s="38" t="n">
        <x:v>-0.8449438673</x:v>
      </x:c>
      <x:c r="H786" s="42" t="b">
        <x:v>1</x:v>
      </x:c>
      <x:c r="I786" s="42" t="b">
        <x:v>0</x:v>
      </x:c>
      <x:c r="J786" s="38" t="n">
        <x:v>0.3956782921</x:v>
      </x:c>
    </x:row>
    <x:row r="787" ht="19" customHeight="1">
      <x:c r="A787" s="29" t="str">
        <x:v>stagger_1</x:v>
      </x:c>
      <x:c r="B787" s="38" t="str">
        <x:v>CF</x:v>
      </x:c>
      <x:c r="C787" s="38" t="str">
        <x:v>Other sectors</x:v>
      </x:c>
      <x:c r="D787" s="30" t="n">
        <x:v>4</x:v>
      </x:c>
      <x:c r="E787" s="38" t="str">
        <x:v>XLE</x:v>
      </x:c>
      <x:c r="F787" s="38" t="n">
        <x:v>0.8789293764</x:v>
      </x:c>
      <x:c r="G787" s="38" t="n">
        <x:v>6.635117702</x:v>
      </x:c>
      <x:c r="H787" s="42" t="b">
        <x:v>0</x:v>
      </x:c>
      <x:c r="I787" s="42" t="b">
        <x:v>0</x:v>
      </x:c>
      <x:c r="J787" s="38" t="n">
        <x:v>0.3956782921</x:v>
      </x:c>
    </x:row>
    <x:row r="788" ht="19" customHeight="1">
      <x:c r="A788" s="29" t="str">
        <x:v>stagger_1</x:v>
      </x:c>
      <x:c r="B788" s="38" t="str">
        <x:v>CF</x:v>
      </x:c>
      <x:c r="C788" s="38" t="str">
        <x:v>Other sectors</x:v>
      </x:c>
      <x:c r="D788" s="30" t="n">
        <x:v>4</x:v>
      </x:c>
      <x:c r="E788" s="38" t="str">
        <x:v>XLI</x:v>
      </x:c>
      <x:c r="F788" s="38" t="n">
        <x:v>-0.4324455508</x:v>
      </x:c>
      <x:c r="G788" s="38" t="n">
        <x:v>-1.2669672683</x:v>
      </x:c>
      <x:c r="H788" s="42" t="b">
        <x:v>0</x:v>
      </x:c>
      <x:c r="I788" s="42" t="b">
        <x:v>0</x:v>
      </x:c>
      <x:c r="J788" s="38" t="n">
        <x:v>0.3956782921</x:v>
      </x:c>
    </x:row>
    <x:row r="789" ht="19" customHeight="1">
      <x:c r="A789" s="29" t="str">
        <x:v>stagger_1</x:v>
      </x:c>
      <x:c r="B789" s="38" t="str">
        <x:v>CF</x:v>
      </x:c>
      <x:c r="C789" s="38" t="str">
        <x:v>Other sectors</x:v>
      </x:c>
      <x:c r="D789" s="30" t="n">
        <x:v>4</x:v>
      </x:c>
      <x:c r="E789" s="38" t="str">
        <x:v>XLRE</x:v>
      </x:c>
      <x:c r="F789" s="38" t="n">
        <x:v>-0.3557403388</x:v>
      </x:c>
      <x:c r="G789" s="38" t="n">
        <x:v>-1.0832432595</x:v>
      </x:c>
      <x:c r="H789" s="42" t="b">
        <x:v>0</x:v>
      </x:c>
      <x:c r="I789" s="42" t="b">
        <x:v>0</x:v>
      </x:c>
      <x:c r="J789" s="38" t="n">
        <x:v>0.3956782921</x:v>
      </x:c>
    </x:row>
    <x:row r="790" ht="19" customHeight="1">
      <x:c r="A790" s="29" t="str">
        <x:v>stagger_1</x:v>
      </x:c>
      <x:c r="B790" s="38" t="str">
        <x:v>CF</x:v>
      </x:c>
      <x:c r="C790" s="38" t="str">
        <x:v>Other sectors</x:v>
      </x:c>
      <x:c r="D790" s="30" t="n">
        <x:v>4</x:v>
      </x:c>
      <x:c r="E790" s="38" t="str">
        <x:v>XLU</x:v>
      </x:c>
      <x:c r="F790" s="38" t="n">
        <x:v>0.4038791731</x:v>
      </x:c>
      <x:c r="G790" s="38" t="n">
        <x:v>1.5351595467</x:v>
      </x:c>
      <x:c r="H790" s="42" t="b">
        <x:v>0</x:v>
      </x:c>
      <x:c r="I790" s="42" t="b">
        <x:v>0</x:v>
      </x:c>
      <x:c r="J790" s="38" t="n">
        <x:v>0.3956782921</x:v>
      </x:c>
    </x:row>
    <x:row r="791" ht="19" customHeight="1">
      <x:c r="A791" s="29" t="str">
        <x:v>stagger_1</x:v>
      </x:c>
      <x:c r="B791" s="38" t="str">
        <x:v>CF</x:v>
      </x:c>
      <x:c r="C791" s="38" t="str">
        <x:v>Other sectors</x:v>
      </x:c>
      <x:c r="D791" s="30" t="n">
        <x:v>4</x:v>
      </x:c>
      <x:c r="E791" s="38" t="str">
        <x:v>XLV</x:v>
      </x:c>
      <x:c r="F791" s="38" t="n">
        <x:v>-0.3526394902</x:v>
      </x:c>
      <x:c r="G791" s="38" t="n">
        <x:v>-1.1714963203</x:v>
      </x:c>
      <x:c r="H791" s="42" t="b">
        <x:v>0</x:v>
      </x:c>
      <x:c r="I791" s="42" t="b">
        <x:v>0</x:v>
      </x:c>
      <x:c r="J791" s="38" t="n">
        <x:v>0.3956782921</x:v>
      </x:c>
    </x:row>
    <x:row r="792" ht="19" customHeight="1">
      <x:c r="A792" s="29" t="str">
        <x:v>stagger_1</x:v>
      </x:c>
      <x:c r="B792" s="38" t="str">
        <x:v>CF</x:v>
      </x:c>
      <x:c r="C792" s="38" t="str">
        <x:v>Other sectors</x:v>
      </x:c>
      <x:c r="D792" s="30" t="n">
        <x:v>4</x:v>
      </x:c>
      <x:c r="E792" s="38" t="str">
        <x:v>XLY</x:v>
      </x:c>
      <x:c r="F792" s="38" t="n">
        <x:v>0.7264698362</x:v>
      </x:c>
      <x:c r="G792" s="38" t="n">
        <x:v>2.0108795501</x:v>
      </x:c>
      <x:c r="H792" s="42" t="b">
        <x:v>0</x:v>
      </x:c>
      <x:c r="I792" s="42" t="b">
        <x:v>0</x:v>
      </x:c>
      <x:c r="J792" s="38" t="n">
        <x:v>0.3956782921</x:v>
      </x:c>
    </x:row>
    <x:row r="793" ht="19" customHeight="1">
      <x:c r="A793" s="29" t="str">
        <x:v>stagger_1</x:v>
      </x:c>
      <x:c r="B793" s="38" t="str">
        <x:v>CF</x:v>
      </x:c>
      <x:c r="C793" s="38" t="str">
        <x:v>Other sectors</x:v>
      </x:c>
      <x:c r="D793" s="30" t="n">
        <x:v>5</x:v>
      </x:c>
      <x:c r="E793" s="38" t="str">
        <x:v>XLE</x:v>
      </x:c>
      <x:c r="F793" s="38" t="n">
        <x:v>0.8594324432</x:v>
      </x:c>
      <x:c r="G793" s="38" t="n">
        <x:v>6.6016130937</x:v>
      </x:c>
      <x:c r="H793" s="42" t="b">
        <x:v>0</x:v>
      </x:c>
      <x:c r="I793" s="42" t="b">
        <x:v>0</x:v>
      </x:c>
      <x:c r="J793" s="38" t="n">
        <x:v>0.3896860215</x:v>
      </x:c>
    </x:row>
    <x:row r="794" ht="19" customHeight="1">
      <x:c r="A794" s="29" t="str">
        <x:v>stagger_1</x:v>
      </x:c>
      <x:c r="B794" s="38" t="str">
        <x:v>CF</x:v>
      </x:c>
      <x:c r="C794" s="38" t="str">
        <x:v>Other sectors</x:v>
      </x:c>
      <x:c r="D794" s="30" t="n">
        <x:v>5</x:v>
      </x:c>
      <x:c r="E794" s="38" t="str">
        <x:v>XLI</x:v>
      </x:c>
      <x:c r="F794" s="38" t="n">
        <x:v>-0.4049436324</x:v>
      </x:c>
      <x:c r="G794" s="38" t="n">
        <x:v>-1.1941664099</x:v>
      </x:c>
      <x:c r="H794" s="42" t="b">
        <x:v>0</x:v>
      </x:c>
      <x:c r="I794" s="42" t="b">
        <x:v>0</x:v>
      </x:c>
      <x:c r="J794" s="38" t="n">
        <x:v>0.3896860215</x:v>
      </x:c>
    </x:row>
    <x:row r="795" ht="19" customHeight="1">
      <x:c r="A795" s="29" t="str">
        <x:v>stagger_1</x:v>
      </x:c>
      <x:c r="B795" s="38" t="str">
        <x:v>CF</x:v>
      </x:c>
      <x:c r="C795" s="38" t="str">
        <x:v>Other sectors</x:v>
      </x:c>
      <x:c r="D795" s="30" t="n">
        <x:v>5</x:v>
      </x:c>
      <x:c r="E795" s="38" t="str">
        <x:v>XLRE</x:v>
      </x:c>
      <x:c r="F795" s="38" t="n">
        <x:v>-0.3363820957</x:v>
      </x:c>
      <x:c r="G795" s="38" t="n">
        <x:v>-1.0288162396</x:v>
      </x:c>
      <x:c r="H795" s="42" t="b">
        <x:v>1</x:v>
      </x:c>
      <x:c r="I795" s="42" t="b">
        <x:v>0</x:v>
      </x:c>
      <x:c r="J795" s="38" t="n">
        <x:v>0.3896860215</x:v>
      </x:c>
    </x:row>
    <x:row r="796" ht="19" customHeight="1">
      <x:c r="A796" s="29" t="str">
        <x:v>stagger_1</x:v>
      </x:c>
      <x:c r="B796" s="38" t="str">
        <x:v>CF</x:v>
      </x:c>
      <x:c r="C796" s="38" t="str">
        <x:v>Other sectors</x:v>
      </x:c>
      <x:c r="D796" s="30" t="n">
        <x:v>5</x:v>
      </x:c>
      <x:c r="E796" s="38" t="str">
        <x:v>XLU</x:v>
      </x:c>
      <x:c r="F796" s="38" t="n">
        <x:v>0.4185371636</x:v>
      </x:c>
      <x:c r="G796" s="38" t="n">
        <x:v>1.5974781934</x:v>
      </x:c>
      <x:c r="H796" s="42" t="b">
        <x:v>0</x:v>
      </x:c>
      <x:c r="I796" s="42" t="b">
        <x:v>0</x:v>
      </x:c>
      <x:c r="J796" s="38" t="n">
        <x:v>0.3896860215</x:v>
      </x:c>
    </x:row>
    <x:row r="797" ht="19" customHeight="1">
      <x:c r="A797" s="29" t="str">
        <x:v>stagger_1</x:v>
      </x:c>
      <x:c r="B797" s="38" t="str">
        <x:v>CF</x:v>
      </x:c>
      <x:c r="C797" s="38" t="str">
        <x:v>Other sectors</x:v>
      </x:c>
      <x:c r="D797" s="30" t="n">
        <x:v>5</x:v>
      </x:c>
      <x:c r="E797" s="38" t="str">
        <x:v>XLV</x:v>
      </x:c>
      <x:c r="F797" s="38" t="n">
        <x:v>-0.387484216</x:v>
      </x:c>
      <x:c r="G797" s="38" t="n">
        <x:v>-1.3020599007</x:v>
      </x:c>
      <x:c r="H797" s="42" t="b">
        <x:v>0</x:v>
      </x:c>
      <x:c r="I797" s="42" t="b">
        <x:v>0</x:v>
      </x:c>
      <x:c r="J797" s="38" t="n">
        <x:v>0.3896860215</x:v>
      </x:c>
    </x:row>
    <x:row r="798" ht="19" customHeight="1">
      <x:c r="A798" s="29" t="str">
        <x:v>stagger_1</x:v>
      </x:c>
      <x:c r="B798" s="38" t="str">
        <x:v>CF</x:v>
      </x:c>
      <x:c r="C798" s="38" t="str">
        <x:v>Other sectors</x:v>
      </x:c>
      <x:c r="D798" s="30" t="n">
        <x:v>5</x:v>
      </x:c>
      <x:c r="E798" s="38" t="str">
        <x:v>XLY</x:v>
      </x:c>
      <x:c r="F798" s="38" t="n">
        <x:v>0.6179841133</x:v>
      </x:c>
      <x:c r="G798" s="38" t="n">
        <x:v>1.8336603768</x:v>
      </x:c>
      <x:c r="H798" s="42" t="b">
        <x:v>0</x:v>
      </x:c>
      <x:c r="I798" s="42" t="b">
        <x:v>0</x:v>
      </x:c>
      <x:c r="J798" s="38" t="n">
        <x:v>0.3896860215</x:v>
      </x:c>
    </x:row>
    <x:row r="799" ht="19" customHeight="1">
      <x:c r="A799" s="29" t="str">
        <x:v>stagger_1</x:v>
      </x:c>
      <x:c r="B799" s="38" t="str">
        <x:v>CF</x:v>
      </x:c>
      <x:c r="C799" s="38" t="str">
        <x:v>Other sectors</x:v>
      </x:c>
      <x:c r="D799" s="30" t="n">
        <x:v>6</x:v>
      </x:c>
      <x:c r="E799" s="38" t="str">
        <x:v>XLE</x:v>
      </x:c>
      <x:c r="F799" s="38" t="n">
        <x:v>0.8427380548</x:v>
      </x:c>
      <x:c r="G799" s="38" t="n">
        <x:v>6.5216808909</x:v>
      </x:c>
      <x:c r="H799" s="42" t="b">
        <x:v>0</x:v>
      </x:c>
      <x:c r="I799" s="42" t="b">
        <x:v>0</x:v>
      </x:c>
      <x:c r="J799" s="38" t="n">
        <x:v>0.3808367794</x:v>
      </x:c>
    </x:row>
    <x:row r="800" ht="19" customHeight="1">
      <x:c r="A800" s="29" t="str">
        <x:v>stagger_1</x:v>
      </x:c>
      <x:c r="B800" s="38" t="str">
        <x:v>CF</x:v>
      </x:c>
      <x:c r="C800" s="38" t="str">
        <x:v>Other sectors</x:v>
      </x:c>
      <x:c r="D800" s="30" t="n">
        <x:v>6</x:v>
      </x:c>
      <x:c r="E800" s="38" t="str">
        <x:v>XLI</x:v>
      </x:c>
      <x:c r="F800" s="38" t="n">
        <x:v>-0.4370648649</x:v>
      </x:c>
      <x:c r="G800" s="38" t="n">
        <x:v>-1.2938779727</x:v>
      </x:c>
      <x:c r="H800" s="42" t="b">
        <x:v>0</x:v>
      </x:c>
      <x:c r="I800" s="42" t="b">
        <x:v>0</x:v>
      </x:c>
      <x:c r="J800" s="38" t="n">
        <x:v>0.3808367794</x:v>
      </x:c>
    </x:row>
    <x:row r="801" ht="19" customHeight="1">
      <x:c r="A801" s="29" t="str">
        <x:v>stagger_1</x:v>
      </x:c>
      <x:c r="B801" s="38" t="str">
        <x:v>CF</x:v>
      </x:c>
      <x:c r="C801" s="38" t="str">
        <x:v>Other sectors</x:v>
      </x:c>
      <x:c r="D801" s="30" t="n">
        <x:v>6</x:v>
      </x:c>
      <x:c r="E801" s="38" t="str">
        <x:v>XLU</x:v>
      </x:c>
      <x:c r="F801" s="38" t="n">
        <x:v>0.3049603035</x:v>
      </x:c>
      <x:c r="G801" s="38" t="n">
        <x:v>1.2829696725</x:v>
      </x:c>
      <x:c r="H801" s="42" t="b">
        <x:v>1</x:v>
      </x:c>
      <x:c r="I801" s="42" t="b">
        <x:v>0</x:v>
      </x:c>
      <x:c r="J801" s="38" t="n">
        <x:v>0.3808367794</x:v>
      </x:c>
    </x:row>
    <x:row r="802" ht="19" customHeight="1">
      <x:c r="A802" s="29" t="str">
        <x:v>stagger_1</x:v>
      </x:c>
      <x:c r="B802" s="38" t="str">
        <x:v>CF</x:v>
      </x:c>
      <x:c r="C802" s="38" t="str">
        <x:v>Other sectors</x:v>
      </x:c>
      <x:c r="D802" s="30" t="n">
        <x:v>6</x:v>
      </x:c>
      <x:c r="E802" s="38" t="str">
        <x:v>XLV</x:v>
      </x:c>
      <x:c r="F802" s="38" t="n">
        <x:v>-0.5051332245</x:v>
      </x:c>
      <x:c r="G802" s="38" t="n">
        <x:v>-1.8378254585</x:v>
      </x:c>
      <x:c r="H802" s="42" t="b">
        <x:v>0</x:v>
      </x:c>
      <x:c r="I802" s="42" t="b">
        <x:v>0</x:v>
      </x:c>
      <x:c r="J802" s="38" t="n">
        <x:v>0.3808367794</x:v>
      </x:c>
    </x:row>
    <x:row r="803" ht="19" customHeight="1">
      <x:c r="A803" s="29" t="str">
        <x:v>stagger_1</x:v>
      </x:c>
      <x:c r="B803" s="38" t="str">
        <x:v>CF</x:v>
      </x:c>
      <x:c r="C803" s="38" t="str">
        <x:v>Other sectors</x:v>
      </x:c>
      <x:c r="D803" s="30" t="n">
        <x:v>6</x:v>
      </x:c>
      <x:c r="E803" s="38" t="str">
        <x:v>XLY</x:v>
      </x:c>
      <x:c r="F803" s="38" t="n">
        <x:v>0.511069261</x:v>
      </x:c>
      <x:c r="G803" s="38" t="n">
        <x:v>1.5934721562</x:v>
      </x:c>
      <x:c r="H803" s="42" t="b">
        <x:v>0</x:v>
      </x:c>
      <x:c r="I803" s="42" t="b">
        <x:v>0</x:v>
      </x:c>
      <x:c r="J803" s="38" t="n">
        <x:v>0.3808367794</x:v>
      </x:c>
    </x:row>
    <x:row r="804" ht="19" customHeight="1">
      <x:c r="A804" s="29" t="str">
        <x:v>stagger_1</x:v>
      </x:c>
      <x:c r="B804" s="38" t="str">
        <x:v>CF</x:v>
      </x:c>
      <x:c r="C804" s="38" t="str">
        <x:v>Other sectors</x:v>
      </x:c>
      <x:c r="D804" s="30" t="n">
        <x:v>7</x:v>
      </x:c>
      <x:c r="E804" s="38" t="str">
        <x:v>XLE</x:v>
      </x:c>
      <x:c r="F804" s="38" t="n">
        <x:v>0.8411853061</x:v>
      </x:c>
      <x:c r="G804" s="38" t="n">
        <x:v>6.4820933588</x:v>
      </x:c>
      <x:c r="H804" s="42" t="b">
        <x:v>0</x:v>
      </x:c>
      <x:c r="I804" s="42" t="b">
        <x:v>0</x:v>
      </x:c>
      <x:c r="J804" s="38" t="n">
        <x:v>0.3670644877</x:v>
      </x:c>
    </x:row>
    <x:row r="805" ht="19" customHeight="1">
      <x:c r="A805" s="29" t="str">
        <x:v>stagger_1</x:v>
      </x:c>
      <x:c r="B805" s="38" t="str">
        <x:v>CF</x:v>
      </x:c>
      <x:c r="C805" s="38" t="str">
        <x:v>Other sectors</x:v>
      </x:c>
      <x:c r="D805" s="30" t="n">
        <x:v>7</x:v>
      </x:c>
      <x:c r="E805" s="38" t="str">
        <x:v>XLI</x:v>
      </x:c>
      <x:c r="F805" s="38" t="n">
        <x:v>-0.2832558366</x:v>
      </x:c>
      <x:c r="G805" s="38" t="n">
        <x:v>-0.8930951962</x:v>
      </x:c>
      <x:c r="H805" s="42" t="b">
        <x:v>1</x:v>
      </x:c>
      <x:c r="I805" s="42" t="b">
        <x:v>0</x:v>
      </x:c>
      <x:c r="J805" s="38" t="n">
        <x:v>0.3670644877</x:v>
      </x:c>
    </x:row>
    <x:row r="806" ht="19" customHeight="1">
      <x:c r="A806" s="29" t="str">
        <x:v>stagger_1</x:v>
      </x:c>
      <x:c r="B806" s="38" t="str">
        <x:v>CF</x:v>
      </x:c>
      <x:c r="C806" s="38" t="str">
        <x:v>Other sectors</x:v>
      </x:c>
      <x:c r="D806" s="30" t="n">
        <x:v>7</x:v>
      </x:c>
      <x:c r="E806" s="38" t="str">
        <x:v>XLV</x:v>
      </x:c>
      <x:c r="F806" s="38" t="n">
        <x:v>-0.4185664823</x:v>
      </x:c>
      <x:c r="G806" s="38" t="n">
        <x:v>-1.5642195837</x:v>
      </x:c>
      <x:c r="H806" s="42" t="b">
        <x:v>0</x:v>
      </x:c>
      <x:c r="I806" s="42" t="b">
        <x:v>0</x:v>
      </x:c>
      <x:c r="J806" s="38" t="n">
        <x:v>0.3670644877</x:v>
      </x:c>
    </x:row>
    <x:row r="807" ht="19" customHeight="1">
      <x:c r="A807" s="29" t="str">
        <x:v>stagger_1</x:v>
      </x:c>
      <x:c r="B807" s="38" t="str">
        <x:v>CF</x:v>
      </x:c>
      <x:c r="C807" s="38" t="str">
        <x:v>Other sectors</x:v>
      </x:c>
      <x:c r="D807" s="30" t="n">
        <x:v>7</x:v>
      </x:c>
      <x:c r="E807" s="38" t="str">
        <x:v>XLY</x:v>
      </x:c>
      <x:c r="F807" s="38" t="n">
        <x:v>0.5355472735</x:v>
      </x:c>
      <x:c r="G807" s="38" t="n">
        <x:v>1.6655970299</x:v>
      </x:c>
      <x:c r="H807" s="42" t="b">
        <x:v>0</x:v>
      </x:c>
      <x:c r="I807" s="42" t="b">
        <x:v>0</x:v>
      </x:c>
      <x:c r="J807" s="38" t="n">
        <x:v>0.3670644877</x:v>
      </x:c>
    </x:row>
    <x:row r="808" ht="19" customHeight="1">
      <x:c r="A808" s="29" t="str">
        <x:v>stagger_1</x:v>
      </x:c>
      <x:c r="B808" s="38" t="str">
        <x:v>CF</x:v>
      </x:c>
      <x:c r="C808" s="38" t="str">
        <x:v>Other sectors</x:v>
      </x:c>
      <x:c r="D808" s="30" t="n">
        <x:v>8</x:v>
      </x:c>
      <x:c r="E808" s="38" t="str">
        <x:v>XLE</x:v>
      </x:c>
      <x:c r="F808" s="38" t="n">
        <x:v>0.824850853</x:v>
      </x:c>
      <x:c r="G808" s="38" t="n">
        <x:v>6.4288725588</x:v>
      </x:c>
      <x:c r="H808" s="42" t="b">
        <x:v>0</x:v>
      </x:c>
      <x:c r="I808" s="42" t="b">
        <x:v>0</x:v>
      </x:c>
      <x:c r="J808" s="38" t="n">
        <x:v>0.3603332689</x:v>
      </x:c>
    </x:row>
    <x:row r="809" ht="19" customHeight="1">
      <x:c r="A809" s="29" t="str">
        <x:v>stagger_1</x:v>
      </x:c>
      <x:c r="B809" s="38" t="str">
        <x:v>CF</x:v>
      </x:c>
      <x:c r="C809" s="38" t="str">
        <x:v>Other sectors</x:v>
      </x:c>
      <x:c r="D809" s="30" t="n">
        <x:v>8</x:v>
      </x:c>
      <x:c r="E809" s="38" t="str">
        <x:v>XLV</x:v>
      </x:c>
      <x:c r="F809" s="38" t="n">
        <x:v>-0.4461908442</x:v>
      </x:c>
      <x:c r="G809" s="38" t="n">
        <x:v>-1.6809465817</x:v>
      </x:c>
      <x:c r="H809" s="42" t="b">
        <x:v>1</x:v>
      </x:c>
      <x:c r="I809" s="42" t="b">
        <x:v>0</x:v>
      </x:c>
      <x:c r="J809" s="38" t="n">
        <x:v>0.3603332689</x:v>
      </x:c>
    </x:row>
    <x:row r="810" ht="19" customHeight="1">
      <x:c r="A810" s="29" t="str">
        <x:v>stagger_1</x:v>
      </x:c>
      <x:c r="B810" s="38" t="str">
        <x:v>CF</x:v>
      </x:c>
      <x:c r="C810" s="38" t="str">
        <x:v>Other sectors</x:v>
      </x:c>
      <x:c r="D810" s="30" t="n">
        <x:v>8</x:v>
      </x:c>
      <x:c r="E810" s="38" t="str">
        <x:v>XLY</x:v>
      </x:c>
      <x:c r="F810" s="38" t="n">
        <x:v>0.5502130229</x:v>
      </x:c>
      <x:c r="G810" s="38" t="n">
        <x:v>1.7157307288</x:v>
      </x:c>
      <x:c r="H810" s="42" t="b">
        <x:v>0</x:v>
      </x:c>
      <x:c r="I810" s="42" t="b">
        <x:v>0</x:v>
      </x:c>
      <x:c r="J810" s="38" t="n">
        <x:v>0.3603332689</x:v>
      </x:c>
    </x:row>
    <x:row r="811" ht="19" customHeight="1">
      <x:c r="A811" s="29" t="str">
        <x:v>stagger_1</x:v>
      </x:c>
      <x:c r="B811" s="38" t="str">
        <x:v>CF</x:v>
      </x:c>
      <x:c r="C811" s="38" t="str">
        <x:v>Other sectors</x:v>
      </x:c>
      <x:c r="D811" s="30" t="n">
        <x:v>9</x:v>
      </x:c>
      <x:c r="E811" s="38" t="str">
        <x:v>XLE</x:v>
      </x:c>
      <x:c r="F811" s="38" t="n">
        <x:v>0.8014997674</x:v>
      </x:c>
      <x:c r="G811" s="38" t="n">
        <x:v>6.2106225467</x:v>
      </x:c>
      <x:c r="H811" s="42" t="b">
        <x:v>0</x:v>
      </x:c>
      <x:c r="I811" s="42" t="b">
        <x:v>1</x:v>
      </x:c>
      <x:c r="J811" s="38" t="n">
        <x:v>0.3365512896</x:v>
      </x:c>
    </x:row>
    <x:row r="812" ht="19" customHeight="1">
      <x:c r="A812" s="29" t="str">
        <x:v>stagger_1</x:v>
      </x:c>
      <x:c r="B812" s="38" t="str">
        <x:v>CF</x:v>
      </x:c>
      <x:c r="C812" s="38" t="str">
        <x:v>Other sectors</x:v>
      </x:c>
      <x:c r="D812" s="30" t="n">
        <x:v>9</x:v>
      </x:c>
      <x:c r="E812" s="38" t="str">
        <x:v>XLY</x:v>
      </x:c>
      <x:c r="F812" s="38" t="n">
        <x:v>0.6847459634</x:v>
      </x:c>
      <x:c r="G812" s="38" t="n">
        <x:v>2.1793358733</x:v>
      </x:c>
      <x:c r="H812" s="42" t="b">
        <x:v>0</x:v>
      </x:c>
      <x:c r="I812" s="42" t="b">
        <x:v>1</x:v>
      </x:c>
      <x:c r="J812" s="38" t="n">
        <x:v>0.3365512896</x:v>
      </x:c>
    </x:row>
    <x:row r="813" ht="19" customHeight="1">
      <x:c r="A813" s="29" t="str">
        <x:v>stagger_1</x:v>
      </x:c>
      <x:c r="B813" s="38" t="str">
        <x:v>NTR</x:v>
      </x:c>
      <x:c r="C813" s="38" t="str">
        <x:v>Other FX</x:v>
      </x:c>
      <x:c r="D813" s="30" t="n">
        <x:v>1</x:v>
      </x:c>
      <x:c r="E813" s="38" t="str">
        <x:v>AUD/USD</x:v>
      </x:c>
      <x:c r="F813" s="38" t="n">
        <x:v>1.1150382811</x:v>
      </x:c>
      <x:c r="G813" s="38" t="n">
        <x:v>2.1736358599</x:v>
      </x:c>
      <x:c r="H813" s="42" t="b">
        <x:v>0</x:v>
      </x:c>
      <x:c r="I813" s="42" t="b">
        <x:v>0</x:v>
      </x:c>
      <x:c r="J813" s="38" t="n">
        <x:v>0.1916331876</x:v>
      </x:c>
    </x:row>
    <x:row r="814" ht="19" customHeight="1">
      <x:c r="A814" s="29" t="str">
        <x:v>stagger_1</x:v>
      </x:c>
      <x:c r="B814" s="38" t="str">
        <x:v>NTR</x:v>
      </x:c>
      <x:c r="C814" s="38" t="str">
        <x:v>Other FX</x:v>
      </x:c>
      <x:c r="D814" s="30" t="n">
        <x:v>1</x:v>
      </x:c>
      <x:c r="E814" s="38" t="str">
        <x:v>DKK/USD</x:v>
      </x:c>
      <x:c r="F814" s="38" t="n">
        <x:v>-10.1369583043</x:v>
      </x:c>
      <x:c r="G814" s="38" t="n">
        <x:v>-2.2913218112</x:v>
      </x:c>
      <x:c r="H814" s="42" t="b">
        <x:v>0</x:v>
      </x:c>
      <x:c r="I814" s="42" t="b">
        <x:v>0</x:v>
      </x:c>
      <x:c r="J814" s="38" t="n">
        <x:v>0.1916331876</x:v>
      </x:c>
    </x:row>
    <x:row r="815" ht="19" customHeight="1">
      <x:c r="A815" s="29" t="str">
        <x:v>stagger_1</x:v>
      </x:c>
      <x:c r="B815" s="38" t="str">
        <x:v>NTR</x:v>
      </x:c>
      <x:c r="C815" s="38" t="str">
        <x:v>Other FX</x:v>
      </x:c>
      <x:c r="D815" s="30" t="n">
        <x:v>1</x:v>
      </x:c>
      <x:c r="E815" s="38" t="str">
        <x:v>EUR/USD</x:v>
      </x:c>
      <x:c r="F815" s="38" t="n">
        <x:v>7.59045715</x:v>
      </x:c>
      <x:c r="G815" s="38" t="n">
        <x:v>1.8698355136</x:v>
      </x:c>
      <x:c r="H815" s="42" t="b">
        <x:v>0</x:v>
      </x:c>
      <x:c r="I815" s="42" t="b">
        <x:v>0</x:v>
      </x:c>
      <x:c r="J815" s="38" t="n">
        <x:v>0.1916331876</x:v>
      </x:c>
    </x:row>
    <x:row r="816" ht="19" customHeight="1">
      <x:c r="A816" s="29" t="str">
        <x:v>stagger_1</x:v>
      </x:c>
      <x:c r="B816" s="38" t="str">
        <x:v>NTR</x:v>
      </x:c>
      <x:c r="C816" s="38" t="str">
        <x:v>Other FX</x:v>
      </x:c>
      <x:c r="D816" s="30" t="n">
        <x:v>1</x:v>
      </x:c>
      <x:c r="E816" s="38" t="str">
        <x:v>MXN/USD</x:v>
      </x:c>
      <x:c r="F816" s="38" t="n">
        <x:v>0.5982067037</x:v>
      </x:c>
      <x:c r="G816" s="38" t="n">
        <x:v>1.7658813008</x:v>
      </x:c>
      <x:c r="H816" s="42" t="b">
        <x:v>0</x:v>
      </x:c>
      <x:c r="I816" s="42" t="b">
        <x:v>0</x:v>
      </x:c>
      <x:c r="J816" s="38" t="n">
        <x:v>0.1916331876</x:v>
      </x:c>
    </x:row>
    <x:row r="817" ht="19" customHeight="1">
      <x:c r="A817" s="29" t="str">
        <x:v>stagger_1</x:v>
      </x:c>
      <x:c r="B817" s="38" t="str">
        <x:v>NTR</x:v>
      </x:c>
      <x:c r="C817" s="38" t="str">
        <x:v>Other FX</x:v>
      </x:c>
      <x:c r="D817" s="30" t="n">
        <x:v>1</x:v>
      </x:c>
      <x:c r="E817" s="38" t="str">
        <x:v>SGD/USD</x:v>
      </x:c>
      <x:c r="F817" s="38" t="n">
        <x:v>1.7738738285</x:v>
      </x:c>
      <x:c r="G817" s="38" t="n">
        <x:v>1.3852771086</x:v>
      </x:c>
      <x:c r="H817" s="42" t="b">
        <x:v>1</x:v>
      </x:c>
      <x:c r="I817" s="42" t="b">
        <x:v>0</x:v>
      </x:c>
      <x:c r="J817" s="38" t="n">
        <x:v>0.1916331876</x:v>
      </x:c>
    </x:row>
    <x:row r="818" ht="19" customHeight="1">
      <x:c r="A818" s="29" t="str">
        <x:v>stagger_1</x:v>
      </x:c>
      <x:c r="B818" s="38" t="str">
        <x:v>NTR</x:v>
      </x:c>
      <x:c r="C818" s="38" t="str">
        <x:v>Other FX</x:v>
      </x:c>
      <x:c r="D818" s="30" t="n">
        <x:v>2</x:v>
      </x:c>
      <x:c r="E818" s="38" t="str">
        <x:v>AUD/USD</x:v>
      </x:c>
      <x:c r="F818" s="38" t="n">
        <x:v>1.454857483</x:v>
      </x:c>
      <x:c r="G818" s="38" t="n">
        <x:v>3.2096217611</x:v>
      </x:c>
      <x:c r="H818" s="42" t="b">
        <x:v>0</x:v>
      </x:c>
      <x:c r="I818" s="42" t="b">
        <x:v>0</x:v>
      </x:c>
      <x:c r="J818" s="38" t="n">
        <x:v>0.17067035</x:v>
      </x:c>
    </x:row>
    <x:row r="819" ht="19" customHeight="1">
      <x:c r="A819" s="29" t="str">
        <x:v>stagger_1</x:v>
      </x:c>
      <x:c r="B819" s="38" t="str">
        <x:v>NTR</x:v>
      </x:c>
      <x:c r="C819" s="38" t="str">
        <x:v>Other FX</x:v>
      </x:c>
      <x:c r="D819" s="30" t="n">
        <x:v>2</x:v>
      </x:c>
      <x:c r="E819" s="38" t="str">
        <x:v>DKK/USD</x:v>
      </x:c>
      <x:c r="F819" s="38" t="n">
        <x:v>-7.7696783408</x:v>
      </x:c>
      <x:c r="G819" s="38" t="n">
        <x:v>-1.8924497901</x:v>
      </x:c>
      <x:c r="H819" s="42" t="b">
        <x:v>0</x:v>
      </x:c>
      <x:c r="I819" s="42" t="b">
        <x:v>0</x:v>
      </x:c>
      <x:c r="J819" s="38" t="n">
        <x:v>0.17067035</x:v>
      </x:c>
    </x:row>
    <x:row r="820" ht="19" customHeight="1">
      <x:c r="A820" s="29" t="str">
        <x:v>stagger_1</x:v>
      </x:c>
      <x:c r="B820" s="38" t="str">
        <x:v>NTR</x:v>
      </x:c>
      <x:c r="C820" s="38" t="str">
        <x:v>Other FX</x:v>
      </x:c>
      <x:c r="D820" s="30" t="n">
        <x:v>2</x:v>
      </x:c>
      <x:c r="E820" s="38" t="str">
        <x:v>EUR/USD</x:v>
      </x:c>
      <x:c r="F820" s="38" t="n">
        <x:v>5.9105123814</x:v>
      </x:c>
      <x:c r="G820" s="38" t="n">
        <x:v>1.5164057304</x:v>
      </x:c>
      <x:c r="H820" s="42" t="b">
        <x:v>1</x:v>
      </x:c>
      <x:c r="I820" s="42" t="b">
        <x:v>0</x:v>
      </x:c>
      <x:c r="J820" s="38" t="n">
        <x:v>0.17067035</x:v>
      </x:c>
    </x:row>
    <x:row r="821" ht="19" customHeight="1">
      <x:c r="A821" s="29" t="str">
        <x:v>stagger_1</x:v>
      </x:c>
      <x:c r="B821" s="38" t="str">
        <x:v>NTR</x:v>
      </x:c>
      <x:c r="C821" s="38" t="str">
        <x:v>Other FX</x:v>
      </x:c>
      <x:c r="D821" s="30" t="n">
        <x:v>2</x:v>
      </x:c>
      <x:c r="E821" s="38" t="str">
        <x:v>MXN/USD</x:v>
      </x:c>
      <x:c r="F821" s="38" t="n">
        <x:v>0.5476986909</x:v>
      </x:c>
      <x:c r="G821" s="38" t="n">
        <x:v>1.6163578565</x:v>
      </x:c>
      <x:c r="H821" s="42" t="b">
        <x:v>0</x:v>
      </x:c>
      <x:c r="I821" s="42" t="b">
        <x:v>0</x:v>
      </x:c>
      <x:c r="J821" s="38" t="n">
        <x:v>0.17067035</x:v>
      </x:c>
    </x:row>
    <x:row r="822" ht="19" customHeight="1">
      <x:c r="A822" s="29" t="str">
        <x:v>stagger_1</x:v>
      </x:c>
      <x:c r="B822" s="38" t="str">
        <x:v>NTR</x:v>
      </x:c>
      <x:c r="C822" s="38" t="str">
        <x:v>Other FX</x:v>
      </x:c>
      <x:c r="D822" s="30" t="n">
        <x:v>3</x:v>
      </x:c>
      <x:c r="E822" s="38" t="str">
        <x:v>AUD/USD</x:v>
      </x:c>
      <x:c r="F822" s="38" t="n">
        <x:v>1.3272463085</x:v>
      </x:c>
      <x:c r="G822" s="38" t="n">
        <x:v>2.9547452136</x:v>
      </x:c>
      <x:c r="H822" s="42" t="b">
        <x:v>0</x:v>
      </x:c>
      <x:c r="I822" s="42" t="b">
        <x:v>0</x:v>
      </x:c>
      <x:c r="J822" s="38" t="n">
        <x:v>0.145243254</x:v>
      </x:c>
    </x:row>
    <x:row r="823" ht="19" customHeight="1">
      <x:c r="A823" s="29" t="str">
        <x:v>stagger_1</x:v>
      </x:c>
      <x:c r="B823" s="38" t="str">
        <x:v>NTR</x:v>
      </x:c>
      <x:c r="C823" s="38" t="str">
        <x:v>Other FX</x:v>
      </x:c>
      <x:c r="D823" s="30" t="n">
        <x:v>3</x:v>
      </x:c>
      <x:c r="E823" s="38" t="str">
        <x:v>DKK/USD</x:v>
      </x:c>
      <x:c r="F823" s="38" t="n">
        <x:v>-1.5989197196</x:v>
      </x:c>
      <x:c r="G823" s="38" t="n">
        <x:v>-2.9108939275</x:v>
      </x:c>
      <x:c r="H823" s="42" t="b">
        <x:v>0</x:v>
      </x:c>
      <x:c r="I823" s="42" t="b">
        <x:v>0</x:v>
      </x:c>
      <x:c r="J823" s="38" t="n">
        <x:v>0.145243254</x:v>
      </x:c>
    </x:row>
    <x:row r="824" ht="19" customHeight="1">
      <x:c r="A824" s="29" t="str">
        <x:v>stagger_1</x:v>
      </x:c>
      <x:c r="B824" s="38" t="str">
        <x:v>NTR</x:v>
      </x:c>
      <x:c r="C824" s="38" t="str">
        <x:v>Other FX</x:v>
      </x:c>
      <x:c r="D824" s="30" t="n">
        <x:v>3</x:v>
      </x:c>
      <x:c r="E824" s="38" t="str">
        <x:v>MXN/USD</x:v>
      </x:c>
      <x:c r="F824" s="38" t="n">
        <x:v>0.4230270682</x:v>
      </x:c>
      <x:c r="G824" s="38" t="n">
        <x:v>1.2760206968</x:v>
      </x:c>
      <x:c r="H824" s="42" t="b">
        <x:v>1</x:v>
      </x:c>
      <x:c r="I824" s="42" t="b">
        <x:v>0</x:v>
      </x:c>
      <x:c r="J824" s="38" t="n">
        <x:v>0.145243254</x:v>
      </x:c>
    </x:row>
    <x:row r="825" ht="19" customHeight="1">
      <x:c r="A825" s="29" t="str">
        <x:v>stagger_1</x:v>
      </x:c>
      <x:c r="B825" s="38" t="str">
        <x:v>NTR</x:v>
      </x:c>
      <x:c r="C825" s="38" t="str">
        <x:v>Other FX</x:v>
      </x:c>
      <x:c r="D825" s="30" t="n">
        <x:v>4</x:v>
      </x:c>
      <x:c r="E825" s="38" t="str">
        <x:v>AUD/USD</x:v>
      </x:c>
      <x:c r="F825" s="38" t="n">
        <x:v>1.4485812864</x:v>
      </x:c>
      <x:c r="G825" s="38" t="n">
        <x:v>3.2862640848</x:v>
      </x:c>
      <x:c r="H825" s="42" t="b">
        <x:v>0</x:v>
      </x:c>
      <x:c r="I825" s="42" t="b">
        <x:v>1</x:v>
      </x:c>
      <x:c r="J825" s="38" t="n">
        <x:v>0.1269308913</x:v>
      </x:c>
    </x:row>
    <x:row r="826" ht="19" customHeight="1">
      <x:c r="A826" s="29" t="str">
        <x:v>stagger_1</x:v>
      </x:c>
      <x:c r="B826" s="38" t="str">
        <x:v>NTR</x:v>
      </x:c>
      <x:c r="C826" s="38" t="str">
        <x:v>Other FX</x:v>
      </x:c>
      <x:c r="D826" s="30" t="n">
        <x:v>4</x:v>
      </x:c>
      <x:c r="E826" s="38" t="str">
        <x:v>DKK/USD</x:v>
      </x:c>
      <x:c r="F826" s="38" t="n">
        <x:v>-1.3617178234</x:v>
      </x:c>
      <x:c r="G826" s="38" t="n">
        <x:v>-2.623828891</x:v>
      </x:c>
      <x:c r="H826" s="42" t="b">
        <x:v>0</x:v>
      </x:c>
      <x:c r="I826" s="42" t="b">
        <x:v>1</x:v>
      </x:c>
      <x:c r="J826" s="38" t="n">
        <x:v>0.1269308913</x:v>
      </x:c>
    </x:row>
    <x:row r="827" ht="19" customHeight="1">
      <x:c r="A827" s="29" t="str">
        <x:v>stagger_1</x:v>
      </x:c>
      <x:c r="B827" s="38" t="str">
        <x:v>NTR</x:v>
      </x:c>
      <x:c r="C827" s="38" t="str">
        <x:v>Other sectors</x:v>
      </x:c>
      <x:c r="D827" s="30" t="n">
        <x:v>1</x:v>
      </x:c>
      <x:c r="E827" s="38" t="str">
        <x:v>XLC</x:v>
      </x:c>
      <x:c r="F827" s="38" t="n">
        <x:v>0.0406331811</x:v>
      </x:c>
      <x:c r="G827" s="38" t="n">
        <x:v>0.1358387154</x:v>
      </x:c>
      <x:c r="H827" s="42" t="b">
        <x:v>0</x:v>
      </x:c>
      <x:c r="I827" s="42" t="b">
        <x:v>0</x:v>
      </x:c>
      <x:c r="J827" s="38" t="n">
        <x:v>0.1973579899</x:v>
      </x:c>
    </x:row>
    <x:row r="828" ht="19" customHeight="1">
      <x:c r="A828" s="29" t="str">
        <x:v>stagger_1</x:v>
      </x:c>
      <x:c r="B828" s="38" t="str">
        <x:v>NTR</x:v>
      </x:c>
      <x:c r="C828" s="38" t="str">
        <x:v>Other sectors</x:v>
      </x:c>
      <x:c r="D828" s="30" t="n">
        <x:v>1</x:v>
      </x:c>
      <x:c r="E828" s="38" t="str">
        <x:v>XLE</x:v>
      </x:c>
      <x:c r="F828" s="38" t="n">
        <x:v>0.1824735316</x:v>
      </x:c>
      <x:c r="G828" s="38" t="n">
        <x:v>1.5908437054</x:v>
      </x:c>
      <x:c r="H828" s="42" t="b">
        <x:v>0</x:v>
      </x:c>
      <x:c r="I828" s="42" t="b">
        <x:v>0</x:v>
      </x:c>
      <x:c r="J828" s="38" t="n">
        <x:v>0.1973579899</x:v>
      </x:c>
    </x:row>
    <x:row r="829" ht="19" customHeight="1">
      <x:c r="A829" s="29" t="str">
        <x:v>stagger_1</x:v>
      </x:c>
      <x:c r="B829" s="38" t="str">
        <x:v>NTR</x:v>
      </x:c>
      <x:c r="C829" s="38" t="str">
        <x:v>Other sectors</x:v>
      </x:c>
      <x:c r="D829" s="30" t="n">
        <x:v>1</x:v>
      </x:c>
      <x:c r="E829" s="38" t="str">
        <x:v>XLF</x:v>
      </x:c>
      <x:c r="F829" s="38" t="n">
        <x:v>-0.1018470169</x:v>
      </x:c>
      <x:c r="G829" s="38" t="n">
        <x:v>-0.3026061024</x:v>
      </x:c>
      <x:c r="H829" s="42" t="b">
        <x:v>0</x:v>
      </x:c>
      <x:c r="I829" s="42" t="b">
        <x:v>0</x:v>
      </x:c>
      <x:c r="J829" s="38" t="n">
        <x:v>0.1973579899</x:v>
      </x:c>
    </x:row>
    <x:row r="830" ht="19" customHeight="1">
      <x:c r="A830" s="29" t="str">
        <x:v>stagger_1</x:v>
      </x:c>
      <x:c r="B830" s="38" t="str">
        <x:v>NTR</x:v>
      </x:c>
      <x:c r="C830" s="38" t="str">
        <x:v>Other sectors</x:v>
      </x:c>
      <x:c r="D830" s="30" t="n">
        <x:v>1</x:v>
      </x:c>
      <x:c r="E830" s="38" t="str">
        <x:v>XLI</x:v>
      </x:c>
      <x:c r="F830" s="38" t="n">
        <x:v>-0.2046106379</x:v>
      </x:c>
      <x:c r="G830" s="38" t="n">
        <x:v>-0.7048238709</x:v>
      </x:c>
      <x:c r="H830" s="42" t="b">
        <x:v>0</x:v>
      </x:c>
      <x:c r="I830" s="42" t="b">
        <x:v>0</x:v>
      </x:c>
      <x:c r="J830" s="38" t="n">
        <x:v>0.1973579899</x:v>
      </x:c>
    </x:row>
    <x:row r="831" ht="19" customHeight="1">
      <x:c r="A831" s="29" t="str">
        <x:v>stagger_1</x:v>
      </x:c>
      <x:c r="B831" s="38" t="str">
        <x:v>NTR</x:v>
      </x:c>
      <x:c r="C831" s="38" t="str">
        <x:v>Other sectors</x:v>
      </x:c>
      <x:c r="D831" s="30" t="n">
        <x:v>1</x:v>
      </x:c>
      <x:c r="E831" s="38" t="str">
        <x:v>XLK</x:v>
      </x:c>
      <x:c r="F831" s="38" t="n">
        <x:v>-0.5577769098</x:v>
      </x:c>
      <x:c r="G831" s="38" t="n">
        <x:v>-1.1036743003</x:v>
      </x:c>
      <x:c r="H831" s="42" t="b">
        <x:v>0</x:v>
      </x:c>
      <x:c r="I831" s="42" t="b">
        <x:v>0</x:v>
      </x:c>
      <x:c r="J831" s="38" t="n">
        <x:v>0.1973579899</x:v>
      </x:c>
    </x:row>
    <x:row r="832" ht="19" customHeight="1">
      <x:c r="A832" s="29" t="str">
        <x:v>stagger_1</x:v>
      </x:c>
      <x:c r="B832" s="38" t="str">
        <x:v>NTR</x:v>
      </x:c>
      <x:c r="C832" s="38" t="str">
        <x:v>Other sectors</x:v>
      </x:c>
      <x:c r="D832" s="30" t="n">
        <x:v>1</x:v>
      </x:c>
      <x:c r="E832" s="38" t="str">
        <x:v>XLP</x:v>
      </x:c>
      <x:c r="F832" s="38" t="n">
        <x:v>-0.1638840942</x:v>
      </x:c>
      <x:c r="G832" s="38" t="n">
        <x:v>-0.4895214618</x:v>
      </x:c>
      <x:c r="H832" s="42" t="b">
        <x:v>0</x:v>
      </x:c>
      <x:c r="I832" s="42" t="b">
        <x:v>0</x:v>
      </x:c>
      <x:c r="J832" s="38" t="n">
        <x:v>0.1973579899</x:v>
      </x:c>
    </x:row>
    <x:row r="833" ht="19" customHeight="1">
      <x:c r="A833" s="29" t="str">
        <x:v>stagger_1</x:v>
      </x:c>
      <x:c r="B833" s="38" t="str">
        <x:v>NTR</x:v>
      </x:c>
      <x:c r="C833" s="38" t="str">
        <x:v>Other sectors</x:v>
      </x:c>
      <x:c r="D833" s="30" t="n">
        <x:v>1</x:v>
      </x:c>
      <x:c r="E833" s="38" t="str">
        <x:v>XLRE</x:v>
      </x:c>
      <x:c r="F833" s="38" t="n">
        <x:v>-0.3471554004</x:v>
      </x:c>
      <x:c r="G833" s="38" t="n">
        <x:v>-1.3071180717</x:v>
      </x:c>
      <x:c r="H833" s="42" t="b">
        <x:v>0</x:v>
      </x:c>
      <x:c r="I833" s="42" t="b">
        <x:v>0</x:v>
      </x:c>
      <x:c r="J833" s="38" t="n">
        <x:v>0.1973579899</x:v>
      </x:c>
    </x:row>
    <x:row r="834" ht="19" customHeight="1">
      <x:c r="A834" s="29" t="str">
        <x:v>stagger_1</x:v>
      </x:c>
      <x:c r="B834" s="38" t="str">
        <x:v>NTR</x:v>
      </x:c>
      <x:c r="C834" s="38" t="str">
        <x:v>Other sectors</x:v>
      </x:c>
      <x:c r="D834" s="30" t="n">
        <x:v>1</x:v>
      </x:c>
      <x:c r="E834" s="38" t="str">
        <x:v>XLU</x:v>
      </x:c>
      <x:c r="F834" s="38" t="n">
        <x:v>0.4685737775</x:v>
      </x:c>
      <x:c r="G834" s="38" t="n">
        <x:v>2.2304161999</x:v>
      </x:c>
      <x:c r="H834" s="42" t="b">
        <x:v>0</x:v>
      </x:c>
      <x:c r="I834" s="42" t="b">
        <x:v>0</x:v>
      </x:c>
      <x:c r="J834" s="38" t="n">
        <x:v>0.1973579899</x:v>
      </x:c>
    </x:row>
    <x:row r="835" ht="19" customHeight="1">
      <x:c r="A835" s="29" t="str">
        <x:v>stagger_1</x:v>
      </x:c>
      <x:c r="B835" s="38" t="str">
        <x:v>NTR</x:v>
      </x:c>
      <x:c r="C835" s="38" t="str">
        <x:v>Other sectors</x:v>
      </x:c>
      <x:c r="D835" s="30" t="n">
        <x:v>1</x:v>
      </x:c>
      <x:c r="E835" s="38" t="str">
        <x:v>XLV</x:v>
      </x:c>
      <x:c r="F835" s="38" t="n">
        <x:v>-0.0316121077</x:v>
      </x:c>
      <x:c r="G835" s="38" t="n">
        <x:v>-0.1108858924</x:v>
      </x:c>
      <x:c r="H835" s="42" t="b">
        <x:v>1</x:v>
      </x:c>
      <x:c r="I835" s="42" t="b">
        <x:v>0</x:v>
      </x:c>
      <x:c r="J835" s="38" t="n">
        <x:v>0.1973579899</x:v>
      </x:c>
    </x:row>
    <x:row r="836" ht="19" customHeight="1">
      <x:c r="A836" s="29" t="str">
        <x:v>stagger_1</x:v>
      </x:c>
      <x:c r="B836" s="38" t="str">
        <x:v>NTR</x:v>
      </x:c>
      <x:c r="C836" s="38" t="str">
        <x:v>Other sectors</x:v>
      </x:c>
      <x:c r="D836" s="30" t="n">
        <x:v>1</x:v>
      </x:c>
      <x:c r="E836" s="38" t="str">
        <x:v>XLY</x:v>
      </x:c>
      <x:c r="F836" s="38" t="n">
        <x:v>0.0941241592</x:v>
      </x:c>
      <x:c r="G836" s="38" t="n">
        <x:v>0.2910935386</x:v>
      </x:c>
      <x:c r="H836" s="42" t="b">
        <x:v>0</x:v>
      </x:c>
      <x:c r="I836" s="42" t="b">
        <x:v>0</x:v>
      </x:c>
      <x:c r="J836" s="38" t="n">
        <x:v>0.1973579899</x:v>
      </x:c>
    </x:row>
    <x:row r="837" ht="19" customHeight="1">
      <x:c r="A837" s="29" t="str">
        <x:v>stagger_1</x:v>
      </x:c>
      <x:c r="B837" s="38" t="str">
        <x:v>NTR</x:v>
      </x:c>
      <x:c r="C837" s="38" t="str">
        <x:v>Other sectors</x:v>
      </x:c>
      <x:c r="D837" s="30" t="n">
        <x:v>2</x:v>
      </x:c>
      <x:c r="E837" s="38" t="str">
        <x:v>XLC</x:v>
      </x:c>
      <x:c r="F837" s="38" t="n">
        <x:v>0.04817497</x:v>
      </x:c>
      <x:c r="G837" s="38" t="n">
        <x:v>0.1665623576</x:v>
      </x:c>
      <x:c r="H837" s="42" t="b">
        <x:v>1</x:v>
      </x:c>
      <x:c r="I837" s="42" t="b">
        <x:v>0</x:v>
      </x:c>
      <x:c r="J837" s="38" t="n">
        <x:v>0.1972149605</x:v>
      </x:c>
    </x:row>
    <x:row r="838" ht="19" customHeight="1">
      <x:c r="A838" s="29" t="str">
        <x:v>stagger_1</x:v>
      </x:c>
      <x:c r="B838" s="38" t="str">
        <x:v>NTR</x:v>
      </x:c>
      <x:c r="C838" s="38" t="str">
        <x:v>Other sectors</x:v>
      </x:c>
      <x:c r="D838" s="30" t="n">
        <x:v>2</x:v>
      </x:c>
      <x:c r="E838" s="38" t="str">
        <x:v>XLE</x:v>
      </x:c>
      <x:c r="F838" s="38" t="n">
        <x:v>0.1859307351</x:v>
      </x:c>
      <x:c r="G838" s="38" t="n">
        <x:v>1.6964145853</x:v>
      </x:c>
      <x:c r="H838" s="42" t="b">
        <x:v>0</x:v>
      </x:c>
      <x:c r="I838" s="42" t="b">
        <x:v>0</x:v>
      </x:c>
      <x:c r="J838" s="38" t="n">
        <x:v>0.1972149605</x:v>
      </x:c>
    </x:row>
    <x:row r="839" ht="19" customHeight="1">
      <x:c r="A839" s="29" t="str">
        <x:v>stagger_1</x:v>
      </x:c>
      <x:c r="B839" s="38" t="str">
        <x:v>NTR</x:v>
      </x:c>
      <x:c r="C839" s="38" t="str">
        <x:v>Other sectors</x:v>
      </x:c>
      <x:c r="D839" s="30" t="n">
        <x:v>2</x:v>
      </x:c>
      <x:c r="E839" s="38" t="str">
        <x:v>XLF</x:v>
      </x:c>
      <x:c r="F839" s="38" t="n">
        <x:v>-0.0938137609</x:v>
      </x:c>
      <x:c r="G839" s="38" t="n">
        <x:v>-0.287463888</x:v>
      </x:c>
      <x:c r="H839" s="42" t="b">
        <x:v>0</x:v>
      </x:c>
      <x:c r="I839" s="42" t="b">
        <x:v>0</x:v>
      </x:c>
      <x:c r="J839" s="38" t="n">
        <x:v>0.1972149605</x:v>
      </x:c>
    </x:row>
    <x:row r="840" ht="19" customHeight="1">
      <x:c r="A840" s="29" t="str">
        <x:v>stagger_1</x:v>
      </x:c>
      <x:c r="B840" s="38" t="str">
        <x:v>NTR</x:v>
      </x:c>
      <x:c r="C840" s="38" t="str">
        <x:v>Other sectors</x:v>
      </x:c>
      <x:c r="D840" s="30" t="n">
        <x:v>2</x:v>
      </x:c>
      <x:c r="E840" s="38" t="str">
        <x:v>XLI</x:v>
      </x:c>
      <x:c r="F840" s="38" t="n">
        <x:v>-0.1984688315</x:v>
      </x:c>
      <x:c r="G840" s="38" t="n">
        <x:v>-0.7014276931</x:v>
      </x:c>
      <x:c r="H840" s="42" t="b">
        <x:v>0</x:v>
      </x:c>
      <x:c r="I840" s="42" t="b">
        <x:v>0</x:v>
      </x:c>
      <x:c r="J840" s="38" t="n">
        <x:v>0.1972149605</x:v>
      </x:c>
    </x:row>
    <x:row r="841" ht="19" customHeight="1">
      <x:c r="A841" s="29" t="str">
        <x:v>stagger_1</x:v>
      </x:c>
      <x:c r="B841" s="38" t="str">
        <x:v>NTR</x:v>
      </x:c>
      <x:c r="C841" s="38" t="str">
        <x:v>Other sectors</x:v>
      </x:c>
      <x:c r="D841" s="30" t="n">
        <x:v>2</x:v>
      </x:c>
      <x:c r="E841" s="38" t="str">
        <x:v>XLK</x:v>
      </x:c>
      <x:c r="F841" s="38" t="n">
        <x:v>-0.5269760128</x:v>
      </x:c>
      <x:c r="G841" s="38" t="n">
        <x:v>-1.2570629061</x:v>
      </x:c>
      <x:c r="H841" s="42" t="b">
        <x:v>0</x:v>
      </x:c>
      <x:c r="I841" s="42" t="b">
        <x:v>0</x:v>
      </x:c>
      <x:c r="J841" s="38" t="n">
        <x:v>0.1972149605</x:v>
      </x:c>
    </x:row>
    <x:row r="842" ht="19" customHeight="1">
      <x:c r="A842" s="29" t="str">
        <x:v>stagger_1</x:v>
      </x:c>
      <x:c r="B842" s="38" t="str">
        <x:v>NTR</x:v>
      </x:c>
      <x:c r="C842" s="38" t="str">
        <x:v>Other sectors</x:v>
      </x:c>
      <x:c r="D842" s="30" t="n">
        <x:v>2</x:v>
      </x:c>
      <x:c r="E842" s="38" t="str">
        <x:v>XLP</x:v>
      </x:c>
      <x:c r="F842" s="38" t="n">
        <x:v>-0.1650300461</x:v>
      </x:c>
      <x:c r="G842" s="38" t="n">
        <x:v>-0.4966961063</x:v>
      </x:c>
      <x:c r="H842" s="42" t="b">
        <x:v>0</x:v>
      </x:c>
      <x:c r="I842" s="42" t="b">
        <x:v>0</x:v>
      </x:c>
      <x:c r="J842" s="38" t="n">
        <x:v>0.1972149605</x:v>
      </x:c>
    </x:row>
    <x:row r="843" ht="19" customHeight="1">
      <x:c r="A843" s="29" t="str">
        <x:v>stagger_1</x:v>
      </x:c>
      <x:c r="B843" s="38" t="str">
        <x:v>NTR</x:v>
      </x:c>
      <x:c r="C843" s="38" t="str">
        <x:v>Other sectors</x:v>
      </x:c>
      <x:c r="D843" s="30" t="n">
        <x:v>2</x:v>
      </x:c>
      <x:c r="E843" s="38" t="str">
        <x:v>XLRE</x:v>
      </x:c>
      <x:c r="F843" s="38" t="n">
        <x:v>-0.3532403613</x:v>
      </x:c>
      <x:c r="G843" s="38" t="n">
        <x:v>-1.3690556888</x:v>
      </x:c>
      <x:c r="H843" s="42" t="b">
        <x:v>0</x:v>
      </x:c>
      <x:c r="I843" s="42" t="b">
        <x:v>0</x:v>
      </x:c>
      <x:c r="J843" s="38" t="n">
        <x:v>0.1972149605</x:v>
      </x:c>
    </x:row>
    <x:row r="844" ht="19" customHeight="1">
      <x:c r="A844" s="29" t="str">
        <x:v>stagger_1</x:v>
      </x:c>
      <x:c r="B844" s="38" t="str">
        <x:v>NTR</x:v>
      </x:c>
      <x:c r="C844" s="38" t="str">
        <x:v>Other sectors</x:v>
      </x:c>
      <x:c r="D844" s="30" t="n">
        <x:v>2</x:v>
      </x:c>
      <x:c r="E844" s="38" t="str">
        <x:v>XLU</x:v>
      </x:c>
      <x:c r="F844" s="38" t="n">
        <x:v>0.4719643044</x:v>
      </x:c>
      <x:c r="G844" s="38" t="n">
        <x:v>2.2869265929</x:v>
      </x:c>
      <x:c r="H844" s="42" t="b">
        <x:v>0</x:v>
      </x:c>
      <x:c r="I844" s="42" t="b">
        <x:v>0</x:v>
      </x:c>
      <x:c r="J844" s="38" t="n">
        <x:v>0.1972149605</x:v>
      </x:c>
    </x:row>
    <x:row r="845" ht="19" customHeight="1">
      <x:c r="A845" s="29" t="str">
        <x:v>stagger_1</x:v>
      </x:c>
      <x:c r="B845" s="38" t="str">
        <x:v>NTR</x:v>
      </x:c>
      <x:c r="C845" s="38" t="str">
        <x:v>Other sectors</x:v>
      </x:c>
      <x:c r="D845" s="30" t="n">
        <x:v>2</x:v>
      </x:c>
      <x:c r="E845" s="38" t="str">
        <x:v>XLY</x:v>
      </x:c>
      <x:c r="F845" s="38" t="n">
        <x:v>0.112494068</x:v>
      </x:c>
      <x:c r="G845" s="38" t="n">
        <x:v>0.4080045076</x:v>
      </x:c>
      <x:c r="H845" s="42" t="b">
        <x:v>0</x:v>
      </x:c>
      <x:c r="I845" s="42" t="b">
        <x:v>0</x:v>
      </x:c>
      <x:c r="J845" s="38" t="n">
        <x:v>0.1972149605</x:v>
      </x:c>
    </x:row>
    <x:row r="846" ht="19" customHeight="1">
      <x:c r="A846" s="29" t="str">
        <x:v>stagger_1</x:v>
      </x:c>
      <x:c r="B846" s="38" t="str">
        <x:v>NTR</x:v>
      </x:c>
      <x:c r="C846" s="38" t="str">
        <x:v>Other sectors</x:v>
      </x:c>
      <x:c r="D846" s="30" t="n">
        <x:v>3</x:v>
      </x:c>
      <x:c r="E846" s="38" t="str">
        <x:v>XLE</x:v>
      </x:c>
      <x:c r="F846" s="38" t="n">
        <x:v>0.185097153</x:v>
      </x:c>
      <x:c r="G846" s="38" t="n">
        <x:v>1.7022677963</x:v>
      </x:c>
      <x:c r="H846" s="42" t="b">
        <x:v>0</x:v>
      </x:c>
      <x:c r="I846" s="42" t="b">
        <x:v>0</x:v>
      </x:c>
      <x:c r="J846" s="38" t="n">
        <x:v>0.1968967936</x:v>
      </x:c>
    </x:row>
    <x:row r="847" ht="19" customHeight="1">
      <x:c r="A847" s="29" t="str">
        <x:v>stagger_1</x:v>
      </x:c>
      <x:c r="B847" s="38" t="str">
        <x:v>NTR</x:v>
      </x:c>
      <x:c r="C847" s="38" t="str">
        <x:v>Other sectors</x:v>
      </x:c>
      <x:c r="D847" s="30" t="n">
        <x:v>3</x:v>
      </x:c>
      <x:c r="E847" s="38" t="str">
        <x:v>XLF</x:v>
      </x:c>
      <x:c r="F847" s="38" t="n">
        <x:v>-0.1040542982</x:v>
      </x:c>
      <x:c r="G847" s="38" t="n">
        <x:v>-0.32690222</x:v>
      </x:c>
      <x:c r="H847" s="42" t="b">
        <x:v>1</x:v>
      </x:c>
      <x:c r="I847" s="42" t="b">
        <x:v>0</x:v>
      </x:c>
      <x:c r="J847" s="38" t="n">
        <x:v>0.1968967936</x:v>
      </x:c>
    </x:row>
    <x:row r="848" ht="19" customHeight="1">
      <x:c r="A848" s="29" t="str">
        <x:v>stagger_1</x:v>
      </x:c>
      <x:c r="B848" s="38" t="str">
        <x:v>NTR</x:v>
      </x:c>
      <x:c r="C848" s="38" t="str">
        <x:v>Other sectors</x:v>
      </x:c>
      <x:c r="D848" s="30" t="n">
        <x:v>3</x:v>
      </x:c>
      <x:c r="E848" s="38" t="str">
        <x:v>XLI</x:v>
      </x:c>
      <x:c r="F848" s="38" t="n">
        <x:v>-0.207005318</x:v>
      </x:c>
      <x:c r="G848" s="38" t="n">
        <x:v>-0.7490485408</x:v>
      </x:c>
      <x:c r="H848" s="42" t="b">
        <x:v>0</x:v>
      </x:c>
      <x:c r="I848" s="42" t="b">
        <x:v>0</x:v>
      </x:c>
      <x:c r="J848" s="38" t="n">
        <x:v>0.1968967936</x:v>
      </x:c>
    </x:row>
    <x:row r="849" ht="19" customHeight="1">
      <x:c r="A849" s="29" t="str">
        <x:v>stagger_1</x:v>
      </x:c>
      <x:c r="B849" s="38" t="str">
        <x:v>NTR</x:v>
      </x:c>
      <x:c r="C849" s="38" t="str">
        <x:v>Other sectors</x:v>
      </x:c>
      <x:c r="D849" s="30" t="n">
        <x:v>3</x:v>
      </x:c>
      <x:c r="E849" s="38" t="str">
        <x:v>XLK</x:v>
      </x:c>
      <x:c r="F849" s="38" t="n">
        <x:v>-0.5573046826</x:v>
      </x:c>
      <x:c r="G849" s="38" t="n">
        <x:v>-1.4861141253</x:v>
      </x:c>
      <x:c r="H849" s="42" t="b">
        <x:v>0</x:v>
      </x:c>
      <x:c r="I849" s="42" t="b">
        <x:v>0</x:v>
      </x:c>
      <x:c r="J849" s="38" t="n">
        <x:v>0.1968967936</x:v>
      </x:c>
    </x:row>
    <x:row r="850" ht="19" customHeight="1">
      <x:c r="A850" s="29" t="str">
        <x:v>stagger_1</x:v>
      </x:c>
      <x:c r="B850" s="38" t="str">
        <x:v>NTR</x:v>
      </x:c>
      <x:c r="C850" s="38" t="str">
        <x:v>Other sectors</x:v>
      </x:c>
      <x:c r="D850" s="30" t="n">
        <x:v>3</x:v>
      </x:c>
      <x:c r="E850" s="38" t="str">
        <x:v>XLP</x:v>
      </x:c>
      <x:c r="F850" s="38" t="n">
        <x:v>-0.1643871189</x:v>
      </x:c>
      <x:c r="G850" s="38" t="n">
        <x:v>-0.4982174536</x:v>
      </x:c>
      <x:c r="H850" s="42" t="b">
        <x:v>0</x:v>
      </x:c>
      <x:c r="I850" s="42" t="b">
        <x:v>0</x:v>
      </x:c>
      <x:c r="J850" s="38" t="n">
        <x:v>0.1968967936</x:v>
      </x:c>
    </x:row>
    <x:row r="851" ht="19" customHeight="1">
      <x:c r="A851" s="29" t="str">
        <x:v>stagger_1</x:v>
      </x:c>
      <x:c r="B851" s="38" t="str">
        <x:v>NTR</x:v>
      </x:c>
      <x:c r="C851" s="38" t="str">
        <x:v>Other sectors</x:v>
      </x:c>
      <x:c r="D851" s="30" t="n">
        <x:v>3</x:v>
      </x:c>
      <x:c r="E851" s="38" t="str">
        <x:v>XLRE</x:v>
      </x:c>
      <x:c r="F851" s="38" t="n">
        <x:v>-0.360509565</x:v>
      </x:c>
      <x:c r="G851" s="38" t="n">
        <x:v>-1.4274632477</x:v>
      </x:c>
      <x:c r="H851" s="42" t="b">
        <x:v>0</x:v>
      </x:c>
      <x:c r="I851" s="42" t="b">
        <x:v>0</x:v>
      </x:c>
      <x:c r="J851" s="38" t="n">
        <x:v>0.1968967936</x:v>
      </x:c>
    </x:row>
    <x:row r="852" ht="19" customHeight="1">
      <x:c r="A852" s="29" t="str">
        <x:v>stagger_1</x:v>
      </x:c>
      <x:c r="B852" s="38" t="str">
        <x:v>NTR</x:v>
      </x:c>
      <x:c r="C852" s="38" t="str">
        <x:v>Other sectors</x:v>
      </x:c>
      <x:c r="D852" s="30" t="n">
        <x:v>3</x:v>
      </x:c>
      <x:c r="E852" s="38" t="str">
        <x:v>XLU</x:v>
      </x:c>
      <x:c r="F852" s="38" t="n">
        <x:v>0.4654104997</x:v>
      </x:c>
      <x:c r="G852" s="38" t="n">
        <x:v>2.3132042302</x:v>
      </x:c>
      <x:c r="H852" s="42" t="b">
        <x:v>0</x:v>
      </x:c>
      <x:c r="I852" s="42" t="b">
        <x:v>0</x:v>
      </x:c>
      <x:c r="J852" s="38" t="n">
        <x:v>0.1968967936</x:v>
      </x:c>
    </x:row>
    <x:row r="853" ht="19" customHeight="1">
      <x:c r="A853" s="29" t="str">
        <x:v>stagger_1</x:v>
      </x:c>
      <x:c r="B853" s="38" t="str">
        <x:v>NTR</x:v>
      </x:c>
      <x:c r="C853" s="38" t="str">
        <x:v>Other sectors</x:v>
      </x:c>
      <x:c r="D853" s="30" t="n">
        <x:v>3</x:v>
      </x:c>
      <x:c r="E853" s="38" t="str">
        <x:v>XLY</x:v>
      </x:c>
      <x:c r="F853" s="38" t="n">
        <x:v>0.1197476354</x:v>
      </x:c>
      <x:c r="G853" s="38" t="n">
        <x:v>0.4428761659</x:v>
      </x:c>
      <x:c r="H853" s="42" t="b">
        <x:v>0</x:v>
      </x:c>
      <x:c r="I853" s="42" t="b">
        <x:v>0</x:v>
      </x:c>
      <x:c r="J853" s="38" t="n">
        <x:v>0.1968967936</x:v>
      </x:c>
    </x:row>
    <x:row r="854" ht="19" customHeight="1">
      <x:c r="A854" s="29" t="str">
        <x:v>stagger_1</x:v>
      </x:c>
      <x:c r="B854" s="38" t="str">
        <x:v>NTR</x:v>
      </x:c>
      <x:c r="C854" s="38" t="str">
        <x:v>Other sectors</x:v>
      </x:c>
      <x:c r="D854" s="30" t="n">
        <x:v>4</x:v>
      </x:c>
      <x:c r="E854" s="38" t="str">
        <x:v>XLE</x:v>
      </x:c>
      <x:c r="F854" s="38" t="n">
        <x:v>0.1892708778</x:v>
      </x:c>
      <x:c r="G854" s="38" t="n">
        <x:v>1.7637500946</x:v>
      </x:c>
      <x:c r="H854" s="42" t="b">
        <x:v>0</x:v>
      </x:c>
      <x:c r="I854" s="42" t="b">
        <x:v>0</x:v>
      </x:c>
      <x:c r="J854" s="38" t="n">
        <x:v>0.1956880095</x:v>
      </x:c>
    </x:row>
    <x:row r="855" ht="19" customHeight="1">
      <x:c r="A855" s="29" t="str">
        <x:v>stagger_1</x:v>
      </x:c>
      <x:c r="B855" s="38" t="str">
        <x:v>NTR</x:v>
      </x:c>
      <x:c r="C855" s="38" t="str">
        <x:v>Other sectors</x:v>
      </x:c>
      <x:c r="D855" s="30" t="n">
        <x:v>4</x:v>
      </x:c>
      <x:c r="E855" s="38" t="str">
        <x:v>XLI</x:v>
      </x:c>
      <x:c r="F855" s="38" t="n">
        <x:v>-0.2344761878</x:v>
      </x:c>
      <x:c r="G855" s="38" t="n">
        <x:v>-0.8962009825</x:v>
      </x:c>
      <x:c r="H855" s="42" t="b">
        <x:v>0</x:v>
      </x:c>
      <x:c r="I855" s="42" t="b">
        <x:v>0</x:v>
      </x:c>
      <x:c r="J855" s="38" t="n">
        <x:v>0.1956880095</x:v>
      </x:c>
    </x:row>
    <x:row r="856" ht="19" customHeight="1">
      <x:c r="A856" s="29" t="str">
        <x:v>stagger_1</x:v>
      </x:c>
      <x:c r="B856" s="38" t="str">
        <x:v>NTR</x:v>
      </x:c>
      <x:c r="C856" s="38" t="str">
        <x:v>Other sectors</x:v>
      </x:c>
      <x:c r="D856" s="30" t="n">
        <x:v>4</x:v>
      </x:c>
      <x:c r="E856" s="38" t="str">
        <x:v>XLK</x:v>
      </x:c>
      <x:c r="F856" s="38" t="n">
        <x:v>-0.4792372529</x:v>
      </x:c>
      <x:c r="G856" s="38" t="n">
        <x:v>-1.6678444416</x:v>
      </x:c>
      <x:c r="H856" s="42" t="b">
        <x:v>0</x:v>
      </x:c>
      <x:c r="I856" s="42" t="b">
        <x:v>0</x:v>
      </x:c>
      <x:c r="J856" s="38" t="n">
        <x:v>0.1956880095</x:v>
      </x:c>
    </x:row>
    <x:row r="857" ht="19" customHeight="1">
      <x:c r="A857" s="29" t="str">
        <x:v>stagger_1</x:v>
      </x:c>
      <x:c r="B857" s="38" t="str">
        <x:v>NTR</x:v>
      </x:c>
      <x:c r="C857" s="38" t="str">
        <x:v>Other sectors</x:v>
      </x:c>
      <x:c r="D857" s="30" t="n">
        <x:v>4</x:v>
      </x:c>
      <x:c r="E857" s="38" t="str">
        <x:v>XLP</x:v>
      </x:c>
      <x:c r="F857" s="38" t="n">
        <x:v>-0.1117554405</x:v>
      </x:c>
      <x:c r="G857" s="38" t="n">
        <x:v>-0.3904645185</x:v>
      </x:c>
      <x:c r="H857" s="42" t="b">
        <x:v>1</x:v>
      </x:c>
      <x:c r="I857" s="42" t="b">
        <x:v>0</x:v>
      </x:c>
      <x:c r="J857" s="38" t="n">
        <x:v>0.1956880095</x:v>
      </x:c>
    </x:row>
    <x:row r="858" ht="19" customHeight="1">
      <x:c r="A858" s="29" t="str">
        <x:v>stagger_1</x:v>
      </x:c>
      <x:c r="B858" s="38" t="str">
        <x:v>NTR</x:v>
      </x:c>
      <x:c r="C858" s="38" t="str">
        <x:v>Other sectors</x:v>
      </x:c>
      <x:c r="D858" s="30" t="n">
        <x:v>4</x:v>
      </x:c>
      <x:c r="E858" s="38" t="str">
        <x:v>XLRE</x:v>
      </x:c>
      <x:c r="F858" s="38" t="n">
        <x:v>-0.3756783011</x:v>
      </x:c>
      <x:c r="G858" s="38" t="n">
        <x:v>-1.5227600631</x:v>
      </x:c>
      <x:c r="H858" s="42" t="b">
        <x:v>0</x:v>
      </x:c>
      <x:c r="I858" s="42" t="b">
        <x:v>0</x:v>
      </x:c>
      <x:c r="J858" s="38" t="n">
        <x:v>0.1956880095</x:v>
      </x:c>
    </x:row>
    <x:row r="859" ht="19" customHeight="1">
      <x:c r="A859" s="29" t="str">
        <x:v>stagger_1</x:v>
      </x:c>
      <x:c r="B859" s="38" t="str">
        <x:v>NTR</x:v>
      </x:c>
      <x:c r="C859" s="38" t="str">
        <x:v>Other sectors</x:v>
      </x:c>
      <x:c r="D859" s="30" t="n">
        <x:v>4</x:v>
      </x:c>
      <x:c r="E859" s="38" t="str">
        <x:v>XLU</x:v>
      </x:c>
      <x:c r="F859" s="38" t="n">
        <x:v>0.4749513044</x:v>
      </x:c>
      <x:c r="G859" s="38" t="n">
        <x:v>2.4007966088</x:v>
      </x:c>
      <x:c r="H859" s="42" t="b">
        <x:v>0</x:v>
      </x:c>
      <x:c r="I859" s="42" t="b">
        <x:v>0</x:v>
      </x:c>
      <x:c r="J859" s="38" t="n">
        <x:v>0.1956880095</x:v>
      </x:c>
    </x:row>
    <x:row r="860" ht="19" customHeight="1">
      <x:c r="A860" s="29" t="str">
        <x:v>stagger_1</x:v>
      </x:c>
      <x:c r="B860" s="38" t="str">
        <x:v>NTR</x:v>
      </x:c>
      <x:c r="C860" s="38" t="str">
        <x:v>Other sectors</x:v>
      </x:c>
      <x:c r="D860" s="30" t="n">
        <x:v>4</x:v>
      </x:c>
      <x:c r="E860" s="38" t="str">
        <x:v>XLY</x:v>
      </x:c>
      <x:c r="F860" s="38" t="n">
        <x:v>0.1472035985</x:v>
      </x:c>
      <x:c r="G860" s="38" t="n">
        <x:v>0.5763377201</x:v>
      </x:c>
      <x:c r="H860" s="42" t="b">
        <x:v>0</x:v>
      </x:c>
      <x:c r="I860" s="42" t="b">
        <x:v>0</x:v>
      </x:c>
      <x:c r="J860" s="38" t="n">
        <x:v>0.1956880095</x:v>
      </x:c>
    </x:row>
    <x:row r="861" ht="19" customHeight="1">
      <x:c r="A861" s="29" t="str">
        <x:v>stagger_1</x:v>
      </x:c>
      <x:c r="B861" s="38" t="str">
        <x:v>NTR</x:v>
      </x:c>
      <x:c r="C861" s="38" t="str">
        <x:v>Other sectors</x:v>
      </x:c>
      <x:c r="D861" s="30" t="n">
        <x:v>5</x:v>
      </x:c>
      <x:c r="E861" s="38" t="str">
        <x:v>XLE</x:v>
      </x:c>
      <x:c r="F861" s="38" t="n">
        <x:v>0.195703326</x:v>
      </x:c>
      <x:c r="G861" s="38" t="n">
        <x:v>1.856376177</x:v>
      </x:c>
      <x:c r="H861" s="42" t="b">
        <x:v>0</x:v>
      </x:c>
      <x:c r="I861" s="42" t="b">
        <x:v>0</x:v>
      </x:c>
      <x:c r="J861" s="38" t="n">
        <x:v>0.1939848505</x:v>
      </x:c>
    </x:row>
    <x:row r="862" ht="19" customHeight="1">
      <x:c r="A862" s="29" t="str">
        <x:v>stagger_1</x:v>
      </x:c>
      <x:c r="B862" s="38" t="str">
        <x:v>NTR</x:v>
      </x:c>
      <x:c r="C862" s="38" t="str">
        <x:v>Other sectors</x:v>
      </x:c>
      <x:c r="D862" s="30" t="n">
        <x:v>5</x:v>
      </x:c>
      <x:c r="E862" s="38" t="str">
        <x:v>XLI</x:v>
      </x:c>
      <x:c r="F862" s="38" t="n">
        <x:v>-0.2549630059</x:v>
      </x:c>
      <x:c r="G862" s="38" t="n">
        <x:v>-1.0005365243</x:v>
      </x:c>
      <x:c r="H862" s="42" t="b">
        <x:v>0</x:v>
      </x:c>
      <x:c r="I862" s="42" t="b">
        <x:v>0</x:v>
      </x:c>
      <x:c r="J862" s="38" t="n">
        <x:v>0.1939848505</x:v>
      </x:c>
    </x:row>
    <x:row r="863" ht="19" customHeight="1">
      <x:c r="A863" s="29" t="str">
        <x:v>stagger_1</x:v>
      </x:c>
      <x:c r="B863" s="38" t="str">
        <x:v>NTR</x:v>
      </x:c>
      <x:c r="C863" s="38" t="str">
        <x:v>Other sectors</x:v>
      </x:c>
      <x:c r="D863" s="30" t="n">
        <x:v>5</x:v>
      </x:c>
      <x:c r="E863" s="38" t="str">
        <x:v>XLK</x:v>
      </x:c>
      <x:c r="F863" s="38" t="n">
        <x:v>-0.4450234422</x:v>
      </x:c>
      <x:c r="G863" s="38" t="n">
        <x:v>-1.6357554011</x:v>
      </x:c>
      <x:c r="H863" s="42" t="b">
        <x:v>0</x:v>
      </x:c>
      <x:c r="I863" s="42" t="b">
        <x:v>0</x:v>
      </x:c>
      <x:c r="J863" s="38" t="n">
        <x:v>0.1939848505</x:v>
      </x:c>
    </x:row>
    <x:row r="864" ht="19" customHeight="1">
      <x:c r="A864" s="29" t="str">
        <x:v>stagger_1</x:v>
      </x:c>
      <x:c r="B864" s="38" t="str">
        <x:v>NTR</x:v>
      </x:c>
      <x:c r="C864" s="38" t="str">
        <x:v>Other sectors</x:v>
      </x:c>
      <x:c r="D864" s="30" t="n">
        <x:v>5</x:v>
      </x:c>
      <x:c r="E864" s="38" t="str">
        <x:v>XLRE</x:v>
      </x:c>
      <x:c r="F864" s="38" t="n">
        <x:v>-0.40770852</x:v>
      </x:c>
      <x:c r="G864" s="38" t="n">
        <x:v>-1.7625523123</x:v>
      </x:c>
      <x:c r="H864" s="42" t="b">
        <x:v>0</x:v>
      </x:c>
      <x:c r="I864" s="42" t="b">
        <x:v>0</x:v>
      </x:c>
      <x:c r="J864" s="38" t="n">
        <x:v>0.1939848505</x:v>
      </x:c>
    </x:row>
    <x:row r="865" ht="19" customHeight="1">
      <x:c r="A865" s="29" t="str">
        <x:v>stagger_1</x:v>
      </x:c>
      <x:c r="B865" s="38" t="str">
        <x:v>NTR</x:v>
      </x:c>
      <x:c r="C865" s="38" t="str">
        <x:v>Other sectors</x:v>
      </x:c>
      <x:c r="D865" s="30" t="n">
        <x:v>5</x:v>
      </x:c>
      <x:c r="E865" s="38" t="str">
        <x:v>XLU</x:v>
      </x:c>
      <x:c r="F865" s="38" t="n">
        <x:v>0.4607935961</x:v>
      </x:c>
      <x:c r="G865" s="38" t="n">
        <x:v>2.383242872</x:v>
      </x:c>
      <x:c r="H865" s="42" t="b">
        <x:v>0</x:v>
      </x:c>
      <x:c r="I865" s="42" t="b">
        <x:v>0</x:v>
      </x:c>
      <x:c r="J865" s="38" t="n">
        <x:v>0.1939848505</x:v>
      </x:c>
    </x:row>
    <x:row r="866" ht="19" customHeight="1">
      <x:c r="A866" s="29" t="str">
        <x:v>stagger_1</x:v>
      </x:c>
      <x:c r="B866" s="38" t="str">
        <x:v>NTR</x:v>
      </x:c>
      <x:c r="C866" s="38" t="str">
        <x:v>Other sectors</x:v>
      </x:c>
      <x:c r="D866" s="30" t="n">
        <x:v>5</x:v>
      </x:c>
      <x:c r="E866" s="38" t="str">
        <x:v>XLY</x:v>
      </x:c>
      <x:c r="F866" s="38" t="n">
        <x:v>0.1726668104</x:v>
      </x:c>
      <x:c r="G866" s="38" t="n">
        <x:v>0.7033016588</x:v>
      </x:c>
      <x:c r="H866" s="42" t="b">
        <x:v>1</x:v>
      </x:c>
      <x:c r="I866" s="42" t="b">
        <x:v>0</x:v>
      </x:c>
      <x:c r="J866" s="38" t="n">
        <x:v>0.1939848505</x:v>
      </x:c>
    </x:row>
    <x:row r="867" ht="19" customHeight="1">
      <x:c r="A867" s="29" t="str">
        <x:v>stagger_1</x:v>
      </x:c>
      <x:c r="B867" s="38" t="str">
        <x:v>NTR</x:v>
      </x:c>
      <x:c r="C867" s="38" t="str">
        <x:v>Other sectors</x:v>
      </x:c>
      <x:c r="D867" s="30" t="n">
        <x:v>6</x:v>
      </x:c>
      <x:c r="E867" s="38" t="str">
        <x:v>XLE</x:v>
      </x:c>
      <x:c r="F867" s="38" t="n">
        <x:v>0.169363646</x:v>
      </x:c>
      <x:c r="G867" s="38" t="n">
        <x:v>1.7245309978</x:v>
      </x:c>
      <x:c r="H867" s="42" t="b">
        <x:v>0</x:v>
      </x:c>
      <x:c r="I867" s="42" t="b">
        <x:v>0</x:v>
      </x:c>
      <x:c r="J867" s="38" t="n">
        <x:v>0.188523455</x:v>
      </x:c>
    </x:row>
    <x:row r="868" ht="19" customHeight="1">
      <x:c r="A868" s="29" t="str">
        <x:v>stagger_1</x:v>
      </x:c>
      <x:c r="B868" s="38" t="str">
        <x:v>NTR</x:v>
      </x:c>
      <x:c r="C868" s="38" t="str">
        <x:v>Other sectors</x:v>
      </x:c>
      <x:c r="D868" s="30" t="n">
        <x:v>6</x:v>
      </x:c>
      <x:c r="E868" s="38" t="str">
        <x:v>XLI</x:v>
      </x:c>
      <x:c r="F868" s="38" t="n">
        <x:v>-0.2842728156</x:v>
      </x:c>
      <x:c r="G868" s="38" t="n">
        <x:v>-1.1346606459</x:v>
      </x:c>
      <x:c r="H868" s="42" t="b">
        <x:v>1</x:v>
      </x:c>
      <x:c r="I868" s="42" t="b">
        <x:v>0</x:v>
      </x:c>
      <x:c r="J868" s="38" t="n">
        <x:v>0.188523455</x:v>
      </x:c>
    </x:row>
    <x:row r="869" ht="19" customHeight="1">
      <x:c r="A869" s="29" t="str">
        <x:v>stagger_1</x:v>
      </x:c>
      <x:c r="B869" s="38" t="str">
        <x:v>NTR</x:v>
      </x:c>
      <x:c r="C869" s="38" t="str">
        <x:v>Other sectors</x:v>
      </x:c>
      <x:c r="D869" s="30" t="n">
        <x:v>6</x:v>
      </x:c>
      <x:c r="E869" s="38" t="str">
        <x:v>XLK</x:v>
      </x:c>
      <x:c r="F869" s="38" t="n">
        <x:v>-0.5083583845</x:v>
      </x:c>
      <x:c r="G869" s="38" t="n">
        <x:v>-1.9869757152</x:v>
      </x:c>
      <x:c r="H869" s="42" t="b">
        <x:v>0</x:v>
      </x:c>
      <x:c r="I869" s="42" t="b">
        <x:v>0</x:v>
      </x:c>
      <x:c r="J869" s="38" t="n">
        <x:v>0.188523455</x:v>
      </x:c>
    </x:row>
    <x:row r="870" ht="19" customHeight="1">
      <x:c r="A870" s="29" t="str">
        <x:v>stagger_1</x:v>
      </x:c>
      <x:c r="B870" s="38" t="str">
        <x:v>NTR</x:v>
      </x:c>
      <x:c r="C870" s="38" t="str">
        <x:v>Other sectors</x:v>
      </x:c>
      <x:c r="D870" s="30" t="n">
        <x:v>6</x:v>
      </x:c>
      <x:c r="E870" s="38" t="str">
        <x:v>XLRE</x:v>
      </x:c>
      <x:c r="F870" s="38" t="n">
        <x:v>-0.3939754546</x:v>
      </x:c>
      <x:c r="G870" s="38" t="n">
        <x:v>-1.7151509039</x:v>
      </x:c>
      <x:c r="H870" s="42" t="b">
        <x:v>0</x:v>
      </x:c>
      <x:c r="I870" s="42" t="b">
        <x:v>0</x:v>
      </x:c>
      <x:c r="J870" s="38" t="n">
        <x:v>0.188523455</x:v>
      </x:c>
    </x:row>
    <x:row r="871" ht="19" customHeight="1">
      <x:c r="A871" s="29" t="str">
        <x:v>stagger_1</x:v>
      </x:c>
      <x:c r="B871" s="38" t="str">
        <x:v>NTR</x:v>
      </x:c>
      <x:c r="C871" s="38" t="str">
        <x:v>Other sectors</x:v>
      </x:c>
      <x:c r="D871" s="30" t="n">
        <x:v>6</x:v>
      </x:c>
      <x:c r="E871" s="38" t="str">
        <x:v>XLU</x:v>
      </x:c>
      <x:c r="F871" s="38" t="n">
        <x:v>0.441348986</x:v>
      </x:c>
      <x:c r="G871" s="38" t="n">
        <x:v>2.3142921136</x:v>
      </x:c>
      <x:c r="H871" s="42" t="b">
        <x:v>0</x:v>
      </x:c>
      <x:c r="I871" s="42" t="b">
        <x:v>0</x:v>
      </x:c>
      <x:c r="J871" s="38" t="n">
        <x:v>0.188523455</x:v>
      </x:c>
    </x:row>
    <x:row r="872" ht="19" customHeight="1">
      <x:c r="A872" s="29" t="str">
        <x:v>stagger_1</x:v>
      </x:c>
      <x:c r="B872" s="38" t="str">
        <x:v>NTR</x:v>
      </x:c>
      <x:c r="C872" s="38" t="str">
        <x:v>Other sectors</x:v>
      </x:c>
      <x:c r="D872" s="30" t="n">
        <x:v>7</x:v>
      </x:c>
      <x:c r="E872" s="38" t="str">
        <x:v>XLE</x:v>
      </x:c>
      <x:c r="F872" s="38" t="n">
        <x:v>0.1619793569</x:v>
      </x:c>
      <x:c r="G872" s="38" t="n">
        <x:v>1.6498157683</x:v>
      </x:c>
      <x:c r="H872" s="42" t="b">
        <x:v>1</x:v>
      </x:c>
      <x:c r="I872" s="42" t="b">
        <x:v>0</x:v>
      </x:c>
      <x:c r="J872" s="38" t="n">
        <x:v>0.1744053555</x:v>
      </x:c>
    </x:row>
    <x:row r="873" ht="19" customHeight="1">
      <x:c r="A873" s="29" t="str">
        <x:v>stagger_1</x:v>
      </x:c>
      <x:c r="B873" s="38" t="str">
        <x:v>NTR</x:v>
      </x:c>
      <x:c r="C873" s="38" t="str">
        <x:v>Other sectors</x:v>
      </x:c>
      <x:c r="D873" s="30" t="n">
        <x:v>7</x:v>
      </x:c>
      <x:c r="E873" s="38" t="str">
        <x:v>XLK</x:v>
      </x:c>
      <x:c r="F873" s="38" t="n">
        <x:v>-0.4510365442</x:v>
      </x:c>
      <x:c r="G873" s="38" t="n">
        <x:v>-1.7948975854</x:v>
      </x:c>
      <x:c r="H873" s="42" t="b">
        <x:v>0</x:v>
      </x:c>
      <x:c r="I873" s="42" t="b">
        <x:v>0</x:v>
      </x:c>
      <x:c r="J873" s="38" t="n">
        <x:v>0.1744053555</x:v>
      </x:c>
    </x:row>
    <x:row r="874" ht="19" customHeight="1">
      <x:c r="A874" s="29" t="str">
        <x:v>stagger_1</x:v>
      </x:c>
      <x:c r="B874" s="38" t="str">
        <x:v>NTR</x:v>
      </x:c>
      <x:c r="C874" s="38" t="str">
        <x:v>Other sectors</x:v>
      </x:c>
      <x:c r="D874" s="30" t="n">
        <x:v>7</x:v>
      </x:c>
      <x:c r="E874" s="38" t="str">
        <x:v>XLRE</x:v>
      </x:c>
      <x:c r="F874" s="38" t="n">
        <x:v>-0.3936436278</x:v>
      </x:c>
      <x:c r="G874" s="38" t="n">
        <x:v>-1.710433023</x:v>
      </x:c>
      <x:c r="H874" s="42" t="b">
        <x:v>0</x:v>
      </x:c>
      <x:c r="I874" s="42" t="b">
        <x:v>0</x:v>
      </x:c>
      <x:c r="J874" s="38" t="n">
        <x:v>0.1744053555</x:v>
      </x:c>
    </x:row>
    <x:row r="875" ht="19" customHeight="1">
      <x:c r="A875" s="29" t="str">
        <x:v>stagger_1</x:v>
      </x:c>
      <x:c r="B875" s="38" t="str">
        <x:v>NTR</x:v>
      </x:c>
      <x:c r="C875" s="38" t="str">
        <x:v>Other sectors</x:v>
      </x:c>
      <x:c r="D875" s="30" t="n">
        <x:v>7</x:v>
      </x:c>
      <x:c r="E875" s="38" t="str">
        <x:v>XLU</x:v>
      </x:c>
      <x:c r="F875" s="38" t="n">
        <x:v>0.3843966413</x:v>
      </x:c>
      <x:c r="G875" s="38" t="n">
        <x:v>2.0853250919</x:v>
      </x:c>
      <x:c r="H875" s="42" t="b">
        <x:v>0</x:v>
      </x:c>
      <x:c r="I875" s="42" t="b">
        <x:v>0</x:v>
      </x:c>
      <x:c r="J875" s="38" t="n">
        <x:v>0.1744053555</x:v>
      </x:c>
    </x:row>
    <x:row r="876" ht="19" customHeight="1">
      <x:c r="A876" s="29" t="str">
        <x:v>stagger_1</x:v>
      </x:c>
      <x:c r="B876" s="38" t="str">
        <x:v>NTR</x:v>
      </x:c>
      <x:c r="C876" s="38" t="str">
        <x:v>Other sectors</x:v>
      </x:c>
      <x:c r="D876" s="30" t="n">
        <x:v>8</x:v>
      </x:c>
      <x:c r="E876" s="38" t="str">
        <x:v>XLK</x:v>
      </x:c>
      <x:c r="F876" s="38" t="n">
        <x:v>-0.6085578052</x:v>
      </x:c>
      <x:c r="G876" s="38" t="n">
        <x:v>-2.5889325931</x:v>
      </x:c>
      <x:c r="H876" s="42" t="b">
        <x:v>0</x:v>
      </x:c>
      <x:c r="I876" s="42" t="b">
        <x:v>0</x:v>
      </x:c>
      <x:c r="J876" s="38" t="n">
        <x:v>0.144442962</x:v>
      </x:c>
    </x:row>
    <x:row r="877" ht="19" customHeight="1">
      <x:c r="A877" s="29" t="str">
        <x:v>stagger_1</x:v>
      </x:c>
      <x:c r="B877" s="38" t="str">
        <x:v>NTR</x:v>
      </x:c>
      <x:c r="C877" s="38" t="str">
        <x:v>Other sectors</x:v>
      </x:c>
      <x:c r="D877" s="30" t="n">
        <x:v>8</x:v>
      </x:c>
      <x:c r="E877" s="38" t="str">
        <x:v>XLRE</x:v>
      </x:c>
      <x:c r="F877" s="38" t="n">
        <x:v>-0.4074511058</x:v>
      </x:c>
      <x:c r="G877" s="38" t="n">
        <x:v>-1.751865693</x:v>
      </x:c>
      <x:c r="H877" s="42" t="b">
        <x:v>1</x:v>
      </x:c>
      <x:c r="I877" s="42" t="b">
        <x:v>0</x:v>
      </x:c>
      <x:c r="J877" s="38" t="n">
        <x:v>0.144442962</x:v>
      </x:c>
    </x:row>
    <x:row r="878" ht="19" customHeight="1">
      <x:c r="A878" s="29" t="str">
        <x:v>stagger_1</x:v>
      </x:c>
      <x:c r="B878" s="38" t="str">
        <x:v>NTR</x:v>
      </x:c>
      <x:c r="C878" s="38" t="str">
        <x:v>Other sectors</x:v>
      </x:c>
      <x:c r="D878" s="30" t="n">
        <x:v>8</x:v>
      </x:c>
      <x:c r="E878" s="38" t="str">
        <x:v>XLU</x:v>
      </x:c>
      <x:c r="F878" s="38" t="n">
        <x:v>0.3665416829</x:v>
      </x:c>
      <x:c r="G878" s="38" t="n">
        <x:v>1.9697107581</x:v>
      </x:c>
      <x:c r="H878" s="42" t="b">
        <x:v>0</x:v>
      </x:c>
      <x:c r="I878" s="42" t="b">
        <x:v>0</x:v>
      </x:c>
      <x:c r="J878" s="38" t="n">
        <x:v>0.144442962</x:v>
      </x:c>
    </x:row>
    <x:row r="879" ht="19" customHeight="1">
      <x:c r="A879" s="29" t="str">
        <x:v>stagger_1</x:v>
      </x:c>
      <x:c r="B879" s="38" t="str">
        <x:v>NTR</x:v>
      </x:c>
      <x:c r="C879" s="38" t="str">
        <x:v>Other sectors</x:v>
      </x:c>
      <x:c r="D879" s="30" t="n">
        <x:v>9</x:v>
      </x:c>
      <x:c r="E879" s="38" t="str">
        <x:v>XLK</x:v>
      </x:c>
      <x:c r="F879" s="38" t="n">
        <x:v>-0.4543621334</x:v>
      </x:c>
      <x:c r="G879" s="38" t="n">
        <x:v>-2.0571554822</x:v>
      </x:c>
      <x:c r="H879" s="42" t="b">
        <x:v>0</x:v>
      </x:c>
      <x:c r="I879" s="42" t="b">
        <x:v>0</x:v>
      </x:c>
      <x:c r="J879" s="38" t="n">
        <x:v>0.1098938419</x:v>
      </x:c>
    </x:row>
    <x:row r="880" ht="19" customHeight="1">
      <x:c r="A880" s="29" t="str">
        <x:v>stagger_1</x:v>
      </x:c>
      <x:c r="B880" s="38" t="str">
        <x:v>NTR</x:v>
      </x:c>
      <x:c r="C880" s="38" t="str">
        <x:v>Other sectors</x:v>
      </x:c>
      <x:c r="D880" s="30" t="n">
        <x:v>9</x:v>
      </x:c>
      <x:c r="E880" s="38" t="str">
        <x:v>XLU</x:v>
      </x:c>
      <x:c r="F880" s="38" t="n">
        <x:v>0.2324341295</x:v>
      </x:c>
      <x:c r="G880" s="38" t="n">
        <x:v>1.3523193818</x:v>
      </x:c>
      <x:c r="H880" s="42" t="b">
        <x:v>1</x:v>
      </x:c>
      <x:c r="I880" s="42" t="b">
        <x:v>0</x:v>
      </x:c>
      <x:c r="J880" s="38" t="n">
        <x:v>0.1098938419</x:v>
      </x:c>
    </x:row>
    <x:row r="881" ht="19" customHeight="1">
      <x:c r="A881" s="29" t="str">
        <x:v>stagger_1</x:v>
      </x:c>
      <x:c r="B881" s="38" t="str">
        <x:v>NTR</x:v>
      </x:c>
      <x:c r="C881" s="38" t="str">
        <x:v>Other sectors</x:v>
      </x:c>
      <x:c r="D881" s="30" t="n">
        <x:v>10</x:v>
      </x:c>
      <x:c r="E881" s="38" t="str">
        <x:v>XLK</x:v>
      </x:c>
      <x:c r="F881" s="38" t="n">
        <x:v>-0.5668997003</x:v>
      </x:c>
      <x:c r="G881" s="38" t="n">
        <x:v>-2.7562742013</x:v>
      </x:c>
      <x:c r="H881" s="42" t="b">
        <x:v>0</x:v>
      </x:c>
      <x:c r="I881" s="42" t="b">
        <x:v>1</x:v>
      </x:c>
      <x:c r="J881" s="38" t="n">
        <x:v>0.0887536159</x:v>
      </x:c>
    </x:row>
    <x:row r="882" ht="19" customHeight="1">
      <x:c r="A882" s="29" t="str">
        <x:v>stagger_1</x:v>
      </x:c>
      <x:c r="B882" s="38" t="str">
        <x:v>LNN</x:v>
      </x:c>
      <x:c r="C882" s="38" t="str">
        <x:v>Other FX</x:v>
      </x:c>
      <x:c r="D882" s="30" t="n">
        <x:v>1</x:v>
      </x:c>
      <x:c r="E882" s="38" t="str">
        <x:v>AUD/USD</x:v>
      </x:c>
      <x:c r="F882" s="38" t="n">
        <x:v>0.8673135894</x:v>
      </x:c>
      <x:c r="G882" s="38" t="n">
        <x:v>1.4673514335</x:v>
      </x:c>
      <x:c r="H882" s="42" t="b">
        <x:v>0</x:v>
      </x:c>
      <x:c r="I882" s="42" t="b">
        <x:v>0</x:v>
      </x:c>
      <x:c r="J882" s="38" t="n">
        <x:v>0.1519831719</x:v>
      </x:c>
    </x:row>
    <x:row r="883" ht="19" customHeight="1">
      <x:c r="A883" s="29" t="str">
        <x:v>stagger_1</x:v>
      </x:c>
      <x:c r="B883" s="38" t="str">
        <x:v>LNN</x:v>
      </x:c>
      <x:c r="C883" s="38" t="str">
        <x:v>Other FX</x:v>
      </x:c>
      <x:c r="D883" s="30" t="n">
        <x:v>1</x:v>
      </x:c>
      <x:c r="E883" s="38" t="str">
        <x:v>CAD/USD</x:v>
      </x:c>
      <x:c r="F883" s="38" t="n">
        <x:v>-0.0821712818</x:v>
      </x:c>
      <x:c r="G883" s="38" t="n">
        <x:v>-0.1151263041</x:v>
      </x:c>
      <x:c r="H883" s="42" t="b">
        <x:v>1</x:v>
      </x:c>
      <x:c r="I883" s="42" t="b">
        <x:v>0</x:v>
      </x:c>
      <x:c r="J883" s="38" t="n">
        <x:v>0.1519831719</x:v>
      </x:c>
    </x:row>
    <x:row r="884" ht="19" customHeight="1">
      <x:c r="A884" s="29" t="str">
        <x:v>stagger_1</x:v>
      </x:c>
      <x:c r="B884" s="38" t="str">
        <x:v>LNN</x:v>
      </x:c>
      <x:c r="C884" s="38" t="str">
        <x:v>Other FX</x:v>
      </x:c>
      <x:c r="D884" s="30" t="n">
        <x:v>1</x:v>
      </x:c>
      <x:c r="E884" s="38" t="str">
        <x:v>DKK/USD</x:v>
      </x:c>
      <x:c r="F884" s="38" t="n">
        <x:v>3.2165355968</x:v>
      </x:c>
      <x:c r="G884" s="38" t="n">
        <x:v>0.6473243272</x:v>
      </x:c>
      <x:c r="H884" s="42" t="b">
        <x:v>0</x:v>
      </x:c>
      <x:c r="I884" s="42" t="b">
        <x:v>0</x:v>
      </x:c>
      <x:c r="J884" s="38" t="n">
        <x:v>0.1519831719</x:v>
      </x:c>
    </x:row>
    <x:row r="885" ht="19" customHeight="1">
      <x:c r="A885" s="29" t="str">
        <x:v>stagger_1</x:v>
      </x:c>
      <x:c r="B885" s="38" t="str">
        <x:v>LNN</x:v>
      </x:c>
      <x:c r="C885" s="38" t="str">
        <x:v>Other FX</x:v>
      </x:c>
      <x:c r="D885" s="30" t="n">
        <x:v>1</x:v>
      </x:c>
      <x:c r="E885" s="38" t="str">
        <x:v>EUR/USD</x:v>
      </x:c>
      <x:c r="F885" s="38" t="n">
        <x:v>-4.1496106565</x:v>
      </x:c>
      <x:c r="G885" s="38" t="n">
        <x:v>-0.9129697469</x:v>
      </x:c>
      <x:c r="H885" s="42" t="b">
        <x:v>0</x:v>
      </x:c>
      <x:c r="I885" s="42" t="b">
        <x:v>0</x:v>
      </x:c>
      <x:c r="J885" s="38" t="n">
        <x:v>0.1519831719</x:v>
      </x:c>
    </x:row>
    <x:row r="886" ht="19" customHeight="1">
      <x:c r="A886" s="29" t="str">
        <x:v>stagger_1</x:v>
      </x:c>
      <x:c r="B886" s="38" t="str">
        <x:v>LNN</x:v>
      </x:c>
      <x:c r="C886" s="38" t="str">
        <x:v>Other FX</x:v>
      </x:c>
      <x:c r="D886" s="30" t="n">
        <x:v>1</x:v>
      </x:c>
      <x:c r="E886" s="38" t="str">
        <x:v>MXN/USD</x:v>
      </x:c>
      <x:c r="F886" s="38" t="n">
        <x:v>0.0560529058</x:v>
      </x:c>
      <x:c r="G886" s="38" t="n">
        <x:v>0.1480257022</x:v>
      </x:c>
      <x:c r="H886" s="42" t="b">
        <x:v>0</x:v>
      </x:c>
      <x:c r="I886" s="42" t="b">
        <x:v>0</x:v>
      </x:c>
      <x:c r="J886" s="38" t="n">
        <x:v>0.1519831719</x:v>
      </x:c>
    </x:row>
    <x:row r="887" ht="19" customHeight="1">
      <x:c r="A887" s="29" t="str">
        <x:v>stagger_1</x:v>
      </x:c>
      <x:c r="B887" s="38" t="str">
        <x:v>LNN</x:v>
      </x:c>
      <x:c r="C887" s="38" t="str">
        <x:v>Other FX</x:v>
      </x:c>
      <x:c r="D887" s="30" t="n">
        <x:v>1</x:v>
      </x:c>
      <x:c r="E887" s="38" t="str">
        <x:v>SGD/USD</x:v>
      </x:c>
      <x:c r="F887" s="38" t="n">
        <x:v>1.7659094469</x:v>
      </x:c>
      <x:c r="G887" s="38" t="n">
        <x:v>1.2339481231</x:v>
      </x:c>
      <x:c r="H887" s="42" t="b">
        <x:v>0</x:v>
      </x:c>
      <x:c r="I887" s="42" t="b">
        <x:v>0</x:v>
      </x:c>
      <x:c r="J887" s="38" t="n">
        <x:v>0.1519831719</x:v>
      </x:c>
    </x:row>
    <x:row r="888" ht="19" customHeight="1">
      <x:c r="A888" s="29" t="str">
        <x:v>stagger_1</x:v>
      </x:c>
      <x:c r="B888" s="38" t="str">
        <x:v>LNN</x:v>
      </x:c>
      <x:c r="C888" s="38" t="str">
        <x:v>Other FX</x:v>
      </x:c>
      <x:c r="D888" s="30" t="n">
        <x:v>2</x:v>
      </x:c>
      <x:c r="E888" s="38" t="str">
        <x:v>AUD/USD</x:v>
      </x:c>
      <x:c r="F888" s="38" t="n">
        <x:v>0.8507546171</x:v>
      </x:c>
      <x:c r="G888" s="38" t="n">
        <x:v>1.4939366399</x:v>
      </x:c>
      <x:c r="H888" s="42" t="b">
        <x:v>0</x:v>
      </x:c>
      <x:c r="I888" s="42" t="b">
        <x:v>0</x:v>
      </x:c>
      <x:c r="J888" s="38" t="n">
        <x:v>0.1518292038</x:v>
      </x:c>
    </x:row>
    <x:row r="889" ht="19" customHeight="1">
      <x:c r="A889" s="29" t="str">
        <x:v>stagger_1</x:v>
      </x:c>
      <x:c r="B889" s="38" t="str">
        <x:v>LNN</x:v>
      </x:c>
      <x:c r="C889" s="38" t="str">
        <x:v>Other FX</x:v>
      </x:c>
      <x:c r="D889" s="30" t="n">
        <x:v>2</x:v>
      </x:c>
      <x:c r="E889" s="38" t="str">
        <x:v>DKK/USD</x:v>
      </x:c>
      <x:c r="F889" s="38" t="n">
        <x:v>3.1596133209</x:v>
      </x:c>
      <x:c r="G889" s="38" t="n">
        <x:v>0.6433439433</x:v>
      </x:c>
      <x:c r="H889" s="42" t="b">
        <x:v>0</x:v>
      </x:c>
      <x:c r="I889" s="42" t="b">
        <x:v>0</x:v>
      </x:c>
      <x:c r="J889" s="38" t="n">
        <x:v>0.1518292038</x:v>
      </x:c>
    </x:row>
    <x:row r="890" ht="19" customHeight="1">
      <x:c r="A890" s="29" t="str">
        <x:v>stagger_1</x:v>
      </x:c>
      <x:c r="B890" s="38" t="str">
        <x:v>LNN</x:v>
      </x:c>
      <x:c r="C890" s="38" t="str">
        <x:v>Other FX</x:v>
      </x:c>
      <x:c r="D890" s="30" t="n">
        <x:v>2</x:v>
      </x:c>
      <x:c r="E890" s="38" t="str">
        <x:v>EUR/USD</x:v>
      </x:c>
      <x:c r="F890" s="38" t="n">
        <x:v>-4.117833868</x:v>
      </x:c>
      <x:c r="G890" s="38" t="n">
        <x:v>-0.9137663142</x:v>
      </x:c>
      <x:c r="H890" s="42" t="b">
        <x:v>0</x:v>
      </x:c>
      <x:c r="I890" s="42" t="b">
        <x:v>0</x:v>
      </x:c>
      <x:c r="J890" s="38" t="n">
        <x:v>0.1518292038</x:v>
      </x:c>
    </x:row>
    <x:row r="891" ht="19" customHeight="1">
      <x:c r="A891" s="29" t="str">
        <x:v>stagger_1</x:v>
      </x:c>
      <x:c r="B891" s="38" t="str">
        <x:v>LNN</x:v>
      </x:c>
      <x:c r="C891" s="38" t="str">
        <x:v>Other FX</x:v>
      </x:c>
      <x:c r="D891" s="30" t="n">
        <x:v>2</x:v>
      </x:c>
      <x:c r="E891" s="38" t="str">
        <x:v>MXN/USD</x:v>
      </x:c>
      <x:c r="F891" s="38" t="n">
        <x:v>0.0569258122</x:v>
      </x:c>
      <x:c r="G891" s="38" t="n">
        <x:v>0.1513736627</x:v>
      </x:c>
      <x:c r="H891" s="42" t="b">
        <x:v>1</x:v>
      </x:c>
      <x:c r="I891" s="42" t="b">
        <x:v>0</x:v>
      </x:c>
      <x:c r="J891" s="38" t="n">
        <x:v>0.1518292038</x:v>
      </x:c>
    </x:row>
    <x:row r="892" ht="19" customHeight="1">
      <x:c r="A892" s="29" t="str">
        <x:v>stagger_1</x:v>
      </x:c>
      <x:c r="B892" s="38" t="str">
        <x:v>LNN</x:v>
      </x:c>
      <x:c r="C892" s="38" t="str">
        <x:v>Other FX</x:v>
      </x:c>
      <x:c r="D892" s="30" t="n">
        <x:v>2</x:v>
      </x:c>
      <x:c r="E892" s="38" t="str">
        <x:v>SGD/USD</x:v>
      </x:c>
      <x:c r="F892" s="38" t="n">
        <x:v>1.7655057893</x:v>
      </x:c>
      <x:c r="G892" s="38" t="n">
        <x:v>1.2419780742</x:v>
      </x:c>
      <x:c r="H892" s="42" t="b">
        <x:v>0</x:v>
      </x:c>
      <x:c r="I892" s="42" t="b">
        <x:v>0</x:v>
      </x:c>
      <x:c r="J892" s="38" t="n">
        <x:v>0.1518292038</x:v>
      </x:c>
    </x:row>
    <x:row r="893" ht="19" customHeight="1">
      <x:c r="A893" s="29" t="str">
        <x:v>stagger_1</x:v>
      </x:c>
      <x:c r="B893" s="38" t="str">
        <x:v>LNN</x:v>
      </x:c>
      <x:c r="C893" s="38" t="str">
        <x:v>Other FX</x:v>
      </x:c>
      <x:c r="D893" s="30" t="n">
        <x:v>3</x:v>
      </x:c>
      <x:c r="E893" s="38" t="str">
        <x:v>AUD/USD</x:v>
      </x:c>
      <x:c r="F893" s="38" t="n">
        <x:v>0.8669893931</x:v>
      </x:c>
      <x:c r="G893" s="38" t="n">
        <x:v>1.5603825079</x:v>
      </x:c>
      <x:c r="H893" s="42" t="b">
        <x:v>0</x:v>
      </x:c>
      <x:c r="I893" s="42" t="b">
        <x:v>0</x:v>
      </x:c>
      <x:c r="J893" s="38" t="n">
        <x:v>0.151566569</x:v>
      </x:c>
    </x:row>
    <x:row r="894" ht="19" customHeight="1">
      <x:c r="A894" s="29" t="str">
        <x:v>stagger_1</x:v>
      </x:c>
      <x:c r="B894" s="38" t="str">
        <x:v>LNN</x:v>
      </x:c>
      <x:c r="C894" s="38" t="str">
        <x:v>Other FX</x:v>
      </x:c>
      <x:c r="D894" s="30" t="n">
        <x:v>3</x:v>
      </x:c>
      <x:c r="E894" s="38" t="str">
        <x:v>DKK/USD</x:v>
      </x:c>
      <x:c r="F894" s="38" t="n">
        <x:v>3.3841652804</x:v>
      </x:c>
      <x:c r="G894" s="38" t="n">
        <x:v>0.7275822543</x:v>
      </x:c>
      <x:c r="H894" s="42" t="b">
        <x:v>1</x:v>
      </x:c>
      <x:c r="I894" s="42" t="b">
        <x:v>0</x:v>
      </x:c>
      <x:c r="J894" s="38" t="n">
        <x:v>0.151566569</x:v>
      </x:c>
    </x:row>
    <x:row r="895" ht="19" customHeight="1">
      <x:c r="A895" s="29" t="str">
        <x:v>stagger_1</x:v>
      </x:c>
      <x:c r="B895" s="38" t="str">
        <x:v>LNN</x:v>
      </x:c>
      <x:c r="C895" s="38" t="str">
        <x:v>Other FX</x:v>
      </x:c>
      <x:c r="D895" s="30" t="n">
        <x:v>3</x:v>
      </x:c>
      <x:c r="E895" s="38" t="str">
        <x:v>EUR/USD</x:v>
      </x:c>
      <x:c r="F895" s="38" t="n">
        <x:v>-4.2968047177</x:v>
      </x:c>
      <x:c r="G895" s="38" t="n">
        <x:v>-0.9945936683</x:v>
      </x:c>
      <x:c r="H895" s="42" t="b">
        <x:v>0</x:v>
      </x:c>
      <x:c r="I895" s="42" t="b">
        <x:v>0</x:v>
      </x:c>
      <x:c r="J895" s="38" t="n">
        <x:v>0.151566569</x:v>
      </x:c>
    </x:row>
    <x:row r="896" ht="19" customHeight="1">
      <x:c r="A896" s="29" t="str">
        <x:v>stagger_1</x:v>
      </x:c>
      <x:c r="B896" s="38" t="str">
        <x:v>LNN</x:v>
      </x:c>
      <x:c r="C896" s="38" t="str">
        <x:v>Other FX</x:v>
      </x:c>
      <x:c r="D896" s="30" t="n">
        <x:v>3</x:v>
      </x:c>
      <x:c r="E896" s="38" t="str">
        <x:v>SGD/USD</x:v>
      </x:c>
      <x:c r="F896" s="38" t="n">
        <x:v>1.7423457446</x:v>
      </x:c>
      <x:c r="G896" s="38" t="n">
        <x:v>1.2409572912</x:v>
      </x:c>
      <x:c r="H896" s="42" t="b">
        <x:v>0</x:v>
      </x:c>
      <x:c r="I896" s="42" t="b">
        <x:v>0</x:v>
      </x:c>
      <x:c r="J896" s="38" t="n">
        <x:v>0.151566569</x:v>
      </x:c>
    </x:row>
    <x:row r="897" ht="19" customHeight="1">
      <x:c r="A897" s="29" t="str">
        <x:v>stagger_1</x:v>
      </x:c>
      <x:c r="B897" s="38" t="str">
        <x:v>LNN</x:v>
      </x:c>
      <x:c r="C897" s="38" t="str">
        <x:v>Other FX</x:v>
      </x:c>
      <x:c r="D897" s="30" t="n">
        <x:v>4</x:v>
      </x:c>
      <x:c r="E897" s="38" t="str">
        <x:v>AUD/USD</x:v>
      </x:c>
      <x:c r="F897" s="38" t="n">
        <x:v>0.9003048845</x:v>
      </x:c>
      <x:c r="G897" s="38" t="n">
        <x:v>1.630930744</x:v>
      </x:c>
      <x:c r="H897" s="42" t="b">
        <x:v>1</x:v>
      </x:c>
      <x:c r="I897" s="42" t="b">
        <x:v>0</x:v>
      </x:c>
      <x:c r="J897" s="38" t="n">
        <x:v>0.1455780324</x:v>
      </x:c>
    </x:row>
    <x:row r="898" ht="19" customHeight="1">
      <x:c r="A898" s="29" t="str">
        <x:v>stagger_1</x:v>
      </x:c>
      <x:c r="B898" s="38" t="str">
        <x:v>LNN</x:v>
      </x:c>
      <x:c r="C898" s="38" t="str">
        <x:v>Other FX</x:v>
      </x:c>
      <x:c r="D898" s="30" t="n">
        <x:v>4</x:v>
      </x:c>
      <x:c r="E898" s="38" t="str">
        <x:v>EUR/USD</x:v>
      </x:c>
      <x:c r="F898" s="38" t="n">
        <x:v>-1.1920263036</x:v>
      </x:c>
      <x:c r="G898" s="38" t="n">
        <x:v>-1.773976496</x:v>
      </x:c>
      <x:c r="H898" s="42" t="b">
        <x:v>0</x:v>
      </x:c>
      <x:c r="I898" s="42" t="b">
        <x:v>0</x:v>
      </x:c>
      <x:c r="J898" s="38" t="n">
        <x:v>0.1455780324</x:v>
      </x:c>
    </x:row>
    <x:row r="899" ht="19" customHeight="1">
      <x:c r="A899" s="29" t="str">
        <x:v>stagger_1</x:v>
      </x:c>
      <x:c r="B899" s="38" t="str">
        <x:v>LNN</x:v>
      </x:c>
      <x:c r="C899" s="38" t="str">
        <x:v>Other FX</x:v>
      </x:c>
      <x:c r="D899" s="30" t="n">
        <x:v>4</x:v>
      </x:c>
      <x:c r="E899" s="38" t="str">
        <x:v>SGD/USD</x:v>
      </x:c>
      <x:c r="F899" s="38" t="n">
        <x:v>2.1236514731</x:v>
      </x:c>
      <x:c r="G899" s="38" t="n">
        <x:v>1.6354409351</x:v>
      </x:c>
      <x:c r="H899" s="42" t="b">
        <x:v>0</x:v>
      </x:c>
      <x:c r="I899" s="42" t="b">
        <x:v>0</x:v>
      </x:c>
      <x:c r="J899" s="38" t="n">
        <x:v>0.1455780324</x:v>
      </x:c>
    </x:row>
    <x:row r="900" ht="19" customHeight="1">
      <x:c r="A900" s="29" t="str">
        <x:v>stagger_1</x:v>
      </x:c>
      <x:c r="B900" s="38" t="str">
        <x:v>LNN</x:v>
      </x:c>
      <x:c r="C900" s="38" t="str">
        <x:v>Other FX</x:v>
      </x:c>
      <x:c r="D900" s="30" t="n">
        <x:v>5</x:v>
      </x:c>
      <x:c r="E900" s="38" t="str">
        <x:v>EUR/USD</x:v>
      </x:c>
      <x:c r="F900" s="38" t="n">
        <x:v>-1.0805887652</x:v>
      </x:c>
      <x:c r="G900" s="38" t="n">
        <x:v>-1.5993665513</x:v>
      </x:c>
      <x:c r="H900" s="42" t="b">
        <x:v>1</x:v>
      </x:c>
      <x:c r="I900" s="42" t="b">
        <x:v>0</x:v>
      </x:c>
      <x:c r="J900" s="38" t="n">
        <x:v>0.1156739933</x:v>
      </x:c>
    </x:row>
    <x:row r="901" ht="19" customHeight="1">
      <x:c r="A901" s="29" t="str">
        <x:v>stagger_1</x:v>
      </x:c>
      <x:c r="B901" s="38" t="str">
        <x:v>LNN</x:v>
      </x:c>
      <x:c r="C901" s="38" t="str">
        <x:v>Other FX</x:v>
      </x:c>
      <x:c r="D901" s="30" t="n">
        <x:v>5</x:v>
      </x:c>
      <x:c r="E901" s="38" t="str">
        <x:v>SGD/USD</x:v>
      </x:c>
      <x:c r="F901" s="38" t="n">
        <x:v>3.2683811901</x:v>
      </x:c>
      <x:c r="G901" s="38" t="n">
        <x:v>2.9599810204</x:v>
      </x:c>
      <x:c r="H901" s="42" t="b">
        <x:v>0</x:v>
      </x:c>
      <x:c r="I901" s="42" t="b">
        <x:v>0</x:v>
      </x:c>
      <x:c r="J901" s="38" t="n">
        <x:v>0.1156739933</x:v>
      </x:c>
    </x:row>
    <x:row r="902" ht="19" customHeight="1">
      <x:c r="A902" s="29" t="str">
        <x:v>stagger_1</x:v>
      </x:c>
      <x:c r="B902" s="38" t="str">
        <x:v>LNN</x:v>
      </x:c>
      <x:c r="C902" s="38" t="str">
        <x:v>Other FX</x:v>
      </x:c>
      <x:c r="D902" s="30" t="n">
        <x:v>6</x:v>
      </x:c>
      <x:c r="E902" s="38" t="str">
        <x:v>SGD/USD</x:v>
      </x:c>
      <x:c r="F902" s="38" t="n">
        <x:v>1.888102965</x:v>
      </x:c>
      <x:c r="G902" s="38" t="n">
        <x:v>2.7141928228</x:v>
      </x:c>
      <x:c r="H902" s="42" t="b">
        <x:v>0</x:v>
      </x:c>
      <x:c r="I902" s="42" t="b">
        <x:v>1</x:v>
      </x:c>
      <x:c r="J902" s="38" t="n">
        <x:v>0.0862963002</x:v>
      </x:c>
    </x:row>
    <x:row r="903" ht="19" customHeight="1">
      <x:c r="A903" s="29" t="str">
        <x:v>stagger_1</x:v>
      </x:c>
      <x:c r="B903" s="38" t="str">
        <x:v>LNN</x:v>
      </x:c>
      <x:c r="C903" s="38" t="str">
        <x:v>Other sectors</x:v>
      </x:c>
      <x:c r="D903" s="30" t="n">
        <x:v>1</x:v>
      </x:c>
      <x:c r="E903" s="38" t="str">
        <x:v>XLB</x:v>
      </x:c>
      <x:c r="F903" s="38" t="n">
        <x:v>0.2014335757</x:v>
      </x:c>
      <x:c r="G903" s="38" t="n">
        <x:v>0.9040419081</x:v>
      </x:c>
      <x:c r="H903" s="42" t="b">
        <x:v>1</x:v>
      </x:c>
      <x:c r="I903" s="42" t="b">
        <x:v>0</x:v>
      </x:c>
      <x:c r="J903" s="38" t="n">
        <x:v>0.3170280688</x:v>
      </x:c>
    </x:row>
    <x:row r="904" ht="19" customHeight="1">
      <x:c r="A904" s="29" t="str">
        <x:v>stagger_1</x:v>
      </x:c>
      <x:c r="B904" s="38" t="str">
        <x:v>LNN</x:v>
      </x:c>
      <x:c r="C904" s="38" t="str">
        <x:v>Other sectors</x:v>
      </x:c>
      <x:c r="D904" s="30" t="n">
        <x:v>1</x:v>
      </x:c>
      <x:c r="E904" s="38" t="str">
        <x:v>XLC</x:v>
      </x:c>
      <x:c r="F904" s="38" t="n">
        <x:v>0.7554438391</x:v>
      </x:c>
      <x:c r="G904" s="38" t="n">
        <x:v>2.5777418015</x:v>
      </x:c>
      <x:c r="H904" s="42" t="b">
        <x:v>0</x:v>
      </x:c>
      <x:c r="I904" s="42" t="b">
        <x:v>0</x:v>
      </x:c>
      <x:c r="J904" s="38" t="n">
        <x:v>0.3170280688</x:v>
      </x:c>
    </x:row>
    <x:row r="905" ht="19" customHeight="1">
      <x:c r="A905" s="29" t="str">
        <x:v>stagger_1</x:v>
      </x:c>
      <x:c r="B905" s="38" t="str">
        <x:v>LNN</x:v>
      </x:c>
      <x:c r="C905" s="38" t="str">
        <x:v>Other sectors</x:v>
      </x:c>
      <x:c r="D905" s="30" t="n">
        <x:v>1</x:v>
      </x:c>
      <x:c r="E905" s="38" t="str">
        <x:v>XLE</x:v>
      </x:c>
      <x:c r="F905" s="38" t="n">
        <x:v>0.112244141</x:v>
      </x:c>
      <x:c r="G905" s="38" t="n">
        <x:v>0.9719722122</x:v>
      </x:c>
      <x:c r="H905" s="42" t="b">
        <x:v>0</x:v>
      </x:c>
      <x:c r="I905" s="42" t="b">
        <x:v>0</x:v>
      </x:c>
      <x:c r="J905" s="38" t="n">
        <x:v>0.3170280688</x:v>
      </x:c>
    </x:row>
    <x:row r="906" ht="19" customHeight="1">
      <x:c r="A906" s="29" t="str">
        <x:v>stagger_1</x:v>
      </x:c>
      <x:c r="B906" s="38" t="str">
        <x:v>LNN</x:v>
      </x:c>
      <x:c r="C906" s="38" t="str">
        <x:v>Other sectors</x:v>
      </x:c>
      <x:c r="D906" s="30" t="n">
        <x:v>1</x:v>
      </x:c>
      <x:c r="E906" s="38" t="str">
        <x:v>XLF</x:v>
      </x:c>
      <x:c r="F906" s="38" t="n">
        <x:v>1.0999326395</x:v>
      </x:c>
      <x:c r="G906" s="38" t="n">
        <x:v>3.299267271</x:v>
      </x:c>
      <x:c r="H906" s="42" t="b">
        <x:v>0</x:v>
      </x:c>
      <x:c r="I906" s="42" t="b">
        <x:v>0</x:v>
      </x:c>
      <x:c r="J906" s="38" t="n">
        <x:v>0.3170280688</x:v>
      </x:c>
    </x:row>
    <x:row r="907" ht="19" customHeight="1">
      <x:c r="A907" s="29" t="str">
        <x:v>stagger_1</x:v>
      </x:c>
      <x:c r="B907" s="38" t="str">
        <x:v>LNN</x:v>
      </x:c>
      <x:c r="C907" s="38" t="str">
        <x:v>Other sectors</x:v>
      </x:c>
      <x:c r="D907" s="30" t="n">
        <x:v>1</x:v>
      </x:c>
      <x:c r="E907" s="38" t="str">
        <x:v>XLK</x:v>
      </x:c>
      <x:c r="F907" s="38" t="n">
        <x:v>2.0873946402</x:v>
      </x:c>
      <x:c r="G907" s="38" t="n">
        <x:v>4.1827667119</x:v>
      </x:c>
      <x:c r="H907" s="42" t="b">
        <x:v>0</x:v>
      </x:c>
      <x:c r="I907" s="42" t="b">
        <x:v>0</x:v>
      </x:c>
      <x:c r="J907" s="38" t="n">
        <x:v>0.3170280688</x:v>
      </x:c>
    </x:row>
    <x:row r="908" ht="19" customHeight="1">
      <x:c r="A908" s="29" t="str">
        <x:v>stagger_1</x:v>
      </x:c>
      <x:c r="B908" s="38" t="str">
        <x:v>LNN</x:v>
      </x:c>
      <x:c r="C908" s="38" t="str">
        <x:v>Other sectors</x:v>
      </x:c>
      <x:c r="D908" s="30" t="n">
        <x:v>1</x:v>
      </x:c>
      <x:c r="E908" s="38" t="str">
        <x:v>XLP</x:v>
      </x:c>
      <x:c r="F908" s="38" t="n">
        <x:v>0.9161571441</x:v>
      </x:c>
      <x:c r="G908" s="38" t="n">
        <x:v>2.7759133725</x:v>
      </x:c>
      <x:c r="H908" s="42" t="b">
        <x:v>0</x:v>
      </x:c>
      <x:c r="I908" s="42" t="b">
        <x:v>0</x:v>
      </x:c>
      <x:c r="J908" s="38" t="n">
        <x:v>0.3170280688</x:v>
      </x:c>
    </x:row>
    <x:row r="909" ht="19" customHeight="1">
      <x:c r="A909" s="29" t="str">
        <x:v>stagger_1</x:v>
      </x:c>
      <x:c r="B909" s="38" t="str">
        <x:v>LNN</x:v>
      </x:c>
      <x:c r="C909" s="38" t="str">
        <x:v>Other sectors</x:v>
      </x:c>
      <x:c r="D909" s="30" t="n">
        <x:v>1</x:v>
      </x:c>
      <x:c r="E909" s="38" t="str">
        <x:v>XLRE</x:v>
      </x:c>
      <x:c r="F909" s="38" t="n">
        <x:v>-0.6594131059</x:v>
      </x:c>
      <x:c r="G909" s="38" t="n">
        <x:v>-2.5148171224</x:v>
      </x:c>
      <x:c r="H909" s="42" t="b">
        <x:v>0</x:v>
      </x:c>
      <x:c r="I909" s="42" t="b">
        <x:v>0</x:v>
      </x:c>
      <x:c r="J909" s="38" t="n">
        <x:v>0.3170280688</x:v>
      </x:c>
    </x:row>
    <x:row r="910" ht="19" customHeight="1">
      <x:c r="A910" s="29" t="str">
        <x:v>stagger_1</x:v>
      </x:c>
      <x:c r="B910" s="38" t="str">
        <x:v>LNN</x:v>
      </x:c>
      <x:c r="C910" s="38" t="str">
        <x:v>Other sectors</x:v>
      </x:c>
      <x:c r="D910" s="30" t="n">
        <x:v>1</x:v>
      </x:c>
      <x:c r="E910" s="38" t="str">
        <x:v>XLU</x:v>
      </x:c>
      <x:c r="F910" s="38" t="n">
        <x:v>0.2390101338</x:v>
      </x:c>
      <x:c r="G910" s="38" t="n">
        <x:v>1.1513467135</x:v>
      </x:c>
      <x:c r="H910" s="42" t="b">
        <x:v>0</x:v>
      </x:c>
      <x:c r="I910" s="42" t="b">
        <x:v>0</x:v>
      </x:c>
      <x:c r="J910" s="38" t="n">
        <x:v>0.3170280688</x:v>
      </x:c>
    </x:row>
    <x:row r="911" ht="19" customHeight="1">
      <x:c r="A911" s="29" t="str">
        <x:v>stagger_1</x:v>
      </x:c>
      <x:c r="B911" s="38" t="str">
        <x:v>LNN</x:v>
      </x:c>
      <x:c r="C911" s="38" t="str">
        <x:v>Other sectors</x:v>
      </x:c>
      <x:c r="D911" s="30" t="n">
        <x:v>1</x:v>
      </x:c>
      <x:c r="E911" s="38" t="str">
        <x:v>XLV</x:v>
      </x:c>
      <x:c r="F911" s="38" t="n">
        <x:v>0.9076088529</x:v>
      </x:c>
      <x:c r="G911" s="38" t="n">
        <x:v>3.2634404138</x:v>
      </x:c>
      <x:c r="H911" s="42" t="b">
        <x:v>0</x:v>
      </x:c>
      <x:c r="I911" s="42" t="b">
        <x:v>0</x:v>
      </x:c>
      <x:c r="J911" s="38" t="n">
        <x:v>0.3170280688</x:v>
      </x:c>
    </x:row>
    <x:row r="912" ht="19" customHeight="1">
      <x:c r="A912" s="29" t="str">
        <x:v>stagger_1</x:v>
      </x:c>
      <x:c r="B912" s="38" t="str">
        <x:v>LNN</x:v>
      </x:c>
      <x:c r="C912" s="38" t="str">
        <x:v>Other sectors</x:v>
      </x:c>
      <x:c r="D912" s="30" t="n">
        <x:v>1</x:v>
      </x:c>
      <x:c r="E912" s="38" t="str">
        <x:v>XLY</x:v>
      </x:c>
      <x:c r="F912" s="38" t="n">
        <x:v>1.3213902932</x:v>
      </x:c>
      <x:c r="G912" s="38" t="n">
        <x:v>4.1331769277</x:v>
      </x:c>
      <x:c r="H912" s="42" t="b">
        <x:v>0</x:v>
      </x:c>
      <x:c r="I912" s="42" t="b">
        <x:v>0</x:v>
      </x:c>
      <x:c r="J912" s="38" t="n">
        <x:v>0.3170280688</x:v>
      </x:c>
    </x:row>
    <x:row r="913" ht="19" customHeight="1">
      <x:c r="A913" s="29" t="str">
        <x:v>stagger_1</x:v>
      </x:c>
      <x:c r="B913" s="38" t="str">
        <x:v>LNN</x:v>
      </x:c>
      <x:c r="C913" s="38" t="str">
        <x:v>Other sectors</x:v>
      </x:c>
      <x:c r="D913" s="30" t="n">
        <x:v>2</x:v>
      </x:c>
      <x:c r="E913" s="38" t="str">
        <x:v>XLC</x:v>
      </x:c>
      <x:c r="F913" s="38" t="n">
        <x:v>0.7140537482</x:v>
      </x:c>
      <x:c r="G913" s="38" t="n">
        <x:v>2.4700230878</x:v>
      </x:c>
      <x:c r="H913" s="42" t="b">
        <x:v>0</x:v>
      </x:c>
      <x:c r="I913" s="42" t="b">
        <x:v>0</x:v>
      </x:c>
      <x:c r="J913" s="38" t="n">
        <x:v>0.3089383972</x:v>
      </x:c>
    </x:row>
    <x:row r="914" ht="19" customHeight="1">
      <x:c r="A914" s="29" t="str">
        <x:v>stagger_1</x:v>
      </x:c>
      <x:c r="B914" s="38" t="str">
        <x:v>LNN</x:v>
      </x:c>
      <x:c r="C914" s="38" t="str">
        <x:v>Other sectors</x:v>
      </x:c>
      <x:c r="D914" s="30" t="n">
        <x:v>2</x:v>
      </x:c>
      <x:c r="E914" s="38" t="str">
        <x:v>XLE</x:v>
      </x:c>
      <x:c r="F914" s="38" t="n">
        <x:v>0.1305379502</x:v>
      </x:c>
      <x:c r="G914" s="38" t="n">
        <x:v>1.149652346</x:v>
      </x:c>
      <x:c r="H914" s="42" t="b">
        <x:v>1</x:v>
      </x:c>
      <x:c r="I914" s="42" t="b">
        <x:v>0</x:v>
      </x:c>
      <x:c r="J914" s="38" t="n">
        <x:v>0.3089383972</x:v>
      </x:c>
    </x:row>
    <x:row r="915" ht="19" customHeight="1">
      <x:c r="A915" s="29" t="str">
        <x:v>stagger_1</x:v>
      </x:c>
      <x:c r="B915" s="38" t="str">
        <x:v>LNN</x:v>
      </x:c>
      <x:c r="C915" s="38" t="str">
        <x:v>Other sectors</x:v>
      </x:c>
      <x:c r="D915" s="30" t="n">
        <x:v>2</x:v>
      </x:c>
      <x:c r="E915" s="38" t="str">
        <x:v>XLF</x:v>
      </x:c>
      <x:c r="F915" s="38" t="n">
        <x:v>1.1616172162</x:v>
      </x:c>
      <x:c r="G915" s="38" t="n">
        <x:v>3.5642946211</x:v>
      </x:c>
      <x:c r="H915" s="42" t="b">
        <x:v>0</x:v>
      </x:c>
      <x:c r="I915" s="42" t="b">
        <x:v>0</x:v>
      </x:c>
      <x:c r="J915" s="38" t="n">
        <x:v>0.3089383972</x:v>
      </x:c>
    </x:row>
    <x:row r="916" ht="19" customHeight="1">
      <x:c r="A916" s="29" t="str">
        <x:v>stagger_1</x:v>
      </x:c>
      <x:c r="B916" s="38" t="str">
        <x:v>LNN</x:v>
      </x:c>
      <x:c r="C916" s="38" t="str">
        <x:v>Other sectors</x:v>
      </x:c>
      <x:c r="D916" s="30" t="n">
        <x:v>2</x:v>
      </x:c>
      <x:c r="E916" s="38" t="str">
        <x:v>XLK</x:v>
      </x:c>
      <x:c r="F916" s="38" t="n">
        <x:v>2.0535972697</x:v>
      </x:c>
      <x:c r="G916" s="38" t="n">
        <x:v>4.1320342272</x:v>
      </x:c>
      <x:c r="H916" s="42" t="b">
        <x:v>0</x:v>
      </x:c>
      <x:c r="I916" s="42" t="b">
        <x:v>0</x:v>
      </x:c>
      <x:c r="J916" s="38" t="n">
        <x:v>0.3089383972</x:v>
      </x:c>
    </x:row>
    <x:row r="917" ht="19" customHeight="1">
      <x:c r="A917" s="29" t="str">
        <x:v>stagger_1</x:v>
      </x:c>
      <x:c r="B917" s="38" t="str">
        <x:v>LNN</x:v>
      </x:c>
      <x:c r="C917" s="38" t="str">
        <x:v>Other sectors</x:v>
      </x:c>
      <x:c r="D917" s="30" t="n">
        <x:v>2</x:v>
      </x:c>
      <x:c r="E917" s="38" t="str">
        <x:v>XLP</x:v>
      </x:c>
      <x:c r="F917" s="38" t="n">
        <x:v>1.0043924356</x:v>
      </x:c>
      <x:c r="G917" s="38" t="n">
        <x:v>3.1899178155</x:v>
      </x:c>
      <x:c r="H917" s="42" t="b">
        <x:v>0</x:v>
      </x:c>
      <x:c r="I917" s="42" t="b">
        <x:v>0</x:v>
      </x:c>
      <x:c r="J917" s="38" t="n">
        <x:v>0.3089383972</x:v>
      </x:c>
    </x:row>
    <x:row r="918" ht="19" customHeight="1">
      <x:c r="A918" s="29" t="str">
        <x:v>stagger_1</x:v>
      </x:c>
      <x:c r="B918" s="38" t="str">
        <x:v>LNN</x:v>
      </x:c>
      <x:c r="C918" s="38" t="str">
        <x:v>Other sectors</x:v>
      </x:c>
      <x:c r="D918" s="30" t="n">
        <x:v>2</x:v>
      </x:c>
      <x:c r="E918" s="38" t="str">
        <x:v>XLRE</x:v>
      </x:c>
      <x:c r="F918" s="38" t="n">
        <x:v>-0.6561202555</x:v>
      </x:c>
      <x:c r="G918" s="38" t="n">
        <x:v>-2.505772881</x:v>
      </x:c>
      <x:c r="H918" s="42" t="b">
        <x:v>0</x:v>
      </x:c>
      <x:c r="I918" s="42" t="b">
        <x:v>0</x:v>
      </x:c>
      <x:c r="J918" s="38" t="n">
        <x:v>0.3089383972</x:v>
      </x:c>
    </x:row>
    <x:row r="919" ht="19" customHeight="1">
      <x:c r="A919" s="29" t="str">
        <x:v>stagger_1</x:v>
      </x:c>
      <x:c r="B919" s="38" t="str">
        <x:v>LNN</x:v>
      </x:c>
      <x:c r="C919" s="38" t="str">
        <x:v>Other sectors</x:v>
      </x:c>
      <x:c r="D919" s="30" t="n">
        <x:v>2</x:v>
      </x:c>
      <x:c r="E919" s="38" t="str">
        <x:v>XLU</x:v>
      </x:c>
      <x:c r="F919" s="38" t="n">
        <x:v>0.2622466903</x:v>
      </x:c>
      <x:c r="G919" s="38" t="n">
        <x:v>1.2747412049</x:v>
      </x:c>
      <x:c r="H919" s="42" t="b">
        <x:v>0</x:v>
      </x:c>
      <x:c r="I919" s="42" t="b">
        <x:v>0</x:v>
      </x:c>
      <x:c r="J919" s="38" t="n">
        <x:v>0.3089383972</x:v>
      </x:c>
    </x:row>
    <x:row r="920" ht="19" customHeight="1">
      <x:c r="A920" s="29" t="str">
        <x:v>stagger_1</x:v>
      </x:c>
      <x:c r="B920" s="38" t="str">
        <x:v>LNN</x:v>
      </x:c>
      <x:c r="C920" s="38" t="str">
        <x:v>Other sectors</x:v>
      </x:c>
      <x:c r="D920" s="30" t="n">
        <x:v>2</x:v>
      </x:c>
      <x:c r="E920" s="38" t="str">
        <x:v>XLV</x:v>
      </x:c>
      <x:c r="F920" s="38" t="n">
        <x:v>0.8894882114</x:v>
      </x:c>
      <x:c r="G920" s="38" t="n">
        <x:v>3.2108169055</x:v>
      </x:c>
      <x:c r="H920" s="42" t="b">
        <x:v>0</x:v>
      </x:c>
      <x:c r="I920" s="42" t="b">
        <x:v>0</x:v>
      </x:c>
      <x:c r="J920" s="38" t="n">
        <x:v>0.3089383972</x:v>
      </x:c>
    </x:row>
    <x:row r="921" ht="19" customHeight="1">
      <x:c r="A921" s="29" t="str">
        <x:v>stagger_1</x:v>
      </x:c>
      <x:c r="B921" s="38" t="str">
        <x:v>LNN</x:v>
      </x:c>
      <x:c r="C921" s="38" t="str">
        <x:v>Other sectors</x:v>
      </x:c>
      <x:c r="D921" s="30" t="n">
        <x:v>2</x:v>
      </x:c>
      <x:c r="E921" s="38" t="str">
        <x:v>XLY</x:v>
      </x:c>
      <x:c r="F921" s="38" t="n">
        <x:v>1.3268493939</x:v>
      </x:c>
      <x:c r="G921" s="38" t="n">
        <x:v>4.1564208784</x:v>
      </x:c>
      <x:c r="H921" s="42" t="b">
        <x:v>0</x:v>
      </x:c>
      <x:c r="I921" s="42" t="b">
        <x:v>0</x:v>
      </x:c>
      <x:c r="J921" s="38" t="n">
        <x:v>0.3089383972</x:v>
      </x:c>
    </x:row>
    <x:row r="922" ht="19" customHeight="1">
      <x:c r="A922" s="29" t="str">
        <x:v>stagger_1</x:v>
      </x:c>
      <x:c r="B922" s="38" t="str">
        <x:v>LNN</x:v>
      </x:c>
      <x:c r="C922" s="38" t="str">
        <x:v>Other sectors</x:v>
      </x:c>
      <x:c r="D922" s="30" t="n">
        <x:v>3</x:v>
      </x:c>
      <x:c r="E922" s="38" t="str">
        <x:v>XLC</x:v>
      </x:c>
      <x:c r="F922" s="38" t="n">
        <x:v>0.6782215424</x:v>
      </x:c>
      <x:c r="G922" s="38" t="n">
        <x:v>2.3545011979</x:v>
      </x:c>
      <x:c r="H922" s="42" t="b">
        <x:v>0</x:v>
      </x:c>
      <x:c r="I922" s="42" t="b">
        <x:v>0</x:v>
      </x:c>
      <x:c r="J922" s="38" t="n">
        <x:v>0.2958901618</x:v>
      </x:c>
    </x:row>
    <x:row r="923" ht="19" customHeight="1">
      <x:c r="A923" s="29" t="str">
        <x:v>stagger_1</x:v>
      </x:c>
      <x:c r="B923" s="38" t="str">
        <x:v>LNN</x:v>
      </x:c>
      <x:c r="C923" s="38" t="str">
        <x:v>Other sectors</x:v>
      </x:c>
      <x:c r="D923" s="30" t="n">
        <x:v>3</x:v>
      </x:c>
      <x:c r="E923" s="38" t="str">
        <x:v>XLF</x:v>
      </x:c>
      <x:c r="F923" s="38" t="n">
        <x:v>1.0948853332</x:v>
      </x:c>
      <x:c r="G923" s="38" t="n">
        <x:v>3.4064137449</x:v>
      </x:c>
      <x:c r="H923" s="42" t="b">
        <x:v>0</x:v>
      </x:c>
      <x:c r="I923" s="42" t="b">
        <x:v>0</x:v>
      </x:c>
      <x:c r="J923" s="38" t="n">
        <x:v>0.2958901618</x:v>
      </x:c>
    </x:row>
    <x:row r="924" ht="19" customHeight="1">
      <x:c r="A924" s="29" t="str">
        <x:v>stagger_1</x:v>
      </x:c>
      <x:c r="B924" s="38" t="str">
        <x:v>LNN</x:v>
      </x:c>
      <x:c r="C924" s="38" t="str">
        <x:v>Other sectors</x:v>
      </x:c>
      <x:c r="D924" s="30" t="n">
        <x:v>3</x:v>
      </x:c>
      <x:c r="E924" s="38" t="str">
        <x:v>XLK</x:v>
      </x:c>
      <x:c r="F924" s="38" t="n">
        <x:v>1.7821925426</x:v>
      </x:c>
      <x:c r="G924" s="38" t="n">
        <x:v>4.0658152546</x:v>
      </x:c>
      <x:c r="H924" s="42" t="b">
        <x:v>0</x:v>
      </x:c>
      <x:c r="I924" s="42" t="b">
        <x:v>0</x:v>
      </x:c>
      <x:c r="J924" s="38" t="n">
        <x:v>0.2958901618</x:v>
      </x:c>
    </x:row>
    <x:row r="925" ht="19" customHeight="1">
      <x:c r="A925" s="29" t="str">
        <x:v>stagger_1</x:v>
      </x:c>
      <x:c r="B925" s="38" t="str">
        <x:v>LNN</x:v>
      </x:c>
      <x:c r="C925" s="38" t="str">
        <x:v>Other sectors</x:v>
      </x:c>
      <x:c r="D925" s="30" t="n">
        <x:v>3</x:v>
      </x:c>
      <x:c r="E925" s="38" t="str">
        <x:v>XLP</x:v>
      </x:c>
      <x:c r="F925" s="38" t="n">
        <x:v>0.9384574543</x:v>
      </x:c>
      <x:c r="G925" s="38" t="n">
        <x:v>3.0243756138</x:v>
      </x:c>
      <x:c r="H925" s="42" t="b">
        <x:v>0</x:v>
      </x:c>
      <x:c r="I925" s="42" t="b">
        <x:v>0</x:v>
      </x:c>
      <x:c r="J925" s="38" t="n">
        <x:v>0.2958901618</x:v>
      </x:c>
    </x:row>
    <x:row r="926" ht="19" customHeight="1">
      <x:c r="A926" s="29" t="str">
        <x:v>stagger_1</x:v>
      </x:c>
      <x:c r="B926" s="38" t="str">
        <x:v>LNN</x:v>
      </x:c>
      <x:c r="C926" s="38" t="str">
        <x:v>Other sectors</x:v>
      </x:c>
      <x:c r="D926" s="30" t="n">
        <x:v>3</x:v>
      </x:c>
      <x:c r="E926" s="38" t="str">
        <x:v>XLRE</x:v>
      </x:c>
      <x:c r="F926" s="38" t="n">
        <x:v>-0.6223695039</x:v>
      </x:c>
      <x:c r="G926" s="38" t="n">
        <x:v>-2.386557103</x:v>
      </x:c>
      <x:c r="H926" s="42" t="b">
        <x:v>0</x:v>
      </x:c>
      <x:c r="I926" s="42" t="b">
        <x:v>0</x:v>
      </x:c>
      <x:c r="J926" s="38" t="n">
        <x:v>0.2958901618</x:v>
      </x:c>
    </x:row>
    <x:row r="927" ht="19" customHeight="1">
      <x:c r="A927" s="29" t="str">
        <x:v>stagger_1</x:v>
      </x:c>
      <x:c r="B927" s="38" t="str">
        <x:v>LNN</x:v>
      </x:c>
      <x:c r="C927" s="38" t="str">
        <x:v>Other sectors</x:v>
      </x:c>
      <x:c r="D927" s="30" t="n">
        <x:v>3</x:v>
      </x:c>
      <x:c r="E927" s="38" t="str">
        <x:v>XLU</x:v>
      </x:c>
      <x:c r="F927" s="38" t="n">
        <x:v>0.2278797436</x:v>
      </x:c>
      <x:c r="G927" s="38" t="n">
        <x:v>1.117043348</x:v>
      </x:c>
      <x:c r="H927" s="42" t="b">
        <x:v>1</x:v>
      </x:c>
      <x:c r="I927" s="42" t="b">
        <x:v>0</x:v>
      </x:c>
      <x:c r="J927" s="38" t="n">
        <x:v>0.2958901618</x:v>
      </x:c>
    </x:row>
    <x:row r="928" ht="19" customHeight="1">
      <x:c r="A928" s="29" t="str">
        <x:v>stagger_1</x:v>
      </x:c>
      <x:c r="B928" s="38" t="str">
        <x:v>LNN</x:v>
      </x:c>
      <x:c r="C928" s="38" t="str">
        <x:v>Other sectors</x:v>
      </x:c>
      <x:c r="D928" s="30" t="n">
        <x:v>3</x:v>
      </x:c>
      <x:c r="E928" s="38" t="str">
        <x:v>XLV</x:v>
      </x:c>
      <x:c r="F928" s="38" t="n">
        <x:v>0.8011088294</x:v>
      </x:c>
      <x:c r="G928" s="38" t="n">
        <x:v>3.0032089124</x:v>
      </x:c>
      <x:c r="H928" s="42" t="b">
        <x:v>0</x:v>
      </x:c>
      <x:c r="I928" s="42" t="b">
        <x:v>0</x:v>
      </x:c>
      <x:c r="J928" s="38" t="n">
        <x:v>0.2958901618</x:v>
      </x:c>
    </x:row>
    <x:row r="929" ht="19" customHeight="1">
      <x:c r="A929" s="29" t="str">
        <x:v>stagger_1</x:v>
      </x:c>
      <x:c r="B929" s="38" t="str">
        <x:v>LNN</x:v>
      </x:c>
      <x:c r="C929" s="38" t="str">
        <x:v>Other sectors</x:v>
      </x:c>
      <x:c r="D929" s="30" t="n">
        <x:v>3</x:v>
      </x:c>
      <x:c r="E929" s="38" t="str">
        <x:v>XLY</x:v>
      </x:c>
      <x:c r="F929" s="38" t="n">
        <x:v>1.1595581346</x:v>
      </x:c>
      <x:c r="G929" s="38" t="n">
        <x:v>4.0718011488</x:v>
      </x:c>
      <x:c r="H929" s="42" t="b">
        <x:v>0</x:v>
      </x:c>
      <x:c r="I929" s="42" t="b">
        <x:v>0</x:v>
      </x:c>
      <x:c r="J929" s="38" t="n">
        <x:v>0.2958901618</x:v>
      </x:c>
    </x:row>
    <x:row r="930" ht="19" customHeight="1">
      <x:c r="A930" s="29" t="str">
        <x:v>stagger_1</x:v>
      </x:c>
      <x:c r="B930" s="38" t="str">
        <x:v>LNN</x:v>
      </x:c>
      <x:c r="C930" s="38" t="str">
        <x:v>Other sectors</x:v>
      </x:c>
      <x:c r="D930" s="30" t="n">
        <x:v>4</x:v>
      </x:c>
      <x:c r="E930" s="38" t="str">
        <x:v>XLC</x:v>
      </x:c>
      <x:c r="F930" s="38" t="n">
        <x:v>0.5991801149</x:v>
      </x:c>
      <x:c r="G930" s="38" t="n">
        <x:v>2.1421700368</x:v>
      </x:c>
      <x:c r="H930" s="42" t="b">
        <x:v>0</x:v>
      </x:c>
      <x:c r="I930" s="42" t="b">
        <x:v>1</x:v>
      </x:c>
      <x:c r="J930" s="38" t="n">
        <x:v>0.2835158198</x:v>
      </x:c>
    </x:row>
    <x:row r="931" ht="19" customHeight="1">
      <x:c r="A931" s="29" t="str">
        <x:v>stagger_1</x:v>
      </x:c>
      <x:c r="B931" s="38" t="str">
        <x:v>LNN</x:v>
      </x:c>
      <x:c r="C931" s="38" t="str">
        <x:v>Other sectors</x:v>
      </x:c>
      <x:c r="D931" s="30" t="n">
        <x:v>4</x:v>
      </x:c>
      <x:c r="E931" s="38" t="str">
        <x:v>XLF</x:v>
      </x:c>
      <x:c r="F931" s="38" t="n">
        <x:v>1.039359409</x:v>
      </x:c>
      <x:c r="G931" s="38" t="n">
        <x:v>3.2674213457</x:v>
      </x:c>
      <x:c r="H931" s="42" t="b">
        <x:v>0</x:v>
      </x:c>
      <x:c r="I931" s="42" t="b">
        <x:v>1</x:v>
      </x:c>
      <x:c r="J931" s="38" t="n">
        <x:v>0.2835158198</x:v>
      </x:c>
    </x:row>
    <x:row r="932" ht="19" customHeight="1">
      <x:c r="A932" s="29" t="str">
        <x:v>stagger_1</x:v>
      </x:c>
      <x:c r="B932" s="38" t="str">
        <x:v>LNN</x:v>
      </x:c>
      <x:c r="C932" s="38" t="str">
        <x:v>Other sectors</x:v>
      </x:c>
      <x:c r="D932" s="30" t="n">
        <x:v>4</x:v>
      </x:c>
      <x:c r="E932" s="38" t="str">
        <x:v>XLK</x:v>
      </x:c>
      <x:c r="F932" s="38" t="n">
        <x:v>1.6600813404</x:v>
      </x:c>
      <x:c r="G932" s="38" t="n">
        <x:v>3.9040928953</x:v>
      </x:c>
      <x:c r="H932" s="42" t="b">
        <x:v>0</x:v>
      </x:c>
      <x:c r="I932" s="42" t="b">
        <x:v>1</x:v>
      </x:c>
      <x:c r="J932" s="38" t="n">
        <x:v>0.2835158198</x:v>
      </x:c>
    </x:row>
    <x:row r="933" ht="19" customHeight="1">
      <x:c r="A933" s="29" t="str">
        <x:v>stagger_1</x:v>
      </x:c>
      <x:c r="B933" s="38" t="str">
        <x:v>LNN</x:v>
      </x:c>
      <x:c r="C933" s="38" t="str">
        <x:v>Other sectors</x:v>
      </x:c>
      <x:c r="D933" s="30" t="n">
        <x:v>4</x:v>
      </x:c>
      <x:c r="E933" s="38" t="str">
        <x:v>XLP</x:v>
      </x:c>
      <x:c r="F933" s="38" t="n">
        <x:v>0.9999375642</x:v>
      </x:c>
      <x:c r="G933" s="38" t="n">
        <x:v>3.2688081109</x:v>
      </x:c>
      <x:c r="H933" s="42" t="b">
        <x:v>0</x:v>
      </x:c>
      <x:c r="I933" s="42" t="b">
        <x:v>1</x:v>
      </x:c>
      <x:c r="J933" s="38" t="n">
        <x:v>0.2835158198</x:v>
      </x:c>
    </x:row>
    <x:row r="934" ht="19" customHeight="1">
      <x:c r="A934" s="29" t="str">
        <x:v>stagger_1</x:v>
      </x:c>
      <x:c r="B934" s="38" t="str">
        <x:v>LNN</x:v>
      </x:c>
      <x:c r="C934" s="38" t="str">
        <x:v>Other sectors</x:v>
      </x:c>
      <x:c r="D934" s="30" t="n">
        <x:v>4</x:v>
      </x:c>
      <x:c r="E934" s="38" t="str">
        <x:v>XLRE</x:v>
      </x:c>
      <x:c r="F934" s="38" t="n">
        <x:v>-0.5388925079</x:v>
      </x:c>
      <x:c r="G934" s="38" t="n">
        <x:v>-2.1532096798</x:v>
      </x:c>
      <x:c r="H934" s="42" t="b">
        <x:v>0</x:v>
      </x:c>
      <x:c r="I934" s="42" t="b">
        <x:v>1</x:v>
      </x:c>
      <x:c r="J934" s="38" t="n">
        <x:v>0.2835158198</x:v>
      </x:c>
    </x:row>
    <x:row r="935" ht="19" customHeight="1">
      <x:c r="A935" s="29" t="str">
        <x:v>stagger_1</x:v>
      </x:c>
      <x:c r="B935" s="38" t="str">
        <x:v>LNN</x:v>
      </x:c>
      <x:c r="C935" s="38" t="str">
        <x:v>Other sectors</x:v>
      </x:c>
      <x:c r="D935" s="30" t="n">
        <x:v>4</x:v>
      </x:c>
      <x:c r="E935" s="38" t="str">
        <x:v>XLV</x:v>
      </x:c>
      <x:c r="F935" s="38" t="n">
        <x:v>0.7577467229</x:v>
      </x:c>
      <x:c r="G935" s="38" t="n">
        <x:v>2.8662893735</x:v>
      </x:c>
      <x:c r="H935" s="42" t="b">
        <x:v>0</x:v>
      </x:c>
      <x:c r="I935" s="42" t="b">
        <x:v>1</x:v>
      </x:c>
      <x:c r="J935" s="38" t="n">
        <x:v>0.2835158198</x:v>
      </x:c>
    </x:row>
    <x:row r="936" ht="19" customHeight="1">
      <x:c r="A936" s="29" t="str">
        <x:v>stagger_1</x:v>
      </x:c>
      <x:c r="B936" s="38" t="str">
        <x:v>LNN</x:v>
      </x:c>
      <x:c r="C936" s="38" t="str">
        <x:v>Other sectors</x:v>
      </x:c>
      <x:c r="D936" s="30" t="n">
        <x:v>4</x:v>
      </x:c>
      <x:c r="E936" s="38" t="str">
        <x:v>XLY</x:v>
      </x:c>
      <x:c r="F936" s="38" t="n">
        <x:v>1.1227646636</x:v>
      </x:c>
      <x:c r="G936" s="38" t="n">
        <x:v>3.9624275796</x:v>
      </x:c>
      <x:c r="H936" s="42" t="b">
        <x:v>0</x:v>
      </x:c>
      <x:c r="I936" s="42" t="b">
        <x:v>1</x:v>
      </x:c>
      <x:c r="J936" s="38" t="n">
        <x:v>0.2835158198</x:v>
      </x:c>
    </x:row>
    <x:row r="937" ht="19" customHeight="1">
      <x:c r="A937" s="29" t="str">
        <x:v>stagger_1</x:v>
      </x:c>
      <x:c r="B937" s="38" t="str">
        <x:v>WDC</x:v>
      </x:c>
      <x:c r="C937" s="38" t="str">
        <x:v>Other FX</x:v>
      </x:c>
      <x:c r="D937" s="30" t="n">
        <x:v>1</x:v>
      </x:c>
      <x:c r="E937" s="38" t="str">
        <x:v>AUD/USD</x:v>
      </x:c>
      <x:c r="F937" s="38" t="n">
        <x:v>2.7637220837</x:v>
      </x:c>
      <x:c r="G937" s="38" t="n">
        <x:v>1.9247153477</x:v>
      </x:c>
      <x:c r="H937" s="42" t="b">
        <x:v>0</x:v>
      </x:c>
      <x:c r="I937" s="42" t="b">
        <x:v>0</x:v>
      </x:c>
      <x:c r="J937" s="38" t="n">
        <x:v>0.1556478818</x:v>
      </x:c>
    </x:row>
    <x:row r="938" ht="19" customHeight="1">
      <x:c r="A938" s="29" t="str">
        <x:v>stagger_1</x:v>
      </x:c>
      <x:c r="B938" s="38" t="str">
        <x:v>WDC</x:v>
      </x:c>
      <x:c r="C938" s="38" t="str">
        <x:v>Other FX</x:v>
      </x:c>
      <x:c r="D938" s="30" t="n">
        <x:v>1</x:v>
      </x:c>
      <x:c r="E938" s="38" t="str">
        <x:v>CAD/USD</x:v>
      </x:c>
      <x:c r="F938" s="38" t="n">
        <x:v>-0.6109210345</x:v>
      </x:c>
      <x:c r="G938" s="38" t="n">
        <x:v>-0.3523333317</x:v>
      </x:c>
      <x:c r="H938" s="42" t="b">
        <x:v>1</x:v>
      </x:c>
      <x:c r="I938" s="42" t="b">
        <x:v>0</x:v>
      </x:c>
      <x:c r="J938" s="38" t="n">
        <x:v>0.1556478818</x:v>
      </x:c>
    </x:row>
    <x:row r="939" ht="19" customHeight="1">
      <x:c r="A939" s="29" t="str">
        <x:v>stagger_1</x:v>
      </x:c>
      <x:c r="B939" s="38" t="str">
        <x:v>WDC</x:v>
      </x:c>
      <x:c r="C939" s="38" t="str">
        <x:v>Other FX</x:v>
      </x:c>
      <x:c r="D939" s="30" t="n">
        <x:v>1</x:v>
      </x:c>
      <x:c r="E939" s="38" t="str">
        <x:v>DKK/USD</x:v>
      </x:c>
      <x:c r="F939" s="38" t="n">
        <x:v>8.6213066761</x:v>
      </x:c>
      <x:c r="G939" s="38" t="n">
        <x:v>0.7142015883</x:v>
      </x:c>
      <x:c r="H939" s="42" t="b">
        <x:v>0</x:v>
      </x:c>
      <x:c r="I939" s="42" t="b">
        <x:v>0</x:v>
      </x:c>
      <x:c r="J939" s="38" t="n">
        <x:v>0.1556478818</x:v>
      </x:c>
    </x:row>
    <x:row r="940" ht="19" customHeight="1">
      <x:c r="A940" s="29" t="str">
        <x:v>stagger_1</x:v>
      </x:c>
      <x:c r="B940" s="38" t="str">
        <x:v>WDC</x:v>
      </x:c>
      <x:c r="C940" s="38" t="str">
        <x:v>Other FX</x:v>
      </x:c>
      <x:c r="D940" s="30" t="n">
        <x:v>1</x:v>
      </x:c>
      <x:c r="E940" s="38" t="str">
        <x:v>EUR/USD</x:v>
      </x:c>
      <x:c r="F940" s="38" t="n">
        <x:v>-10.8094075453</x:v>
      </x:c>
      <x:c r="G940" s="38" t="n">
        <x:v>-0.9789602965</x:v>
      </x:c>
      <x:c r="H940" s="42" t="b">
        <x:v>0</x:v>
      </x:c>
      <x:c r="I940" s="42" t="b">
        <x:v>0</x:v>
      </x:c>
      <x:c r="J940" s="38" t="n">
        <x:v>0.1556478818</x:v>
      </x:c>
    </x:row>
    <x:row r="941" ht="19" customHeight="1">
      <x:c r="A941" s="29" t="str">
        <x:v>stagger_1</x:v>
      </x:c>
      <x:c r="B941" s="38" t="str">
        <x:v>WDC</x:v>
      </x:c>
      <x:c r="C941" s="38" t="str">
        <x:v>Other FX</x:v>
      </x:c>
      <x:c r="D941" s="30" t="n">
        <x:v>1</x:v>
      </x:c>
      <x:c r="E941" s="38" t="str">
        <x:v>MXN/USD</x:v>
      </x:c>
      <x:c r="F941" s="38" t="n">
        <x:v>1.7889334746</x:v>
      </x:c>
      <x:c r="G941" s="38" t="n">
        <x:v>1.9446763849</x:v>
      </x:c>
      <x:c r="H941" s="42" t="b">
        <x:v>0</x:v>
      </x:c>
      <x:c r="I941" s="42" t="b">
        <x:v>0</x:v>
      </x:c>
      <x:c r="J941" s="38" t="n">
        <x:v>0.1556478818</x:v>
      </x:c>
    </x:row>
    <x:row r="942" ht="19" customHeight="1">
      <x:c r="A942" s="29" t="str">
        <x:v>stagger_1</x:v>
      </x:c>
      <x:c r="B942" s="38" t="str">
        <x:v>WDC</x:v>
      </x:c>
      <x:c r="C942" s="38" t="str">
        <x:v>Other FX</x:v>
      </x:c>
      <x:c r="D942" s="30" t="n">
        <x:v>1</x:v>
      </x:c>
      <x:c r="E942" s="38" t="str">
        <x:v>SGD/USD</x:v>
      </x:c>
      <x:c r="F942" s="38" t="n">
        <x:v>-1.4998137364</x:v>
      </x:c>
      <x:c r="G942" s="38" t="n">
        <x:v>-0.4313998103</x:v>
      </x:c>
      <x:c r="H942" s="42" t="b">
        <x:v>0</x:v>
      </x:c>
      <x:c r="I942" s="42" t="b">
        <x:v>0</x:v>
      </x:c>
      <x:c r="J942" s="38" t="n">
        <x:v>0.1556478818</x:v>
      </x:c>
    </x:row>
    <x:row r="943" ht="19" customHeight="1">
      <x:c r="A943" s="29" t="str">
        <x:v>stagger_1</x:v>
      </x:c>
      <x:c r="B943" s="38" t="str">
        <x:v>WDC</x:v>
      </x:c>
      <x:c r="C943" s="38" t="str">
        <x:v>Other FX</x:v>
      </x:c>
      <x:c r="D943" s="30" t="n">
        <x:v>2</x:v>
      </x:c>
      <x:c r="E943" s="38" t="str">
        <x:v>AUD/USD</x:v>
      </x:c>
      <x:c r="F943" s="38" t="n">
        <x:v>2.6406106479</x:v>
      </x:c>
      <x:c r="G943" s="38" t="n">
        <x:v>1.9072905435</x:v>
      </x:c>
      <x:c r="H943" s="42" t="b">
        <x:v>0</x:v>
      </x:c>
      <x:c r="I943" s="42" t="b">
        <x:v>0</x:v>
      </x:c>
      <x:c r="J943" s="38" t="n">
        <x:v>0.1542120347</x:v>
      </x:c>
    </x:row>
    <x:row r="944" ht="19" customHeight="1">
      <x:c r="A944" s="29" t="str">
        <x:v>stagger_1</x:v>
      </x:c>
      <x:c r="B944" s="38" t="str">
        <x:v>WDC</x:v>
      </x:c>
      <x:c r="C944" s="38" t="str">
        <x:v>Other FX</x:v>
      </x:c>
      <x:c r="D944" s="30" t="n">
        <x:v>2</x:v>
      </x:c>
      <x:c r="E944" s="38" t="str">
        <x:v>DKK/USD</x:v>
      </x:c>
      <x:c r="F944" s="38" t="n">
        <x:v>8.1981051035</x:v>
      </x:c>
      <x:c r="G944" s="38" t="n">
        <x:v>0.686605667</x:v>
      </x:c>
      <x:c r="H944" s="42" t="b">
        <x:v>0</x:v>
      </x:c>
      <x:c r="I944" s="42" t="b">
        <x:v>0</x:v>
      </x:c>
      <x:c r="J944" s="38" t="n">
        <x:v>0.1542120347</x:v>
      </x:c>
    </x:row>
    <x:row r="945" ht="19" customHeight="1">
      <x:c r="A945" s="29" t="str">
        <x:v>stagger_1</x:v>
      </x:c>
      <x:c r="B945" s="38" t="str">
        <x:v>WDC</x:v>
      </x:c>
      <x:c r="C945" s="38" t="str">
        <x:v>Other FX</x:v>
      </x:c>
      <x:c r="D945" s="30" t="n">
        <x:v>2</x:v>
      </x:c>
      <x:c r="E945" s="38" t="str">
        <x:v>EUR/USD</x:v>
      </x:c>
      <x:c r="F945" s="38" t="n">
        <x:v>-10.5731558025</x:v>
      </x:c>
      <x:c r="G945" s="38" t="n">
        <x:v>-0.9650628009</x:v>
      </x:c>
      <x:c r="H945" s="42" t="b">
        <x:v>0</x:v>
      </x:c>
      <x:c r="I945" s="42" t="b">
        <x:v>0</x:v>
      </x:c>
      <x:c r="J945" s="38" t="n">
        <x:v>0.1542120347</x:v>
      </x:c>
    </x:row>
    <x:row r="946" ht="19" customHeight="1">
      <x:c r="A946" s="29" t="str">
        <x:v>stagger_1</x:v>
      </x:c>
      <x:c r="B946" s="38" t="str">
        <x:v>WDC</x:v>
      </x:c>
      <x:c r="C946" s="38" t="str">
        <x:v>Other FX</x:v>
      </x:c>
      <x:c r="D946" s="30" t="n">
        <x:v>2</x:v>
      </x:c>
      <x:c r="E946" s="38" t="str">
        <x:v>MXN/USD</x:v>
      </x:c>
      <x:c r="F946" s="38" t="n">
        <x:v>1.7954232952</x:v>
      </x:c>
      <x:c r="G946" s="38" t="n">
        <x:v>1.9637787702</x:v>
      </x:c>
      <x:c r="H946" s="42" t="b">
        <x:v>0</x:v>
      </x:c>
      <x:c r="I946" s="42" t="b">
        <x:v>0</x:v>
      </x:c>
      <x:c r="J946" s="38" t="n">
        <x:v>0.1542120347</x:v>
      </x:c>
    </x:row>
    <x:row r="947" ht="19" customHeight="1">
      <x:c r="A947" s="29" t="str">
        <x:v>stagger_1</x:v>
      </x:c>
      <x:c r="B947" s="38" t="str">
        <x:v>WDC</x:v>
      </x:c>
      <x:c r="C947" s="38" t="str">
        <x:v>Other FX</x:v>
      </x:c>
      <x:c r="D947" s="30" t="n">
        <x:v>2</x:v>
      </x:c>
      <x:c r="E947" s="38" t="str">
        <x:v>SGD/USD</x:v>
      </x:c>
      <x:c r="F947" s="38" t="n">
        <x:v>-1.5028148206</x:v>
      </x:c>
      <x:c r="G947" s="38" t="n">
        <x:v>-0.4348453932</x:v>
      </x:c>
      <x:c r="H947" s="42" t="b">
        <x:v>1</x:v>
      </x:c>
      <x:c r="I947" s="42" t="b">
        <x:v>0</x:v>
      </x:c>
      <x:c r="J947" s="38" t="n">
        <x:v>0.1542120347</x:v>
      </x:c>
    </x:row>
    <x:row r="948" ht="19" customHeight="1">
      <x:c r="A948" s="29" t="str">
        <x:v>stagger_1</x:v>
      </x:c>
      <x:c r="B948" s="38" t="str">
        <x:v>WDC</x:v>
      </x:c>
      <x:c r="C948" s="38" t="str">
        <x:v>Other FX</x:v>
      </x:c>
      <x:c r="D948" s="30" t="n">
        <x:v>3</x:v>
      </x:c>
      <x:c r="E948" s="38" t="str">
        <x:v>AUD/USD</x:v>
      </x:c>
      <x:c r="F948" s="38" t="n">
        <x:v>2.352717944</x:v>
      </x:c>
      <x:c r="G948" s="38" t="n">
        <x:v>1.9454673032</x:v>
      </x:c>
      <x:c r="H948" s="42" t="b">
        <x:v>0</x:v>
      </x:c>
      <x:c r="I948" s="42" t="b">
        <x:v>0</x:v>
      </x:c>
      <x:c r="J948" s="38" t="n">
        <x:v>0.1520508119</x:v>
      </x:c>
    </x:row>
    <x:row r="949" ht="19" customHeight="1">
      <x:c r="A949" s="29" t="str">
        <x:v>stagger_1</x:v>
      </x:c>
      <x:c r="B949" s="38" t="str">
        <x:v>WDC</x:v>
      </x:c>
      <x:c r="C949" s="38" t="str">
        <x:v>Other FX</x:v>
      </x:c>
      <x:c r="D949" s="30" t="n">
        <x:v>3</x:v>
      </x:c>
      <x:c r="E949" s="38" t="str">
        <x:v>DKK/USD</x:v>
      </x:c>
      <x:c r="F949" s="38" t="n">
        <x:v>6.1925603142</x:v>
      </x:c>
      <x:c r="G949" s="38" t="n">
        <x:v>0.5653432861</x:v>
      </x:c>
      <x:c r="H949" s="42" t="b">
        <x:v>1</x:v>
      </x:c>
      <x:c r="I949" s="42" t="b">
        <x:v>0</x:v>
      </x:c>
      <x:c r="J949" s="38" t="n">
        <x:v>0.1520508119</x:v>
      </x:c>
    </x:row>
    <x:row r="950" ht="19" customHeight="1">
      <x:c r="A950" s="29" t="str">
        <x:v>stagger_1</x:v>
      </x:c>
      <x:c r="B950" s="38" t="str">
        <x:v>WDC</x:v>
      </x:c>
      <x:c r="C950" s="38" t="str">
        <x:v>Other FX</x:v>
      </x:c>
      <x:c r="D950" s="30" t="n">
        <x:v>3</x:v>
      </x:c>
      <x:c r="E950" s="38" t="str">
        <x:v>EUR/USD</x:v>
      </x:c>
      <x:c r="F950" s="38" t="n">
        <x:v>-9.1499170943</x:v>
      </x:c>
      <x:c r="G950" s="38" t="n">
        <x:v>-0.8798894535</x:v>
      </x:c>
      <x:c r="H950" s="42" t="b">
        <x:v>0</x:v>
      </x:c>
      <x:c r="I950" s="42" t="b">
        <x:v>0</x:v>
      </x:c>
      <x:c r="J950" s="38" t="n">
        <x:v>0.1520508119</x:v>
      </x:c>
    </x:row>
    <x:row r="951" ht="19" customHeight="1">
      <x:c r="A951" s="29" t="str">
        <x:v>stagger_1</x:v>
      </x:c>
      <x:c r="B951" s="38" t="str">
        <x:v>WDC</x:v>
      </x:c>
      <x:c r="C951" s="38" t="str">
        <x:v>Other FX</x:v>
      </x:c>
      <x:c r="D951" s="30" t="n">
        <x:v>3</x:v>
      </x:c>
      <x:c r="E951" s="38" t="str">
        <x:v>MXN/USD</x:v>
      </x:c>
      <x:c r="F951" s="38" t="n">
        <x:v>1.838213368</x:v>
      </x:c>
      <x:c r="G951" s="38" t="n">
        <x:v>2.033351233</x:v>
      </x:c>
      <x:c r="H951" s="42" t="b">
        <x:v>0</x:v>
      </x:c>
      <x:c r="I951" s="42" t="b">
        <x:v>0</x:v>
      </x:c>
      <x:c r="J951" s="38" t="n">
        <x:v>0.1520508119</x:v>
      </x:c>
    </x:row>
    <x:row r="952" ht="19" customHeight="1">
      <x:c r="A952" s="29" t="str">
        <x:v>stagger_1</x:v>
      </x:c>
      <x:c r="B952" s="38" t="str">
        <x:v>WDC</x:v>
      </x:c>
      <x:c r="C952" s="38" t="str">
        <x:v>Other FX</x:v>
      </x:c>
      <x:c r="D952" s="30" t="n">
        <x:v>4</x:v>
      </x:c>
      <x:c r="E952" s="38" t="str">
        <x:v>AUD/USD</x:v>
      </x:c>
      <x:c r="F952" s="38" t="n">
        <x:v>2.5257181379</x:v>
      </x:c>
      <x:c r="G952" s="38" t="n">
        <x:v>2.1685054519</x:v>
      </x:c>
      <x:c r="H952" s="42" t="b">
        <x:v>0</x:v>
      </x:c>
      <x:c r="I952" s="42" t="b">
        <x:v>1</x:v>
      </x:c>
      <x:c r="J952" s="38" t="n">
        <x:v>0.1484372705</x:v>
      </x:c>
    </x:row>
    <x:row r="953" ht="19" customHeight="1">
      <x:c r="A953" s="29" t="str">
        <x:v>stagger_1</x:v>
      </x:c>
      <x:c r="B953" s="38" t="str">
        <x:v>WDC</x:v>
      </x:c>
      <x:c r="C953" s="38" t="str">
        <x:v>Other FX</x:v>
      </x:c>
      <x:c r="D953" s="30" t="n">
        <x:v>4</x:v>
      </x:c>
      <x:c r="E953" s="38" t="str">
        <x:v>EUR/USD</x:v>
      </x:c>
      <x:c r="F953" s="38" t="n">
        <x:v>-3.3229072264</x:v>
      </x:c>
      <x:c r="G953" s="38" t="n">
        <x:v>-2.4195902659</x:v>
      </x:c>
      <x:c r="H953" s="42" t="b">
        <x:v>0</x:v>
      </x:c>
      <x:c r="I953" s="42" t="b">
        <x:v>1</x:v>
      </x:c>
      <x:c r="J953" s="38" t="n">
        <x:v>0.1484372705</x:v>
      </x:c>
    </x:row>
    <x:row r="954" ht="19" customHeight="1">
      <x:c r="A954" s="29" t="str">
        <x:v>stagger_1</x:v>
      </x:c>
      <x:c r="B954" s="38" t="str">
        <x:v>WDC</x:v>
      </x:c>
      <x:c r="C954" s="38" t="str">
        <x:v>Other FX</x:v>
      </x:c>
      <x:c r="D954" s="30" t="n">
        <x:v>4</x:v>
      </x:c>
      <x:c r="E954" s="38" t="str">
        <x:v>MXN/USD</x:v>
      </x:c>
      <x:c r="F954" s="38" t="n">
        <x:v>1.9833834298</x:v>
      </x:c>
      <x:c r="G954" s="38" t="n">
        <x:v>2.2984889594</x:v>
      </x:c>
      <x:c r="H954" s="42" t="b">
        <x:v>0</x:v>
      </x:c>
      <x:c r="I954" s="42" t="b">
        <x:v>1</x:v>
      </x:c>
      <x:c r="J954" s="38" t="n">
        <x:v>0.1484372705</x:v>
      </x:c>
    </x:row>
    <x:row r="955" ht="19" customHeight="1">
      <x:c r="A955" s="29" t="str">
        <x:v>stagger_1</x:v>
      </x:c>
      <x:c r="B955" s="38" t="str">
        <x:v>WDC</x:v>
      </x:c>
      <x:c r="C955" s="38" t="str">
        <x:v>Other sectors</x:v>
      </x:c>
      <x:c r="D955" s="30" t="n">
        <x:v>1</x:v>
      </x:c>
      <x:c r="E955" s="38" t="str">
        <x:v>XLB</x:v>
      </x:c>
      <x:c r="F955" s="38" t="n">
        <x:v>0.7103029512</x:v>
      </x:c>
      <x:c r="G955" s="38" t="n">
        <x:v>0.9851351771</x:v>
      </x:c>
      <x:c r="H955" s="42" t="b">
        <x:v>0</x:v>
      </x:c>
      <x:c r="I955" s="42" t="b">
        <x:v>0</x:v>
      </x:c>
      <x:c r="J955" s="38" t="n">
        <x:v>0.1567378806</x:v>
      </x:c>
    </x:row>
    <x:row r="956" ht="19" customHeight="1">
      <x:c r="A956" s="29" t="str">
        <x:v>stagger_1</x:v>
      </x:c>
      <x:c r="B956" s="38" t="str">
        <x:v>WDC</x:v>
      </x:c>
      <x:c r="C956" s="38" t="str">
        <x:v>Other sectors</x:v>
      </x:c>
      <x:c r="D956" s="30" t="n">
        <x:v>1</x:v>
      </x:c>
      <x:c r="E956" s="38" t="str">
        <x:v>XLC</x:v>
      </x:c>
      <x:c r="F956" s="38" t="n">
        <x:v>0.2671450789</x:v>
      </x:c>
      <x:c r="G956" s="38" t="n">
        <x:v>0.442260716</x:v>
      </x:c>
      <x:c r="H956" s="42" t="b">
        <x:v>0</x:v>
      </x:c>
      <x:c r="I956" s="42" t="b">
        <x:v>0</x:v>
      </x:c>
      <x:c r="J956" s="38" t="n">
        <x:v>0.1567378806</x:v>
      </x:c>
    </x:row>
    <x:row r="957" ht="19" customHeight="1">
      <x:c r="A957" s="29" t="str">
        <x:v>stagger_1</x:v>
      </x:c>
      <x:c r="B957" s="38" t="str">
        <x:v>WDC</x:v>
      </x:c>
      <x:c r="C957" s="38" t="str">
        <x:v>Other sectors</x:v>
      </x:c>
      <x:c r="D957" s="30" t="n">
        <x:v>1</x:v>
      </x:c>
      <x:c r="E957" s="38" t="str">
        <x:v>XLE</x:v>
      </x:c>
      <x:c r="F957" s="38" t="n">
        <x:v>0.022068693</x:v>
      </x:c>
      <x:c r="G957" s="38" t="n">
        <x:v>0.0915063218</x:v>
      </x:c>
      <x:c r="H957" s="42" t="b">
        <x:v>1</x:v>
      </x:c>
      <x:c r="I957" s="42" t="b">
        <x:v>0</x:v>
      </x:c>
      <x:c r="J957" s="38" t="n">
        <x:v>0.1567378806</x:v>
      </x:c>
    </x:row>
    <x:row r="958" ht="19" customHeight="1">
      <x:c r="A958" s="29" t="str">
        <x:v>stagger_1</x:v>
      </x:c>
      <x:c r="B958" s="38" t="str">
        <x:v>WDC</x:v>
      </x:c>
      <x:c r="C958" s="38" t="str">
        <x:v>Other sectors</x:v>
      </x:c>
      <x:c r="D958" s="30" t="n">
        <x:v>1</x:v>
      </x:c>
      <x:c r="E958" s="38" t="str">
        <x:v>XLF</x:v>
      </x:c>
      <x:c r="F958" s="38" t="n">
        <x:v>-0.2439426531</x:v>
      </x:c>
      <x:c r="G958" s="38" t="n">
        <x:v>-0.4101698455</x:v>
      </x:c>
      <x:c r="H958" s="42" t="b">
        <x:v>0</x:v>
      </x:c>
      <x:c r="I958" s="42" t="b">
        <x:v>0</x:v>
      </x:c>
      <x:c r="J958" s="38" t="n">
        <x:v>0.1567378806</x:v>
      </x:c>
    </x:row>
    <x:row r="959" ht="19" customHeight="1">
      <x:c r="A959" s="29" t="str">
        <x:v>stagger_1</x:v>
      </x:c>
      <x:c r="B959" s="38" t="str">
        <x:v>WDC</x:v>
      </x:c>
      <x:c r="C959" s="38" t="str">
        <x:v>Other sectors</x:v>
      </x:c>
      <x:c r="D959" s="30" t="n">
        <x:v>1</x:v>
      </x:c>
      <x:c r="E959" s="38" t="str">
        <x:v>XLI</x:v>
      </x:c>
      <x:c r="F959" s="38" t="n">
        <x:v>1.2463122964</x:v>
      </x:c>
      <x:c r="G959" s="38" t="n">
        <x:v>1.3435488534</x:v>
      </x:c>
      <x:c r="H959" s="42" t="b">
        <x:v>0</x:v>
      </x:c>
      <x:c r="I959" s="42" t="b">
        <x:v>0</x:v>
      </x:c>
      <x:c r="J959" s="38" t="n">
        <x:v>0.1567378806</x:v>
      </x:c>
    </x:row>
    <x:row r="960" ht="19" customHeight="1">
      <x:c r="A960" s="29" t="str">
        <x:v>stagger_1</x:v>
      </x:c>
      <x:c r="B960" s="38" t="str">
        <x:v>WDC</x:v>
      </x:c>
      <x:c r="C960" s="38" t="str">
        <x:v>Other sectors</x:v>
      </x:c>
      <x:c r="D960" s="30" t="n">
        <x:v>1</x:v>
      </x:c>
      <x:c r="E960" s="38" t="str">
        <x:v>XLP</x:v>
      </x:c>
      <x:c r="F960" s="38" t="n">
        <x:v>-0.9927245485</x:v>
      </x:c>
      <x:c r="G960" s="38" t="n">
        <x:v>-1.3776560512</x:v>
      </x:c>
      <x:c r="H960" s="42" t="b">
        <x:v>0</x:v>
      </x:c>
      <x:c r="I960" s="42" t="b">
        <x:v>0</x:v>
      </x:c>
      <x:c r="J960" s="38" t="n">
        <x:v>0.1567378806</x:v>
      </x:c>
    </x:row>
    <x:row r="961" ht="19" customHeight="1">
      <x:c r="A961" s="29" t="str">
        <x:v>stagger_1</x:v>
      </x:c>
      <x:c r="B961" s="38" t="str">
        <x:v>WDC</x:v>
      </x:c>
      <x:c r="C961" s="38" t="str">
        <x:v>Other sectors</x:v>
      </x:c>
      <x:c r="D961" s="30" t="n">
        <x:v>1</x:v>
      </x:c>
      <x:c r="E961" s="38" t="str">
        <x:v>XLRE</x:v>
      </x:c>
      <x:c r="F961" s="38" t="n">
        <x:v>0.3453020008</x:v>
      </x:c>
      <x:c r="G961" s="38" t="n">
        <x:v>0.5627512208</x:v>
      </x:c>
      <x:c r="H961" s="42" t="b">
        <x:v>0</x:v>
      </x:c>
      <x:c r="I961" s="42" t="b">
        <x:v>0</x:v>
      </x:c>
      <x:c r="J961" s="38" t="n">
        <x:v>0.1567378806</x:v>
      </x:c>
    </x:row>
    <x:row r="962" ht="19" customHeight="1">
      <x:c r="A962" s="29" t="str">
        <x:v>stagger_1</x:v>
      </x:c>
      <x:c r="B962" s="38" t="str">
        <x:v>WDC</x:v>
      </x:c>
      <x:c r="C962" s="38" t="str">
        <x:v>Other sectors</x:v>
      </x:c>
      <x:c r="D962" s="30" t="n">
        <x:v>1</x:v>
      </x:c>
      <x:c r="E962" s="38" t="str">
        <x:v>XLU</x:v>
      </x:c>
      <x:c r="F962" s="38" t="n">
        <x:v>-0.226436969</x:v>
      </x:c>
      <x:c r="G962" s="38" t="n">
        <x:v>-0.4858553578</x:v>
      </x:c>
      <x:c r="H962" s="42" t="b">
        <x:v>0</x:v>
      </x:c>
      <x:c r="I962" s="42" t="b">
        <x:v>0</x:v>
      </x:c>
      <x:c r="J962" s="38" t="n">
        <x:v>0.1567378806</x:v>
      </x:c>
    </x:row>
    <x:row r="963" ht="19" customHeight="1">
      <x:c r="A963" s="29" t="str">
        <x:v>stagger_1</x:v>
      </x:c>
      <x:c r="B963" s="38" t="str">
        <x:v>WDC</x:v>
      </x:c>
      <x:c r="C963" s="38" t="str">
        <x:v>Other sectors</x:v>
      </x:c>
      <x:c r="D963" s="30" t="n">
        <x:v>1</x:v>
      </x:c>
      <x:c r="E963" s="38" t="str">
        <x:v>XLV</x:v>
      </x:c>
      <x:c r="F963" s="38" t="n">
        <x:v>-0.508131127</x:v>
      </x:c>
      <x:c r="G963" s="38" t="n">
        <x:v>-0.9233731809</x:v>
      </x:c>
      <x:c r="H963" s="42" t="b">
        <x:v>0</x:v>
      </x:c>
      <x:c r="I963" s="42" t="b">
        <x:v>0</x:v>
      </x:c>
      <x:c r="J963" s="38" t="n">
        <x:v>0.1567378806</x:v>
      </x:c>
    </x:row>
    <x:row r="964" ht="19" customHeight="1">
      <x:c r="A964" s="29" t="str">
        <x:v>stagger_1</x:v>
      </x:c>
      <x:c r="B964" s="38" t="str">
        <x:v>WDC</x:v>
      </x:c>
      <x:c r="C964" s="38" t="str">
        <x:v>Other sectors</x:v>
      </x:c>
      <x:c r="D964" s="30" t="n">
        <x:v>1</x:v>
      </x:c>
      <x:c r="E964" s="38" t="str">
        <x:v>XLY</x:v>
      </x:c>
      <x:c r="F964" s="38" t="n">
        <x:v>-0.6589699602</x:v>
      </x:c>
      <x:c r="G964" s="38" t="n">
        <x:v>-1.0446891285</x:v>
      </x:c>
      <x:c r="H964" s="42" t="b">
        <x:v>0</x:v>
      </x:c>
      <x:c r="I964" s="42" t="b">
        <x:v>0</x:v>
      </x:c>
      <x:c r="J964" s="38" t="n">
        <x:v>0.1567378806</x:v>
      </x:c>
    </x:row>
    <x:row r="965" ht="19" customHeight="1">
      <x:c r="A965" s="29" t="str">
        <x:v>stagger_1</x:v>
      </x:c>
      <x:c r="B965" s="38" t="str">
        <x:v>WDC</x:v>
      </x:c>
      <x:c r="C965" s="38" t="str">
        <x:v>Other sectors</x:v>
      </x:c>
      <x:c r="D965" s="30" t="n">
        <x:v>2</x:v>
      </x:c>
      <x:c r="E965" s="38" t="str">
        <x:v>XLB</x:v>
      </x:c>
      <x:c r="F965" s="38" t="n">
        <x:v>0.7277542702</x:v>
      </x:c>
      <x:c r="G965" s="38" t="n">
        <x:v>1.0541068052</x:v>
      </x:c>
      <x:c r="H965" s="42" t="b">
        <x:v>0</x:v>
      </x:c>
      <x:c r="I965" s="42" t="b">
        <x:v>0</x:v>
      </x:c>
      <x:c r="J965" s="38" t="n">
        <x:v>0.1566355476</x:v>
      </x:c>
    </x:row>
    <x:row r="966" ht="19" customHeight="1">
      <x:c r="A966" s="29" t="str">
        <x:v>stagger_1</x:v>
      </x:c>
      <x:c r="B966" s="38" t="str">
        <x:v>WDC</x:v>
      </x:c>
      <x:c r="C966" s="38" t="str">
        <x:v>Other sectors</x:v>
      </x:c>
      <x:c r="D966" s="30" t="n">
        <x:v>2</x:v>
      </x:c>
      <x:c r="E966" s="38" t="str">
        <x:v>XLC</x:v>
      </x:c>
      <x:c r="F966" s="38" t="n">
        <x:v>0.2756080794</x:v>
      </x:c>
      <x:c r="G966" s="38" t="n">
        <x:v>0.4650208285</x:v>
      </x:c>
      <x:c r="H966" s="42" t="b">
        <x:v>0</x:v>
      </x:c>
      <x:c r="I966" s="42" t="b">
        <x:v>0</x:v>
      </x:c>
      <x:c r="J966" s="38" t="n">
        <x:v>0.1566355476</x:v>
      </x:c>
    </x:row>
    <x:row r="967" ht="19" customHeight="1">
      <x:c r="A967" s="29" t="str">
        <x:v>stagger_1</x:v>
      </x:c>
      <x:c r="B967" s="38" t="str">
        <x:v>WDC</x:v>
      </x:c>
      <x:c r="C967" s="38" t="str">
        <x:v>Other sectors</x:v>
      </x:c>
      <x:c r="D967" s="30" t="n">
        <x:v>2</x:v>
      </x:c>
      <x:c r="E967" s="38" t="str">
        <x:v>XLF</x:v>
      </x:c>
      <x:c r="F967" s="38" t="n">
        <x:v>-0.2354142451</x:v>
      </x:c>
      <x:c r="G967" s="38" t="n">
        <x:v>-0.4036509997</x:v>
      </x:c>
      <x:c r="H967" s="42" t="b">
        <x:v>1</x:v>
      </x:c>
      <x:c r="I967" s="42" t="b">
        <x:v>0</x:v>
      </x:c>
      <x:c r="J967" s="38" t="n">
        <x:v>0.1566355476</x:v>
      </x:c>
    </x:row>
    <x:row r="968" ht="19" customHeight="1">
      <x:c r="A968" s="29" t="str">
        <x:v>stagger_1</x:v>
      </x:c>
      <x:c r="B968" s="38" t="str">
        <x:v>WDC</x:v>
      </x:c>
      <x:c r="C968" s="38" t="str">
        <x:v>Other sectors</x:v>
      </x:c>
      <x:c r="D968" s="30" t="n">
        <x:v>2</x:v>
      </x:c>
      <x:c r="E968" s="38" t="str">
        <x:v>XLI</x:v>
      </x:c>
      <x:c r="F968" s="38" t="n">
        <x:v>1.2344238832</x:v>
      </x:c>
      <x:c r="G968" s="38" t="n">
        <x:v>1.3536014114</x:v>
      </x:c>
      <x:c r="H968" s="42" t="b">
        <x:v>0</x:v>
      </x:c>
      <x:c r="I968" s="42" t="b">
        <x:v>0</x:v>
      </x:c>
      <x:c r="J968" s="38" t="n">
        <x:v>0.1566355476</x:v>
      </x:c>
    </x:row>
    <x:row r="969" ht="19" customHeight="1">
      <x:c r="A969" s="29" t="str">
        <x:v>stagger_1</x:v>
      </x:c>
      <x:c r="B969" s="38" t="str">
        <x:v>WDC</x:v>
      </x:c>
      <x:c r="C969" s="38" t="str">
        <x:v>Other sectors</x:v>
      </x:c>
      <x:c r="D969" s="30" t="n">
        <x:v>2</x:v>
      </x:c>
      <x:c r="E969" s="38" t="str">
        <x:v>XLP</x:v>
      </x:c>
      <x:c r="F969" s="38" t="n">
        <x:v>-0.9947431392</x:v>
      </x:c>
      <x:c r="G969" s="38" t="n">
        <x:v>-1.3909922782</x:v>
      </x:c>
      <x:c r="H969" s="42" t="b">
        <x:v>0</x:v>
      </x:c>
      <x:c r="I969" s="42" t="b">
        <x:v>0</x:v>
      </x:c>
      <x:c r="J969" s="38" t="n">
        <x:v>0.1566355476</x:v>
      </x:c>
    </x:row>
    <x:row r="970" ht="19" customHeight="1">
      <x:c r="A970" s="29" t="str">
        <x:v>stagger_1</x:v>
      </x:c>
      <x:c r="B970" s="38" t="str">
        <x:v>WDC</x:v>
      </x:c>
      <x:c r="C970" s="38" t="str">
        <x:v>Other sectors</x:v>
      </x:c>
      <x:c r="D970" s="30" t="n">
        <x:v>2</x:v>
      </x:c>
      <x:c r="E970" s="38" t="str">
        <x:v>XLRE</x:v>
      </x:c>
      <x:c r="F970" s="38" t="n">
        <x:v>0.3492912465</x:v>
      </x:c>
      <x:c r="G970" s="38" t="n">
        <x:v>0.5747805976</x:v>
      </x:c>
      <x:c r="H970" s="42" t="b">
        <x:v>0</x:v>
      </x:c>
      <x:c r="I970" s="42" t="b">
        <x:v>0</x:v>
      </x:c>
      <x:c r="J970" s="38" t="n">
        <x:v>0.1566355476</x:v>
      </x:c>
    </x:row>
    <x:row r="971" ht="19" customHeight="1">
      <x:c r="A971" s="29" t="str">
        <x:v>stagger_1</x:v>
      </x:c>
      <x:c r="B971" s="38" t="str">
        <x:v>WDC</x:v>
      </x:c>
      <x:c r="C971" s="38" t="str">
        <x:v>Other sectors</x:v>
      </x:c>
      <x:c r="D971" s="30" t="n">
        <x:v>2</x:v>
      </x:c>
      <x:c r="E971" s="38" t="str">
        <x:v>XLU</x:v>
      </x:c>
      <x:c r="F971" s="38" t="n">
        <x:v>-0.2277053585</x:v>
      </x:c>
      <x:c r="G971" s="38" t="n">
        <x:v>-0.4922924796</x:v>
      </x:c>
      <x:c r="H971" s="42" t="b">
        <x:v>0</x:v>
      </x:c>
      <x:c r="I971" s="42" t="b">
        <x:v>0</x:v>
      </x:c>
      <x:c r="J971" s="38" t="n">
        <x:v>0.1566355476</x:v>
      </x:c>
    </x:row>
    <x:row r="972" ht="19" customHeight="1">
      <x:c r="A972" s="29" t="str">
        <x:v>stagger_1</x:v>
      </x:c>
      <x:c r="B972" s="38" t="str">
        <x:v>WDC</x:v>
      </x:c>
      <x:c r="C972" s="38" t="str">
        <x:v>Other sectors</x:v>
      </x:c>
      <x:c r="D972" s="30" t="n">
        <x:v>2</x:v>
      </x:c>
      <x:c r="E972" s="38" t="str">
        <x:v>XLV</x:v>
      </x:c>
      <x:c r="F972" s="38" t="n">
        <x:v>-0.5102717818</x:v>
      </x:c>
      <x:c r="G972" s="38" t="n">
        <x:v>-0.934746626</x:v>
      </x:c>
      <x:c r="H972" s="42" t="b">
        <x:v>0</x:v>
      </x:c>
      <x:c r="I972" s="42" t="b">
        <x:v>0</x:v>
      </x:c>
      <x:c r="J972" s="38" t="n">
        <x:v>0.1566355476</x:v>
      </x:c>
    </x:row>
    <x:row r="973" ht="19" customHeight="1">
      <x:c r="A973" s="29" t="str">
        <x:v>stagger_1</x:v>
      </x:c>
      <x:c r="B973" s="38" t="str">
        <x:v>WDC</x:v>
      </x:c>
      <x:c r="C973" s="38" t="str">
        <x:v>Other sectors</x:v>
      </x:c>
      <x:c r="D973" s="30" t="n">
        <x:v>2</x:v>
      </x:c>
      <x:c r="E973" s="38" t="str">
        <x:v>XLY</x:v>
      </x:c>
      <x:c r="F973" s="38" t="n">
        <x:v>-0.6756014539</x:v>
      </x:c>
      <x:c r="G973" s="38" t="n">
        <x:v>-1.1264998921</x:v>
      </x:c>
      <x:c r="H973" s="42" t="b">
        <x:v>0</x:v>
      </x:c>
      <x:c r="I973" s="42" t="b">
        <x:v>0</x:v>
      </x:c>
      <x:c r="J973" s="38" t="n">
        <x:v>0.1566355476</x:v>
      </x:c>
    </x:row>
    <x:row r="974" ht="19" customHeight="1">
      <x:c r="A974" s="29" t="str">
        <x:v>stagger_1</x:v>
      </x:c>
      <x:c r="B974" s="38" t="str">
        <x:v>WDC</x:v>
      </x:c>
      <x:c r="C974" s="38" t="str">
        <x:v>Other sectors</x:v>
      </x:c>
      <x:c r="D974" s="30" t="n">
        <x:v>3</x:v>
      </x:c>
      <x:c r="E974" s="38" t="str">
        <x:v>XLB</x:v>
      </x:c>
      <x:c r="F974" s="38" t="n">
        <x:v>0.6857290693</x:v>
      </x:c>
      <x:c r="G974" s="38" t="n">
        <x:v>1.0107013642</x:v>
      </x:c>
      <x:c r="H974" s="42" t="b">
        <x:v>0</x:v>
      </x:c>
      <x:c r="I974" s="42" t="b">
        <x:v>0</x:v>
      </x:c>
      <x:c r="J974" s="38" t="n">
        <x:v>0.1546725069</x:v>
      </x:c>
    </x:row>
    <x:row r="975" ht="19" customHeight="1">
      <x:c r="A975" s="29" t="str">
        <x:v>stagger_1</x:v>
      </x:c>
      <x:c r="B975" s="38" t="str">
        <x:v>WDC</x:v>
      </x:c>
      <x:c r="C975" s="38" t="str">
        <x:v>Other sectors</x:v>
      </x:c>
      <x:c r="D975" s="30" t="n">
        <x:v>3</x:v>
      </x:c>
      <x:c r="E975" s="38" t="str">
        <x:v>XLC</x:v>
      </x:c>
      <x:c r="F975" s="38" t="n">
        <x:v>0.2403428861</x:v>
      </x:c>
      <x:c r="G975" s="38" t="n">
        <x:v>0.4124368533</x:v>
      </x:c>
      <x:c r="H975" s="42" t="b">
        <x:v>1</x:v>
      </x:c>
      <x:c r="I975" s="42" t="b">
        <x:v>0</x:v>
      </x:c>
      <x:c r="J975" s="38" t="n">
        <x:v>0.1546725069</x:v>
      </x:c>
    </x:row>
    <x:row r="976" ht="19" customHeight="1">
      <x:c r="A976" s="29" t="str">
        <x:v>stagger_1</x:v>
      </x:c>
      <x:c r="B976" s="38" t="str">
        <x:v>WDC</x:v>
      </x:c>
      <x:c r="C976" s="38" t="str">
        <x:v>Other sectors</x:v>
      </x:c>
      <x:c r="D976" s="30" t="n">
        <x:v>3</x:v>
      </x:c>
      <x:c r="E976" s="38" t="str">
        <x:v>XLI</x:v>
      </x:c>
      <x:c r="F976" s="38" t="n">
        <x:v>1.1703278592</x:v>
      </x:c>
      <x:c r="G976" s="38" t="n">
        <x:v>1.3109758817</x:v>
      </x:c>
      <x:c r="H976" s="42" t="b">
        <x:v>0</x:v>
      </x:c>
      <x:c r="I976" s="42" t="b">
        <x:v>0</x:v>
      </x:c>
      <x:c r="J976" s="38" t="n">
        <x:v>0.1546725069</x:v>
      </x:c>
    </x:row>
    <x:row r="977" ht="19" customHeight="1">
      <x:c r="A977" s="29" t="str">
        <x:v>stagger_1</x:v>
      </x:c>
      <x:c r="B977" s="38" t="str">
        <x:v>WDC</x:v>
      </x:c>
      <x:c r="C977" s="38" t="str">
        <x:v>Other sectors</x:v>
      </x:c>
      <x:c r="D977" s="30" t="n">
        <x:v>3</x:v>
      </x:c>
      <x:c r="E977" s="38" t="str">
        <x:v>XLP</x:v>
      </x:c>
      <x:c r="F977" s="38" t="n">
        <x:v>-0.8995961171</x:v>
      </x:c>
      <x:c r="G977" s="38" t="n">
        <x:v>-1.3403278861</x:v>
      </x:c>
      <x:c r="H977" s="42" t="b">
        <x:v>0</x:v>
      </x:c>
      <x:c r="I977" s="42" t="b">
        <x:v>0</x:v>
      </x:c>
      <x:c r="J977" s="38" t="n">
        <x:v>0.1546725069</x:v>
      </x:c>
    </x:row>
    <x:row r="978" ht="19" customHeight="1">
      <x:c r="A978" s="29" t="str">
        <x:v>stagger_1</x:v>
      </x:c>
      <x:c r="B978" s="38" t="str">
        <x:v>WDC</x:v>
      </x:c>
      <x:c r="C978" s="38" t="str">
        <x:v>Other sectors</x:v>
      </x:c>
      <x:c r="D978" s="30" t="n">
        <x:v>3</x:v>
      </x:c>
      <x:c r="E978" s="38" t="str">
        <x:v>XLRE</x:v>
      </x:c>
      <x:c r="F978" s="38" t="n">
        <x:v>0.2990562535</x:v>
      </x:c>
      <x:c r="G978" s="38" t="n">
        <x:v>0.5057620708</x:v>
      </x:c>
      <x:c r="H978" s="42" t="b">
        <x:v>0</x:v>
      </x:c>
      <x:c r="I978" s="42" t="b">
        <x:v>0</x:v>
      </x:c>
      <x:c r="J978" s="38" t="n">
        <x:v>0.1546725069</x:v>
      </x:c>
    </x:row>
    <x:row r="979" ht="19" customHeight="1">
      <x:c r="A979" s="29" t="str">
        <x:v>stagger_1</x:v>
      </x:c>
      <x:c r="B979" s="38" t="str">
        <x:v>WDC</x:v>
      </x:c>
      <x:c r="C979" s="38" t="str">
        <x:v>Other sectors</x:v>
      </x:c>
      <x:c r="D979" s="30" t="n">
        <x:v>3</x:v>
      </x:c>
      <x:c r="E979" s="38" t="str">
        <x:v>XLU</x:v>
      </x:c>
      <x:c r="F979" s="38" t="n">
        <x:v>-0.2184401876</x:v>
      </x:c>
      <x:c r="G979" s="38" t="n">
        <x:v>-0.4756562437</x:v>
      </x:c>
      <x:c r="H979" s="42" t="b">
        <x:v>0</x:v>
      </x:c>
      <x:c r="I979" s="42" t="b">
        <x:v>0</x:v>
      </x:c>
      <x:c r="J979" s="38" t="n">
        <x:v>0.1546725069</x:v>
      </x:c>
    </x:row>
    <x:row r="980" ht="19" customHeight="1">
      <x:c r="A980" s="29" t="str">
        <x:v>stagger_1</x:v>
      </x:c>
      <x:c r="B980" s="38" t="str">
        <x:v>WDC</x:v>
      </x:c>
      <x:c r="C980" s="38" t="str">
        <x:v>Other sectors</x:v>
      </x:c>
      <x:c r="D980" s="30" t="n">
        <x:v>3</x:v>
      </x:c>
      <x:c r="E980" s="38" t="str">
        <x:v>XLV</x:v>
      </x:c>
      <x:c r="F980" s="38" t="n">
        <x:v>-0.5546741697</x:v>
      </x:c>
      <x:c r="G980" s="38" t="n">
        <x:v>-1.0435349426</x:v>
      </x:c>
      <x:c r="H980" s="42" t="b">
        <x:v>0</x:v>
      </x:c>
      <x:c r="I980" s="42" t="b">
        <x:v>0</x:v>
      </x:c>
      <x:c r="J980" s="38" t="n">
        <x:v>0.1546725069</x:v>
      </x:c>
    </x:row>
    <x:row r="981" ht="19" customHeight="1">
      <x:c r="A981" s="29" t="str">
        <x:v>stagger_1</x:v>
      </x:c>
      <x:c r="B981" s="38" t="str">
        <x:v>WDC</x:v>
      </x:c>
      <x:c r="C981" s="38" t="str">
        <x:v>Other sectors</x:v>
      </x:c>
      <x:c r="D981" s="30" t="n">
        <x:v>3</x:v>
      </x:c>
      <x:c r="E981" s="38" t="str">
        <x:v>XLY</x:v>
      </x:c>
      <x:c r="F981" s="38" t="n">
        <x:v>-0.6645270813</x:v>
      </x:c>
      <x:c r="G981" s="38" t="n">
        <x:v>-1.1157925748</x:v>
      </x:c>
      <x:c r="H981" s="42" t="b">
        <x:v>0</x:v>
      </x:c>
      <x:c r="I981" s="42" t="b">
        <x:v>0</x:v>
      </x:c>
      <x:c r="J981" s="38" t="n">
        <x:v>0.1546725069</x:v>
      </x:c>
    </x:row>
    <x:row r="982" ht="19" customHeight="1">
      <x:c r="A982" s="29" t="str">
        <x:v>stagger_1</x:v>
      </x:c>
      <x:c r="B982" s="38" t="str">
        <x:v>WDC</x:v>
      </x:c>
      <x:c r="C982" s="38" t="str">
        <x:v>Other sectors</x:v>
      </x:c>
      <x:c r="D982" s="30" t="n">
        <x:v>4</x:v>
      </x:c>
      <x:c r="E982" s="38" t="str">
        <x:v>XLB</x:v>
      </x:c>
      <x:c r="F982" s="38" t="n">
        <x:v>0.701415468</x:v>
      </x:c>
      <x:c r="G982" s="38" t="n">
        <x:v>1.0414694444</x:v>
      </x:c>
      <x:c r="H982" s="42" t="b">
        <x:v>0</x:v>
      </x:c>
      <x:c r="I982" s="42" t="b">
        <x:v>0</x:v>
      </x:c>
      <x:c r="J982" s="38" t="n">
        <x:v>0.1526472432</x:v>
      </x:c>
    </x:row>
    <x:row r="983" ht="19" customHeight="1">
      <x:c r="A983" s="29" t="str">
        <x:v>stagger_1</x:v>
      </x:c>
      <x:c r="B983" s="38" t="str">
        <x:v>WDC</x:v>
      </x:c>
      <x:c r="C983" s="38" t="str">
        <x:v>Other sectors</x:v>
      </x:c>
      <x:c r="D983" s="30" t="n">
        <x:v>4</x:v>
      </x:c>
      <x:c r="E983" s="38" t="str">
        <x:v>XLI</x:v>
      </x:c>
      <x:c r="F983" s="38" t="n">
        <x:v>1.1230984312</x:v>
      </x:c>
      <x:c r="G983" s="38" t="n">
        <x:v>1.2759251542</x:v>
      </x:c>
      <x:c r="H983" s="42" t="b">
        <x:v>0</x:v>
      </x:c>
      <x:c r="I983" s="42" t="b">
        <x:v>0</x:v>
      </x:c>
      <x:c r="J983" s="38" t="n">
        <x:v>0.1526472432</x:v>
      </x:c>
    </x:row>
    <x:row r="984" ht="19" customHeight="1">
      <x:c r="A984" s="29" t="str">
        <x:v>stagger_1</x:v>
      </x:c>
      <x:c r="B984" s="38" t="str">
        <x:v>WDC</x:v>
      </x:c>
      <x:c r="C984" s="38" t="str">
        <x:v>Other sectors</x:v>
      </x:c>
      <x:c r="D984" s="30" t="n">
        <x:v>4</x:v>
      </x:c>
      <x:c r="E984" s="38" t="str">
        <x:v>XLP</x:v>
      </x:c>
      <x:c r="F984" s="38" t="n">
        <x:v>-0.844336515</x:v>
      </x:c>
      <x:c r="G984" s="38" t="n">
        <x:v>-1.2912993749</x:v>
      </x:c>
      <x:c r="H984" s="42" t="b">
        <x:v>0</x:v>
      </x:c>
      <x:c r="I984" s="42" t="b">
        <x:v>0</x:v>
      </x:c>
      <x:c r="J984" s="38" t="n">
        <x:v>0.1526472432</x:v>
      </x:c>
    </x:row>
    <x:row r="985" ht="19" customHeight="1">
      <x:c r="A985" s="29" t="str">
        <x:v>stagger_1</x:v>
      </x:c>
      <x:c r="B985" s="38" t="str">
        <x:v>WDC</x:v>
      </x:c>
      <x:c r="C985" s="38" t="str">
        <x:v>Other sectors</x:v>
      </x:c>
      <x:c r="D985" s="30" t="n">
        <x:v>4</x:v>
      </x:c>
      <x:c r="E985" s="38" t="str">
        <x:v>XLRE</x:v>
      </x:c>
      <x:c r="F985" s="38" t="n">
        <x:v>0.2705385503</x:v>
      </x:c>
      <x:c r="G985" s="38" t="n">
        <x:v>0.4633719822</x:v>
      </x:c>
      <x:c r="H985" s="42" t="b">
        <x:v>1</x:v>
      </x:c>
      <x:c r="I985" s="42" t="b">
        <x:v>0</x:v>
      </x:c>
      <x:c r="J985" s="38" t="n">
        <x:v>0.1526472432</x:v>
      </x:c>
    </x:row>
    <x:row r="986" ht="19" customHeight="1">
      <x:c r="A986" s="29" t="str">
        <x:v>stagger_1</x:v>
      </x:c>
      <x:c r="B986" s="38" t="str">
        <x:v>WDC</x:v>
      </x:c>
      <x:c r="C986" s="38" t="str">
        <x:v>Other sectors</x:v>
      </x:c>
      <x:c r="D986" s="30" t="n">
        <x:v>4</x:v>
      </x:c>
      <x:c r="E986" s="38" t="str">
        <x:v>XLU</x:v>
      </x:c>
      <x:c r="F986" s="38" t="n">
        <x:v>-0.2413591515</x:v>
      </x:c>
      <x:c r="G986" s="38" t="n">
        <x:v>-0.5325309156</x:v>
      </x:c>
      <x:c r="H986" s="42" t="b">
        <x:v>0</x:v>
      </x:c>
      <x:c r="I986" s="42" t="b">
        <x:v>0</x:v>
      </x:c>
      <x:c r="J986" s="38" t="n">
        <x:v>0.1526472432</x:v>
      </x:c>
    </x:row>
    <x:row r="987" ht="19" customHeight="1">
      <x:c r="A987" s="29" t="str">
        <x:v>stagger_1</x:v>
      </x:c>
      <x:c r="B987" s="38" t="str">
        <x:v>WDC</x:v>
      </x:c>
      <x:c r="C987" s="38" t="str">
        <x:v>Other sectors</x:v>
      </x:c>
      <x:c r="D987" s="30" t="n">
        <x:v>4</x:v>
      </x:c>
      <x:c r="E987" s="38" t="str">
        <x:v>XLV</x:v>
      </x:c>
      <x:c r="F987" s="38" t="n">
        <x:v>-0.5381863282</x:v>
      </x:c>
      <x:c r="G987" s="38" t="n">
        <x:v>-1.021294402</x:v>
      </x:c>
      <x:c r="H987" s="42" t="b">
        <x:v>0</x:v>
      </x:c>
      <x:c r="I987" s="42" t="b">
        <x:v>0</x:v>
      </x:c>
      <x:c r="J987" s="38" t="n">
        <x:v>0.1526472432</x:v>
      </x:c>
    </x:row>
    <x:row r="988" ht="19" customHeight="1">
      <x:c r="A988" s="29" t="str">
        <x:v>stagger_1</x:v>
      </x:c>
      <x:c r="B988" s="38" t="str">
        <x:v>WDC</x:v>
      </x:c>
      <x:c r="C988" s="38" t="str">
        <x:v>Other sectors</x:v>
      </x:c>
      <x:c r="D988" s="30" t="n">
        <x:v>4</x:v>
      </x:c>
      <x:c r="E988" s="38" t="str">
        <x:v>XLY</x:v>
      </x:c>
      <x:c r="F988" s="38" t="n">
        <x:v>-0.5813587559</x:v>
      </x:c>
      <x:c r="G988" s="38" t="n">
        <x:v>-1.0434530483</x:v>
      </x:c>
      <x:c r="H988" s="42" t="b">
        <x:v>0</x:v>
      </x:c>
      <x:c r="I988" s="42" t="b">
        <x:v>0</x:v>
      </x:c>
      <x:c r="J988" s="38" t="n">
        <x:v>0.1526472432</x:v>
      </x:c>
    </x:row>
    <x:row r="989" ht="19" customHeight="1">
      <x:c r="A989" s="29" t="str">
        <x:v>stagger_1</x:v>
      </x:c>
      <x:c r="B989" s="38" t="str">
        <x:v>WDC</x:v>
      </x:c>
      <x:c r="C989" s="38" t="str">
        <x:v>Other sectors</x:v>
      </x:c>
      <x:c r="D989" s="30" t="n">
        <x:v>5</x:v>
      </x:c>
      <x:c r="E989" s="38" t="str">
        <x:v>XLB</x:v>
      </x:c>
      <x:c r="F989" s="38" t="n">
        <x:v>0.7518226712</x:v>
      </x:c>
      <x:c r="G989" s="38" t="n">
        <x:v>1.1373017348</x:v>
      </x:c>
      <x:c r="H989" s="42" t="b">
        <x:v>0</x:v>
      </x:c>
      <x:c r="I989" s="42" t="b">
        <x:v>0</x:v>
      </x:c>
      <x:c r="J989" s="38" t="n">
        <x:v>0.1501203244</x:v>
      </x:c>
    </x:row>
    <x:row r="990" ht="19" customHeight="1">
      <x:c r="A990" s="29" t="str">
        <x:v>stagger_1</x:v>
      </x:c>
      <x:c r="B990" s="38" t="str">
        <x:v>WDC</x:v>
      </x:c>
      <x:c r="C990" s="38" t="str">
        <x:v>Other sectors</x:v>
      </x:c>
      <x:c r="D990" s="30" t="n">
        <x:v>5</x:v>
      </x:c>
      <x:c r="E990" s="38" t="str">
        <x:v>XLI</x:v>
      </x:c>
      <x:c r="F990" s="38" t="n">
        <x:v>1.0782322076</x:v>
      </x:c>
      <x:c r="G990" s="38" t="n">
        <x:v>1.2391155992</x:v>
      </x:c>
      <x:c r="H990" s="42" t="b">
        <x:v>0</x:v>
      </x:c>
      <x:c r="I990" s="42" t="b">
        <x:v>0</x:v>
      </x:c>
      <x:c r="J990" s="38" t="n">
        <x:v>0.1501203244</x:v>
      </x:c>
    </x:row>
    <x:row r="991" ht="19" customHeight="1">
      <x:c r="A991" s="29" t="str">
        <x:v>stagger_1</x:v>
      </x:c>
      <x:c r="B991" s="38" t="str">
        <x:v>WDC</x:v>
      </x:c>
      <x:c r="C991" s="38" t="str">
        <x:v>Other sectors</x:v>
      </x:c>
      <x:c r="D991" s="30" t="n">
        <x:v>5</x:v>
      </x:c>
      <x:c r="E991" s="38" t="str">
        <x:v>XLP</x:v>
      </x:c>
      <x:c r="F991" s="38" t="n">
        <x:v>-0.7566546019</x:v>
      </x:c>
      <x:c r="G991" s="38" t="n">
        <x:v>-1.2154876882</x:v>
      </x:c>
      <x:c r="H991" s="42" t="b">
        <x:v>0</x:v>
      </x:c>
      <x:c r="I991" s="42" t="b">
        <x:v>0</x:v>
      </x:c>
      <x:c r="J991" s="38" t="n">
        <x:v>0.1501203244</x:v>
      </x:c>
    </x:row>
    <x:row r="992" ht="19" customHeight="1">
      <x:c r="A992" s="29" t="str">
        <x:v>stagger_1</x:v>
      </x:c>
      <x:c r="B992" s="38" t="str">
        <x:v>WDC</x:v>
      </x:c>
      <x:c r="C992" s="38" t="str">
        <x:v>Other sectors</x:v>
      </x:c>
      <x:c r="D992" s="30" t="n">
        <x:v>5</x:v>
      </x:c>
      <x:c r="E992" s="38" t="str">
        <x:v>XLU</x:v>
      </x:c>
      <x:c r="F992" s="38" t="n">
        <x:v>-0.1751462339</x:v>
      </x:c>
      <x:c r="G992" s="38" t="n">
        <x:v>-0.4094157641</x:v>
      </x:c>
      <x:c r="H992" s="42" t="b">
        <x:v>1</x:v>
      </x:c>
      <x:c r="I992" s="42" t="b">
        <x:v>0</x:v>
      </x:c>
      <x:c r="J992" s="38" t="n">
        <x:v>0.1501203244</x:v>
      </x:c>
    </x:row>
    <x:row r="993" ht="19" customHeight="1">
      <x:c r="A993" s="29" t="str">
        <x:v>stagger_1</x:v>
      </x:c>
      <x:c r="B993" s="38" t="str">
        <x:v>WDC</x:v>
      </x:c>
      <x:c r="C993" s="38" t="str">
        <x:v>Other sectors</x:v>
      </x:c>
      <x:c r="D993" s="30" t="n">
        <x:v>5</x:v>
      </x:c>
      <x:c r="E993" s="38" t="str">
        <x:v>XLV</x:v>
      </x:c>
      <x:c r="F993" s="38" t="n">
        <x:v>-0.4774087837</x:v>
      </x:c>
      <x:c r="G993" s="38" t="n">
        <x:v>-0.9404701431</x:v>
      </x:c>
      <x:c r="H993" s="42" t="b">
        <x:v>0</x:v>
      </x:c>
      <x:c r="I993" s="42" t="b">
        <x:v>0</x:v>
      </x:c>
      <x:c r="J993" s="38" t="n">
        <x:v>0.1501203244</x:v>
      </x:c>
    </x:row>
    <x:row r="994" ht="19" customHeight="1">
      <x:c r="A994" s="29" t="str">
        <x:v>stagger_1</x:v>
      </x:c>
      <x:c r="B994" s="38" t="str">
        <x:v>WDC</x:v>
      </x:c>
      <x:c r="C994" s="38" t="str">
        <x:v>Other sectors</x:v>
      </x:c>
      <x:c r="D994" s="30" t="n">
        <x:v>5</x:v>
      </x:c>
      <x:c r="E994" s="38" t="str">
        <x:v>XLY</x:v>
      </x:c>
      <x:c r="F994" s="38" t="n">
        <x:v>-0.5090446727</x:v>
      </x:c>
      <x:c r="G994" s="38" t="n">
        <x:v>-0.9569205465</x:v>
      </x:c>
      <x:c r="H994" s="42" t="b">
        <x:v>0</x:v>
      </x:c>
      <x:c r="I994" s="42" t="b">
        <x:v>0</x:v>
      </x:c>
      <x:c r="J994" s="38" t="n">
        <x:v>0.1501203244</x:v>
      </x:c>
    </x:row>
    <x:row r="995" ht="19" customHeight="1">
      <x:c r="A995" s="29" t="str">
        <x:v>stagger_1</x:v>
      </x:c>
      <x:c r="B995" s="38" t="str">
        <x:v>WDC</x:v>
      </x:c>
      <x:c r="C995" s="38" t="str">
        <x:v>Other sectors</x:v>
      </x:c>
      <x:c r="D995" s="30" t="n">
        <x:v>6</x:v>
      </x:c>
      <x:c r="E995" s="38" t="str">
        <x:v>XLB</x:v>
      </x:c>
      <x:c r="F995" s="38" t="n">
        <x:v>0.7348545223</x:v>
      </x:c>
      <x:c r="G995" s="38" t="n">
        <x:v>1.1201424364</x:v>
      </x:c>
      <x:c r="H995" s="42" t="b">
        <x:v>0</x:v>
      </x:c>
      <x:c r="I995" s="42" t="b">
        <x:v>0</x:v>
      </x:c>
      <x:c r="J995" s="38" t="n">
        <x:v>0.1481688462</x:v>
      </x:c>
    </x:row>
    <x:row r="996" ht="19" customHeight="1">
      <x:c r="A996" s="29" t="str">
        <x:v>stagger_1</x:v>
      </x:c>
      <x:c r="B996" s="38" t="str">
        <x:v>WDC</x:v>
      </x:c>
      <x:c r="C996" s="38" t="str">
        <x:v>Other sectors</x:v>
      </x:c>
      <x:c r="D996" s="30" t="n">
        <x:v>6</x:v>
      </x:c>
      <x:c r="E996" s="38" t="str">
        <x:v>XLI</x:v>
      </x:c>
      <x:c r="F996" s="38" t="n">
        <x:v>1.0431274256</x:v>
      </x:c>
      <x:c r="G996" s="38" t="n">
        <x:v>1.21146815</x:v>
      </x:c>
      <x:c r="H996" s="42" t="b">
        <x:v>0</x:v>
      </x:c>
      <x:c r="I996" s="42" t="b">
        <x:v>0</x:v>
      </x:c>
      <x:c r="J996" s="38" t="n">
        <x:v>0.1481688462</x:v>
      </x:c>
    </x:row>
    <x:row r="997" ht="19" customHeight="1">
      <x:c r="A997" s="29" t="str">
        <x:v>stagger_1</x:v>
      </x:c>
      <x:c r="B997" s="38" t="str">
        <x:v>WDC</x:v>
      </x:c>
      <x:c r="C997" s="38" t="str">
        <x:v>Other sectors</x:v>
      </x:c>
      <x:c r="D997" s="30" t="n">
        <x:v>6</x:v>
      </x:c>
      <x:c r="E997" s="38" t="str">
        <x:v>XLP</x:v>
      </x:c>
      <x:c r="F997" s="38" t="n">
        <x:v>-0.843535636</x:v>
      </x:c>
      <x:c r="G997" s="38" t="n">
        <x:v>-1.449562886</x:v>
      </x:c>
      <x:c r="H997" s="42" t="b">
        <x:v>0</x:v>
      </x:c>
      <x:c r="I997" s="42" t="b">
        <x:v>0</x:v>
      </x:c>
      <x:c r="J997" s="38" t="n">
        <x:v>0.1481688462</x:v>
      </x:c>
    </x:row>
    <x:row r="998" ht="19" customHeight="1">
      <x:c r="A998" s="29" t="str">
        <x:v>stagger_1</x:v>
      </x:c>
      <x:c r="B998" s="38" t="str">
        <x:v>WDC</x:v>
      </x:c>
      <x:c r="C998" s="38" t="str">
        <x:v>Other sectors</x:v>
      </x:c>
      <x:c r="D998" s="30" t="n">
        <x:v>6</x:v>
      </x:c>
      <x:c r="E998" s="38" t="str">
        <x:v>XLV</x:v>
      </x:c>
      <x:c r="F998" s="38" t="n">
        <x:v>-0.4903110646</x:v>
      </x:c>
      <x:c r="G998" s="38" t="n">
        <x:v>-0.9732427969</x:v>
      </x:c>
      <x:c r="H998" s="42" t="b">
        <x:v>1</x:v>
      </x:c>
      <x:c r="I998" s="42" t="b">
        <x:v>0</x:v>
      </x:c>
      <x:c r="J998" s="38" t="n">
        <x:v>0.1481688462</x:v>
      </x:c>
    </x:row>
    <x:row r="999" ht="19" customHeight="1">
      <x:c r="A999" s="29" t="str">
        <x:v>stagger_1</x:v>
      </x:c>
      <x:c r="B999" s="38" t="str">
        <x:v>WDC</x:v>
      </x:c>
      <x:c r="C999" s="38" t="str">
        <x:v>Other sectors</x:v>
      </x:c>
      <x:c r="D999" s="30" t="n">
        <x:v>6</x:v>
      </x:c>
      <x:c r="E999" s="38" t="str">
        <x:v>XLY</x:v>
      </x:c>
      <x:c r="F999" s="38" t="n">
        <x:v>-0.5174489784</x:v>
      </x:c>
      <x:c r="G999" s="38" t="n">
        <x:v>-0.978965747</x:v>
      </x:c>
      <x:c r="H999" s="42" t="b">
        <x:v>0</x:v>
      </x:c>
      <x:c r="I999" s="42" t="b">
        <x:v>0</x:v>
      </x:c>
      <x:c r="J999" s="38" t="n">
        <x:v>0.1481688462</x:v>
      </x:c>
    </x:row>
    <x:row r="1000" ht="19" customHeight="1">
      <x:c r="A1000" s="29" t="str">
        <x:v>stagger_1</x:v>
      </x:c>
      <x:c r="B1000" s="38" t="str">
        <x:v>WDC</x:v>
      </x:c>
      <x:c r="C1000" s="38" t="str">
        <x:v>Other sectors</x:v>
      </x:c>
      <x:c r="D1000" s="30" t="n">
        <x:v>7</x:v>
      </x:c>
      <x:c r="E1000" s="38" t="str">
        <x:v>XLB</x:v>
      </x:c>
      <x:c r="F1000" s="38" t="n">
        <x:v>0.6184921679</x:v>
      </x:c>
      <x:c r="G1000" s="38" t="n">
        <x:v>0.9591663133</x:v>
      </x:c>
      <x:c r="H1000" s="42" t="b">
        <x:v>0</x:v>
      </x:c>
      <x:c r="I1000" s="42" t="b">
        <x:v>0</x:v>
      </x:c>
      <x:c r="J1000" s="38" t="n">
        <x:v>0.1372653896</x:v>
      </x:c>
    </x:row>
    <x:row r="1001" ht="19" customHeight="1">
      <x:c r="A1001" s="29" t="str">
        <x:v>stagger_1</x:v>
      </x:c>
      <x:c r="B1001" s="38" t="str">
        <x:v>WDC</x:v>
      </x:c>
      <x:c r="C1001" s="38" t="str">
        <x:v>Other sectors</x:v>
      </x:c>
      <x:c r="D1001" s="30" t="n">
        <x:v>7</x:v>
      </x:c>
      <x:c r="E1001" s="38" t="str">
        <x:v>XLI</x:v>
      </x:c>
      <x:c r="F1001" s="38" t="n">
        <x:v>1.1984444049</x:v>
      </x:c>
      <x:c r="G1001" s="38" t="n">
        <x:v>1.4168892262</x:v>
      </x:c>
      <x:c r="H1001" s="42" t="b">
        <x:v>0</x:v>
      </x:c>
      <x:c r="I1001" s="42" t="b">
        <x:v>0</x:v>
      </x:c>
      <x:c r="J1001" s="38" t="n">
        <x:v>0.1372653896</x:v>
      </x:c>
    </x:row>
    <x:row r="1002" ht="19" customHeight="1">
      <x:c r="A1002" s="29" t="str">
        <x:v>stagger_1</x:v>
      </x:c>
      <x:c r="B1002" s="38" t="str">
        <x:v>WDC</x:v>
      </x:c>
      <x:c r="C1002" s="38" t="str">
        <x:v>Other sectors</x:v>
      </x:c>
      <x:c r="D1002" s="30" t="n">
        <x:v>7</x:v>
      </x:c>
      <x:c r="E1002" s="38" t="str">
        <x:v>XLP</x:v>
      </x:c>
      <x:c r="F1002" s="38" t="n">
        <x:v>-1.0718831664</x:v>
      </x:c>
      <x:c r="G1002" s="38" t="n">
        <x:v>-2.0135272742</x:v>
      </x:c>
      <x:c r="H1002" s="42" t="b">
        <x:v>0</x:v>
      </x:c>
      <x:c r="I1002" s="42" t="b">
        <x:v>0</x:v>
      </x:c>
      <x:c r="J1002" s="38" t="n">
        <x:v>0.1372653896</x:v>
      </x:c>
    </x:row>
    <x:row r="1003" ht="19" customHeight="1">
      <x:c r="A1003" s="29" t="str">
        <x:v>stagger_1</x:v>
      </x:c>
      <x:c r="B1003" s="38" t="str">
        <x:v>WDC</x:v>
      </x:c>
      <x:c r="C1003" s="38" t="str">
        <x:v>Other sectors</x:v>
      </x:c>
      <x:c r="D1003" s="30" t="n">
        <x:v>7</x:v>
      </x:c>
      <x:c r="E1003" s="38" t="str">
        <x:v>XLY</x:v>
      </x:c>
      <x:c r="F1003" s="38" t="n">
        <x:v>-0.3753873248</x:v>
      </x:c>
      <x:c r="G1003" s="38" t="n">
        <x:v>-0.7391936202</x:v>
      </x:c>
      <x:c r="H1003" s="42" t="b">
        <x:v>1</x:v>
      </x:c>
      <x:c r="I1003" s="42" t="b">
        <x:v>0</x:v>
      </x:c>
      <x:c r="J1003" s="38" t="n">
        <x:v>0.1372653896</x:v>
      </x:c>
    </x:row>
    <x:row r="1004" ht="19" customHeight="1">
      <x:c r="A1004" s="29" t="str">
        <x:v>stagger_1</x:v>
      </x:c>
      <x:c r="B1004" s="38" t="str">
        <x:v>WDC</x:v>
      </x:c>
      <x:c r="C1004" s="38" t="str">
        <x:v>Other sectors</x:v>
      </x:c>
      <x:c r="D1004" s="30" t="n">
        <x:v>8</x:v>
      </x:c>
      <x:c r="E1004" s="38" t="str">
        <x:v>XLB</x:v>
      </x:c>
      <x:c r="F1004" s="38" t="n">
        <x:v>0.5904727359</x:v>
      </x:c>
      <x:c r="G1004" s="38" t="n">
        <x:v>0.9200493475</x:v>
      </x:c>
      <x:c r="H1004" s="42" t="b">
        <x:v>1</x:v>
      </x:c>
      <x:c r="I1004" s="42" t="b">
        <x:v>0</x:v>
      </x:c>
      <x:c r="J1004" s="38" t="n">
        <x:v>0.1309799975</x:v>
      </x:c>
    </x:row>
    <x:row r="1005" ht="19" customHeight="1">
      <x:c r="A1005" s="29" t="str">
        <x:v>stagger_1</x:v>
      </x:c>
      <x:c r="B1005" s="38" t="str">
        <x:v>WDC</x:v>
      </x:c>
      <x:c r="C1005" s="38" t="str">
        <x:v>Other sectors</x:v>
      </x:c>
      <x:c r="D1005" s="30" t="n">
        <x:v>8</x:v>
      </x:c>
      <x:c r="E1005" s="38" t="str">
        <x:v>XLI</x:v>
      </x:c>
      <x:c r="F1005" s="38" t="n">
        <x:v>1.2594096369</x:v>
      </x:c>
      <x:c r="G1005" s="38" t="n">
        <x:v>1.5005808364</x:v>
      </x:c>
      <x:c r="H1005" s="42" t="b">
        <x:v>0</x:v>
      </x:c>
      <x:c r="I1005" s="42" t="b">
        <x:v>0</x:v>
      </x:c>
      <x:c r="J1005" s="38" t="n">
        <x:v>0.1309799975</x:v>
      </x:c>
    </x:row>
    <x:row r="1006" ht="19" customHeight="1">
      <x:c r="A1006" s="29" t="str">
        <x:v>stagger_1</x:v>
      </x:c>
      <x:c r="B1006" s="38" t="str">
        <x:v>WDC</x:v>
      </x:c>
      <x:c r="C1006" s="38" t="str">
        <x:v>Other sectors</x:v>
      </x:c>
      <x:c r="D1006" s="30" t="n">
        <x:v>8</x:v>
      </x:c>
      <x:c r="E1006" s="38" t="str">
        <x:v>XLP</x:v>
      </x:c>
      <x:c r="F1006" s="38" t="n">
        <x:v>-1.0394757185</x:v>
      </x:c>
      <x:c r="G1006" s="38" t="n">
        <x:v>-1.9651790895</x:v>
      </x:c>
      <x:c r="H1006" s="42" t="b">
        <x:v>0</x:v>
      </x:c>
      <x:c r="I1006" s="42" t="b">
        <x:v>0</x:v>
      </x:c>
      <x:c r="J1006" s="38" t="n">
        <x:v>0.1309799975</x:v>
      </x:c>
    </x:row>
    <x:row r="1007" ht="19" customHeight="1">
      <x:c r="A1007" s="29" t="str">
        <x:v>stagger_1</x:v>
      </x:c>
      <x:c r="B1007" s="38" t="str">
        <x:v>WDC</x:v>
      </x:c>
      <x:c r="C1007" s="38" t="str">
        <x:v>Other sectors</x:v>
      </x:c>
      <x:c r="D1007" s="30" t="n">
        <x:v>9</x:v>
      </x:c>
      <x:c r="E1007" s="38" t="str">
        <x:v>XLI</x:v>
      </x:c>
      <x:c r="F1007" s="38" t="n">
        <x:v>1.8287101565</x:v>
      </x:c>
      <x:c r="G1007" s="38" t="n">
        <x:v>3.2283281993</x:v>
      </x:c>
      <x:c r="H1007" s="42" t="b">
        <x:v>0</x:v>
      </x:c>
      <x:c r="I1007" s="42" t="b">
        <x:v>0</x:v>
      </x:c>
      <x:c r="J1007" s="38" t="n">
        <x:v>0.1213008207</x:v>
      </x:c>
    </x:row>
    <x:row r="1008" ht="19" customHeight="1">
      <x:c r="A1008" s="29" t="str">
        <x:v>stagger_1</x:v>
      </x:c>
      <x:c r="B1008" s="38" t="str">
        <x:v>WDC</x:v>
      </x:c>
      <x:c r="C1008" s="38" t="str">
        <x:v>Other sectors</x:v>
      </x:c>
      <x:c r="D1008" s="30" t="n">
        <x:v>9</x:v>
      </x:c>
      <x:c r="E1008" s="38" t="str">
        <x:v>XLP</x:v>
      </x:c>
      <x:c r="F1008" s="38" t="n">
        <x:v>-0.9153353325</x:v>
      </x:c>
      <x:c r="G1008" s="38" t="n">
        <x:v>-1.7914791652</x:v>
      </x:c>
      <x:c r="H1008" s="42" t="b">
        <x:v>1</x:v>
      </x:c>
      <x:c r="I1008" s="42" t="b">
        <x:v>0</x:v>
      </x:c>
      <x:c r="J1008" s="38" t="n">
        <x:v>0.1213008207</x:v>
      </x:c>
    </x:row>
    <x:row r="1009" ht="19" customHeight="1">
      <x:c r="A1009" s="29" t="str">
        <x:v>stagger_1</x:v>
      </x:c>
      <x:c r="B1009" s="38" t="str">
        <x:v>WDC</x:v>
      </x:c>
      <x:c r="C1009" s="38" t="str">
        <x:v>Other sectors</x:v>
      </x:c>
      <x:c r="D1009" s="30" t="n">
        <x:v>10</x:v>
      </x:c>
      <x:c r="E1009" s="38" t="str">
        <x:v>XLI</x:v>
      </x:c>
      <x:c r="F1009" s="38" t="n">
        <x:v>1.3950064892</x:v>
      </x:c>
      <x:c r="G1009" s="38" t="n">
        <x:v>2.6862141434</x:v>
      </x:c>
      <x:c r="H1009" s="42" t="b">
        <x:v>0</x:v>
      </x:c>
      <x:c r="I1009" s="42" t="b">
        <x:v>1</x:v>
      </x:c>
      <x:c r="J1009" s="38" t="n">
        <x:v>0.0846762098</x:v>
      </x:c>
    </x:row>
    <x:row r="1010" ht="19" customHeight="1">
      <x:c r="A1010" s="29" t="str">
        <x:v>stagger_1</x:v>
      </x:c>
      <x:c r="B1010" s="38" t="str">
        <x:v>ASND</x:v>
      </x:c>
      <x:c r="C1010" s="38" t="str">
        <x:v>Other FX</x:v>
      </x:c>
      <x:c r="D1010" s="30" t="n">
        <x:v>1</x:v>
      </x:c>
      <x:c r="E1010" s="38" t="str">
        <x:v>AUD/USD</x:v>
      </x:c>
      <x:c r="F1010" s="38" t="n">
        <x:v>0.5493868992</x:v>
      </x:c>
      <x:c r="G1010" s="38" t="n">
        <x:v>0.6514310126</x:v>
      </x:c>
      <x:c r="H1010" s="42" t="b">
        <x:v>0</x:v>
      </x:c>
      <x:c r="I1010" s="42" t="b">
        <x:v>0</x:v>
      </x:c>
      <x:c r="J1010" s="38" t="n">
        <x:v>0.0772569793</x:v>
      </x:c>
    </x:row>
    <x:row r="1011" ht="19" customHeight="1">
      <x:c r="A1011" s="29" t="str">
        <x:v>stagger_1</x:v>
      </x:c>
      <x:c r="B1011" s="38" t="str">
        <x:v>ASND</x:v>
      </x:c>
      <x:c r="C1011" s="38" t="str">
        <x:v>Other FX</x:v>
      </x:c>
      <x:c r="D1011" s="30" t="n">
        <x:v>1</x:v>
      </x:c>
      <x:c r="E1011" s="38" t="str">
        <x:v>CAD/USD</x:v>
      </x:c>
      <x:c r="F1011" s="38" t="n">
        <x:v>0.1910518819</x:v>
      </x:c>
      <x:c r="G1011" s="38" t="n">
        <x:v>0.1885358629</x:v>
      </x:c>
      <x:c r="H1011" s="42" t="b">
        <x:v>1</x:v>
      </x:c>
      <x:c r="I1011" s="42" t="b">
        <x:v>0</x:v>
      </x:c>
      <x:c r="J1011" s="38" t="n">
        <x:v>0.0772569793</x:v>
      </x:c>
    </x:row>
    <x:row r="1012" ht="19" customHeight="1">
      <x:c r="A1012" s="29" t="str">
        <x:v>stagger_1</x:v>
      </x:c>
      <x:c r="B1012" s="38" t="str">
        <x:v>ASND</x:v>
      </x:c>
      <x:c r="C1012" s="38" t="str">
        <x:v>Other FX</x:v>
      </x:c>
      <x:c r="D1012" s="30" t="n">
        <x:v>1</x:v>
      </x:c>
      <x:c r="E1012" s="38" t="str">
        <x:v>EUR/USD</x:v>
      </x:c>
      <x:c r="F1012" s="38" t="n">
        <x:v>-1.8453357167</x:v>
      </x:c>
      <x:c r="G1012" s="38" t="n">
        <x:v>-1.7844392139</x:v>
      </x:c>
      <x:c r="H1012" s="42" t="b">
        <x:v>0</x:v>
      </x:c>
      <x:c r="I1012" s="42" t="b">
        <x:v>0</x:v>
      </x:c>
      <x:c r="J1012" s="38" t="n">
        <x:v>0.0772569793</x:v>
      </x:c>
    </x:row>
    <x:row r="1013" ht="19" customHeight="1">
      <x:c r="A1013" s="29" t="str">
        <x:v>stagger_1</x:v>
      </x:c>
      <x:c r="B1013" s="38" t="str">
        <x:v>ASND</x:v>
      </x:c>
      <x:c r="C1013" s="38" t="str">
        <x:v>Other FX</x:v>
      </x:c>
      <x:c r="D1013" s="30" t="n">
        <x:v>1</x:v>
      </x:c>
      <x:c r="E1013" s="38" t="str">
        <x:v>MXN/USD</x:v>
      </x:c>
      <x:c r="F1013" s="38" t="n">
        <x:v>0.8905258121</x:v>
      </x:c>
      <x:c r="G1013" s="38" t="n">
        <x:v>1.7292159694</x:v>
      </x:c>
      <x:c r="H1013" s="42" t="b">
        <x:v>0</x:v>
      </x:c>
      <x:c r="I1013" s="42" t="b">
        <x:v>0</x:v>
      </x:c>
      <x:c r="J1013" s="38" t="n">
        <x:v>0.0772569793</x:v>
      </x:c>
    </x:row>
    <x:row r="1014" ht="19" customHeight="1">
      <x:c r="A1014" s="29" t="str">
        <x:v>stagger_1</x:v>
      </x:c>
      <x:c r="B1014" s="38" t="str">
        <x:v>ASND</x:v>
      </x:c>
      <x:c r="C1014" s="38" t="str">
        <x:v>Other FX</x:v>
      </x:c>
      <x:c r="D1014" s="30" t="n">
        <x:v>1</x:v>
      </x:c>
      <x:c r="E1014" s="38" t="str">
        <x:v>SGD/USD</x:v>
      </x:c>
      <x:c r="F1014" s="38" t="n">
        <x:v>0.9526959023</x:v>
      </x:c>
      <x:c r="G1014" s="38" t="n">
        <x:v>0.5053276093</x:v>
      </x:c>
      <x:c r="H1014" s="42" t="b">
        <x:v>0</x:v>
      </x:c>
      <x:c r="I1014" s="42" t="b">
        <x:v>0</x:v>
      </x:c>
      <x:c r="J1014" s="38" t="n">
        <x:v>0.0772569793</x:v>
      </x:c>
    </x:row>
    <x:row r="1015" ht="19" customHeight="1">
      <x:c r="A1015" s="29" t="str">
        <x:v>stagger_1</x:v>
      </x:c>
      <x:c r="B1015" s="38" t="str">
        <x:v>ASND</x:v>
      </x:c>
      <x:c r="C1015" s="38" t="str">
        <x:v>Other FX</x:v>
      </x:c>
      <x:c r="D1015" s="30" t="n">
        <x:v>2</x:v>
      </x:c>
      <x:c r="E1015" s="38" t="str">
        <x:v>AUD/USD</x:v>
      </x:c>
      <x:c r="F1015" s="38" t="n">
        <x:v>0.5881983099</x:v>
      </x:c>
      <x:c r="G1015" s="38" t="n">
        <x:v>0.7238753765</x:v>
      </x:c>
      <x:c r="H1015" s="42" t="b">
        <x:v>0</x:v>
      </x:c>
      <x:c r="I1015" s="42" t="b">
        <x:v>0</x:v>
      </x:c>
      <x:c r="J1015" s="38" t="n">
        <x:v>0.0768137413</x:v>
      </x:c>
    </x:row>
    <x:row r="1016" ht="19" customHeight="1">
      <x:c r="A1016" s="29" t="str">
        <x:v>stagger_1</x:v>
      </x:c>
      <x:c r="B1016" s="38" t="str">
        <x:v>ASND</x:v>
      </x:c>
      <x:c r="C1016" s="38" t="str">
        <x:v>Other FX</x:v>
      </x:c>
      <x:c r="D1016" s="30" t="n">
        <x:v>2</x:v>
      </x:c>
      <x:c r="E1016" s="38" t="str">
        <x:v>EUR/USD</x:v>
      </x:c>
      <x:c r="F1016" s="38" t="n">
        <x:v>-1.799251627</x:v>
      </x:c>
      <x:c r="G1016" s="38" t="n">
        <x:v>-1.8022395502</x:v>
      </x:c>
      <x:c r="H1016" s="42" t="b">
        <x:v>0</x:v>
      </x:c>
      <x:c r="I1016" s="42" t="b">
        <x:v>0</x:v>
      </x:c>
      <x:c r="J1016" s="38" t="n">
        <x:v>0.0768137413</x:v>
      </x:c>
    </x:row>
    <x:row r="1017" ht="19" customHeight="1">
      <x:c r="A1017" s="29" t="str">
        <x:v>stagger_1</x:v>
      </x:c>
      <x:c r="B1017" s="38" t="str">
        <x:v>ASND</x:v>
      </x:c>
      <x:c r="C1017" s="38" t="str">
        <x:v>Other FX</x:v>
      </x:c>
      <x:c r="D1017" s="30" t="n">
        <x:v>2</x:v>
      </x:c>
      <x:c r="E1017" s="38" t="str">
        <x:v>MXN/USD</x:v>
      </x:c>
      <x:c r="F1017" s="38" t="n">
        <x:v>0.891557225</x:v>
      </x:c>
      <x:c r="G1017" s="38" t="n">
        <x:v>1.7425568084</x:v>
      </x:c>
      <x:c r="H1017" s="42" t="b">
        <x:v>0</x:v>
      </x:c>
      <x:c r="I1017" s="42" t="b">
        <x:v>0</x:v>
      </x:c>
      <x:c r="J1017" s="38" t="n">
        <x:v>0.0768137413</x:v>
      </x:c>
    </x:row>
    <x:row r="1018" ht="19" customHeight="1">
      <x:c r="A1018" s="29" t="str">
        <x:v>stagger_1</x:v>
      </x:c>
      <x:c r="B1018" s="38" t="str">
        <x:v>ASND</x:v>
      </x:c>
      <x:c r="C1018" s="38" t="str">
        <x:v>Other FX</x:v>
      </x:c>
      <x:c r="D1018" s="30" t="n">
        <x:v>2</x:v>
      </x:c>
      <x:c r="E1018" s="38" t="str">
        <x:v>SGD/USD</x:v>
      </x:c>
      <x:c r="F1018" s="38" t="n">
        <x:v>0.9684312788</x:v>
      </x:c>
      <x:c r="G1018" s="38" t="n">
        <x:v>0.5175162646</x:v>
      </x:c>
      <x:c r="H1018" s="42" t="b">
        <x:v>1</x:v>
      </x:c>
      <x:c r="I1018" s="42" t="b">
        <x:v>0</x:v>
      </x:c>
      <x:c r="J1018" s="38" t="n">
        <x:v>0.0768137413</x:v>
      </x:c>
    </x:row>
    <x:row r="1019" ht="19" customHeight="1">
      <x:c r="A1019" s="29" t="str">
        <x:v>stagger_1</x:v>
      </x:c>
      <x:c r="B1019" s="38" t="str">
        <x:v>ASND</x:v>
      </x:c>
      <x:c r="C1019" s="38" t="str">
        <x:v>Other FX</x:v>
      </x:c>
      <x:c r="D1019" s="30" t="n">
        <x:v>3</x:v>
      </x:c>
      <x:c r="E1019" s="38" t="str">
        <x:v>AUD/USD</x:v>
      </x:c>
      <x:c r="F1019" s="38" t="n">
        <x:v>0.8098250939</x:v>
      </x:c>
      <x:c r="G1019" s="38" t="n">
        <x:v>1.1784032374</x:v>
      </x:c>
      <x:c r="H1019" s="42" t="b">
        <x:v>1</x:v>
      </x:c>
      <x:c r="I1019" s="42" t="b">
        <x:v>0</x:v>
      </x:c>
      <x:c r="J1019" s="38" t="n">
        <x:v>0.0735170668</x:v>
      </x:c>
    </x:row>
    <x:row r="1020" ht="19" customHeight="1">
      <x:c r="A1020" s="29" t="str">
        <x:v>stagger_1</x:v>
      </x:c>
      <x:c r="B1020" s="38" t="str">
        <x:v>ASND</x:v>
      </x:c>
      <x:c r="C1020" s="38" t="str">
        <x:v>Other FX</x:v>
      </x:c>
      <x:c r="D1020" s="30" t="n">
        <x:v>3</x:v>
      </x:c>
      <x:c r="E1020" s="38" t="str">
        <x:v>EUR/USD</x:v>
      </x:c>
      <x:c r="F1020" s="38" t="n">
        <x:v>-1.5002977498</x:v>
      </x:c>
      <x:c r="G1020" s="38" t="n">
        <x:v>-1.8515188247</x:v>
      </x:c>
      <x:c r="H1020" s="42" t="b">
        <x:v>0</x:v>
      </x:c>
      <x:c r="I1020" s="42" t="b">
        <x:v>0</x:v>
      </x:c>
      <x:c r="J1020" s="38" t="n">
        <x:v>0.0735170668</x:v>
      </x:c>
    </x:row>
    <x:row r="1021" ht="19" customHeight="1">
      <x:c r="A1021" s="29" t="str">
        <x:v>stagger_1</x:v>
      </x:c>
      <x:c r="B1021" s="38" t="str">
        <x:v>ASND</x:v>
      </x:c>
      <x:c r="C1021" s="38" t="str">
        <x:v>Other FX</x:v>
      </x:c>
      <x:c r="D1021" s="30" t="n">
        <x:v>3</x:v>
      </x:c>
      <x:c r="E1021" s="38" t="str">
        <x:v>MXN/USD</x:v>
      </x:c>
      <x:c r="F1021" s="38" t="n">
        <x:v>0.8942800083</x:v>
      </x:c>
      <x:c r="G1021" s="38" t="n">
        <x:v>1.7564521585</x:v>
      </x:c>
      <x:c r="H1021" s="42" t="b">
        <x:v>0</x:v>
      </x:c>
      <x:c r="I1021" s="42" t="b">
        <x:v>0</x:v>
      </x:c>
      <x:c r="J1021" s="38" t="n">
        <x:v>0.0735170668</x:v>
      </x:c>
    </x:row>
    <x:row r="1022" ht="19" customHeight="1">
      <x:c r="A1022" s="29" t="str">
        <x:v>stagger_1</x:v>
      </x:c>
      <x:c r="B1022" s="38" t="str">
        <x:v>ASND</x:v>
      </x:c>
      <x:c r="C1022" s="38" t="str">
        <x:v>Other FX</x:v>
      </x:c>
      <x:c r="D1022" s="30" t="n">
        <x:v>4</x:v>
      </x:c>
      <x:c r="E1022" s="38" t="str">
        <x:v>EUR/USD</x:v>
      </x:c>
      <x:c r="F1022" s="38" t="n">
        <x:v>-1.0155971491</x:v>
      </x:c>
      <x:c r="G1022" s="38" t="n">
        <x:v>-1.4510415519</x:v>
      </x:c>
      <x:c r="H1022" s="42" t="b">
        <x:v>1</x:v>
      </x:c>
      <x:c r="I1022" s="42" t="b">
        <x:v>0</x:v>
      </x:c>
      <x:c r="J1022" s="38" t="n">
        <x:v>0.0565888315</x:v>
      </x:c>
    </x:row>
    <x:row r="1023" ht="19" customHeight="1">
      <x:c r="A1023" s="29" t="str">
        <x:v>stagger_1</x:v>
      </x:c>
      <x:c r="B1023" s="38" t="str">
        <x:v>ASND</x:v>
      </x:c>
      <x:c r="C1023" s="38" t="str">
        <x:v>Other FX</x:v>
      </x:c>
      <x:c r="D1023" s="30" t="n">
        <x:v>4</x:v>
      </x:c>
      <x:c r="E1023" s="38" t="str">
        <x:v>MXN/USD</x:v>
      </x:c>
      <x:c r="F1023" s="38" t="n">
        <x:v>1.0421503843</x:v>
      </x:c>
      <x:c r="G1023" s="38" t="n">
        <x:v>2.1067251142</x:v>
      </x:c>
      <x:c r="H1023" s="42" t="b">
        <x:v>0</x:v>
      </x:c>
      <x:c r="I1023" s="42" t="b">
        <x:v>0</x:v>
      </x:c>
      <x:c r="J1023" s="38" t="n">
        <x:v>0.0565888315</x:v>
      </x:c>
    </x:row>
    <x:row r="1024" ht="19" customHeight="1">
      <x:c r="A1024" s="29" t="str">
        <x:v>stagger_1</x:v>
      </x:c>
      <x:c r="B1024" s="38" t="str">
        <x:v>ASND</x:v>
      </x:c>
      <x:c r="C1024" s="38" t="str">
        <x:v>Other FX</x:v>
      </x:c>
      <x:c r="D1024" s="30" t="n">
        <x:v>5</x:v>
      </x:c>
      <x:c r="E1024" s="38" t="str">
        <x:v>MXN/USD</x:v>
      </x:c>
      <x:c r="F1024" s="38" t="n">
        <x:v>0.6717155673</x:v>
      </x:c>
      <x:c r="G1024" s="38" t="n">
        <x:v>1.5741865276</x:v>
      </x:c>
      <x:c r="H1024" s="42" t="b">
        <x:v>1</x:v>
      </x:c>
      <x:c r="I1024" s="42" t="b">
        <x:v>0</x:v>
      </x:c>
      <x:c r="J1024" s="38" t="n">
        <x:v>0.030791785</x:v>
      </x:c>
    </x:row>
    <x:row r="1025" ht="19" customHeight="1">
      <x:c r="A1025" s="29" t="str">
        <x:v>stagger_1</x:v>
      </x:c>
      <x:c r="B1025" s="38" t="str">
        <x:v>ASND</x:v>
      </x:c>
      <x:c r="C1025" s="38" t="str">
        <x:v>Other sectors</x:v>
      </x:c>
      <x:c r="D1025" s="30" t="n">
        <x:v>1</x:v>
      </x:c>
      <x:c r="E1025" s="38" t="str">
        <x:v>XLB</x:v>
      </x:c>
      <x:c r="F1025" s="38" t="n">
        <x:v>-0.8642099666</x:v>
      </x:c>
      <x:c r="G1025" s="38" t="n">
        <x:v>-1.5566021446</x:v>
      </x:c>
      <x:c r="H1025" s="42" t="b">
        <x:v>0</x:v>
      </x:c>
      <x:c r="I1025" s="42" t="b">
        <x:v>0</x:v>
      </x:c>
      <x:c r="J1025" s="38" t="n">
        <x:v>0.0713640539</x:v>
      </x:c>
    </x:row>
    <x:row r="1026" ht="19" customHeight="1">
      <x:c r="A1026" s="29" t="str">
        <x:v>stagger_1</x:v>
      </x:c>
      <x:c r="B1026" s="38" t="str">
        <x:v>ASND</x:v>
      </x:c>
      <x:c r="C1026" s="38" t="str">
        <x:v>Other sectors</x:v>
      </x:c>
      <x:c r="D1026" s="30" t="n">
        <x:v>1</x:v>
      </x:c>
      <x:c r="E1026" s="38" t="str">
        <x:v>XLC</x:v>
      </x:c>
      <x:c r="F1026" s="38" t="n">
        <x:v>0.1823288931</x:v>
      </x:c>
      <x:c r="G1026" s="38" t="n">
        <x:v>0.3521069847</x:v>
      </x:c>
      <x:c r="H1026" s="42" t="b">
        <x:v>0</x:v>
      </x:c>
      <x:c r="I1026" s="42" t="b">
        <x:v>0</x:v>
      </x:c>
      <x:c r="J1026" s="38" t="n">
        <x:v>0.0713640539</x:v>
      </x:c>
    </x:row>
    <x:row r="1027" ht="19" customHeight="1">
      <x:c r="A1027" s="29" t="str">
        <x:v>stagger_1</x:v>
      </x:c>
      <x:c r="B1027" s="38" t="str">
        <x:v>ASND</x:v>
      </x:c>
      <x:c r="C1027" s="38" t="str">
        <x:v>Other sectors</x:v>
      </x:c>
      <x:c r="D1027" s="30" t="n">
        <x:v>1</x:v>
      </x:c>
      <x:c r="E1027" s="38" t="str">
        <x:v>XLE</x:v>
      </x:c>
      <x:c r="F1027" s="38" t="n">
        <x:v>0.2698357227</x:v>
      </x:c>
      <x:c r="G1027" s="38" t="n">
        <x:v>1.3406822897</x:v>
      </x:c>
      <x:c r="H1027" s="42" t="b">
        <x:v>0</x:v>
      </x:c>
      <x:c r="I1027" s="42" t="b">
        <x:v>0</x:v>
      </x:c>
      <x:c r="J1027" s="38" t="n">
        <x:v>0.0713640539</x:v>
      </x:c>
    </x:row>
    <x:row r="1028" ht="19" customHeight="1">
      <x:c r="A1028" s="29" t="str">
        <x:v>stagger_1</x:v>
      </x:c>
      <x:c r="B1028" s="38" t="str">
        <x:v>ASND</x:v>
      </x:c>
      <x:c r="C1028" s="38" t="str">
        <x:v>Other sectors</x:v>
      </x:c>
      <x:c r="D1028" s="30" t="n">
        <x:v>1</x:v>
      </x:c>
      <x:c r="E1028" s="38" t="str">
        <x:v>XLF</x:v>
      </x:c>
      <x:c r="F1028" s="38" t="n">
        <x:v>0.1754134944</x:v>
      </x:c>
      <x:c r="G1028" s="38" t="n">
        <x:v>0.2996669937</x:v>
      </x:c>
      <x:c r="H1028" s="42" t="b">
        <x:v>0</x:v>
      </x:c>
      <x:c r="I1028" s="42" t="b">
        <x:v>0</x:v>
      </x:c>
      <x:c r="J1028" s="38" t="n">
        <x:v>0.0713640539</x:v>
      </x:c>
    </x:row>
    <x:row r="1029" ht="19" customHeight="1">
      <x:c r="A1029" s="29" t="str">
        <x:v>stagger_1</x:v>
      </x:c>
      <x:c r="B1029" s="38" t="str">
        <x:v>ASND</x:v>
      </x:c>
      <x:c r="C1029" s="38" t="str">
        <x:v>Other sectors</x:v>
      </x:c>
      <x:c r="D1029" s="30" t="n">
        <x:v>1</x:v>
      </x:c>
      <x:c r="E1029" s="38" t="str">
        <x:v>XLI</x:v>
      </x:c>
      <x:c r="F1029" s="38" t="n">
        <x:v>0.3732919517</x:v>
      </x:c>
      <x:c r="G1029" s="38" t="n">
        <x:v>0.5290013679</x:v>
      </x:c>
      <x:c r="H1029" s="42" t="b">
        <x:v>0</x:v>
      </x:c>
      <x:c r="I1029" s="42" t="b">
        <x:v>0</x:v>
      </x:c>
      <x:c r="J1029" s="38" t="n">
        <x:v>0.0713640539</x:v>
      </x:c>
    </x:row>
    <x:row r="1030" ht="19" customHeight="1">
      <x:c r="A1030" s="29" t="str">
        <x:v>stagger_1</x:v>
      </x:c>
      <x:c r="B1030" s="38" t="str">
        <x:v>ASND</x:v>
      </x:c>
      <x:c r="C1030" s="38" t="str">
        <x:v>Other sectors</x:v>
      </x:c>
      <x:c r="D1030" s="30" t="n">
        <x:v>1</x:v>
      </x:c>
      <x:c r="E1030" s="38" t="str">
        <x:v>XLK</x:v>
      </x:c>
      <x:c r="F1030" s="38" t="n">
        <x:v>-0.0150584494</x:v>
      </x:c>
      <x:c r="G1030" s="38" t="n">
        <x:v>-0.0200468163</x:v>
      </x:c>
      <x:c r="H1030" s="42" t="b">
        <x:v>1</x:v>
      </x:c>
      <x:c r="I1030" s="42" t="b">
        <x:v>0</x:v>
      </x:c>
      <x:c r="J1030" s="38" t="n">
        <x:v>0.0713640539</x:v>
      </x:c>
    </x:row>
    <x:row r="1031" ht="19" customHeight="1">
      <x:c r="A1031" s="29" t="str">
        <x:v>stagger_1</x:v>
      </x:c>
      <x:c r="B1031" s="38" t="str">
        <x:v>ASND</x:v>
      </x:c>
      <x:c r="C1031" s="38" t="str">
        <x:v>Other sectors</x:v>
      </x:c>
      <x:c r="D1031" s="30" t="n">
        <x:v>1</x:v>
      </x:c>
      <x:c r="E1031" s="38" t="str">
        <x:v>XLP</x:v>
      </x:c>
      <x:c r="F1031" s="38" t="n">
        <x:v>0.0721327348</x:v>
      </x:c>
      <x:c r="G1031" s="38" t="n">
        <x:v>0.120583873</x:v>
      </x:c>
      <x:c r="H1031" s="42" t="b">
        <x:v>0</x:v>
      </x:c>
      <x:c r="I1031" s="42" t="b">
        <x:v>0</x:v>
      </x:c>
      <x:c r="J1031" s="38" t="n">
        <x:v>0.0713640539</x:v>
      </x:c>
    </x:row>
    <x:row r="1032" ht="19" customHeight="1">
      <x:c r="A1032" s="29" t="str">
        <x:v>stagger_1</x:v>
      </x:c>
      <x:c r="B1032" s="38" t="str">
        <x:v>ASND</x:v>
      </x:c>
      <x:c r="C1032" s="38" t="str">
        <x:v>Other sectors</x:v>
      </x:c>
      <x:c r="D1032" s="30" t="n">
        <x:v>1</x:v>
      </x:c>
      <x:c r="E1032" s="38" t="str">
        <x:v>XLRE</x:v>
      </x:c>
      <x:c r="F1032" s="38" t="n">
        <x:v>0.2069762737</x:v>
      </x:c>
      <x:c r="G1032" s="38" t="n">
        <x:v>0.4446257768</x:v>
      </x:c>
      <x:c r="H1032" s="42" t="b">
        <x:v>0</x:v>
      </x:c>
      <x:c r="I1032" s="42" t="b">
        <x:v>0</x:v>
      </x:c>
      <x:c r="J1032" s="38" t="n">
        <x:v>0.0713640539</x:v>
      </x:c>
    </x:row>
    <x:row r="1033" ht="19" customHeight="1">
      <x:c r="A1033" s="29" t="str">
        <x:v>stagger_1</x:v>
      </x:c>
      <x:c r="B1033" s="38" t="str">
        <x:v>ASND</x:v>
      </x:c>
      <x:c r="C1033" s="38" t="str">
        <x:v>Other sectors</x:v>
      </x:c>
      <x:c r="D1033" s="30" t="n">
        <x:v>1</x:v>
      </x:c>
      <x:c r="E1033" s="38" t="str">
        <x:v>XLU</x:v>
      </x:c>
      <x:c r="F1033" s="38" t="n">
        <x:v>-0.1095474363</x:v>
      </x:c>
      <x:c r="G1033" s="38" t="n">
        <x:v>-0.2965379634</x:v>
      </x:c>
      <x:c r="H1033" s="42" t="b">
        <x:v>0</x:v>
      </x:c>
      <x:c r="I1033" s="42" t="b">
        <x:v>0</x:v>
      </x:c>
      <x:c r="J1033" s="38" t="n">
        <x:v>0.0713640539</x:v>
      </x:c>
    </x:row>
    <x:row r="1034" ht="19" customHeight="1">
      <x:c r="A1034" s="29" t="str">
        <x:v>stagger_1</x:v>
      </x:c>
      <x:c r="B1034" s="38" t="str">
        <x:v>ASND</x:v>
      </x:c>
      <x:c r="C1034" s="38" t="str">
        <x:v>Other sectors</x:v>
      </x:c>
      <x:c r="D1034" s="30" t="n">
        <x:v>1</x:v>
      </x:c>
      <x:c r="E1034" s="38" t="str">
        <x:v>XLY</x:v>
      </x:c>
      <x:c r="F1034" s="38" t="n">
        <x:v>0.0722443956</x:v>
      </x:c>
      <x:c r="G1034" s="38" t="n">
        <x:v>0.1461226464</x:v>
      </x:c>
      <x:c r="H1034" s="42" t="b">
        <x:v>0</x:v>
      </x:c>
      <x:c r="I1034" s="42" t="b">
        <x:v>0</x:v>
      </x:c>
      <x:c r="J1034" s="38" t="n">
        <x:v>0.0713640539</x:v>
      </x:c>
    </x:row>
    <x:row r="1035" ht="19" customHeight="1">
      <x:c r="A1035" s="29" t="str">
        <x:v>stagger_1</x:v>
      </x:c>
      <x:c r="B1035" s="38" t="str">
        <x:v>ASND</x:v>
      </x:c>
      <x:c r="C1035" s="38" t="str">
        <x:v>Other sectors</x:v>
      </x:c>
      <x:c r="D1035" s="30" t="n">
        <x:v>2</x:v>
      </x:c>
      <x:c r="E1035" s="38" t="str">
        <x:v>XLB</x:v>
      </x:c>
      <x:c r="F1035" s="38" t="n">
        <x:v>-0.8636756196</x:v>
      </x:c>
      <x:c r="G1035" s="38" t="n">
        <x:v>-1.5686762748</x:v>
      </x:c>
      <x:c r="H1035" s="42" t="b">
        <x:v>0</x:v>
      </x:c>
      <x:c r="I1035" s="42" t="b">
        <x:v>0</x:v>
      </x:c>
      <x:c r="J1035" s="38" t="n">
        <x:v>0.0713586453</x:v>
      </x:c>
    </x:row>
    <x:row r="1036" ht="19" customHeight="1">
      <x:c r="A1036" s="29" t="str">
        <x:v>stagger_1</x:v>
      </x:c>
      <x:c r="B1036" s="38" t="str">
        <x:v>ASND</x:v>
      </x:c>
      <x:c r="C1036" s="38" t="str">
        <x:v>Other sectors</x:v>
      </x:c>
      <x:c r="D1036" s="30" t="n">
        <x:v>2</x:v>
      </x:c>
      <x:c r="E1036" s="38" t="str">
        <x:v>XLC</x:v>
      </x:c>
      <x:c r="F1036" s="38" t="n">
        <x:v>0.1868436495</x:v>
      </x:c>
      <x:c r="G1036" s="38" t="n">
        <x:v>0.4036003873</x:v>
      </x:c>
      <x:c r="H1036" s="42" t="b">
        <x:v>0</x:v>
      </x:c>
      <x:c r="I1036" s="42" t="b">
        <x:v>0</x:v>
      </x:c>
      <x:c r="J1036" s="38" t="n">
        <x:v>0.0713586453</x:v>
      </x:c>
    </x:row>
    <x:row r="1037" ht="19" customHeight="1">
      <x:c r="A1037" s="29" t="str">
        <x:v>stagger_1</x:v>
      </x:c>
      <x:c r="B1037" s="38" t="str">
        <x:v>ASND</x:v>
      </x:c>
      <x:c r="C1037" s="38" t="str">
        <x:v>Other sectors</x:v>
      </x:c>
      <x:c r="D1037" s="30" t="n">
        <x:v>2</x:v>
      </x:c>
      <x:c r="E1037" s="38" t="str">
        <x:v>XLE</x:v>
      </x:c>
      <x:c r="F1037" s="38" t="n">
        <x:v>0.2713662238</x:v>
      </x:c>
      <x:c r="G1037" s="38" t="n">
        <x:v>1.4677109619</x:v>
      </x:c>
      <x:c r="H1037" s="42" t="b">
        <x:v>0</x:v>
      </x:c>
      <x:c r="I1037" s="42" t="b">
        <x:v>0</x:v>
      </x:c>
      <x:c r="J1037" s="38" t="n">
        <x:v>0.0713586453</x:v>
      </x:c>
    </x:row>
    <x:row r="1038" ht="19" customHeight="1">
      <x:c r="A1038" s="29" t="str">
        <x:v>stagger_1</x:v>
      </x:c>
      <x:c r="B1038" s="38" t="str">
        <x:v>ASND</x:v>
      </x:c>
      <x:c r="C1038" s="38" t="str">
        <x:v>Other sectors</x:v>
      </x:c>
      <x:c r="D1038" s="30" t="n">
        <x:v>2</x:v>
      </x:c>
      <x:c r="E1038" s="38" t="str">
        <x:v>XLF</x:v>
      </x:c>
      <x:c r="F1038" s="38" t="n">
        <x:v>0.1829220888</x:v>
      </x:c>
      <x:c r="G1038" s="38" t="n">
        <x:v>0.4095709099</x:v>
      </x:c>
      <x:c r="H1038" s="42" t="b">
        <x:v>0</x:v>
      </x:c>
      <x:c r="I1038" s="42" t="b">
        <x:v>0</x:v>
      </x:c>
      <x:c r="J1038" s="38" t="n">
        <x:v>0.0713586453</x:v>
      </x:c>
    </x:row>
    <x:row r="1039" ht="19" customHeight="1">
      <x:c r="A1039" s="29" t="str">
        <x:v>stagger_1</x:v>
      </x:c>
      <x:c r="B1039" s="38" t="str">
        <x:v>ASND</x:v>
      </x:c>
      <x:c r="C1039" s="38" t="str">
        <x:v>Other sectors</x:v>
      </x:c>
      <x:c r="D1039" s="30" t="n">
        <x:v>2</x:v>
      </x:c>
      <x:c r="E1039" s="38" t="str">
        <x:v>XLI</x:v>
      </x:c>
      <x:c r="F1039" s="38" t="n">
        <x:v>0.3729387046</x:v>
      </x:c>
      <x:c r="G1039" s="38" t="n">
        <x:v>0.5324812067</x:v>
      </x:c>
      <x:c r="H1039" s="42" t="b">
        <x:v>0</x:v>
      </x:c>
      <x:c r="I1039" s="42" t="b">
        <x:v>0</x:v>
      </x:c>
      <x:c r="J1039" s="38" t="n">
        <x:v>0.0713586453</x:v>
      </x:c>
    </x:row>
    <x:row r="1040" ht="19" customHeight="1">
      <x:c r="A1040" s="29" t="str">
        <x:v>stagger_1</x:v>
      </x:c>
      <x:c r="B1040" s="38" t="str">
        <x:v>ASND</x:v>
      </x:c>
      <x:c r="C1040" s="38" t="str">
        <x:v>Other sectors</x:v>
      </x:c>
      <x:c r="D1040" s="30" t="n">
        <x:v>2</x:v>
      </x:c>
      <x:c r="E1040" s="38" t="str">
        <x:v>XLP</x:v>
      </x:c>
      <x:c r="F1040" s="38" t="n">
        <x:v>0.0775437952</x:v>
      </x:c>
      <x:c r="G1040" s="38" t="n">
        <x:v>0.1463061977</x:v>
      </x:c>
      <x:c r="H1040" s="42" t="b">
        <x:v>1</x:v>
      </x:c>
      <x:c r="I1040" s="42" t="b">
        <x:v>0</x:v>
      </x:c>
      <x:c r="J1040" s="38" t="n">
        <x:v>0.0713586453</x:v>
      </x:c>
    </x:row>
    <x:row r="1041" ht="19" customHeight="1">
      <x:c r="A1041" s="29" t="str">
        <x:v>stagger_1</x:v>
      </x:c>
      <x:c r="B1041" s="38" t="str">
        <x:v>ASND</x:v>
      </x:c>
      <x:c r="C1041" s="38" t="str">
        <x:v>Other sectors</x:v>
      </x:c>
      <x:c r="D1041" s="30" t="n">
        <x:v>2</x:v>
      </x:c>
      <x:c r="E1041" s="38" t="str">
        <x:v>XLRE</x:v>
      </x:c>
      <x:c r="F1041" s="38" t="n">
        <x:v>0.2077070875</x:v>
      </x:c>
      <x:c r="G1041" s="38" t="n">
        <x:v>0.4508005703</x:v>
      </x:c>
      <x:c r="H1041" s="42" t="b">
        <x:v>0</x:v>
      </x:c>
      <x:c r="I1041" s="42" t="b">
        <x:v>0</x:v>
      </x:c>
      <x:c r="J1041" s="38" t="n">
        <x:v>0.0713586453</x:v>
      </x:c>
    </x:row>
    <x:row r="1042" ht="19" customHeight="1">
      <x:c r="A1042" s="29" t="str">
        <x:v>stagger_1</x:v>
      </x:c>
      <x:c r="B1042" s="38" t="str">
        <x:v>ASND</x:v>
      </x:c>
      <x:c r="C1042" s="38" t="str">
        <x:v>Other sectors</x:v>
      </x:c>
      <x:c r="D1042" s="30" t="n">
        <x:v>2</x:v>
      </x:c>
      <x:c r="E1042" s="38" t="str">
        <x:v>XLU</x:v>
      </x:c>
      <x:c r="F1042" s="38" t="n">
        <x:v>-0.1079031223</x:v>
      </x:c>
      <x:c r="G1042" s="38" t="n">
        <x:v>-0.3017263528</x:v>
      </x:c>
      <x:c r="H1042" s="42" t="b">
        <x:v>0</x:v>
      </x:c>
      <x:c r="I1042" s="42" t="b">
        <x:v>0</x:v>
      </x:c>
      <x:c r="J1042" s="38" t="n">
        <x:v>0.0713586453</x:v>
      </x:c>
    </x:row>
    <x:row r="1043" ht="19" customHeight="1">
      <x:c r="A1043" s="29" t="str">
        <x:v>stagger_1</x:v>
      </x:c>
      <x:c r="B1043" s="38" t="str">
        <x:v>ASND</x:v>
      </x:c>
      <x:c r="C1043" s="38" t="str">
        <x:v>Other sectors</x:v>
      </x:c>
      <x:c r="D1043" s="30" t="n">
        <x:v>2</x:v>
      </x:c>
      <x:c r="E1043" s="38" t="str">
        <x:v>XLY</x:v>
      </x:c>
      <x:c r="F1043" s="38" t="n">
        <x:v>0.0757404106</x:v>
      </x:c>
      <x:c r="G1043" s="38" t="n">
        <x:v>0.1648981443</x:v>
      </x:c>
      <x:c r="H1043" s="42" t="b">
        <x:v>0</x:v>
      </x:c>
      <x:c r="I1043" s="42" t="b">
        <x:v>0</x:v>
      </x:c>
      <x:c r="J1043" s="38" t="n">
        <x:v>0.0713586453</x:v>
      </x:c>
    </x:row>
    <x:row r="1044" ht="19" customHeight="1">
      <x:c r="A1044" s="29" t="str">
        <x:v>stagger_1</x:v>
      </x:c>
      <x:c r="B1044" s="38" t="str">
        <x:v>ASND</x:v>
      </x:c>
      <x:c r="C1044" s="38" t="str">
        <x:v>Other sectors</x:v>
      </x:c>
      <x:c r="D1044" s="30" t="n">
        <x:v>3</x:v>
      </x:c>
      <x:c r="E1044" s="38" t="str">
        <x:v>XLB</x:v>
      </x:c>
      <x:c r="F1044" s="38" t="n">
        <x:v>-0.8519138416</x:v>
      </x:c>
      <x:c r="G1044" s="38" t="n">
        <x:v>-1.5749679973</x:v>
      </x:c>
      <x:c r="H1044" s="42" t="b">
        <x:v>0</x:v>
      </x:c>
      <x:c r="I1044" s="42" t="b">
        <x:v>0</x:v>
      </x:c>
      <x:c r="J1044" s="38" t="n">
        <x:v>0.0710746734</x:v>
      </x:c>
    </x:row>
    <x:row r="1045" ht="19" customHeight="1">
      <x:c r="A1045" s="29" t="str">
        <x:v>stagger_1</x:v>
      </x:c>
      <x:c r="B1045" s="38" t="str">
        <x:v>ASND</x:v>
      </x:c>
      <x:c r="C1045" s="38" t="str">
        <x:v>Other sectors</x:v>
      </x:c>
      <x:c r="D1045" s="30" t="n">
        <x:v>3</x:v>
      </x:c>
      <x:c r="E1045" s="38" t="str">
        <x:v>XLC</x:v>
      </x:c>
      <x:c r="F1045" s="38" t="n">
        <x:v>0.204586719</x:v>
      </x:c>
      <x:c r="G1045" s="38" t="n">
        <x:v>0.4611073062</x:v>
      </x:c>
      <x:c r="H1045" s="42" t="b">
        <x:v>0</x:v>
      </x:c>
      <x:c r="I1045" s="42" t="b">
        <x:v>0</x:v>
      </x:c>
      <x:c r="J1045" s="38" t="n">
        <x:v>0.0710746734</x:v>
      </x:c>
    </x:row>
    <x:row r="1046" ht="19" customHeight="1">
      <x:c r="A1046" s="29" t="str">
        <x:v>stagger_1</x:v>
      </x:c>
      <x:c r="B1046" s="38" t="str">
        <x:v>ASND</x:v>
      </x:c>
      <x:c r="C1046" s="38" t="str">
        <x:v>Other sectors</x:v>
      </x:c>
      <x:c r="D1046" s="30" t="n">
        <x:v>3</x:v>
      </x:c>
      <x:c r="E1046" s="38" t="str">
        <x:v>XLE</x:v>
      </x:c>
      <x:c r="F1046" s="38" t="n">
        <x:v>0.2701593905</x:v>
      </x:c>
      <x:c r="G1046" s="38" t="n">
        <x:v>1.4728252316</x:v>
      </x:c>
      <x:c r="H1046" s="42" t="b">
        <x:v>0</x:v>
      </x:c>
      <x:c r="I1046" s="42" t="b">
        <x:v>0</x:v>
      </x:c>
      <x:c r="J1046" s="38" t="n">
        <x:v>0.0710746734</x:v>
      </x:c>
    </x:row>
    <x:row r="1047" ht="19" customHeight="1">
      <x:c r="A1047" s="29" t="str">
        <x:v>stagger_1</x:v>
      </x:c>
      <x:c r="B1047" s="38" t="str">
        <x:v>ASND</x:v>
      </x:c>
      <x:c r="C1047" s="38" t="str">
        <x:v>Other sectors</x:v>
      </x:c>
      <x:c r="D1047" s="30" t="n">
        <x:v>3</x:v>
      </x:c>
      <x:c r="E1047" s="38" t="str">
        <x:v>XLF</x:v>
      </x:c>
      <x:c r="F1047" s="38" t="n">
        <x:v>0.1646698305</x:v>
      </x:c>
      <x:c r="G1047" s="38" t="n">
        <x:v>0.3866617166</x:v>
      </x:c>
      <x:c r="H1047" s="42" t="b">
        <x:v>0</x:v>
      </x:c>
      <x:c r="I1047" s="42" t="b">
        <x:v>0</x:v>
      </x:c>
      <x:c r="J1047" s="38" t="n">
        <x:v>0.0710746734</x:v>
      </x:c>
    </x:row>
    <x:row r="1048" ht="19" customHeight="1">
      <x:c r="A1048" s="29" t="str">
        <x:v>stagger_1</x:v>
      </x:c>
      <x:c r="B1048" s="38" t="str">
        <x:v>ASND</x:v>
      </x:c>
      <x:c r="C1048" s="38" t="str">
        <x:v>Other sectors</x:v>
      </x:c>
      <x:c r="D1048" s="30" t="n">
        <x:v>3</x:v>
      </x:c>
      <x:c r="E1048" s="38" t="str">
        <x:v>XLI</x:v>
      </x:c>
      <x:c r="F1048" s="38" t="n">
        <x:v>0.3885331422</x:v>
      </x:c>
      <x:c r="G1048" s="38" t="n">
        <x:v>0.565193358</x:v>
      </x:c>
      <x:c r="H1048" s="42" t="b">
        <x:v>0</x:v>
      </x:c>
      <x:c r="I1048" s="42" t="b">
        <x:v>0</x:v>
      </x:c>
      <x:c r="J1048" s="38" t="n">
        <x:v>0.0710746734</x:v>
      </x:c>
    </x:row>
    <x:row r="1049" ht="19" customHeight="1">
      <x:c r="A1049" s="29" t="str">
        <x:v>stagger_1</x:v>
      </x:c>
      <x:c r="B1049" s="38" t="str">
        <x:v>ASND</x:v>
      </x:c>
      <x:c r="C1049" s="38" t="str">
        <x:v>Other sectors</x:v>
      </x:c>
      <x:c r="D1049" s="30" t="n">
        <x:v>3</x:v>
      </x:c>
      <x:c r="E1049" s="38" t="str">
        <x:v>XLRE</x:v>
      </x:c>
      <x:c r="F1049" s="38" t="n">
        <x:v>0.2371065354</x:v>
      </x:c>
      <x:c r="G1049" s="38" t="n">
        <x:v>0.5758409686</x:v>
      </x:c>
      <x:c r="H1049" s="42" t="b">
        <x:v>0</x:v>
      </x:c>
      <x:c r="I1049" s="42" t="b">
        <x:v>0</x:v>
      </x:c>
      <x:c r="J1049" s="38" t="n">
        <x:v>0.0710746734</x:v>
      </x:c>
    </x:row>
    <x:row r="1050" ht="19" customHeight="1">
      <x:c r="A1050" s="29" t="str">
        <x:v>stagger_1</x:v>
      </x:c>
      <x:c r="B1050" s="38" t="str">
        <x:v>ASND</x:v>
      </x:c>
      <x:c r="C1050" s="38" t="str">
        <x:v>Other sectors</x:v>
      </x:c>
      <x:c r="D1050" s="30" t="n">
        <x:v>3</x:v>
      </x:c>
      <x:c r="E1050" s="38" t="str">
        <x:v>XLU</x:v>
      </x:c>
      <x:c r="F1050" s="38" t="n">
        <x:v>-0.0967256846</x:v>
      </x:c>
      <x:c r="G1050" s="38" t="n">
        <x:v>-0.2787905315</x:v>
      </x:c>
      <x:c r="H1050" s="42" t="b">
        <x:v>0</x:v>
      </x:c>
      <x:c r="I1050" s="42" t="b">
        <x:v>0</x:v>
      </x:c>
      <x:c r="J1050" s="38" t="n">
        <x:v>0.0710746734</x:v>
      </x:c>
    </x:row>
    <x:row r="1051" ht="19" customHeight="1">
      <x:c r="A1051" s="29" t="str">
        <x:v>stagger_1</x:v>
      </x:c>
      <x:c r="B1051" s="38" t="str">
        <x:v>ASND</x:v>
      </x:c>
      <x:c r="C1051" s="38" t="str">
        <x:v>Other sectors</x:v>
      </x:c>
      <x:c r="D1051" s="30" t="n">
        <x:v>3</x:v>
      </x:c>
      <x:c r="E1051" s="38" t="str">
        <x:v>XLY</x:v>
      </x:c>
      <x:c r="F1051" s="38" t="n">
        <x:v>0.0592139984</x:v>
      </x:c>
      <x:c r="G1051" s="38" t="n">
        <x:v>0.1339285369</x:v>
      </x:c>
      <x:c r="H1051" s="42" t="b">
        <x:v>1</x:v>
      </x:c>
      <x:c r="I1051" s="42" t="b">
        <x:v>0</x:v>
      </x:c>
      <x:c r="J1051" s="38" t="n">
        <x:v>0.0710746734</x:v>
      </x:c>
    </x:row>
    <x:row r="1052" ht="19" customHeight="1">
      <x:c r="A1052" s="29" t="str">
        <x:v>stagger_1</x:v>
      </x:c>
      <x:c r="B1052" s="38" t="str">
        <x:v>ASND</x:v>
      </x:c>
      <x:c r="C1052" s="38" t="str">
        <x:v>Other sectors</x:v>
      </x:c>
      <x:c r="D1052" s="30" t="n">
        <x:v>4</x:v>
      </x:c>
      <x:c r="E1052" s="38" t="str">
        <x:v>XLB</x:v>
      </x:c>
      <x:c r="F1052" s="38" t="n">
        <x:v>-0.8482891176</x:v>
      </x:c>
      <x:c r="G1052" s="38" t="n">
        <x:v>-1.5810532493</x:v>
      </x:c>
      <x:c r="H1052" s="42" t="b">
        <x:v>0</x:v>
      </x:c>
      <x:c r="I1052" s="42" t="b">
        <x:v>0</x:v>
      </x:c>
      <x:c r="J1052" s="38" t="n">
        <x:v>0.0708399973</x:v>
      </x:c>
    </x:row>
    <x:row r="1053" ht="19" customHeight="1">
      <x:c r="A1053" s="29" t="str">
        <x:v>stagger_1</x:v>
      </x:c>
      <x:c r="B1053" s="38" t="str">
        <x:v>ASND</x:v>
      </x:c>
      <x:c r="C1053" s="38" t="str">
        <x:v>Other sectors</x:v>
      </x:c>
      <x:c r="D1053" s="30" t="n">
        <x:v>4</x:v>
      </x:c>
      <x:c r="E1053" s="38" t="str">
        <x:v>XLC</x:v>
      </x:c>
      <x:c r="F1053" s="38" t="n">
        <x:v>0.2240573429</x:v>
      </x:c>
      <x:c r="G1053" s="38" t="n">
        <x:v>0.538181801</x:v>
      </x:c>
      <x:c r="H1053" s="42" t="b">
        <x:v>0</x:v>
      </x:c>
      <x:c r="I1053" s="42" t="b">
        <x:v>0</x:v>
      </x:c>
      <x:c r="J1053" s="38" t="n">
        <x:v>0.0708399973</x:v>
      </x:c>
    </x:row>
    <x:row r="1054" ht="19" customHeight="1">
      <x:c r="A1054" s="29" t="str">
        <x:v>stagger_1</x:v>
      </x:c>
      <x:c r="B1054" s="38" t="str">
        <x:v>ASND</x:v>
      </x:c>
      <x:c r="C1054" s="38" t="str">
        <x:v>Other sectors</x:v>
      </x:c>
      <x:c r="D1054" s="30" t="n">
        <x:v>4</x:v>
      </x:c>
      <x:c r="E1054" s="38" t="str">
        <x:v>XLE</x:v>
      </x:c>
      <x:c r="F1054" s="38" t="n">
        <x:v>0.2630863026</x:v>
      </x:c>
      <x:c r="G1054" s="38" t="n">
        <x:v>1.5080034672</x:v>
      </x:c>
      <x:c r="H1054" s="42" t="b">
        <x:v>0</x:v>
      </x:c>
      <x:c r="I1054" s="42" t="b">
        <x:v>0</x:v>
      </x:c>
      <x:c r="J1054" s="38" t="n">
        <x:v>0.0708399973</x:v>
      </x:c>
    </x:row>
    <x:row r="1055" ht="19" customHeight="1">
      <x:c r="A1055" s="29" t="str">
        <x:v>stagger_1</x:v>
      </x:c>
      <x:c r="B1055" s="38" t="str">
        <x:v>ASND</x:v>
      </x:c>
      <x:c r="C1055" s="38" t="str">
        <x:v>Other sectors</x:v>
      </x:c>
      <x:c r="D1055" s="30" t="n">
        <x:v>4</x:v>
      </x:c>
      <x:c r="E1055" s="38" t="str">
        <x:v>XLF</x:v>
      </x:c>
      <x:c r="F1055" s="38" t="n">
        <x:v>0.1647276543</x:v>
      </x:c>
      <x:c r="G1055" s="38" t="n">
        <x:v>0.3894629024</x:v>
      </x:c>
      <x:c r="H1055" s="42" t="b">
        <x:v>0</x:v>
      </x:c>
      <x:c r="I1055" s="42" t="b">
        <x:v>0</x:v>
      </x:c>
      <x:c r="J1055" s="38" t="n">
        <x:v>0.0708399973</x:v>
      </x:c>
    </x:row>
    <x:row r="1056" ht="19" customHeight="1">
      <x:c r="A1056" s="29" t="str">
        <x:v>stagger_1</x:v>
      </x:c>
      <x:c r="B1056" s="38" t="str">
        <x:v>ASND</x:v>
      </x:c>
      <x:c r="C1056" s="38" t="str">
        <x:v>Other sectors</x:v>
      </x:c>
      <x:c r="D1056" s="30" t="n">
        <x:v>4</x:v>
      </x:c>
      <x:c r="E1056" s="38" t="str">
        <x:v>XLI</x:v>
      </x:c>
      <x:c r="F1056" s="38" t="n">
        <x:v>0.3817777748</x:v>
      </x:c>
      <x:c r="G1056" s="38" t="n">
        <x:v>0.5607045517</x:v>
      </x:c>
      <x:c r="H1056" s="42" t="b">
        <x:v>0</x:v>
      </x:c>
      <x:c r="I1056" s="42" t="b">
        <x:v>0</x:v>
      </x:c>
      <x:c r="J1056" s="38" t="n">
        <x:v>0.0708399973</x:v>
      </x:c>
    </x:row>
    <x:row r="1057" ht="19" customHeight="1">
      <x:c r="A1057" s="29" t="str">
        <x:v>stagger_1</x:v>
      </x:c>
      <x:c r="B1057" s="38" t="str">
        <x:v>ASND</x:v>
      </x:c>
      <x:c r="C1057" s="38" t="str">
        <x:v>Other sectors</x:v>
      </x:c>
      <x:c r="D1057" s="30" t="n">
        <x:v>4</x:v>
      </x:c>
      <x:c r="E1057" s="38" t="str">
        <x:v>XLRE</x:v>
      </x:c>
      <x:c r="F1057" s="38" t="n">
        <x:v>0.247070214</x:v>
      </x:c>
      <x:c r="G1057" s="38" t="n">
        <x:v>0.6142831706</x:v>
      </x:c>
      <x:c r="H1057" s="42" t="b">
        <x:v>0</x:v>
      </x:c>
      <x:c r="I1057" s="42" t="b">
        <x:v>0</x:v>
      </x:c>
      <x:c r="J1057" s="38" t="n">
        <x:v>0.0708399973</x:v>
      </x:c>
    </x:row>
    <x:row r="1058" ht="19" customHeight="1">
      <x:c r="A1058" s="29" t="str">
        <x:v>stagger_1</x:v>
      </x:c>
      <x:c r="B1058" s="38" t="str">
        <x:v>ASND</x:v>
      </x:c>
      <x:c r="C1058" s="38" t="str">
        <x:v>Other sectors</x:v>
      </x:c>
      <x:c r="D1058" s="30" t="n">
        <x:v>4</x:v>
      </x:c>
      <x:c r="E1058" s="38" t="str">
        <x:v>XLU</x:v>
      </x:c>
      <x:c r="F1058" s="38" t="n">
        <x:v>-0.1002373576</x:v>
      </x:c>
      <x:c r="G1058" s="38" t="n">
        <x:v>-0.2917372221</x:v>
      </x:c>
      <x:c r="H1058" s="42" t="b">
        <x:v>1</x:v>
      </x:c>
      <x:c r="I1058" s="42" t="b">
        <x:v>0</x:v>
      </x:c>
      <x:c r="J1058" s="38" t="n">
        <x:v>0.0708399973</x:v>
      </x:c>
    </x:row>
    <x:row r="1059" ht="19" customHeight="1">
      <x:c r="A1059" s="29" t="str">
        <x:v>stagger_1</x:v>
      </x:c>
      <x:c r="B1059" s="38" t="str">
        <x:v>ASND</x:v>
      </x:c>
      <x:c r="C1059" s="38" t="str">
        <x:v>Other sectors</x:v>
      </x:c>
      <x:c r="D1059" s="30" t="n">
        <x:v>5</x:v>
      </x:c>
      <x:c r="E1059" s="38" t="str">
        <x:v>XLB</x:v>
      </x:c>
      <x:c r="F1059" s="38" t="n">
        <x:v>-0.8574384692</x:v>
      </x:c>
      <x:c r="G1059" s="38" t="n">
        <x:v>-1.6109698059</x:v>
      </x:c>
      <x:c r="H1059" s="42" t="b">
        <x:v>0</x:v>
      </x:c>
      <x:c r="I1059" s="42" t="b">
        <x:v>0</x:v>
      </x:c>
      <x:c r="J1059" s="38" t="n">
        <x:v>0.069741645</x:v>
      </x:c>
    </x:row>
    <x:row r="1060" ht="19" customHeight="1">
      <x:c r="A1060" s="29" t="str">
        <x:v>stagger_1</x:v>
      </x:c>
      <x:c r="B1060" s="38" t="str">
        <x:v>ASND</x:v>
      </x:c>
      <x:c r="C1060" s="38" t="str">
        <x:v>Other sectors</x:v>
      </x:c>
      <x:c r="D1060" s="30" t="n">
        <x:v>5</x:v>
      </x:c>
      <x:c r="E1060" s="38" t="str">
        <x:v>XLC</x:v>
      </x:c>
      <x:c r="F1060" s="38" t="n">
        <x:v>0.2341707716</x:v>
      </x:c>
      <x:c r="G1060" s="38" t="n">
        <x:v>0.5680047843</x:v>
      </x:c>
      <x:c r="H1060" s="42" t="b">
        <x:v>0</x:v>
      </x:c>
      <x:c r="I1060" s="42" t="b">
        <x:v>0</x:v>
      </x:c>
      <x:c r="J1060" s="38" t="n">
        <x:v>0.069741645</x:v>
      </x:c>
    </x:row>
    <x:row r="1061" ht="19" customHeight="1">
      <x:c r="A1061" s="29" t="str">
        <x:v>stagger_1</x:v>
      </x:c>
      <x:c r="B1061" s="38" t="str">
        <x:v>ASND</x:v>
      </x:c>
      <x:c r="C1061" s="38" t="str">
        <x:v>Other sectors</x:v>
      </x:c>
      <x:c r="D1061" s="30" t="n">
        <x:v>5</x:v>
      </x:c>
      <x:c r="E1061" s="38" t="str">
        <x:v>XLE</x:v>
      </x:c>
      <x:c r="F1061" s="38" t="n">
        <x:v>0.2640656137</x:v>
      </x:c>
      <x:c r="G1061" s="38" t="n">
        <x:v>1.5234738632</x:v>
      </x:c>
      <x:c r="H1061" s="42" t="b">
        <x:v>0</x:v>
      </x:c>
      <x:c r="I1061" s="42" t="b">
        <x:v>0</x:v>
      </x:c>
      <x:c r="J1061" s="38" t="n">
        <x:v>0.069741645</x:v>
      </x:c>
    </x:row>
    <x:row r="1062" ht="19" customHeight="1">
      <x:c r="A1062" s="29" t="str">
        <x:v>stagger_1</x:v>
      </x:c>
      <x:c r="B1062" s="38" t="str">
        <x:v>ASND</x:v>
      </x:c>
      <x:c r="C1062" s="38" t="str">
        <x:v>Other sectors</x:v>
      </x:c>
      <x:c r="D1062" s="30" t="n">
        <x:v>5</x:v>
      </x:c>
      <x:c r="E1062" s="38" t="str">
        <x:v>XLF</x:v>
      </x:c>
      <x:c r="F1062" s="38" t="n">
        <x:v>0.1786706396</x:v>
      </x:c>
      <x:c r="G1062" s="38" t="n">
        <x:v>0.4278404419</x:v>
      </x:c>
      <x:c r="H1062" s="42" t="b">
        <x:v>1</x:v>
      </x:c>
      <x:c r="I1062" s="42" t="b">
        <x:v>0</x:v>
      </x:c>
      <x:c r="J1062" s="38" t="n">
        <x:v>0.069741645</x:v>
      </x:c>
    </x:row>
    <x:row r="1063" ht="19" customHeight="1">
      <x:c r="A1063" s="29" t="str">
        <x:v>stagger_1</x:v>
      </x:c>
      <x:c r="B1063" s="38" t="str">
        <x:v>ASND</x:v>
      </x:c>
      <x:c r="C1063" s="38" t="str">
        <x:v>Other sectors</x:v>
      </x:c>
      <x:c r="D1063" s="30" t="n">
        <x:v>5</x:v>
      </x:c>
      <x:c r="E1063" s="38" t="str">
        <x:v>XLI</x:v>
      </x:c>
      <x:c r="F1063" s="38" t="n">
        <x:v>0.3503692731</x:v>
      </x:c>
      <x:c r="G1063" s="38" t="n">
        <x:v>0.5244281735</x:v>
      </x:c>
      <x:c r="H1063" s="42" t="b">
        <x:v>0</x:v>
      </x:c>
      <x:c r="I1063" s="42" t="b">
        <x:v>0</x:v>
      </x:c>
      <x:c r="J1063" s="38" t="n">
        <x:v>0.069741645</x:v>
      </x:c>
    </x:row>
    <x:row r="1064" ht="19" customHeight="1">
      <x:c r="A1064" s="29" t="str">
        <x:v>stagger_1</x:v>
      </x:c>
      <x:c r="B1064" s="38" t="str">
        <x:v>ASND</x:v>
      </x:c>
      <x:c r="C1064" s="38" t="str">
        <x:v>Other sectors</x:v>
      </x:c>
      <x:c r="D1064" s="30" t="n">
        <x:v>5</x:v>
      </x:c>
      <x:c r="E1064" s="38" t="str">
        <x:v>XLRE</x:v>
      </x:c>
      <x:c r="F1064" s="38" t="n">
        <x:v>0.1941946741</x:v>
      </x:c>
      <x:c r="G1064" s="38" t="n">
        <x:v>0.5442658939</x:v>
      </x:c>
      <x:c r="H1064" s="42" t="b">
        <x:v>0</x:v>
      </x:c>
      <x:c r="I1064" s="42" t="b">
        <x:v>0</x:v>
      </x:c>
      <x:c r="J1064" s="38" t="n">
        <x:v>0.069741645</x:v>
      </x:c>
    </x:row>
    <x:row r="1065" ht="19" customHeight="1">
      <x:c r="A1065" s="29" t="str">
        <x:v>stagger_1</x:v>
      </x:c>
      <x:c r="B1065" s="38" t="str">
        <x:v>ASND</x:v>
      </x:c>
      <x:c r="C1065" s="38" t="str">
        <x:v>Other sectors</x:v>
      </x:c>
      <x:c r="D1065" s="30" t="n">
        <x:v>6</x:v>
      </x:c>
      <x:c r="E1065" s="38" t="str">
        <x:v>XLB</x:v>
      </x:c>
      <x:c r="F1065" s="38" t="n">
        <x:v>-0.8383984802</x:v>
      </x:c>
      <x:c r="G1065" s="38" t="n">
        <x:v>-1.589530767</x:v>
      </x:c>
      <x:c r="H1065" s="42" t="b">
        <x:v>0</x:v>
      </x:c>
      <x:c r="I1065" s="42" t="b">
        <x:v>0</x:v>
      </x:c>
      <x:c r="J1065" s="38" t="n">
        <x:v>0.0674090229</x:v>
      </x:c>
    </x:row>
    <x:row r="1066" ht="19" customHeight="1">
      <x:c r="A1066" s="29" t="str">
        <x:v>stagger_1</x:v>
      </x:c>
      <x:c r="B1066" s="38" t="str">
        <x:v>ASND</x:v>
      </x:c>
      <x:c r="C1066" s="38" t="str">
        <x:v>Other sectors</x:v>
      </x:c>
      <x:c r="D1066" s="30" t="n">
        <x:v>6</x:v>
      </x:c>
      <x:c r="E1066" s="38" t="str">
        <x:v>XLC</x:v>
      </x:c>
      <x:c r="F1066" s="38" t="n">
        <x:v>0.2480754399</x:v>
      </x:c>
      <x:c r="G1066" s="38" t="n">
        <x:v>0.6069701489</x:v>
      </x:c>
      <x:c r="H1066" s="42" t="b">
        <x:v>0</x:v>
      </x:c>
      <x:c r="I1066" s="42" t="b">
        <x:v>0</x:v>
      </x:c>
      <x:c r="J1066" s="38" t="n">
        <x:v>0.0674090229</x:v>
      </x:c>
    </x:row>
    <x:row r="1067" ht="19" customHeight="1">
      <x:c r="A1067" s="29" t="str">
        <x:v>stagger_1</x:v>
      </x:c>
      <x:c r="B1067" s="38" t="str">
        <x:v>ASND</x:v>
      </x:c>
      <x:c r="C1067" s="38" t="str">
        <x:v>Other sectors</x:v>
      </x:c>
      <x:c r="D1067" s="30" t="n">
        <x:v>6</x:v>
      </x:c>
      <x:c r="E1067" s="38" t="str">
        <x:v>XLE</x:v>
      </x:c>
      <x:c r="F1067" s="38" t="n">
        <x:v>0.2775159397</x:v>
      </x:c>
      <x:c r="G1067" s="38" t="n">
        <x:v>1.6371376721</x:v>
      </x:c>
      <x:c r="H1067" s="42" t="b">
        <x:v>0</x:v>
      </x:c>
      <x:c r="I1067" s="42" t="b">
        <x:v>0</x:v>
      </x:c>
      <x:c r="J1067" s="38" t="n">
        <x:v>0.0674090229</x:v>
      </x:c>
    </x:row>
    <x:row r="1068" ht="19" customHeight="1">
      <x:c r="A1068" s="29" t="str">
        <x:v>stagger_1</x:v>
      </x:c>
      <x:c r="B1068" s="38" t="str">
        <x:v>ASND</x:v>
      </x:c>
      <x:c r="C1068" s="38" t="str">
        <x:v>Other sectors</x:v>
      </x:c>
      <x:c r="D1068" s="30" t="n">
        <x:v>6</x:v>
      </x:c>
      <x:c r="E1068" s="38" t="str">
        <x:v>XLI</x:v>
      </x:c>
      <x:c r="F1068" s="38" t="n">
        <x:v>0.3817853926</x:v>
      </x:c>
      <x:c r="G1068" s="38" t="n">
        <x:v>0.5781346551</x:v>
      </x:c>
      <x:c r="H1068" s="42" t="b">
        <x:v>1</x:v>
      </x:c>
      <x:c r="I1068" s="42" t="b">
        <x:v>0</x:v>
      </x:c>
      <x:c r="J1068" s="38" t="n">
        <x:v>0.0674090229</x:v>
      </x:c>
    </x:row>
    <x:row r="1069" ht="19" customHeight="1">
      <x:c r="A1069" s="29" t="str">
        <x:v>stagger_1</x:v>
      </x:c>
      <x:c r="B1069" s="38" t="str">
        <x:v>ASND</x:v>
      </x:c>
      <x:c r="C1069" s="38" t="str">
        <x:v>Other sectors</x:v>
      </x:c>
      <x:c r="D1069" s="30" t="n">
        <x:v>6</x:v>
      </x:c>
      <x:c r="E1069" s="38" t="str">
        <x:v>XLRE</x:v>
      </x:c>
      <x:c r="F1069" s="38" t="n">
        <x:v>0.2100431444</x:v>
      </x:c>
      <x:c r="G1069" s="38" t="n">
        <x:v>0.5951770268</x:v>
      </x:c>
      <x:c r="H1069" s="42" t="b">
        <x:v>0</x:v>
      </x:c>
      <x:c r="I1069" s="42" t="b">
        <x:v>0</x:v>
      </x:c>
      <x:c r="J1069" s="38" t="n">
        <x:v>0.0674090229</x:v>
      </x:c>
    </x:row>
    <x:row r="1070" ht="19" customHeight="1">
      <x:c r="A1070" s="29" t="str">
        <x:v>stagger_1</x:v>
      </x:c>
      <x:c r="B1070" s="38" t="str">
        <x:v>ASND</x:v>
      </x:c>
      <x:c r="C1070" s="38" t="str">
        <x:v>Other sectors</x:v>
      </x:c>
      <x:c r="D1070" s="30" t="n">
        <x:v>7</x:v>
      </x:c>
      <x:c r="E1070" s="38" t="str">
        <x:v>XLB</x:v>
      </x:c>
      <x:c r="F1070" s="38" t="n">
        <x:v>-0.6034309067</x:v>
      </x:c>
      <x:c r="G1070" s="38" t="n">
        <x:v>-1.802930685</x:v>
      </x:c>
      <x:c r="H1070" s="42" t="b">
        <x:v>0</x:v>
      </x:c>
      <x:c r="I1070" s="42" t="b">
        <x:v>0</x:v>
      </x:c>
      <x:c r="J1070" s="38" t="n">
        <x:v>0.0631967403</x:v>
      </x:c>
    </x:row>
    <x:row r="1071" ht="19" customHeight="1">
      <x:c r="A1071" s="29" t="str">
        <x:v>stagger_1</x:v>
      </x:c>
      <x:c r="B1071" s="38" t="str">
        <x:v>ASND</x:v>
      </x:c>
      <x:c r="C1071" s="38" t="str">
        <x:v>Other sectors</x:v>
      </x:c>
      <x:c r="D1071" s="30" t="n">
        <x:v>7</x:v>
      </x:c>
      <x:c r="E1071" s="38" t="str">
        <x:v>XLC</x:v>
      </x:c>
      <x:c r="F1071" s="38" t="n">
        <x:v>0.2145639011</x:v>
      </x:c>
      <x:c r="G1071" s="38" t="n">
        <x:v>0.5327072615</x:v>
      </x:c>
      <x:c r="H1071" s="42" t="b">
        <x:v>1</x:v>
      </x:c>
      <x:c r="I1071" s="42" t="b">
        <x:v>0</x:v>
      </x:c>
      <x:c r="J1071" s="38" t="n">
        <x:v>0.0631967403</x:v>
      </x:c>
    </x:row>
    <x:row r="1072" ht="19" customHeight="1">
      <x:c r="A1072" s="29" t="str">
        <x:v>stagger_1</x:v>
      </x:c>
      <x:c r="B1072" s="38" t="str">
        <x:v>ASND</x:v>
      </x:c>
      <x:c r="C1072" s="38" t="str">
        <x:v>Other sectors</x:v>
      </x:c>
      <x:c r="D1072" s="30" t="n">
        <x:v>7</x:v>
      </x:c>
      <x:c r="E1072" s="38" t="str">
        <x:v>XLE</x:v>
      </x:c>
      <x:c r="F1072" s="38" t="n">
        <x:v>0.2662085528</x:v>
      </x:c>
      <x:c r="G1072" s="38" t="n">
        <x:v>1.5880554045</x:v>
      </x:c>
      <x:c r="H1072" s="42" t="b">
        <x:v>0</x:v>
      </x:c>
      <x:c r="I1072" s="42" t="b">
        <x:v>0</x:v>
      </x:c>
      <x:c r="J1072" s="38" t="n">
        <x:v>0.0631967403</x:v>
      </x:c>
    </x:row>
    <x:row r="1073" ht="19" customHeight="1">
      <x:c r="A1073" s="29" t="str">
        <x:v>stagger_1</x:v>
      </x:c>
      <x:c r="B1073" s="38" t="str">
        <x:v>ASND</x:v>
      </x:c>
      <x:c r="C1073" s="38" t="str">
        <x:v>Other sectors</x:v>
      </x:c>
      <x:c r="D1073" s="30" t="n">
        <x:v>7</x:v>
      </x:c>
      <x:c r="E1073" s="38" t="str">
        <x:v>XLRE</x:v>
      </x:c>
      <x:c r="F1073" s="38" t="n">
        <x:v>0.1937268703</x:v>
      </x:c>
      <x:c r="G1073" s="38" t="n">
        <x:v>0.5531677683</x:v>
      </x:c>
      <x:c r="H1073" s="42" t="b">
        <x:v>0</x:v>
      </x:c>
      <x:c r="I1073" s="42" t="b">
        <x:v>0</x:v>
      </x:c>
      <x:c r="J1073" s="38" t="n">
        <x:v>0.0631967403</x:v>
      </x:c>
    </x:row>
    <x:row r="1074" ht="19" customHeight="1">
      <x:c r="A1074" s="29" t="str">
        <x:v>stagger_1</x:v>
      </x:c>
      <x:c r="B1074" s="38" t="str">
        <x:v>ASND</x:v>
      </x:c>
      <x:c r="C1074" s="38" t="str">
        <x:v>Other sectors</x:v>
      </x:c>
      <x:c r="D1074" s="30" t="n">
        <x:v>8</x:v>
      </x:c>
      <x:c r="E1074" s="38" t="str">
        <x:v>XLB</x:v>
      </x:c>
      <x:c r="F1074" s="38" t="n">
        <x:v>-0.6181933236</x:v>
      </x:c>
      <x:c r="G1074" s="38" t="n">
        <x:v>-1.8621972075</x:v>
      </x:c>
      <x:c r="H1074" s="42" t="b">
        <x:v>0</x:v>
      </x:c>
      <x:c r="I1074" s="42" t="b">
        <x:v>0</x:v>
      </x:c>
      <x:c r="J1074" s="38" t="n">
        <x:v>0.0596521637</x:v>
      </x:c>
    </x:row>
    <x:row r="1075" ht="19" customHeight="1">
      <x:c r="A1075" s="29" t="str">
        <x:v>stagger_1</x:v>
      </x:c>
      <x:c r="B1075" s="38" t="str">
        <x:v>ASND</x:v>
      </x:c>
      <x:c r="C1075" s="38" t="str">
        <x:v>Other sectors</x:v>
      </x:c>
      <x:c r="D1075" s="30" t="n">
        <x:v>8</x:v>
      </x:c>
      <x:c r="E1075" s="38" t="str">
        <x:v>XLE</x:v>
      </x:c>
      <x:c r="F1075" s="38" t="n">
        <x:v>0.2743587605</x:v>
      </x:c>
      <x:c r="G1075" s="38" t="n">
        <x:v>1.6513342801</x:v>
      </x:c>
      <x:c r="H1075" s="42" t="b">
        <x:v>0</x:v>
      </x:c>
      <x:c r="I1075" s="42" t="b">
        <x:v>0</x:v>
      </x:c>
      <x:c r="J1075" s="38" t="n">
        <x:v>0.0596521637</x:v>
      </x:c>
    </x:row>
    <x:row r="1076" ht="19" customHeight="1">
      <x:c r="A1076" s="29" t="str">
        <x:v>stagger_1</x:v>
      </x:c>
      <x:c r="B1076" s="38" t="str">
        <x:v>ASND</x:v>
      </x:c>
      <x:c r="C1076" s="38" t="str">
        <x:v>Other sectors</x:v>
      </x:c>
      <x:c r="D1076" s="30" t="n">
        <x:v>8</x:v>
      </x:c>
      <x:c r="E1076" s="38" t="str">
        <x:v>XLRE</x:v>
      </x:c>
      <x:c r="F1076" s="38" t="n">
        <x:v>0.1947708767</x:v>
      </x:c>
      <x:c r="G1076" s="38" t="n">
        <x:v>0.5587968124</x:v>
      </x:c>
      <x:c r="H1076" s="42" t="b">
        <x:v>1</x:v>
      </x:c>
      <x:c r="I1076" s="42" t="b">
        <x:v>0</x:v>
      </x:c>
      <x:c r="J1076" s="38" t="n">
        <x:v>0.0596521637</x:v>
      </x:c>
    </x:row>
    <x:row r="1077" ht="19" customHeight="1">
      <x:c r="A1077" s="29" t="str">
        <x:v>stagger_1</x:v>
      </x:c>
      <x:c r="B1077" s="38" t="str">
        <x:v>ASND</x:v>
      </x:c>
      <x:c r="C1077" s="38" t="str">
        <x:v>Other sectors</x:v>
      </x:c>
      <x:c r="D1077" s="30" t="n">
        <x:v>9</x:v>
      </x:c>
      <x:c r="E1077" s="38" t="str">
        <x:v>XLB</x:v>
      </x:c>
      <x:c r="F1077" s="38" t="n">
        <x:v>-0.54838377</x:v>
      </x:c>
      <x:c r="G1077" s="38" t="n">
        <x:v>-1.7909950347</x:v>
      </x:c>
      <x:c r="H1077" s="42" t="b">
        <x:v>0</x:v>
      </x:c>
      <x:c r="I1077" s="42" t="b">
        <x:v>0</x:v>
      </x:c>
      <x:c r="J1077" s="38" t="n">
        <x:v>0.0557886472</x:v>
      </x:c>
    </x:row>
    <x:row r="1078" ht="19" customHeight="1">
      <x:c r="A1078" s="29" t="str">
        <x:v>stagger_1</x:v>
      </x:c>
      <x:c r="B1078" s="38" t="str">
        <x:v>ASND</x:v>
      </x:c>
      <x:c r="C1078" s="38" t="str">
        <x:v>Other sectors</x:v>
      </x:c>
      <x:c r="D1078" s="30" t="n">
        <x:v>9</x:v>
      </x:c>
      <x:c r="E1078" s="38" t="str">
        <x:v>XLE</x:v>
      </x:c>
      <x:c r="F1078" s="38" t="n">
        <x:v>0.2758339712</x:v>
      </x:c>
      <x:c r="G1078" s="38" t="n">
        <x:v>1.6678883365</x:v>
      </x:c>
      <x:c r="H1078" s="42" t="b">
        <x:v>1</x:v>
      </x:c>
      <x:c r="I1078" s="42" t="b">
        <x:v>0</x:v>
      </x:c>
      <x:c r="J1078" s="38" t="n">
        <x:v>0.0557886472</x:v>
      </x:c>
    </x:row>
    <x:row r="1079" ht="19" customHeight="1">
      <x:c r="A1079" s="29" t="str">
        <x:v>stagger_1</x:v>
      </x:c>
      <x:c r="B1079" s="38" t="str">
        <x:v>ASND</x:v>
      </x:c>
      <x:c r="C1079" s="38" t="str">
        <x:v>Other sectors</x:v>
      </x:c>
      <x:c r="D1079" s="30" t="n">
        <x:v>10</x:v>
      </x:c>
      <x:c r="E1079" s="38" t="str">
        <x:v>XLB</x:v>
      </x:c>
      <x:c r="F1079" s="38" t="n">
        <x:v>-0.3859516714</x:v>
      </x:c>
      <x:c r="G1079" s="38" t="n">
        <x:v>-1.3146129933</x:v>
      </x:c>
      <x:c r="H1079" s="42" t="b">
        <x:v>1</x:v>
      </x:c>
      <x:c r="I1079" s="42" t="b">
        <x:v>0</x:v>
      </x:c>
      <x:c r="J1079" s="38" t="n">
        <x:v>0.0216762345</x:v>
      </x:c>
    </x:row>
    <x:row r="1080" ht="19" customHeight="1">
      <x:c r="A1080" s="29" t="str">
        <x:v>stagger_1</x:v>
      </x:c>
      <x:c r="B1080" s="38" t="str">
        <x:v>DOCN</x:v>
      </x:c>
      <x:c r="C1080" s="38" t="str">
        <x:v>Other FX</x:v>
      </x:c>
      <x:c r="D1080" s="30" t="n">
        <x:v>1</x:v>
      </x:c>
      <x:c r="E1080" s="38" t="str">
        <x:v>AUD/USD</x:v>
      </x:c>
      <x:c r="F1080" s="38" t="n">
        <x:v>1.6799728144</x:v>
      </x:c>
      <x:c r="G1080" s="38" t="n">
        <x:v>0.92822793</x:v>
      </x:c>
      <x:c r="H1080" s="42" t="b">
        <x:v>0</x:v>
      </x:c>
      <x:c r="I1080" s="42" t="b">
        <x:v>0</x:v>
      </x:c>
      <x:c r="J1080" s="38" t="n">
        <x:v>0.0725440095</x:v>
      </x:c>
    </x:row>
    <x:row r="1081" ht="19" customHeight="1">
      <x:c r="A1081" s="29" t="str">
        <x:v>stagger_1</x:v>
      </x:c>
      <x:c r="B1081" s="38" t="str">
        <x:v>DOCN</x:v>
      </x:c>
      <x:c r="C1081" s="38" t="str">
        <x:v>Other FX</x:v>
      </x:c>
      <x:c r="D1081" s="30" t="n">
        <x:v>1</x:v>
      </x:c>
      <x:c r="E1081" s="38" t="str">
        <x:v>CAD/USD</x:v>
      </x:c>
      <x:c r="F1081" s="38" t="n">
        <x:v>2.2441420038</x:v>
      </x:c>
      <x:c r="G1081" s="38" t="n">
        <x:v>1.0491561007</x:v>
      </x:c>
      <x:c r="H1081" s="42" t="b">
        <x:v>0</x:v>
      </x:c>
      <x:c r="I1081" s="42" t="b">
        <x:v>0</x:v>
      </x:c>
      <x:c r="J1081" s="38" t="n">
        <x:v>0.0725440095</x:v>
      </x:c>
    </x:row>
    <x:row r="1082" ht="19" customHeight="1">
      <x:c r="A1082" s="29" t="str">
        <x:v>stagger_1</x:v>
      </x:c>
      <x:c r="B1082" s="38" t="str">
        <x:v>DOCN</x:v>
      </x:c>
      <x:c r="C1082" s="38" t="str">
        <x:v>Other FX</x:v>
      </x:c>
      <x:c r="D1082" s="30" t="n">
        <x:v>1</x:v>
      </x:c>
      <x:c r="E1082" s="38" t="str">
        <x:v>DKK/USD</x:v>
      </x:c>
      <x:c r="F1082" s="38" t="n">
        <x:v>-4.0022484729</x:v>
      </x:c>
      <x:c r="G1082" s="38" t="n">
        <x:v>-0.2682152812</x:v>
      </x:c>
      <x:c r="H1082" s="42" t="b">
        <x:v>0</x:v>
      </x:c>
      <x:c r="I1082" s="42" t="b">
        <x:v>0</x:v>
      </x:c>
      <x:c r="J1082" s="38" t="n">
        <x:v>0.0725440095</x:v>
      </x:c>
    </x:row>
    <x:row r="1083" ht="19" customHeight="1">
      <x:c r="A1083" s="29" t="str">
        <x:v>stagger_1</x:v>
      </x:c>
      <x:c r="B1083" s="38" t="str">
        <x:v>DOCN</x:v>
      </x:c>
      <x:c r="C1083" s="38" t="str">
        <x:v>Other FX</x:v>
      </x:c>
      <x:c r="D1083" s="30" t="n">
        <x:v>1</x:v>
      </x:c>
      <x:c r="E1083" s="38" t="str">
        <x:v>EUR/USD</x:v>
      </x:c>
      <x:c r="F1083" s="38" t="n">
        <x:v>1.4368489458</x:v>
      </x:c>
      <x:c r="G1083" s="38" t="n">
        <x:v>0.1060992305</x:v>
      </x:c>
      <x:c r="H1083" s="42" t="b">
        <x:v>1</x:v>
      </x:c>
      <x:c r="I1083" s="42" t="b">
        <x:v>0</x:v>
      </x:c>
      <x:c r="J1083" s="38" t="n">
        <x:v>0.0725440095</x:v>
      </x:c>
    </x:row>
    <x:row r="1084" ht="19" customHeight="1">
      <x:c r="A1084" s="29" t="str">
        <x:v>stagger_1</x:v>
      </x:c>
      <x:c r="B1084" s="38" t="str">
        <x:v>DOCN</x:v>
      </x:c>
      <x:c r="C1084" s="38" t="str">
        <x:v>Other FX</x:v>
      </x:c>
      <x:c r="D1084" s="30" t="n">
        <x:v>1</x:v>
      </x:c>
      <x:c r="E1084" s="38" t="str">
        <x:v>MXN/USD</x:v>
      </x:c>
      <x:c r="F1084" s="38" t="n">
        <x:v>1.2730562158</x:v>
      </x:c>
      <x:c r="G1084" s="38" t="n">
        <x:v>1.094049443</x:v>
      </x:c>
      <x:c r="H1084" s="42" t="b">
        <x:v>0</x:v>
      </x:c>
      <x:c r="I1084" s="42" t="b">
        <x:v>0</x:v>
      </x:c>
      <x:c r="J1084" s="38" t="n">
        <x:v>0.0725440095</x:v>
      </x:c>
    </x:row>
    <x:row r="1085" ht="19" customHeight="1">
      <x:c r="A1085" s="29" t="str">
        <x:v>stagger_1</x:v>
      </x:c>
      <x:c r="B1085" s="38" t="str">
        <x:v>DOCN</x:v>
      </x:c>
      <x:c r="C1085" s="38" t="str">
        <x:v>Other FX</x:v>
      </x:c>
      <x:c r="D1085" s="30" t="n">
        <x:v>1</x:v>
      </x:c>
      <x:c r="E1085" s="38" t="str">
        <x:v>SGD/USD</x:v>
      </x:c>
      <x:c r="F1085" s="38" t="n">
        <x:v>-1.273235665</x:v>
      </x:c>
      <x:c r="G1085" s="38" t="n">
        <x:v>-0.2919664785</x:v>
      </x:c>
      <x:c r="H1085" s="42" t="b">
        <x:v>0</x:v>
      </x:c>
      <x:c r="I1085" s="42" t="b">
        <x:v>0</x:v>
      </x:c>
      <x:c r="J1085" s="38" t="n">
        <x:v>0.0725440095</x:v>
      </x:c>
    </x:row>
    <x:row r="1086" ht="19" customHeight="1">
      <x:c r="A1086" s="29" t="str">
        <x:v>stagger_1</x:v>
      </x:c>
      <x:c r="B1086" s="38" t="str">
        <x:v>DOCN</x:v>
      </x:c>
      <x:c r="C1086" s="38" t="str">
        <x:v>Other FX</x:v>
      </x:c>
      <x:c r="D1086" s="30" t="n">
        <x:v>2</x:v>
      </x:c>
      <x:c r="E1086" s="38" t="str">
        <x:v>AUD/USD</x:v>
      </x:c>
      <x:c r="F1086" s="38" t="n">
        <x:v>1.6887022262</x:v>
      </x:c>
      <x:c r="G1086" s="38" t="n">
        <x:v>0.9413163097</x:v>
      </x:c>
      <x:c r="H1086" s="42" t="b">
        <x:v>0</x:v>
      </x:c>
      <x:c r="I1086" s="42" t="b">
        <x:v>0</x:v>
      </x:c>
      <x:c r="J1086" s="38" t="n">
        <x:v>0.0723782887</x:v>
      </x:c>
    </x:row>
    <x:row r="1087" ht="19" customHeight="1">
      <x:c r="A1087" s="29" t="str">
        <x:v>stagger_1</x:v>
      </x:c>
      <x:c r="B1087" s="38" t="str">
        <x:v>DOCN</x:v>
      </x:c>
      <x:c r="C1087" s="38" t="str">
        <x:v>Other FX</x:v>
      </x:c>
      <x:c r="D1087" s="30" t="n">
        <x:v>2</x:v>
      </x:c>
      <x:c r="E1087" s="38" t="str">
        <x:v>CAD/USD</x:v>
      </x:c>
      <x:c r="F1087" s="38" t="n">
        <x:v>2.2258765122</x:v>
      </x:c>
      <x:c r="G1087" s="38" t="n">
        <x:v>1.0521627884</x:v>
      </x:c>
      <x:c r="H1087" s="42" t="b">
        <x:v>0</x:v>
      </x:c>
      <x:c r="I1087" s="42" t="b">
        <x:v>0</x:v>
      </x:c>
      <x:c r="J1087" s="38" t="n">
        <x:v>0.0723782887</x:v>
      </x:c>
    </x:row>
    <x:row r="1088" ht="19" customHeight="1">
      <x:c r="A1088" s="29" t="str">
        <x:v>stagger_1</x:v>
      </x:c>
      <x:c r="B1088" s="38" t="str">
        <x:v>DOCN</x:v>
      </x:c>
      <x:c r="C1088" s="38" t="str">
        <x:v>Other FX</x:v>
      </x:c>
      <x:c r="D1088" s="30" t="n">
        <x:v>2</x:v>
      </x:c>
      <x:c r="E1088" s="38" t="str">
        <x:v>DKK/USD</x:v>
      </x:c>
      <x:c r="F1088" s="38" t="n">
        <x:v>-2.4395180351</x:v>
      </x:c>
      <x:c r="G1088" s="38" t="n">
        <x:v>-1.0282194416</x:v>
      </x:c>
      <x:c r="H1088" s="42" t="b">
        <x:v>0</x:v>
      </x:c>
      <x:c r="I1088" s="42" t="b">
        <x:v>0</x:v>
      </x:c>
      <x:c r="J1088" s="38" t="n">
        <x:v>0.0723782887</x:v>
      </x:c>
    </x:row>
    <x:row r="1089" ht="19" customHeight="1">
      <x:c r="A1089" s="29" t="str">
        <x:v>stagger_1</x:v>
      </x:c>
      <x:c r="B1089" s="38" t="str">
        <x:v>DOCN</x:v>
      </x:c>
      <x:c r="C1089" s="38" t="str">
        <x:v>Other FX</x:v>
      </x:c>
      <x:c r="D1089" s="30" t="n">
        <x:v>2</x:v>
      </x:c>
      <x:c r="E1089" s="38" t="str">
        <x:v>MXN/USD</x:v>
      </x:c>
      <x:c r="F1089" s="38" t="n">
        <x:v>1.2374282928</x:v>
      </x:c>
      <x:c r="G1089" s="38" t="n">
        <x:v>1.1193650019</x:v>
      </x:c>
      <x:c r="H1089" s="42" t="b">
        <x:v>0</x:v>
      </x:c>
      <x:c r="I1089" s="42" t="b">
        <x:v>0</x:v>
      </x:c>
      <x:c r="J1089" s="38" t="n">
        <x:v>0.0723782887</x:v>
      </x:c>
    </x:row>
    <x:row r="1090" ht="19" customHeight="1">
      <x:c r="A1090" s="29" t="str">
        <x:v>stagger_1</x:v>
      </x:c>
      <x:c r="B1090" s="38" t="str">
        <x:v>DOCN</x:v>
      </x:c>
      <x:c r="C1090" s="38" t="str">
        <x:v>Other FX</x:v>
      </x:c>
      <x:c r="D1090" s="30" t="n">
        <x:v>2</x:v>
      </x:c>
      <x:c r="E1090" s="38" t="str">
        <x:v>SGD/USD</x:v>
      </x:c>
      <x:c r="F1090" s="38" t="n">
        <x:v>-1.4268543842</x:v>
      </x:c>
      <x:c r="G1090" s="38" t="n">
        <x:v>-0.3495800613</x:v>
      </x:c>
      <x:c r="H1090" s="42" t="b">
        <x:v>1</x:v>
      </x:c>
      <x:c r="I1090" s="42" t="b">
        <x:v>0</x:v>
      </x:c>
      <x:c r="J1090" s="38" t="n">
        <x:v>0.0723782887</x:v>
      </x:c>
    </x:row>
    <x:row r="1091" ht="19" customHeight="1">
      <x:c r="A1091" s="29" t="str">
        <x:v>stagger_1</x:v>
      </x:c>
      <x:c r="B1091" s="38" t="str">
        <x:v>DOCN</x:v>
      </x:c>
      <x:c r="C1091" s="38" t="str">
        <x:v>Other FX</x:v>
      </x:c>
      <x:c r="D1091" s="30" t="n">
        <x:v>3</x:v>
      </x:c>
      <x:c r="E1091" s="38" t="str">
        <x:v>AUD/USD</x:v>
      </x:c>
      <x:c r="F1091" s="38" t="n">
        <x:v>1.3648225124</x:v>
      </x:c>
      <x:c r="G1091" s="38" t="n">
        <x:v>0.8944853581</x:v>
      </x:c>
      <x:c r="H1091" s="42" t="b">
        <x:v>1</x:v>
      </x:c>
      <x:c r="I1091" s="42" t="b">
        <x:v>0</x:v>
      </x:c>
      <x:c r="J1091" s="38" t="n">
        <x:v>0.0706070208</x:v>
      </x:c>
    </x:row>
    <x:row r="1092" ht="19" customHeight="1">
      <x:c r="A1092" s="29" t="str">
        <x:v>stagger_1</x:v>
      </x:c>
      <x:c r="B1092" s="38" t="str">
        <x:v>DOCN</x:v>
      </x:c>
      <x:c r="C1092" s="38" t="str">
        <x:v>Other FX</x:v>
      </x:c>
      <x:c r="D1092" s="30" t="n">
        <x:v>3</x:v>
      </x:c>
      <x:c r="E1092" s="38" t="str">
        <x:v>CAD/USD</x:v>
      </x:c>
      <x:c r="F1092" s="38" t="n">
        <x:v>2.2217869492</x:v>
      </x:c>
      <x:c r="G1092" s="38" t="n">
        <x:v>1.0574099023</x:v>
      </x:c>
      <x:c r="H1092" s="42" t="b">
        <x:v>0</x:v>
      </x:c>
      <x:c r="I1092" s="42" t="b">
        <x:v>0</x:v>
      </x:c>
      <x:c r="J1092" s="38" t="n">
        <x:v>0.0706070208</x:v>
      </x:c>
    </x:row>
    <x:row r="1093" ht="19" customHeight="1">
      <x:c r="A1093" s="29" t="str">
        <x:v>stagger_1</x:v>
      </x:c>
      <x:c r="B1093" s="38" t="str">
        <x:v>DOCN</x:v>
      </x:c>
      <x:c r="C1093" s="38" t="str">
        <x:v>Other FX</x:v>
      </x:c>
      <x:c r="D1093" s="30" t="n">
        <x:v>3</x:v>
      </x:c>
      <x:c r="E1093" s="38" t="str">
        <x:v>DKK/USD</x:v>
      </x:c>
      <x:c r="F1093" s="38" t="n">
        <x:v>-2.9433360459</x:v>
      </x:c>
      <x:c r="G1093" s="38" t="n">
        <x:v>-1.5723775773</x:v>
      </x:c>
      <x:c r="H1093" s="42" t="b">
        <x:v>0</x:v>
      </x:c>
      <x:c r="I1093" s="42" t="b">
        <x:v>0</x:v>
      </x:c>
      <x:c r="J1093" s="38" t="n">
        <x:v>0.0706070208</x:v>
      </x:c>
    </x:row>
    <x:row r="1094" ht="19" customHeight="1">
      <x:c r="A1094" s="29" t="str">
        <x:v>stagger_1</x:v>
      </x:c>
      <x:c r="B1094" s="38" t="str">
        <x:v>DOCN</x:v>
      </x:c>
      <x:c r="C1094" s="38" t="str">
        <x:v>Other FX</x:v>
      </x:c>
      <x:c r="D1094" s="30" t="n">
        <x:v>3</x:v>
      </x:c>
      <x:c r="E1094" s="38" t="str">
        <x:v>MXN/USD</x:v>
      </x:c>
      <x:c r="F1094" s="38" t="n">
        <x:v>1.2665498438</x:v>
      </x:c>
      <x:c r="G1094" s="38" t="n">
        <x:v>1.1568126224</x:v>
      </x:c>
      <x:c r="H1094" s="42" t="b">
        <x:v>0</x:v>
      </x:c>
      <x:c r="I1094" s="42" t="b">
        <x:v>0</x:v>
      </x:c>
      <x:c r="J1094" s="38" t="n">
        <x:v>0.0706070208</x:v>
      </x:c>
    </x:row>
    <x:row r="1095" ht="19" customHeight="1">
      <x:c r="A1095" s="29" t="str">
        <x:v>stagger_1</x:v>
      </x:c>
      <x:c r="B1095" s="38" t="str">
        <x:v>DOCN</x:v>
      </x:c>
      <x:c r="C1095" s="38" t="str">
        <x:v>Other FX</x:v>
      </x:c>
      <x:c r="D1095" s="30" t="n">
        <x:v>4</x:v>
      </x:c>
      <x:c r="E1095" s="38" t="str">
        <x:v>CAD/USD</x:v>
      </x:c>
      <x:c r="F1095" s="38" t="n">
        <x:v>2.7624473765</x:v>
      </x:c>
      <x:c r="G1095" s="38" t="n">
        <x:v>1.3748348813</x:v>
      </x:c>
      <x:c r="H1095" s="42" t="b">
        <x:v>0</x:v>
      </x:c>
      <x:c r="I1095" s="42" t="b">
        <x:v>0</x:v>
      </x:c>
      <x:c r="J1095" s="38" t="n">
        <x:v>0.0591668502</x:v>
      </x:c>
    </x:row>
    <x:row r="1096" ht="19" customHeight="1">
      <x:c r="A1096" s="29" t="str">
        <x:v>stagger_1</x:v>
      </x:c>
      <x:c r="B1096" s="38" t="str">
        <x:v>DOCN</x:v>
      </x:c>
      <x:c r="C1096" s="38" t="str">
        <x:v>Other FX</x:v>
      </x:c>
      <x:c r="D1096" s="30" t="n">
        <x:v>4</x:v>
      </x:c>
      <x:c r="E1096" s="38" t="str">
        <x:v>DKK/USD</x:v>
      </x:c>
      <x:c r="F1096" s="38" t="n">
        <x:v>-2.3378484014</x:v>
      </x:c>
      <x:c r="G1096" s="38" t="n">
        <x:v>-1.3416026507</x:v>
      </x:c>
      <x:c r="H1096" s="42" t="b">
        <x:v>1</x:v>
      </x:c>
      <x:c r="I1096" s="42" t="b">
        <x:v>0</x:v>
      </x:c>
      <x:c r="J1096" s="38" t="n">
        <x:v>0.0591668502</x:v>
      </x:c>
    </x:row>
    <x:row r="1097" ht="19" customHeight="1">
      <x:c r="A1097" s="29" t="str">
        <x:v>stagger_1</x:v>
      </x:c>
      <x:c r="B1097" s="38" t="str">
        <x:v>DOCN</x:v>
      </x:c>
      <x:c r="C1097" s="38" t="str">
        <x:v>Other FX</x:v>
      </x:c>
      <x:c r="D1097" s="30" t="n">
        <x:v>4</x:v>
      </x:c>
      <x:c r="E1097" s="38" t="str">
        <x:v>MXN/USD</x:v>
      </x:c>
      <x:c r="F1097" s="38" t="n">
        <x:v>1.492453052</x:v>
      </x:c>
      <x:c r="G1097" s="38" t="n">
        <x:v>1.4030491322</x:v>
      </x:c>
      <x:c r="H1097" s="42" t="b">
        <x:v>0</x:v>
      </x:c>
      <x:c r="I1097" s="42" t="b">
        <x:v>0</x:v>
      </x:c>
      <x:c r="J1097" s="38" t="n">
        <x:v>0.0591668502</x:v>
      </x:c>
    </x:row>
    <x:row r="1098" ht="19" customHeight="1">
      <x:c r="A1098" s="29" t="str">
        <x:v>stagger_1</x:v>
      </x:c>
      <x:c r="B1098" s="38" t="str">
        <x:v>DOCN</x:v>
      </x:c>
      <x:c r="C1098" s="38" t="str">
        <x:v>Other FX</x:v>
      </x:c>
      <x:c r="D1098" s="30" t="n">
        <x:v>5</x:v>
      </x:c>
      <x:c r="E1098" s="38" t="str">
        <x:v>CAD/USD</x:v>
      </x:c>
      <x:c r="F1098" s="38" t="n">
        <x:v>1.4167659507</x:v>
      </x:c>
      <x:c r="G1098" s="38" t="n">
        <x:v>0.808938816</x:v>
      </x:c>
      <x:c r="H1098" s="42" t="b">
        <x:v>1</x:v>
      </x:c>
      <x:c r="I1098" s="42" t="b">
        <x:v>0</x:v>
      </x:c>
      <x:c r="J1098" s="38" t="n">
        <x:v>0.0335092229</x:v>
      </x:c>
    </x:row>
    <x:row r="1099" ht="19" customHeight="1">
      <x:c r="A1099" s="29" t="str">
        <x:v>stagger_1</x:v>
      </x:c>
      <x:c r="B1099" s="38" t="str">
        <x:v>DOCN</x:v>
      </x:c>
      <x:c r="C1099" s="38" t="str">
        <x:v>Other FX</x:v>
      </x:c>
      <x:c r="D1099" s="30" t="n">
        <x:v>5</x:v>
      </x:c>
      <x:c r="E1099" s="38" t="str">
        <x:v>MXN/USD</x:v>
      </x:c>
      <x:c r="F1099" s="38" t="n">
        <x:v>0.8602915346</x:v>
      </x:c>
      <x:c r="G1099" s="38" t="n">
        <x:v>0.8967539229</x:v>
      </x:c>
      <x:c r="H1099" s="42" t="b">
        <x:v>0</x:v>
      </x:c>
      <x:c r="I1099" s="42" t="b">
        <x:v>0</x:v>
      </x:c>
      <x:c r="J1099" s="38" t="n">
        <x:v>0.0335092229</x:v>
      </x:c>
    </x:row>
    <x:row r="1100" ht="19" customHeight="1">
      <x:c r="A1100" s="29" t="str">
        <x:v>stagger_1</x:v>
      </x:c>
      <x:c r="B1100" s="38" t="str">
        <x:v>DOCN</x:v>
      </x:c>
      <x:c r="C1100" s="38" t="str">
        <x:v>Other FX</x:v>
      </x:c>
      <x:c r="D1100" s="30" t="n">
        <x:v>6</x:v>
      </x:c>
      <x:c r="E1100" s="38" t="str">
        <x:v>MXN/USD</x:v>
      </x:c>
      <x:c r="F1100" s="38" t="n">
        <x:v>1.1497705693</x:v>
      </x:c>
      <x:c r="G1100" s="38" t="n">
        <x:v>1.2950291592</x:v>
      </x:c>
      <x:c r="H1100" s="42" t="b">
        <x:v>1</x:v>
      </x:c>
      <x:c r="I1100" s="42" t="b">
        <x:v>0</x:v>
      </x:c>
      <x:c r="J1100" s="38" t="n">
        <x:v>0.0240696084</x:v>
      </x:c>
    </x:row>
    <x:row r="1101" ht="19" customHeight="1">
      <x:c r="A1101" s="29" t="str">
        <x:v>stagger_1</x:v>
      </x:c>
      <x:c r="B1101" s="38" t="str">
        <x:v>DOCN</x:v>
      </x:c>
      <x:c r="C1101" s="38" t="str">
        <x:v>Other sectors</x:v>
      </x:c>
      <x:c r="D1101" s="30" t="n">
        <x:v>1</x:v>
      </x:c>
      <x:c r="E1101" s="38" t="str">
        <x:v>XLB</x:v>
      </x:c>
      <x:c r="F1101" s="38" t="n">
        <x:v>1.4201393796</x:v>
      </x:c>
      <x:c r="G1101" s="38" t="n">
        <x:v>1.4526458699</x:v>
      </x:c>
      <x:c r="H1101" s="42" t="b">
        <x:v>0</x:v>
      </x:c>
      <x:c r="I1101" s="42" t="b">
        <x:v>0</x:v>
      </x:c>
      <x:c r="J1101" s="38" t="n">
        <x:v>0.2007317148</x:v>
      </x:c>
    </x:row>
    <x:row r="1102" ht="19" customHeight="1">
      <x:c r="A1102" s="29" t="str">
        <x:v>stagger_1</x:v>
      </x:c>
      <x:c r="B1102" s="38" t="str">
        <x:v>DOCN</x:v>
      </x:c>
      <x:c r="C1102" s="38" t="str">
        <x:v>Other sectors</x:v>
      </x:c>
      <x:c r="D1102" s="30" t="n">
        <x:v>1</x:v>
      </x:c>
      <x:c r="E1102" s="38" t="str">
        <x:v>XLC</x:v>
      </x:c>
      <x:c r="F1102" s="38" t="n">
        <x:v>-0.8530902541</x:v>
      </x:c>
      <x:c r="G1102" s="38" t="n">
        <x:v>-1.0612727041</x:v>
      </x:c>
      <x:c r="H1102" s="42" t="b">
        <x:v>0</x:v>
      </x:c>
      <x:c r="I1102" s="42" t="b">
        <x:v>0</x:v>
      </x:c>
      <x:c r="J1102" s="38" t="n">
        <x:v>0.2007317148</x:v>
      </x:c>
    </x:row>
    <x:row r="1103" ht="19" customHeight="1">
      <x:c r="A1103" s="29" t="str">
        <x:v>stagger_1</x:v>
      </x:c>
      <x:c r="B1103" s="38" t="str">
        <x:v>DOCN</x:v>
      </x:c>
      <x:c r="C1103" s="38" t="str">
        <x:v>Other sectors</x:v>
      </x:c>
      <x:c r="D1103" s="30" t="n">
        <x:v>1</x:v>
      </x:c>
      <x:c r="E1103" s="38" t="str">
        <x:v>XLE</x:v>
      </x:c>
      <x:c r="F1103" s="38" t="n">
        <x:v>0.7677147041</x:v>
      </x:c>
      <x:c r="G1103" s="38" t="n">
        <x:v>2.4223503184</x:v>
      </x:c>
      <x:c r="H1103" s="42" t="b">
        <x:v>0</x:v>
      </x:c>
      <x:c r="I1103" s="42" t="b">
        <x:v>0</x:v>
      </x:c>
      <x:c r="J1103" s="38" t="n">
        <x:v>0.2007317148</x:v>
      </x:c>
    </x:row>
    <x:row r="1104" ht="19" customHeight="1">
      <x:c r="A1104" s="29" t="str">
        <x:v>stagger_1</x:v>
      </x:c>
      <x:c r="B1104" s="38" t="str">
        <x:v>DOCN</x:v>
      </x:c>
      <x:c r="C1104" s="38" t="str">
        <x:v>Other sectors</x:v>
      </x:c>
      <x:c r="D1104" s="30" t="n">
        <x:v>1</x:v>
      </x:c>
      <x:c r="E1104" s="38" t="str">
        <x:v>XLF</x:v>
      </x:c>
      <x:c r="F1104" s="38" t="n">
        <x:v>-0.6586930405</x:v>
      </x:c>
      <x:c r="G1104" s="38" t="n">
        <x:v>-0.8421625345</x:v>
      </x:c>
      <x:c r="H1104" s="42" t="b">
        <x:v>0</x:v>
      </x:c>
      <x:c r="I1104" s="42" t="b">
        <x:v>0</x:v>
      </x:c>
      <x:c r="J1104" s="38" t="n">
        <x:v>0.2007317148</x:v>
      </x:c>
    </x:row>
    <x:row r="1105" ht="19" customHeight="1">
      <x:c r="A1105" s="29" t="str">
        <x:v>stagger_1</x:v>
      </x:c>
      <x:c r="B1105" s="38" t="str">
        <x:v>DOCN</x:v>
      </x:c>
      <x:c r="C1105" s="38" t="str">
        <x:v>Other sectors</x:v>
      </x:c>
      <x:c r="D1105" s="30" t="n">
        <x:v>1</x:v>
      </x:c>
      <x:c r="E1105" s="38" t="str">
        <x:v>XLI</x:v>
      </x:c>
      <x:c r="F1105" s="38" t="n">
        <x:v>-1.7126880092</x:v>
      </x:c>
      <x:c r="G1105" s="38" t="n">
        <x:v>-1.3616857387</x:v>
      </x:c>
      <x:c r="H1105" s="42" t="b">
        <x:v>0</x:v>
      </x:c>
      <x:c r="I1105" s="42" t="b">
        <x:v>0</x:v>
      </x:c>
      <x:c r="J1105" s="38" t="n">
        <x:v>0.2007317148</x:v>
      </x:c>
    </x:row>
    <x:row r="1106" ht="19" customHeight="1">
      <x:c r="A1106" s="29" t="str">
        <x:v>stagger_1</x:v>
      </x:c>
      <x:c r="B1106" s="38" t="str">
        <x:v>DOCN</x:v>
      </x:c>
      <x:c r="C1106" s="38" t="str">
        <x:v>Other sectors</x:v>
      </x:c>
      <x:c r="D1106" s="30" t="n">
        <x:v>1</x:v>
      </x:c>
      <x:c r="E1106" s="38" t="str">
        <x:v>XLP</x:v>
      </x:c>
      <x:c r="F1106" s="38" t="n">
        <x:v>-1.1823501733</x:v>
      </x:c>
      <x:c r="G1106" s="38" t="n">
        <x:v>-1.2679801429</x:v>
      </x:c>
      <x:c r="H1106" s="42" t="b">
        <x:v>0</x:v>
      </x:c>
      <x:c r="I1106" s="42" t="b">
        <x:v>0</x:v>
      </x:c>
      <x:c r="J1106" s="38" t="n">
        <x:v>0.2007317148</x:v>
      </x:c>
    </x:row>
    <x:row r="1107" ht="19" customHeight="1">
      <x:c r="A1107" s="29" t="str">
        <x:v>stagger_1</x:v>
      </x:c>
      <x:c r="B1107" s="38" t="str">
        <x:v>DOCN</x:v>
      </x:c>
      <x:c r="C1107" s="38" t="str">
        <x:v>Other sectors</x:v>
      </x:c>
      <x:c r="D1107" s="30" t="n">
        <x:v>1</x:v>
      </x:c>
      <x:c r="E1107" s="38" t="str">
        <x:v>XLRE</x:v>
      </x:c>
      <x:c r="F1107" s="38" t="n">
        <x:v>0.3173306535</x:v>
      </x:c>
      <x:c r="G1107" s="38" t="n">
        <x:v>0.3770441481</x:v>
      </x:c>
      <x:c r="H1107" s="42" t="b">
        <x:v>1</x:v>
      </x:c>
      <x:c r="I1107" s="42" t="b">
        <x:v>0</x:v>
      </x:c>
      <x:c r="J1107" s="38" t="n">
        <x:v>0.2007317148</x:v>
      </x:c>
    </x:row>
    <x:row r="1108" ht="19" customHeight="1">
      <x:c r="A1108" s="29" t="str">
        <x:v>stagger_1</x:v>
      </x:c>
      <x:c r="B1108" s="38" t="str">
        <x:v>DOCN</x:v>
      </x:c>
      <x:c r="C1108" s="38" t="str">
        <x:v>Other sectors</x:v>
      </x:c>
      <x:c r="D1108" s="30" t="n">
        <x:v>1</x:v>
      </x:c>
      <x:c r="E1108" s="38" t="str">
        <x:v>XLU</x:v>
      </x:c>
      <x:c r="F1108" s="38" t="n">
        <x:v>0.3982340206</x:v>
      </x:c>
      <x:c r="G1108" s="38" t="n">
        <x:v>0.6500696752</x:v>
      </x:c>
      <x:c r="H1108" s="42" t="b">
        <x:v>0</x:v>
      </x:c>
      <x:c r="I1108" s="42" t="b">
        <x:v>0</x:v>
      </x:c>
      <x:c r="J1108" s="38" t="n">
        <x:v>0.2007317148</x:v>
      </x:c>
    </x:row>
    <x:row r="1109" ht="19" customHeight="1">
      <x:c r="A1109" s="29" t="str">
        <x:v>stagger_1</x:v>
      </x:c>
      <x:c r="B1109" s="38" t="str">
        <x:v>DOCN</x:v>
      </x:c>
      <x:c r="C1109" s="38" t="str">
        <x:v>Other sectors</x:v>
      </x:c>
      <x:c r="D1109" s="30" t="n">
        <x:v>1</x:v>
      </x:c>
      <x:c r="E1109" s="38" t="str">
        <x:v>XLV</x:v>
      </x:c>
      <x:c r="F1109" s="38" t="n">
        <x:v>0.3965210544</x:v>
      </x:c>
      <x:c r="G1109" s="38" t="n">
        <x:v>0.5574589997</x:v>
      </x:c>
      <x:c r="H1109" s="42" t="b">
        <x:v>0</x:v>
      </x:c>
      <x:c r="I1109" s="42" t="b">
        <x:v>0</x:v>
      </x:c>
      <x:c r="J1109" s="38" t="n">
        <x:v>0.2007317148</x:v>
      </x:c>
    </x:row>
    <x:row r="1110" ht="19" customHeight="1">
      <x:c r="A1110" s="29" t="str">
        <x:v>stagger_1</x:v>
      </x:c>
      <x:c r="B1110" s="38" t="str">
        <x:v>DOCN</x:v>
      </x:c>
      <x:c r="C1110" s="38" t="str">
        <x:v>Other sectors</x:v>
      </x:c>
      <x:c r="D1110" s="30" t="n">
        <x:v>1</x:v>
      </x:c>
      <x:c r="E1110" s="38" t="str">
        <x:v>XLY</x:v>
      </x:c>
      <x:c r="F1110" s="38" t="n">
        <x:v>0.5950077437</x:v>
      </x:c>
      <x:c r="G1110" s="38" t="n">
        <x:v>0.7042065384</x:v>
      </x:c>
      <x:c r="H1110" s="42" t="b">
        <x:v>0</x:v>
      </x:c>
      <x:c r="I1110" s="42" t="b">
        <x:v>0</x:v>
      </x:c>
      <x:c r="J1110" s="38" t="n">
        <x:v>0.2007317148</x:v>
      </x:c>
    </x:row>
    <x:row r="1111" ht="19" customHeight="1">
      <x:c r="A1111" s="29" t="str">
        <x:v>stagger_1</x:v>
      </x:c>
      <x:c r="B1111" s="38" t="str">
        <x:v>DOCN</x:v>
      </x:c>
      <x:c r="C1111" s="38" t="str">
        <x:v>Other sectors</x:v>
      </x:c>
      <x:c r="D1111" s="30" t="n">
        <x:v>2</x:v>
      </x:c>
      <x:c r="E1111" s="38" t="str">
        <x:v>XLB</x:v>
      </x:c>
      <x:c r="F1111" s="38" t="n">
        <x:v>1.4901976978</x:v>
      </x:c>
      <x:c r="G1111" s="38" t="n">
        <x:v>1.5638282453</x:v>
      </x:c>
      <x:c r="H1111" s="42" t="b">
        <x:v>0</x:v>
      </x:c>
      <x:c r="I1111" s="42" t="b">
        <x:v>0</x:v>
      </x:c>
      <x:c r="J1111" s="38" t="n">
        <x:v>0.1988058536</x:v>
      </x:c>
    </x:row>
    <x:row r="1112" ht="19" customHeight="1">
      <x:c r="A1112" s="29" t="str">
        <x:v>stagger_1</x:v>
      </x:c>
      <x:c r="B1112" s="38" t="str">
        <x:v>DOCN</x:v>
      </x:c>
      <x:c r="C1112" s="38" t="str">
        <x:v>Other sectors</x:v>
      </x:c>
      <x:c r="D1112" s="30" t="n">
        <x:v>2</x:v>
      </x:c>
      <x:c r="E1112" s="38" t="str">
        <x:v>XLC</x:v>
      </x:c>
      <x:c r="F1112" s="38" t="n">
        <x:v>-0.9181339062</x:v>
      </x:c>
      <x:c r="G1112" s="38" t="n">
        <x:v>-1.1778872028</x:v>
      </x:c>
      <x:c r="H1112" s="42" t="b">
        <x:v>0</x:v>
      </x:c>
      <x:c r="I1112" s="42" t="b">
        <x:v>0</x:v>
      </x:c>
      <x:c r="J1112" s="38" t="n">
        <x:v>0.1988058536</x:v>
      </x:c>
    </x:row>
    <x:row r="1113" ht="19" customHeight="1">
      <x:c r="A1113" s="29" t="str">
        <x:v>stagger_1</x:v>
      </x:c>
      <x:c r="B1113" s="38" t="str">
        <x:v>DOCN</x:v>
      </x:c>
      <x:c r="C1113" s="38" t="str">
        <x:v>Other sectors</x:v>
      </x:c>
      <x:c r="D1113" s="30" t="n">
        <x:v>2</x:v>
      </x:c>
      <x:c r="E1113" s="38" t="str">
        <x:v>XLE</x:v>
      </x:c>
      <x:c r="F1113" s="38" t="n">
        <x:v>0.7734366695</x:v>
      </x:c>
      <x:c r="G1113" s="38" t="n">
        <x:v>2.4608624491</x:v>
      </x:c>
      <x:c r="H1113" s="42" t="b">
        <x:v>0</x:v>
      </x:c>
      <x:c r="I1113" s="42" t="b">
        <x:v>0</x:v>
      </x:c>
      <x:c r="J1113" s="38" t="n">
        <x:v>0.1988058536</x:v>
      </x:c>
    </x:row>
    <x:row r="1114" ht="19" customHeight="1">
      <x:c r="A1114" s="29" t="str">
        <x:v>stagger_1</x:v>
      </x:c>
      <x:c r="B1114" s="38" t="str">
        <x:v>DOCN</x:v>
      </x:c>
      <x:c r="C1114" s="38" t="str">
        <x:v>Other sectors</x:v>
      </x:c>
      <x:c r="D1114" s="30" t="n">
        <x:v>2</x:v>
      </x:c>
      <x:c r="E1114" s="38" t="str">
        <x:v>XLF</x:v>
      </x:c>
      <x:c r="F1114" s="38" t="n">
        <x:v>-0.595816946</x:v>
      </x:c>
      <x:c r="G1114" s="38" t="n">
        <x:v>-0.7853355317</x:v>
      </x:c>
      <x:c r="H1114" s="42" t="b">
        <x:v>0</x:v>
      </x:c>
      <x:c r="I1114" s="42" t="b">
        <x:v>0</x:v>
      </x:c>
      <x:c r="J1114" s="38" t="n">
        <x:v>0.1988058536</x:v>
      </x:c>
    </x:row>
    <x:row r="1115" ht="19" customHeight="1">
      <x:c r="A1115" s="29" t="str">
        <x:v>stagger_1</x:v>
      </x:c>
      <x:c r="B1115" s="38" t="str">
        <x:v>DOCN</x:v>
      </x:c>
      <x:c r="C1115" s="38" t="str">
        <x:v>Other sectors</x:v>
      </x:c>
      <x:c r="D1115" s="30" t="n">
        <x:v>2</x:v>
      </x:c>
      <x:c r="E1115" s="38" t="str">
        <x:v>XLI</x:v>
      </x:c>
      <x:c r="F1115" s="38" t="n">
        <x:v>-1.8195267432</x:v>
      </x:c>
      <x:c r="G1115" s="38" t="n">
        <x:v>-1.4955285705</x:v>
      </x:c>
      <x:c r="H1115" s="42" t="b">
        <x:v>0</x:v>
      </x:c>
      <x:c r="I1115" s="42" t="b">
        <x:v>0</x:v>
      </x:c>
      <x:c r="J1115" s="38" t="n">
        <x:v>0.1988058536</x:v>
      </x:c>
    </x:row>
    <x:row r="1116" ht="19" customHeight="1">
      <x:c r="A1116" s="29" t="str">
        <x:v>stagger_1</x:v>
      </x:c>
      <x:c r="B1116" s="38" t="str">
        <x:v>DOCN</x:v>
      </x:c>
      <x:c r="C1116" s="38" t="str">
        <x:v>Other sectors</x:v>
      </x:c>
      <x:c r="D1116" s="30" t="n">
        <x:v>2</x:v>
      </x:c>
      <x:c r="E1116" s="38" t="str">
        <x:v>XLP</x:v>
      </x:c>
      <x:c r="F1116" s="38" t="n">
        <x:v>-1.0477821424</x:v>
      </x:c>
      <x:c r="G1116" s="38" t="n">
        <x:v>-1.2250734003</x:v>
      </x:c>
      <x:c r="H1116" s="42" t="b">
        <x:v>0</x:v>
      </x:c>
      <x:c r="I1116" s="42" t="b">
        <x:v>0</x:v>
      </x:c>
      <x:c r="J1116" s="38" t="n">
        <x:v>0.1988058536</x:v>
      </x:c>
    </x:row>
    <x:row r="1117" ht="19" customHeight="1">
      <x:c r="A1117" s="29" t="str">
        <x:v>stagger_1</x:v>
      </x:c>
      <x:c r="B1117" s="38" t="str">
        <x:v>DOCN</x:v>
      </x:c>
      <x:c r="C1117" s="38" t="str">
        <x:v>Other sectors</x:v>
      </x:c>
      <x:c r="D1117" s="30" t="n">
        <x:v>2</x:v>
      </x:c>
      <x:c r="E1117" s="38" t="str">
        <x:v>XLU</x:v>
      </x:c>
      <x:c r="F1117" s="38" t="n">
        <x:v>0.4694114293</x:v>
      </x:c>
      <x:c r="G1117" s="38" t="n">
        <x:v>0.8112757028</x:v>
      </x:c>
      <x:c r="H1117" s="42" t="b">
        <x:v>0</x:v>
      </x:c>
      <x:c r="I1117" s="42" t="b">
        <x:v>0</x:v>
      </x:c>
      <x:c r="J1117" s="38" t="n">
        <x:v>0.1988058536</x:v>
      </x:c>
    </x:row>
    <x:row r="1118" ht="19" customHeight="1">
      <x:c r="A1118" s="29" t="str">
        <x:v>stagger_1</x:v>
      </x:c>
      <x:c r="B1118" s="38" t="str">
        <x:v>DOCN</x:v>
      </x:c>
      <x:c r="C1118" s="38" t="str">
        <x:v>Other sectors</x:v>
      </x:c>
      <x:c r="D1118" s="30" t="n">
        <x:v>2</x:v>
      </x:c>
      <x:c r="E1118" s="38" t="str">
        <x:v>XLV</x:v>
      </x:c>
      <x:c r="F1118" s="38" t="n">
        <x:v>0.4615465989</x:v>
      </x:c>
      <x:c r="G1118" s="38" t="n">
        <x:v>0.6736668317</x:v>
      </x:c>
      <x:c r="H1118" s="42" t="b">
        <x:v>1</x:v>
      </x:c>
      <x:c r="I1118" s="42" t="b">
        <x:v>0</x:v>
      </x:c>
      <x:c r="J1118" s="38" t="n">
        <x:v>0.1988058536</x:v>
      </x:c>
    </x:row>
    <x:row r="1119" ht="19" customHeight="1">
      <x:c r="A1119" s="29" t="str">
        <x:v>stagger_1</x:v>
      </x:c>
      <x:c r="B1119" s="38" t="str">
        <x:v>DOCN</x:v>
      </x:c>
      <x:c r="C1119" s="38" t="str">
        <x:v>Other sectors</x:v>
      </x:c>
      <x:c r="D1119" s="30" t="n">
        <x:v>2</x:v>
      </x:c>
      <x:c r="E1119" s="38" t="str">
        <x:v>XLY</x:v>
      </x:c>
      <x:c r="F1119" s="38" t="n">
        <x:v>0.7103265911</x:v>
      </x:c>
      <x:c r="G1119" s="38" t="n">
        <x:v>0.9083645255</x:v>
      </x:c>
      <x:c r="H1119" s="42" t="b">
        <x:v>0</x:v>
      </x:c>
      <x:c r="I1119" s="42" t="b">
        <x:v>0</x:v>
      </x:c>
      <x:c r="J1119" s="38" t="n">
        <x:v>0.1988058536</x:v>
      </x:c>
    </x:row>
    <x:row r="1120" ht="19" customHeight="1">
      <x:c r="A1120" s="29" t="str">
        <x:v>stagger_1</x:v>
      </x:c>
      <x:c r="B1120" s="38" t="str">
        <x:v>DOCN</x:v>
      </x:c>
      <x:c r="C1120" s="38" t="str">
        <x:v>Other sectors</x:v>
      </x:c>
      <x:c r="D1120" s="30" t="n">
        <x:v>3</x:v>
      </x:c>
      <x:c r="E1120" s="38" t="str">
        <x:v>XLB</x:v>
      </x:c>
      <x:c r="F1120" s="38" t="n">
        <x:v>1.5501407888</x:v>
      </x:c>
      <x:c r="G1120" s="38" t="n">
        <x:v>1.6412358197</x:v>
      </x:c>
      <x:c r="H1120" s="42" t="b">
        <x:v>0</x:v>
      </x:c>
      <x:c r="I1120" s="42" t="b">
        <x:v>0</x:v>
      </x:c>
      <x:c r="J1120" s="38" t="n">
        <x:v>0.1927457947</x:v>
      </x:c>
    </x:row>
    <x:row r="1121" ht="19" customHeight="1">
      <x:c r="A1121" s="29" t="str">
        <x:v>stagger_1</x:v>
      </x:c>
      <x:c r="B1121" s="38" t="str">
        <x:v>DOCN</x:v>
      </x:c>
      <x:c r="C1121" s="38" t="str">
        <x:v>Other sectors</x:v>
      </x:c>
      <x:c r="D1121" s="30" t="n">
        <x:v>3</x:v>
      </x:c>
      <x:c r="E1121" s="38" t="str">
        <x:v>XLC</x:v>
      </x:c>
      <x:c r="F1121" s="38" t="n">
        <x:v>-0.8952483908</x:v>
      </x:c>
      <x:c r="G1121" s="38" t="n">
        <x:v>-1.1548008523</x:v>
      </x:c>
      <x:c r="H1121" s="42" t="b">
        <x:v>0</x:v>
      </x:c>
      <x:c r="I1121" s="42" t="b">
        <x:v>0</x:v>
      </x:c>
      <x:c r="J1121" s="38" t="n">
        <x:v>0.1927457947</x:v>
      </x:c>
    </x:row>
    <x:row r="1122" ht="19" customHeight="1">
      <x:c r="A1122" s="29" t="str">
        <x:v>stagger_1</x:v>
      </x:c>
      <x:c r="B1122" s="38" t="str">
        <x:v>DOCN</x:v>
      </x:c>
      <x:c r="C1122" s="38" t="str">
        <x:v>Other sectors</x:v>
      </x:c>
      <x:c r="D1122" s="30" t="n">
        <x:v>3</x:v>
      </x:c>
      <x:c r="E1122" s="38" t="str">
        <x:v>XLE</x:v>
      </x:c>
      <x:c r="F1122" s="38" t="n">
        <x:v>0.7718875299</x:v>
      </x:c>
      <x:c r="G1122" s="38" t="n">
        <x:v>2.4670687281</x:v>
      </x:c>
      <x:c r="H1122" s="42" t="b">
        <x:v>0</x:v>
      </x:c>
      <x:c r="I1122" s="42" t="b">
        <x:v>0</x:v>
      </x:c>
      <x:c r="J1122" s="38" t="n">
        <x:v>0.1927457947</x:v>
      </x:c>
    </x:row>
    <x:row r="1123" ht="19" customHeight="1">
      <x:c r="A1123" s="29" t="str">
        <x:v>stagger_1</x:v>
      </x:c>
      <x:c r="B1123" s="38" t="str">
        <x:v>DOCN</x:v>
      </x:c>
      <x:c r="C1123" s="38" t="str">
        <x:v>Other sectors</x:v>
      </x:c>
      <x:c r="D1123" s="30" t="n">
        <x:v>3</x:v>
      </x:c>
      <x:c r="E1123" s="38" t="str">
        <x:v>XLF</x:v>
      </x:c>
      <x:c r="F1123" s="38" t="n">
        <x:v>-0.4616091039</x:v>
      </x:c>
      <x:c r="G1123" s="38" t="n">
        <x:v>-0.6334084736</x:v>
      </x:c>
      <x:c r="H1123" s="42" t="b">
        <x:v>1</x:v>
      </x:c>
      <x:c r="I1123" s="42" t="b">
        <x:v>0</x:v>
      </x:c>
      <x:c r="J1123" s="38" t="n">
        <x:v>0.1927457947</x:v>
      </x:c>
    </x:row>
    <x:row r="1124" ht="19" customHeight="1">
      <x:c r="A1124" s="29" t="str">
        <x:v>stagger_1</x:v>
      </x:c>
      <x:c r="B1124" s="38" t="str">
        <x:v>DOCN</x:v>
      </x:c>
      <x:c r="C1124" s="38" t="str">
        <x:v>Other sectors</x:v>
      </x:c>
      <x:c r="D1124" s="30" t="n">
        <x:v>3</x:v>
      </x:c>
      <x:c r="E1124" s="38" t="str">
        <x:v>XLI</x:v>
      </x:c>
      <x:c r="F1124" s="38" t="n">
        <x:v>-1.9625253648</x:v>
      </x:c>
      <x:c r="G1124" s="38" t="n">
        <x:v>-1.6455733389</x:v>
      </x:c>
      <x:c r="H1124" s="42" t="b">
        <x:v>0</x:v>
      </x:c>
      <x:c r="I1124" s="42" t="b">
        <x:v>0</x:v>
      </x:c>
      <x:c r="J1124" s="38" t="n">
        <x:v>0.1927457947</x:v>
      </x:c>
    </x:row>
    <x:row r="1125" ht="19" customHeight="1">
      <x:c r="A1125" s="29" t="str">
        <x:v>stagger_1</x:v>
      </x:c>
      <x:c r="B1125" s="38" t="str">
        <x:v>DOCN</x:v>
      </x:c>
      <x:c r="C1125" s="38" t="str">
        <x:v>Other sectors</x:v>
      </x:c>
      <x:c r="D1125" s="30" t="n">
        <x:v>3</x:v>
      </x:c>
      <x:c r="E1125" s="38" t="str">
        <x:v>XLP</x:v>
      </x:c>
      <x:c r="F1125" s="38" t="n">
        <x:v>-0.8264559796</x:v>
      </x:c>
      <x:c r="G1125" s="38" t="n">
        <x:v>-1.0513104463</x:v>
      </x:c>
      <x:c r="H1125" s="42" t="b">
        <x:v>0</x:v>
      </x:c>
      <x:c r="I1125" s="42" t="b">
        <x:v>0</x:v>
      </x:c>
      <x:c r="J1125" s="38" t="n">
        <x:v>0.1927457947</x:v>
      </x:c>
    </x:row>
    <x:row r="1126" ht="19" customHeight="1">
      <x:c r="A1126" s="29" t="str">
        <x:v>stagger_1</x:v>
      </x:c>
      <x:c r="B1126" s="38" t="str">
        <x:v>DOCN</x:v>
      </x:c>
      <x:c r="C1126" s="38" t="str">
        <x:v>Other sectors</x:v>
      </x:c>
      <x:c r="D1126" s="30" t="n">
        <x:v>3</x:v>
      </x:c>
      <x:c r="E1126" s="38" t="str">
        <x:v>XLU</x:v>
      </x:c>
      <x:c r="F1126" s="38" t="n">
        <x:v>0.4882236071</x:v>
      </x:c>
      <x:c r="G1126" s="38" t="n">
        <x:v>0.8485803768</x:v>
      </x:c>
      <x:c r="H1126" s="42" t="b">
        <x:v>0</x:v>
      </x:c>
      <x:c r="I1126" s="42" t="b">
        <x:v>0</x:v>
      </x:c>
      <x:c r="J1126" s="38" t="n">
        <x:v>0.1927457947</x:v>
      </x:c>
    </x:row>
    <x:row r="1127" ht="19" customHeight="1">
      <x:c r="A1127" s="29" t="str">
        <x:v>stagger_1</x:v>
      </x:c>
      <x:c r="B1127" s="38" t="str">
        <x:v>DOCN</x:v>
      </x:c>
      <x:c r="C1127" s="38" t="str">
        <x:v>Other sectors</x:v>
      </x:c>
      <x:c r="D1127" s="30" t="n">
        <x:v>3</x:v>
      </x:c>
      <x:c r="E1127" s="38" t="str">
        <x:v>XLY</x:v>
      </x:c>
      <x:c r="F1127" s="38" t="n">
        <x:v>0.5582391446</x:v>
      </x:c>
      <x:c r="G1127" s="38" t="n">
        <x:v>0.748985479</x:v>
      </x:c>
      <x:c r="H1127" s="42" t="b">
        <x:v>0</x:v>
      </x:c>
      <x:c r="I1127" s="42" t="b">
        <x:v>0</x:v>
      </x:c>
      <x:c r="J1127" s="38" t="n">
        <x:v>0.1927457947</x:v>
      </x:c>
    </x:row>
    <x:row r="1128" ht="19" customHeight="1">
      <x:c r="A1128" s="29" t="str">
        <x:v>stagger_1</x:v>
      </x:c>
      <x:c r="B1128" s="38" t="str">
        <x:v>DOCN</x:v>
      </x:c>
      <x:c r="C1128" s="38" t="str">
        <x:v>Other sectors</x:v>
      </x:c>
      <x:c r="D1128" s="30" t="n">
        <x:v>4</x:v>
      </x:c>
      <x:c r="E1128" s="38" t="str">
        <x:v>XLB</x:v>
      </x:c>
      <x:c r="F1128" s="38" t="n">
        <x:v>1.4732085093</x:v>
      </x:c>
      <x:c r="G1128" s="38" t="n">
        <x:v>1.5804922772</x:v>
      </x:c>
      <x:c r="H1128" s="42" t="b">
        <x:v>0</x:v>
      </x:c>
      <x:c r="I1128" s="42" t="b">
        <x:v>0</x:v>
      </x:c>
      <x:c r="J1128" s="38" t="n">
        <x:v>0.1874363607</x:v>
      </x:c>
    </x:row>
    <x:row r="1129" ht="19" customHeight="1">
      <x:c r="A1129" s="29" t="str">
        <x:v>stagger_1</x:v>
      </x:c>
      <x:c r="B1129" s="38" t="str">
        <x:v>DOCN</x:v>
      </x:c>
      <x:c r="C1129" s="38" t="str">
        <x:v>Other sectors</x:v>
      </x:c>
      <x:c r="D1129" s="30" t="n">
        <x:v>4</x:v>
      </x:c>
      <x:c r="E1129" s="38" t="str">
        <x:v>XLC</x:v>
      </x:c>
      <x:c r="F1129" s="38" t="n">
        <x:v>-0.9369508966</x:v>
      </x:c>
      <x:c r="G1129" s="38" t="n">
        <x:v>-1.2188762443</x:v>
      </x:c>
      <x:c r="H1129" s="42" t="b">
        <x:v>0</x:v>
      </x:c>
      <x:c r="I1129" s="42" t="b">
        <x:v>0</x:v>
      </x:c>
      <x:c r="J1129" s="38" t="n">
        <x:v>0.1874363607</x:v>
      </x:c>
    </x:row>
    <x:row r="1130" ht="19" customHeight="1">
      <x:c r="A1130" s="29" t="str">
        <x:v>stagger_1</x:v>
      </x:c>
      <x:c r="B1130" s="38" t="str">
        <x:v>DOCN</x:v>
      </x:c>
      <x:c r="C1130" s="38" t="str">
        <x:v>Other sectors</x:v>
      </x:c>
      <x:c r="D1130" s="30" t="n">
        <x:v>4</x:v>
      </x:c>
      <x:c r="E1130" s="38" t="str">
        <x:v>XLE</x:v>
      </x:c>
      <x:c r="F1130" s="38" t="n">
        <x:v>0.742782384</x:v>
      </x:c>
      <x:c r="G1130" s="38" t="n">
        <x:v>2.4117432328</x:v>
      </x:c>
      <x:c r="H1130" s="42" t="b">
        <x:v>0</x:v>
      </x:c>
      <x:c r="I1130" s="42" t="b">
        <x:v>0</x:v>
      </x:c>
      <x:c r="J1130" s="38" t="n">
        <x:v>0.1874363607</x:v>
      </x:c>
    </x:row>
    <x:row r="1131" ht="19" customHeight="1">
      <x:c r="A1131" s="29" t="str">
        <x:v>stagger_1</x:v>
      </x:c>
      <x:c r="B1131" s="38" t="str">
        <x:v>DOCN</x:v>
      </x:c>
      <x:c r="C1131" s="38" t="str">
        <x:v>Other sectors</x:v>
      </x:c>
      <x:c r="D1131" s="30" t="n">
        <x:v>4</x:v>
      </x:c>
      <x:c r="E1131" s="38" t="str">
        <x:v>XLI</x:v>
      </x:c>
      <x:c r="F1131" s="38" t="n">
        <x:v>-2.0543768561</x:v>
      </x:c>
      <x:c r="G1131" s="38" t="n">
        <x:v>-1.7439091955</x:v>
      </x:c>
      <x:c r="H1131" s="42" t="b">
        <x:v>0</x:v>
      </x:c>
      <x:c r="I1131" s="42" t="b">
        <x:v>0</x:v>
      </x:c>
      <x:c r="J1131" s="38" t="n">
        <x:v>0.1874363607</x:v>
      </x:c>
    </x:row>
    <x:row r="1132" ht="19" customHeight="1">
      <x:c r="A1132" s="29" t="str">
        <x:v>stagger_1</x:v>
      </x:c>
      <x:c r="B1132" s="38" t="str">
        <x:v>DOCN</x:v>
      </x:c>
      <x:c r="C1132" s="38" t="str">
        <x:v>Other sectors</x:v>
      </x:c>
      <x:c r="D1132" s="30" t="n">
        <x:v>4</x:v>
      </x:c>
      <x:c r="E1132" s="38" t="str">
        <x:v>XLP</x:v>
      </x:c>
      <x:c r="F1132" s="38" t="n">
        <x:v>-0.7366524068</x:v>
      </x:c>
      <x:c r="G1132" s="38" t="n">
        <x:v>-0.9573302853</x:v>
      </x:c>
      <x:c r="H1132" s="42" t="b">
        <x:v>0</x:v>
      </x:c>
      <x:c r="I1132" s="42" t="b">
        <x:v>0</x:v>
      </x:c>
      <x:c r="J1132" s="38" t="n">
        <x:v>0.1874363607</x:v>
      </x:c>
    </x:row>
    <x:row r="1133" ht="19" customHeight="1">
      <x:c r="A1133" s="29" t="str">
        <x:v>stagger_1</x:v>
      </x:c>
      <x:c r="B1133" s="38" t="str">
        <x:v>DOCN</x:v>
      </x:c>
      <x:c r="C1133" s="38" t="str">
        <x:v>Other sectors</x:v>
      </x:c>
      <x:c r="D1133" s="30" t="n">
        <x:v>4</x:v>
      </x:c>
      <x:c r="E1133" s="38" t="str">
        <x:v>XLU</x:v>
      </x:c>
      <x:c r="F1133" s="38" t="n">
        <x:v>0.4684511769</x:v>
      </x:c>
      <x:c r="G1133" s="38" t="n">
        <x:v>0.8193814102</x:v>
      </x:c>
      <x:c r="H1133" s="42" t="b">
        <x:v>0</x:v>
      </x:c>
      <x:c r="I1133" s="42" t="b">
        <x:v>0</x:v>
      </x:c>
      <x:c r="J1133" s="38" t="n">
        <x:v>0.1874363607</x:v>
      </x:c>
    </x:row>
    <x:row r="1134" ht="19" customHeight="1">
      <x:c r="A1134" s="29" t="str">
        <x:v>stagger_1</x:v>
      </x:c>
      <x:c r="B1134" s="38" t="str">
        <x:v>DOCN</x:v>
      </x:c>
      <x:c r="C1134" s="38" t="str">
        <x:v>Other sectors</x:v>
      </x:c>
      <x:c r="D1134" s="30" t="n">
        <x:v>4</x:v>
      </x:c>
      <x:c r="E1134" s="38" t="str">
        <x:v>XLY</x:v>
      </x:c>
      <x:c r="F1134" s="38" t="n">
        <x:v>0.5496349876</x:v>
      </x:c>
      <x:c r="G1134" s="38" t="n">
        <x:v>0.7411515405</x:v>
      </x:c>
      <x:c r="H1134" s="42" t="b">
        <x:v>1</x:v>
      </x:c>
      <x:c r="I1134" s="42" t="b">
        <x:v>0</x:v>
      </x:c>
      <x:c r="J1134" s="38" t="n">
        <x:v>0.1874363607</x:v>
      </x:c>
    </x:row>
    <x:row r="1135" ht="19" customHeight="1">
      <x:c r="A1135" s="29" t="str">
        <x:v>stagger_1</x:v>
      </x:c>
      <x:c r="B1135" s="38" t="str">
        <x:v>DOCN</x:v>
      </x:c>
      <x:c r="C1135" s="38" t="str">
        <x:v>Other sectors</x:v>
      </x:c>
      <x:c r="D1135" s="30" t="n">
        <x:v>5</x:v>
      </x:c>
      <x:c r="E1135" s="38" t="str">
        <x:v>XLB</x:v>
      </x:c>
      <x:c r="F1135" s="38" t="n">
        <x:v>1.5225965465</x:v>
      </x:c>
      <x:c r="G1135" s="38" t="n">
        <x:v>1.6435565901</x:v>
      </x:c>
      <x:c r="H1135" s="42" t="b">
        <x:v>0</x:v>
      </x:c>
      <x:c r="I1135" s="42" t="b">
        <x:v>0</x:v>
      </x:c>
      <x:c r="J1135" s="38" t="n">
        <x:v>0.1802372356</x:v>
      </x:c>
    </x:row>
    <x:row r="1136" ht="19" customHeight="1">
      <x:c r="A1136" s="29" t="str">
        <x:v>stagger_1</x:v>
      </x:c>
      <x:c r="B1136" s="38" t="str">
        <x:v>DOCN</x:v>
      </x:c>
      <x:c r="C1136" s="38" t="str">
        <x:v>Other sectors</x:v>
      </x:c>
      <x:c r="D1136" s="30" t="n">
        <x:v>5</x:v>
      </x:c>
      <x:c r="E1136" s="38" t="str">
        <x:v>XLC</x:v>
      </x:c>
      <x:c r="F1136" s="38" t="n">
        <x:v>-0.7219506615</x:v>
      </x:c>
      <x:c r="G1136" s="38" t="n">
        <x:v>-1.0178182057</x:v>
      </x:c>
      <x:c r="H1136" s="42" t="b">
        <x:v>0</x:v>
      </x:c>
      <x:c r="I1136" s="42" t="b">
        <x:v>0</x:v>
      </x:c>
      <x:c r="J1136" s="38" t="n">
        <x:v>0.1802372356</x:v>
      </x:c>
    </x:row>
    <x:row r="1137" ht="19" customHeight="1">
      <x:c r="A1137" s="29" t="str">
        <x:v>stagger_1</x:v>
      </x:c>
      <x:c r="B1137" s="38" t="str">
        <x:v>DOCN</x:v>
      </x:c>
      <x:c r="C1137" s="38" t="str">
        <x:v>Other sectors</x:v>
      </x:c>
      <x:c r="D1137" s="30" t="n">
        <x:v>5</x:v>
      </x:c>
      <x:c r="E1137" s="38" t="str">
        <x:v>XLE</x:v>
      </x:c>
      <x:c r="F1137" s="38" t="n">
        <x:v>0.6894066842</x:v>
      </x:c>
      <x:c r="G1137" s="38" t="n">
        <x:v>2.3105432017</x:v>
      </x:c>
      <x:c r="H1137" s="42" t="b">
        <x:v>0</x:v>
      </x:c>
      <x:c r="I1137" s="42" t="b">
        <x:v>0</x:v>
      </x:c>
      <x:c r="J1137" s="38" t="n">
        <x:v>0.1802372356</x:v>
      </x:c>
    </x:row>
    <x:row r="1138" ht="19" customHeight="1">
      <x:c r="A1138" s="29" t="str">
        <x:v>stagger_1</x:v>
      </x:c>
      <x:c r="B1138" s="38" t="str">
        <x:v>DOCN</x:v>
      </x:c>
      <x:c r="C1138" s="38" t="str">
        <x:v>Other sectors</x:v>
      </x:c>
      <x:c r="D1138" s="30" t="n">
        <x:v>5</x:v>
      </x:c>
      <x:c r="E1138" s="38" t="str">
        <x:v>XLI</x:v>
      </x:c>
      <x:c r="F1138" s="38" t="n">
        <x:v>-2.0773189243</x:v>
      </x:c>
      <x:c r="G1138" s="38" t="n">
        <x:v>-1.7703369872</x:v>
      </x:c>
      <x:c r="H1138" s="42" t="b">
        <x:v>0</x:v>
      </x:c>
      <x:c r="I1138" s="42" t="b">
        <x:v>0</x:v>
      </x:c>
      <x:c r="J1138" s="38" t="n">
        <x:v>0.1802372356</x:v>
      </x:c>
    </x:row>
    <x:row r="1139" ht="19" customHeight="1">
      <x:c r="A1139" s="29" t="str">
        <x:v>stagger_1</x:v>
      </x:c>
      <x:c r="B1139" s="38" t="str">
        <x:v>DOCN</x:v>
      </x:c>
      <x:c r="C1139" s="38" t="str">
        <x:v>Other sectors</x:v>
      </x:c>
      <x:c r="D1139" s="30" t="n">
        <x:v>5</x:v>
      </x:c>
      <x:c r="E1139" s="38" t="str">
        <x:v>XLP</x:v>
      </x:c>
      <x:c r="F1139" s="38" t="n">
        <x:v>-0.8316022498</x:v>
      </x:c>
      <x:c r="G1139" s="38" t="n">
        <x:v>-1.0999625603</x:v>
      </x:c>
      <x:c r="H1139" s="42" t="b">
        <x:v>0</x:v>
      </x:c>
      <x:c r="I1139" s="42" t="b">
        <x:v>0</x:v>
      </x:c>
      <x:c r="J1139" s="38" t="n">
        <x:v>0.1802372356</x:v>
      </x:c>
    </x:row>
    <x:row r="1140" ht="19" customHeight="1">
      <x:c r="A1140" s="29" t="str">
        <x:v>stagger_1</x:v>
      </x:c>
      <x:c r="B1140" s="38" t="str">
        <x:v>DOCN</x:v>
      </x:c>
      <x:c r="C1140" s="38" t="str">
        <x:v>Other sectors</x:v>
      </x:c>
      <x:c r="D1140" s="30" t="n">
        <x:v>5</x:v>
      </x:c>
      <x:c r="E1140" s="38" t="str">
        <x:v>XLU</x:v>
      </x:c>
      <x:c r="F1140" s="38" t="n">
        <x:v>0.4896415486</x:v>
      </x:c>
      <x:c r="G1140" s="38" t="n">
        <x:v>0.8606029295</x:v>
      </x:c>
      <x:c r="H1140" s="42" t="b">
        <x:v>1</x:v>
      </x:c>
      <x:c r="I1140" s="42" t="b">
        <x:v>0</x:v>
      </x:c>
      <x:c r="J1140" s="38" t="n">
        <x:v>0.1802372356</x:v>
      </x:c>
    </x:row>
    <x:row r="1141" ht="19" customHeight="1">
      <x:c r="A1141" s="29" t="str">
        <x:v>stagger_1</x:v>
      </x:c>
      <x:c r="B1141" s="38" t="str">
        <x:v>DOCN</x:v>
      </x:c>
      <x:c r="C1141" s="38" t="str">
        <x:v>Other sectors</x:v>
      </x:c>
      <x:c r="D1141" s="30" t="n">
        <x:v>6</x:v>
      </x:c>
      <x:c r="E1141" s="38" t="str">
        <x:v>XLB</x:v>
      </x:c>
      <x:c r="F1141" s="38" t="n">
        <x:v>1.5821013443</x:v>
      </x:c>
      <x:c r="G1141" s="38" t="n">
        <x:v>1.716045972</x:v>
      </x:c>
      <x:c r="H1141" s="42" t="b">
        <x:v>0</x:v>
      </x:c>
      <x:c r="I1141" s="42" t="b">
        <x:v>0</x:v>
      </x:c>
      <x:c r="J1141" s="38" t="n">
        <x:v>0.1705999821</x:v>
      </x:c>
    </x:row>
    <x:row r="1142" ht="19" customHeight="1">
      <x:c r="A1142" s="29" t="str">
        <x:v>stagger_1</x:v>
      </x:c>
      <x:c r="B1142" s="38" t="str">
        <x:v>DOCN</x:v>
      </x:c>
      <x:c r="C1142" s="38" t="str">
        <x:v>Other sectors</x:v>
      </x:c>
      <x:c r="D1142" s="30" t="n">
        <x:v>6</x:v>
      </x:c>
      <x:c r="E1142" s="38" t="str">
        <x:v>XLC</x:v>
      </x:c>
      <x:c r="F1142" s="38" t="n">
        <x:v>-0.7984704271</x:v>
      </x:c>
      <x:c r="G1142" s="38" t="n">
        <x:v>-1.1369529856</x:v>
      </x:c>
      <x:c r="H1142" s="42" t="b">
        <x:v>0</x:v>
      </x:c>
      <x:c r="I1142" s="42" t="b">
        <x:v>0</x:v>
      </x:c>
      <x:c r="J1142" s="38" t="n">
        <x:v>0.1705999821</x:v>
      </x:c>
    </x:row>
    <x:row r="1143" ht="19" customHeight="1">
      <x:c r="A1143" s="29" t="str">
        <x:v>stagger_1</x:v>
      </x:c>
      <x:c r="B1143" s="38" t="str">
        <x:v>DOCN</x:v>
      </x:c>
      <x:c r="C1143" s="38" t="str">
        <x:v>Other sectors</x:v>
      </x:c>
      <x:c r="D1143" s="30" t="n">
        <x:v>6</x:v>
      </x:c>
      <x:c r="E1143" s="38" t="str">
        <x:v>XLE</x:v>
      </x:c>
      <x:c r="F1143" s="38" t="n">
        <x:v>0.6943123651</x:v>
      </x:c>
      <x:c r="G1143" s="38" t="n">
        <x:v>2.3321396791</x:v>
      </x:c>
      <x:c r="H1143" s="42" t="b">
        <x:v>0</x:v>
      </x:c>
      <x:c r="I1143" s="42" t="b">
        <x:v>0</x:v>
      </x:c>
      <x:c r="J1143" s="38" t="n">
        <x:v>0.1705999821</x:v>
      </x:c>
    </x:row>
    <x:row r="1144" ht="19" customHeight="1">
      <x:c r="A1144" s="29" t="str">
        <x:v>stagger_1</x:v>
      </x:c>
      <x:c r="B1144" s="38" t="str">
        <x:v>DOCN</x:v>
      </x:c>
      <x:c r="C1144" s="38" t="str">
        <x:v>Other sectors</x:v>
      </x:c>
      <x:c r="D1144" s="30" t="n">
        <x:v>6</x:v>
      </x:c>
      <x:c r="E1144" s="38" t="str">
        <x:v>XLI</x:v>
      </x:c>
      <x:c r="F1144" s="38" t="n">
        <x:v>-1.9870863019</x:v>
      </x:c>
      <x:c r="G1144" s="38" t="n">
        <x:v>-1.7036954707</x:v>
      </x:c>
      <x:c r="H1144" s="42" t="b">
        <x:v>0</x:v>
      </x:c>
      <x:c r="I1144" s="42" t="b">
        <x:v>0</x:v>
      </x:c>
      <x:c r="J1144" s="38" t="n">
        <x:v>0.1705999821</x:v>
      </x:c>
    </x:row>
    <x:row r="1145" ht="19" customHeight="1">
      <x:c r="A1145" s="29" t="str">
        <x:v>stagger_1</x:v>
      </x:c>
      <x:c r="B1145" s="38" t="str">
        <x:v>DOCN</x:v>
      </x:c>
      <x:c r="C1145" s="38" t="str">
        <x:v>Other sectors</x:v>
      </x:c>
      <x:c r="D1145" s="30" t="n">
        <x:v>6</x:v>
      </x:c>
      <x:c r="E1145" s="38" t="str">
        <x:v>XLP</x:v>
      </x:c>
      <x:c r="F1145" s="38" t="n">
        <x:v>-0.5826258587</x:v>
      </x:c>
      <x:c r="G1145" s="38" t="n">
        <x:v>-0.8358236549</x:v>
      </x:c>
      <x:c r="H1145" s="42" t="b">
        <x:v>1</x:v>
      </x:c>
      <x:c r="I1145" s="42" t="b">
        <x:v>0</x:v>
      </x:c>
      <x:c r="J1145" s="38" t="n">
        <x:v>0.1705999821</x:v>
      </x:c>
    </x:row>
    <x:row r="1146" ht="19" customHeight="1">
      <x:c r="A1146" s="29" t="str">
        <x:v>stagger_1</x:v>
      </x:c>
      <x:c r="B1146" s="38" t="str">
        <x:v>DOCN</x:v>
      </x:c>
      <x:c r="C1146" s="38" t="str">
        <x:v>Other sectors</x:v>
      </x:c>
      <x:c r="D1146" s="30" t="n">
        <x:v>7</x:v>
      </x:c>
      <x:c r="E1146" s="38" t="str">
        <x:v>XLB</x:v>
      </x:c>
      <x:c r="F1146" s="38" t="n">
        <x:v>1.4047687625</x:v>
      </x:c>
      <x:c r="G1146" s="38" t="n">
        <x:v>1.5693659456</x:v>
      </x:c>
      <x:c r="H1146" s="42" t="b">
        <x:v>0</x:v>
      </x:c>
      <x:c r="I1146" s="42" t="b">
        <x:v>0</x:v>
      </x:c>
      <x:c r="J1146" s="38" t="n">
        <x:v>0.1615465473</x:v>
      </x:c>
    </x:row>
    <x:row r="1147" ht="19" customHeight="1">
      <x:c r="A1147" s="29" t="str">
        <x:v>stagger_1</x:v>
      </x:c>
      <x:c r="B1147" s="38" t="str">
        <x:v>DOCN</x:v>
      </x:c>
      <x:c r="C1147" s="38" t="str">
        <x:v>Other sectors</x:v>
      </x:c>
      <x:c r="D1147" s="30" t="n">
        <x:v>7</x:v>
      </x:c>
      <x:c r="E1147" s="38" t="str">
        <x:v>XLC</x:v>
      </x:c>
      <x:c r="F1147" s="38" t="n">
        <x:v>-0.8750344856</x:v>
      </x:c>
      <x:c r="G1147" s="38" t="n">
        <x:v>-1.2596336272</x:v>
      </x:c>
      <x:c r="H1147" s="42" t="b">
        <x:v>1</x:v>
      </x:c>
      <x:c r="I1147" s="42" t="b">
        <x:v>0</x:v>
      </x:c>
      <x:c r="J1147" s="38" t="n">
        <x:v>0.1615465473</x:v>
      </x:c>
    </x:row>
    <x:row r="1148" ht="19" customHeight="1">
      <x:c r="A1148" s="29" t="str">
        <x:v>stagger_1</x:v>
      </x:c>
      <x:c r="B1148" s="38" t="str">
        <x:v>DOCN</x:v>
      </x:c>
      <x:c r="C1148" s="38" t="str">
        <x:v>Other sectors</x:v>
      </x:c>
      <x:c r="D1148" s="30" t="n">
        <x:v>7</x:v>
      </x:c>
      <x:c r="E1148" s="38" t="str">
        <x:v>XLE</x:v>
      </x:c>
      <x:c r="F1148" s="38" t="n">
        <x:v>0.6930364596</x:v>
      </x:c>
      <x:c r="G1148" s="38" t="n">
        <x:v>2.333300548</x:v>
      </x:c>
      <x:c r="H1148" s="42" t="b">
        <x:v>0</x:v>
      </x:c>
      <x:c r="I1148" s="42" t="b">
        <x:v>0</x:v>
      </x:c>
      <x:c r="J1148" s="38" t="n">
        <x:v>0.1615465473</x:v>
      </x:c>
    </x:row>
    <x:row r="1149" ht="19" customHeight="1">
      <x:c r="A1149" s="29" t="str">
        <x:v>stagger_1</x:v>
      </x:c>
      <x:c r="B1149" s="38" t="str">
        <x:v>DOCN</x:v>
      </x:c>
      <x:c r="C1149" s="38" t="str">
        <x:v>Other sectors</x:v>
      </x:c>
      <x:c r="D1149" s="30" t="n">
        <x:v>7</x:v>
      </x:c>
      <x:c r="E1149" s="38" t="str">
        <x:v>XLI</x:v>
      </x:c>
      <x:c r="F1149" s="38" t="n">
        <x:v>-2.0916390362</x:v>
      </x:c>
      <x:c r="G1149" s="38" t="n">
        <x:v>-1.8079375345</x:v>
      </x:c>
      <x:c r="H1149" s="42" t="b">
        <x:v>0</x:v>
      </x:c>
      <x:c r="I1149" s="42" t="b">
        <x:v>0</x:v>
      </x:c>
      <x:c r="J1149" s="38" t="n">
        <x:v>0.1615465473</x:v>
      </x:c>
    </x:row>
    <x:row r="1150" ht="19" customHeight="1">
      <x:c r="A1150" s="29" t="str">
        <x:v>stagger_1</x:v>
      </x:c>
      <x:c r="B1150" s="38" t="str">
        <x:v>DOCN</x:v>
      </x:c>
      <x:c r="C1150" s="38" t="str">
        <x:v>Other sectors</x:v>
      </x:c>
      <x:c r="D1150" s="30" t="n">
        <x:v>8</x:v>
      </x:c>
      <x:c r="E1150" s="38" t="str">
        <x:v>XLB</x:v>
      </x:c>
      <x:c r="F1150" s="38" t="n">
        <x:v>1.2839359248</x:v>
      </x:c>
      <x:c r="G1150" s="38" t="n">
        <x:v>1.4363138107</x:v>
      </x:c>
      <x:c r="H1150" s="42" t="b">
        <x:v>1</x:v>
      </x:c>
      <x:c r="I1150" s="42" t="b">
        <x:v>0</x:v>
      </x:c>
      <x:c r="J1150" s="38" t="n">
        <x:v>0.1410795518</x:v>
      </x:c>
    </x:row>
    <x:row r="1151" ht="19" customHeight="1">
      <x:c r="A1151" s="29" t="str">
        <x:v>stagger_1</x:v>
      </x:c>
      <x:c r="B1151" s="38" t="str">
        <x:v>DOCN</x:v>
      </x:c>
      <x:c r="C1151" s="38" t="str">
        <x:v>Other sectors</x:v>
      </x:c>
      <x:c r="D1151" s="30" t="n">
        <x:v>8</x:v>
      </x:c>
      <x:c r="E1151" s="38" t="str">
        <x:v>XLE</x:v>
      </x:c>
      <x:c r="F1151" s="38" t="n">
        <x:v>0.6846178519</x:v>
      </x:c>
      <x:c r="G1151" s="38" t="n">
        <x:v>2.2953614832</x:v>
      </x:c>
      <x:c r="H1151" s="42" t="b">
        <x:v>0</x:v>
      </x:c>
      <x:c r="I1151" s="42" t="b">
        <x:v>0</x:v>
      </x:c>
      <x:c r="J1151" s="38" t="n">
        <x:v>0.1410795518</x:v>
      </x:c>
    </x:row>
    <x:row r="1152" ht="19" customHeight="1">
      <x:c r="A1152" s="29" t="str">
        <x:v>stagger_1</x:v>
      </x:c>
      <x:c r="B1152" s="38" t="str">
        <x:v>DOCN</x:v>
      </x:c>
      <x:c r="C1152" s="38" t="str">
        <x:v>Other sectors</x:v>
      </x:c>
      <x:c r="D1152" s="30" t="n">
        <x:v>8</x:v>
      </x:c>
      <x:c r="E1152" s="38" t="str">
        <x:v>XLI</x:v>
      </x:c>
      <x:c r="F1152" s="38" t="n">
        <x:v>-1.8192449015</x:v>
      </x:c>
      <x:c r="G1152" s="38" t="n">
        <x:v>-1.5936339789</x:v>
      </x:c>
      <x:c r="H1152" s="42" t="b">
        <x:v>0</x:v>
      </x:c>
      <x:c r="I1152" s="42" t="b">
        <x:v>0</x:v>
      </x:c>
      <x:c r="J1152" s="38" t="n">
        <x:v>0.1410795518</x:v>
      </x:c>
    </x:row>
    <x:row r="1153" ht="19" customHeight="1">
      <x:c r="A1153" s="29" t="str">
        <x:v>stagger_1</x:v>
      </x:c>
      <x:c r="B1153" s="38" t="str">
        <x:v>DOCN</x:v>
      </x:c>
      <x:c r="C1153" s="38" t="str">
        <x:v>Other sectors</x:v>
      </x:c>
      <x:c r="D1153" s="30" t="n">
        <x:v>9</x:v>
      </x:c>
      <x:c r="E1153" s="38" t="str">
        <x:v>XLE</x:v>
      </x:c>
      <x:c r="F1153" s="38" t="n">
        <x:v>0.8290170863</x:v>
      </x:c>
      <x:c r="G1153" s="38" t="n">
        <x:v>2.9291195284</x:v>
      </x:c>
      <x:c r="H1153" s="42" t="b">
        <x:v>0</x:v>
      </x:c>
      <x:c r="I1153" s="42" t="b">
        <x:v>0</x:v>
      </x:c>
      <x:c r="J1153" s="38" t="n">
        <x:v>0.1142318152</x:v>
      </x:c>
    </x:row>
    <x:row r="1154" ht="19" customHeight="1">
      <x:c r="A1154" s="29" t="str">
        <x:v>stagger_1</x:v>
      </x:c>
      <x:c r="B1154" s="38" t="str">
        <x:v>DOCN</x:v>
      </x:c>
      <x:c r="C1154" s="38" t="str">
        <x:v>Other sectors</x:v>
      </x:c>
      <x:c r="D1154" s="30" t="n">
        <x:v>9</x:v>
      </x:c>
      <x:c r="E1154" s="38" t="str">
        <x:v>XLI</x:v>
      </x:c>
      <x:c r="F1154" s="38" t="n">
        <x:v>-0.5057565361</x:v>
      </x:c>
      <x:c r="G1154" s="38" t="n">
        <x:v>-0.734365433</x:v>
      </x:c>
      <x:c r="H1154" s="42" t="b">
        <x:v>1</x:v>
      </x:c>
      <x:c r="I1154" s="42" t="b">
        <x:v>0</x:v>
      </x:c>
      <x:c r="J1154" s="38" t="n">
        <x:v>0.1142318152</x:v>
      </x:c>
    </x:row>
    <x:row r="1155" ht="19" customHeight="1">
      <x:c r="A1155" s="29" t="str">
        <x:v>stagger_1</x:v>
      </x:c>
      <x:c r="B1155" s="38" t="str">
        <x:v>DOCN</x:v>
      </x:c>
      <x:c r="C1155" s="38" t="str">
        <x:v>Other sectors</x:v>
      </x:c>
      <x:c r="D1155" s="30" t="n">
        <x:v>10</x:v>
      </x:c>
      <x:c r="E1155" s="38" t="str">
        <x:v>XLE</x:v>
      </x:c>
      <x:c r="F1155" s="38" t="n">
        <x:v>0.7941591511</x:v>
      </x:c>
      <x:c r="G1155" s="38" t="n">
        <x:v>2.8559634173</x:v>
      </x:c>
      <x:c r="H1155" s="42" t="b">
        <x:v>0</x:v>
      </x:c>
      <x:c r="I1155" s="42" t="b">
        <x:v>1</x:v>
      </x:c>
      <x:c r="J1155" s="38" t="n">
        <x:v>0.1071021403</x:v>
      </x:c>
    </x:row>
    <x:row r="1156" ht="19" customHeight="1">
      <x:c r="A1156" s="29" t="str">
        <x:v>stagger_1</x:v>
      </x:c>
      <x:c r="B1156" s="38" t="str">
        <x:v>CME</x:v>
      </x:c>
      <x:c r="C1156" s="38" t="str">
        <x:v>Other FX</x:v>
      </x:c>
      <x:c r="D1156" s="30" t="n">
        <x:v>1</x:v>
      </x:c>
      <x:c r="E1156" s="38" t="str">
        <x:v>AUD/USD</x:v>
      </x:c>
      <x:c r="F1156" s="38" t="n">
        <x:v>0.1671554848</x:v>
      </x:c>
      <x:c r="G1156" s="38" t="n">
        <x:v>0.3554190046</x:v>
      </x:c>
      <x:c r="H1156" s="42" t="b">
        <x:v>0</x:v>
      </x:c>
      <x:c r="I1156" s="42" t="b">
        <x:v>0</x:v>
      </x:c>
      <x:c r="J1156" s="38" t="n">
        <x:v>0.1015804941</x:v>
      </x:c>
    </x:row>
    <x:row r="1157" ht="19" customHeight="1">
      <x:c r="A1157" s="29" t="str">
        <x:v>stagger_1</x:v>
      </x:c>
      <x:c r="B1157" s="38" t="str">
        <x:v>CME</x:v>
      </x:c>
      <x:c r="C1157" s="38" t="str">
        <x:v>Other FX</x:v>
      </x:c>
      <x:c r="D1157" s="30" t="n">
        <x:v>1</x:v>
      </x:c>
      <x:c r="E1157" s="38" t="str">
        <x:v>CAD/USD</x:v>
      </x:c>
      <x:c r="F1157" s="38" t="n">
        <x:v>0.3318204477</x:v>
      </x:c>
      <x:c r="G1157" s="38" t="n">
        <x:v>0.5842781847</x:v>
      </x:c>
      <x:c r="H1157" s="42" t="b">
        <x:v>0</x:v>
      </x:c>
      <x:c r="I1157" s="42" t="b">
        <x:v>0</x:v>
      </x:c>
      <x:c r="J1157" s="38" t="n">
        <x:v>0.1015804941</x:v>
      </x:c>
    </x:row>
    <x:row r="1158" ht="19" customHeight="1">
      <x:c r="A1158" s="29" t="str">
        <x:v>stagger_1</x:v>
      </x:c>
      <x:c r="B1158" s="38" t="str">
        <x:v>CME</x:v>
      </x:c>
      <x:c r="C1158" s="38" t="str">
        <x:v>Other FX</x:v>
      </x:c>
      <x:c r="D1158" s="30" t="n">
        <x:v>1</x:v>
      </x:c>
      <x:c r="E1158" s="38" t="str">
        <x:v>DKK/USD</x:v>
      </x:c>
      <x:c r="F1158" s="38" t="n">
        <x:v>-1.5831828838</x:v>
      </x:c>
      <x:c r="G1158" s="38" t="n">
        <x:v>-0.4004300652</x:v>
      </x:c>
      <x:c r="H1158" s="42" t="b">
        <x:v>0</x:v>
      </x:c>
      <x:c r="I1158" s="42" t="b">
        <x:v>0</x:v>
      </x:c>
      <x:c r="J1158" s="38" t="n">
        <x:v>0.1015804941</x:v>
      </x:c>
    </x:row>
    <x:row r="1159" ht="19" customHeight="1">
      <x:c r="A1159" s="29" t="str">
        <x:v>stagger_1</x:v>
      </x:c>
      <x:c r="B1159" s="38" t="str">
        <x:v>CME</x:v>
      </x:c>
      <x:c r="C1159" s="38" t="str">
        <x:v>Other FX</x:v>
      </x:c>
      <x:c r="D1159" s="30" t="n">
        <x:v>1</x:v>
      </x:c>
      <x:c r="E1159" s="38" t="str">
        <x:v>EUR/USD</x:v>
      </x:c>
      <x:c r="F1159" s="38" t="n">
        <x:v>1.1412860554</x:v>
      </x:c>
      <x:c r="G1159" s="38" t="n">
        <x:v>0.3155771665</x:v>
      </x:c>
      <x:c r="H1159" s="42" t="b">
        <x:v>0</x:v>
      </x:c>
      <x:c r="I1159" s="42" t="b">
        <x:v>0</x:v>
      </x:c>
      <x:c r="J1159" s="38" t="n">
        <x:v>0.1015804941</x:v>
      </x:c>
    </x:row>
    <x:row r="1160" ht="19" customHeight="1">
      <x:c r="A1160" s="29" t="str">
        <x:v>stagger_1</x:v>
      </x:c>
      <x:c r="B1160" s="38" t="str">
        <x:v>CME</x:v>
      </x:c>
      <x:c r="C1160" s="38" t="str">
        <x:v>Other FX</x:v>
      </x:c>
      <x:c r="D1160" s="30" t="n">
        <x:v>1</x:v>
      </x:c>
      <x:c r="E1160" s="38" t="str">
        <x:v>MXN/USD</x:v>
      </x:c>
      <x:c r="F1160" s="38" t="n">
        <x:v>0.0128487396</x:v>
      </x:c>
      <x:c r="G1160" s="38" t="n">
        <x:v>0.0426443552</x:v>
      </x:c>
      <x:c r="H1160" s="42" t="b">
        <x:v>1</x:v>
      </x:c>
      <x:c r="I1160" s="42" t="b">
        <x:v>0</x:v>
      </x:c>
      <x:c r="J1160" s="38" t="n">
        <x:v>0.1015804941</x:v>
      </x:c>
    </x:row>
    <x:row r="1161" ht="19" customHeight="1">
      <x:c r="A1161" s="29" t="str">
        <x:v>stagger_1</x:v>
      </x:c>
      <x:c r="B1161" s="38" t="str">
        <x:v>CME</x:v>
      </x:c>
      <x:c r="C1161" s="38" t="str">
        <x:v>Other FX</x:v>
      </x:c>
      <x:c r="D1161" s="30" t="n">
        <x:v>1</x:v>
      </x:c>
      <x:c r="E1161" s="38" t="str">
        <x:v>SGD/USD</x:v>
      </x:c>
      <x:c r="F1161" s="38" t="n">
        <x:v>1.6169851764</x:v>
      </x:c>
      <x:c r="G1161" s="38" t="n">
        <x:v>1.4200267832</x:v>
      </x:c>
      <x:c r="H1161" s="42" t="b">
        <x:v>0</x:v>
      </x:c>
      <x:c r="I1161" s="42" t="b">
        <x:v>0</x:v>
      </x:c>
      <x:c r="J1161" s="38" t="n">
        <x:v>0.1015804941</x:v>
      </x:c>
    </x:row>
    <x:row r="1162" ht="19" customHeight="1">
      <x:c r="A1162" s="29" t="str">
        <x:v>stagger_1</x:v>
      </x:c>
      <x:c r="B1162" s="38" t="str">
        <x:v>CME</x:v>
      </x:c>
      <x:c r="C1162" s="38" t="str">
        <x:v>Other FX</x:v>
      </x:c>
      <x:c r="D1162" s="30" t="n">
        <x:v>2</x:v>
      </x:c>
      <x:c r="E1162" s="38" t="str">
        <x:v>AUD/USD</x:v>
      </x:c>
      <x:c r="F1162" s="38" t="n">
        <x:v>0.1709160927</x:v>
      </x:c>
      <x:c r="G1162" s="38" t="n">
        <x:v>0.372498092</x:v>
      </x:c>
      <x:c r="H1162" s="42" t="b">
        <x:v>0</x:v>
      </x:c>
      <x:c r="I1162" s="42" t="b">
        <x:v>0</x:v>
      </x:c>
      <x:c r="J1162" s="38" t="n">
        <x:v>0.1015581131</x:v>
      </x:c>
    </x:row>
    <x:row r="1163" ht="19" customHeight="1">
      <x:c r="A1163" s="29" t="str">
        <x:v>stagger_1</x:v>
      </x:c>
      <x:c r="B1163" s="38" t="str">
        <x:v>CME</x:v>
      </x:c>
      <x:c r="C1163" s="38" t="str">
        <x:v>Other FX</x:v>
      </x:c>
      <x:c r="D1163" s="30" t="n">
        <x:v>2</x:v>
      </x:c>
      <x:c r="E1163" s="38" t="str">
        <x:v>CAD/USD</x:v>
      </x:c>
      <x:c r="F1163" s="38" t="n">
        <x:v>0.3313355198</x:v>
      </x:c>
      <x:c r="G1163" s="38" t="n">
        <x:v>0.5875172465</x:v>
      </x:c>
      <x:c r="H1163" s="42" t="b">
        <x:v>0</x:v>
      </x:c>
      <x:c r="I1163" s="42" t="b">
        <x:v>0</x:v>
      </x:c>
      <x:c r="J1163" s="38" t="n">
        <x:v>0.1015581131</x:v>
      </x:c>
    </x:row>
    <x:row r="1164" ht="19" customHeight="1">
      <x:c r="A1164" s="29" t="str">
        <x:v>stagger_1</x:v>
      </x:c>
      <x:c r="B1164" s="38" t="str">
        <x:v>CME</x:v>
      </x:c>
      <x:c r="C1164" s="38" t="str">
        <x:v>Other FX</x:v>
      </x:c>
      <x:c r="D1164" s="30" t="n">
        <x:v>2</x:v>
      </x:c>
      <x:c r="E1164" s="38" t="str">
        <x:v>DKK/USD</x:v>
      </x:c>
      <x:c r="F1164" s="38" t="n">
        <x:v>-1.5321836013</x:v>
      </x:c>
      <x:c r="G1164" s="38" t="n">
        <x:v>-0.4093470861</x:v>
      </x:c>
      <x:c r="H1164" s="42" t="b">
        <x:v>0</x:v>
      </x:c>
      <x:c r="I1164" s="42" t="b">
        <x:v>0</x:v>
      </x:c>
      <x:c r="J1164" s="38" t="n">
        <x:v>0.1015581131</x:v>
      </x:c>
    </x:row>
    <x:row r="1165" ht="19" customHeight="1">
      <x:c r="A1165" s="29" t="str">
        <x:v>stagger_1</x:v>
      </x:c>
      <x:c r="B1165" s="38" t="str">
        <x:v>CME</x:v>
      </x:c>
      <x:c r="C1165" s="38" t="str">
        <x:v>Other FX</x:v>
      </x:c>
      <x:c r="D1165" s="30" t="n">
        <x:v>2</x:v>
      </x:c>
      <x:c r="E1165" s="38" t="str">
        <x:v>EUR/USD</x:v>
      </x:c>
      <x:c r="F1165" s="38" t="n">
        <x:v>1.1007191664</x:v>
      </x:c>
      <x:c r="G1165" s="38" t="n">
        <x:v>0.3176186949</x:v>
      </x:c>
      <x:c r="H1165" s="42" t="b">
        <x:v>1</x:v>
      </x:c>
      <x:c r="I1165" s="42" t="b">
        <x:v>0</x:v>
      </x:c>
      <x:c r="J1165" s="38" t="n">
        <x:v>0.1015581131</x:v>
      </x:c>
    </x:row>
    <x:row r="1166" ht="19" customHeight="1">
      <x:c r="A1166" s="29" t="str">
        <x:v>stagger_1</x:v>
      </x:c>
      <x:c r="B1166" s="38" t="str">
        <x:v>CME</x:v>
      </x:c>
      <x:c r="C1166" s="38" t="str">
        <x:v>Other FX</x:v>
      </x:c>
      <x:c r="D1166" s="30" t="n">
        <x:v>2</x:v>
      </x:c>
      <x:c r="E1166" s="38" t="str">
        <x:v>SGD/USD</x:v>
      </x:c>
      <x:c r="F1166" s="38" t="n">
        <x:v>1.6117621948</x:v>
      </x:c>
      <x:c r="G1166" s="38" t="n">
        <x:v>1.4333996631</x:v>
      </x:c>
      <x:c r="H1166" s="42" t="b">
        <x:v>0</x:v>
      </x:c>
      <x:c r="I1166" s="42" t="b">
        <x:v>0</x:v>
      </x:c>
      <x:c r="J1166" s="38" t="n">
        <x:v>0.1015581131</x:v>
      </x:c>
    </x:row>
    <x:row r="1167" ht="19" customHeight="1">
      <x:c r="A1167" s="29" t="str">
        <x:v>stagger_1</x:v>
      </x:c>
      <x:c r="B1167" s="38" t="str">
        <x:v>CME</x:v>
      </x:c>
      <x:c r="C1167" s="38" t="str">
        <x:v>Other FX</x:v>
      </x:c>
      <x:c r="D1167" s="30" t="n">
        <x:v>3</x:v>
      </x:c>
      <x:c r="E1167" s="38" t="str">
        <x:v>AUD/USD</x:v>
      </x:c>
      <x:c r="F1167" s="38" t="n">
        <x:v>0.1637057128</x:v>
      </x:c>
      <x:c r="G1167" s="38" t="n">
        <x:v>0.359381795</x:v>
      </x:c>
      <x:c r="H1167" s="42" t="b">
        <x:v>1</x:v>
      </x:c>
      <x:c r="I1167" s="42" t="b">
        <x:v>0</x:v>
      </x:c>
      <x:c r="J1167" s="38" t="n">
        <x:v>0.1003332984</x:v>
      </x:c>
    </x:row>
    <x:row r="1168" ht="19" customHeight="1">
      <x:c r="A1168" s="29" t="str">
        <x:v>stagger_1</x:v>
      </x:c>
      <x:c r="B1168" s="38" t="str">
        <x:v>CME</x:v>
      </x:c>
      <x:c r="C1168" s="38" t="str">
        <x:v>Other FX</x:v>
      </x:c>
      <x:c r="D1168" s="30" t="n">
        <x:v>3</x:v>
      </x:c>
      <x:c r="E1168" s="38" t="str">
        <x:v>CAD/USD</x:v>
      </x:c>
      <x:c r="F1168" s="38" t="n">
        <x:v>0.3210365527</x:v>
      </x:c>
      <x:c r="G1168" s="38" t="n">
        <x:v>0.5736474832</x:v>
      </x:c>
      <x:c r="H1168" s="42" t="b">
        <x:v>0</x:v>
      </x:c>
      <x:c r="I1168" s="42" t="b">
        <x:v>0</x:v>
      </x:c>
      <x:c r="J1168" s="38" t="n">
        <x:v>0.1003332984</x:v>
      </x:c>
    </x:row>
    <x:row r="1169" ht="19" customHeight="1">
      <x:c r="A1169" s="29" t="str">
        <x:v>stagger_1</x:v>
      </x:c>
      <x:c r="B1169" s="38" t="str">
        <x:v>CME</x:v>
      </x:c>
      <x:c r="C1169" s="38" t="str">
        <x:v>Other FX</x:v>
      </x:c>
      <x:c r="D1169" s="30" t="n">
        <x:v>3</x:v>
      </x:c>
      <x:c r="E1169" s="38" t="str">
        <x:v>DKK/USD</x:v>
      </x:c>
      <x:c r="F1169" s="38" t="n">
        <x:v>-0.358787843</x:v>
      </x:c>
      <x:c r="G1169" s="38" t="n">
        <x:v>-0.6001362371</x:v>
      </x:c>
      <x:c r="H1169" s="42" t="b">
        <x:v>0</x:v>
      </x:c>
      <x:c r="I1169" s="42" t="b">
        <x:v>0</x:v>
      </x:c>
      <x:c r="J1169" s="38" t="n">
        <x:v>0.1003332984</x:v>
      </x:c>
    </x:row>
    <x:row r="1170" ht="19" customHeight="1">
      <x:c r="A1170" s="29" t="str">
        <x:v>stagger_1</x:v>
      </x:c>
      <x:c r="B1170" s="38" t="str">
        <x:v>CME</x:v>
      </x:c>
      <x:c r="C1170" s="38" t="str">
        <x:v>Other FX</x:v>
      </x:c>
      <x:c r="D1170" s="30" t="n">
        <x:v>3</x:v>
      </x:c>
      <x:c r="E1170" s="38" t="str">
        <x:v>SGD/USD</x:v>
      </x:c>
      <x:c r="F1170" s="38" t="n">
        <x:v>1.5113254764</x:v>
      </x:c>
      <x:c r="G1170" s="38" t="n">
        <x:v>1.4090746424</x:v>
      </x:c>
      <x:c r="H1170" s="42" t="b">
        <x:v>0</x:v>
      </x:c>
      <x:c r="I1170" s="42" t="b">
        <x:v>0</x:v>
      </x:c>
      <x:c r="J1170" s="38" t="n">
        <x:v>0.1003332984</x:v>
      </x:c>
    </x:row>
    <x:row r="1171" ht="19" customHeight="1">
      <x:c r="A1171" s="29" t="str">
        <x:v>stagger_1</x:v>
      </x:c>
      <x:c r="B1171" s="38" t="str">
        <x:v>CME</x:v>
      </x:c>
      <x:c r="C1171" s="38" t="str">
        <x:v>Other FX</x:v>
      </x:c>
      <x:c r="D1171" s="30" t="n">
        <x:v>4</x:v>
      </x:c>
      <x:c r="E1171" s="38" t="str">
        <x:v>CAD/USD</x:v>
      </x:c>
      <x:c r="F1171" s="38" t="n">
        <x:v>0.3708187997</x:v>
      </x:c>
      <x:c r="G1171" s="38" t="n">
        <x:v>0.6878338974</x:v>
      </x:c>
      <x:c r="H1171" s="42" t="b">
        <x:v>0</x:v>
      </x:c>
      <x:c r="I1171" s="42" t="b">
        <x:v>0</x:v>
      </x:c>
      <x:c r="J1171" s="38" t="n">
        <x:v>0.098784009</x:v>
      </x:c>
    </x:row>
    <x:row r="1172" ht="19" customHeight="1">
      <x:c r="A1172" s="29" t="str">
        <x:v>stagger_1</x:v>
      </x:c>
      <x:c r="B1172" s="38" t="str">
        <x:v>CME</x:v>
      </x:c>
      <x:c r="C1172" s="38" t="str">
        <x:v>Other FX</x:v>
      </x:c>
      <x:c r="D1172" s="30" t="n">
        <x:v>4</x:v>
      </x:c>
      <x:c r="E1172" s="38" t="str">
        <x:v>DKK/USD</x:v>
      </x:c>
      <x:c r="F1172" s="38" t="n">
        <x:v>-0.3497123855</x:v>
      </x:c>
      <x:c r="G1172" s="38" t="n">
        <x:v>-0.5888619242</x:v>
      </x:c>
      <x:c r="H1172" s="42" t="b">
        <x:v>1</x:v>
      </x:c>
      <x:c r="I1172" s="42" t="b">
        <x:v>0</x:v>
      </x:c>
      <x:c r="J1172" s="38" t="n">
        <x:v>0.098784009</x:v>
      </x:c>
    </x:row>
    <x:row r="1173" ht="19" customHeight="1">
      <x:c r="A1173" s="29" t="str">
        <x:v>stagger_1</x:v>
      </x:c>
      <x:c r="B1173" s="38" t="str">
        <x:v>CME</x:v>
      </x:c>
      <x:c r="C1173" s="38" t="str">
        <x:v>Other FX</x:v>
      </x:c>
      <x:c r="D1173" s="30" t="n">
        <x:v>4</x:v>
      </x:c>
      <x:c r="E1173" s="38" t="str">
        <x:v>SGD/USD</x:v>
      </x:c>
      <x:c r="F1173" s="38" t="n">
        <x:v>1.6993791474</x:v>
      </x:c>
      <x:c r="G1173" s="38" t="n">
        <x:v>1.8255573472</x:v>
      </x:c>
      <x:c r="H1173" s="42" t="b">
        <x:v>0</x:v>
      </x:c>
      <x:c r="I1173" s="42" t="b">
        <x:v>0</x:v>
      </x:c>
      <x:c r="J1173" s="38" t="n">
        <x:v>0.098784009</x:v>
      </x:c>
    </x:row>
    <x:row r="1174" ht="19" customHeight="1">
      <x:c r="A1174" s="29" t="str">
        <x:v>stagger_1</x:v>
      </x:c>
      <x:c r="B1174" s="38" t="str">
        <x:v>CME</x:v>
      </x:c>
      <x:c r="C1174" s="38" t="str">
        <x:v>Other FX</x:v>
      </x:c>
      <x:c r="D1174" s="30" t="n">
        <x:v>5</x:v>
      </x:c>
      <x:c r="E1174" s="38" t="str">
        <x:v>CAD/USD</x:v>
      </x:c>
      <x:c r="F1174" s="38" t="n">
        <x:v>0.2829395918</x:v>
      </x:c>
      <x:c r="G1174" s="38" t="n">
        <x:v>0.5485008772</x:v>
      </x:c>
      <x:c r="H1174" s="42" t="b">
        <x:v>1</x:v>
      </x:c>
      <x:c r="I1174" s="42" t="b">
        <x:v>0</x:v>
      </x:c>
      <x:c r="J1174" s="38" t="n">
        <x:v>0.0946721119</x:v>
      </x:c>
    </x:row>
    <x:row r="1175" ht="19" customHeight="1">
      <x:c r="A1175" s="29" t="str">
        <x:v>stagger_1</x:v>
      </x:c>
      <x:c r="B1175" s="38" t="str">
        <x:v>CME</x:v>
      </x:c>
      <x:c r="C1175" s="38" t="str">
        <x:v>Other FX</x:v>
      </x:c>
      <x:c r="D1175" s="30" t="n">
        <x:v>5</x:v>
      </x:c>
      <x:c r="E1175" s="38" t="str">
        <x:v>SGD/USD</x:v>
      </x:c>
      <x:c r="F1175" s="38" t="n">
        <x:v>1.3055926086</x:v>
      </x:c>
      <x:c r="G1175" s="38" t="n">
        <x:v>2.0247426613</x:v>
      </x:c>
      <x:c r="H1175" s="42" t="b">
        <x:v>0</x:v>
      </x:c>
      <x:c r="I1175" s="42" t="b">
        <x:v>0</x:v>
      </x:c>
      <x:c r="J1175" s="38" t="n">
        <x:v>0.0946721119</x:v>
      </x:c>
    </x:row>
    <x:row r="1176" ht="19" customHeight="1">
      <x:c r="A1176" s="29" t="str">
        <x:v>stagger_1</x:v>
      </x:c>
      <x:c r="B1176" s="38" t="str">
        <x:v>CME</x:v>
      </x:c>
      <x:c r="C1176" s="38" t="str">
        <x:v>Other FX</x:v>
      </x:c>
      <x:c r="D1176" s="30" t="n">
        <x:v>6</x:v>
      </x:c>
      <x:c r="E1176" s="38" t="str">
        <x:v>SGD/USD</x:v>
      </x:c>
      <x:c r="F1176" s="38" t="n">
        <x:v>1.4999348669</x:v>
      </x:c>
      <x:c r="G1176" s="38" t="n">
        <x:v>2.7966605847</x:v>
      </x:c>
      <x:c r="H1176" s="42" t="b">
        <x:v>0</x:v>
      </x:c>
      <x:c r="I1176" s="42" t="b">
        <x:v>1</x:v>
      </x:c>
      <x:c r="J1176" s="38" t="n">
        <x:v>0.0911348287</x:v>
      </x:c>
    </x:row>
    <x:row r="1177" ht="19" customHeight="1">
      <x:c r="A1177" s="29" t="str">
        <x:v>stagger_1</x:v>
      </x:c>
      <x:c r="B1177" s="38" t="str">
        <x:v>CME</x:v>
      </x:c>
      <x:c r="C1177" s="38" t="str">
        <x:v>Other sectors</x:v>
      </x:c>
      <x:c r="D1177" s="30" t="n">
        <x:v>1</x:v>
      </x:c>
      <x:c r="E1177" s="38" t="str">
        <x:v>XLB</x:v>
      </x:c>
      <x:c r="F1177" s="38" t="n">
        <x:v>-0.487232632</x:v>
      </x:c>
      <x:c r="G1177" s="38" t="n">
        <x:v>-1.8402732025</x:v>
      </x:c>
      <x:c r="H1177" s="42" t="b">
        <x:v>0</x:v>
      </x:c>
      <x:c r="I1177" s="42" t="b">
        <x:v>0</x:v>
      </x:c>
      <x:c r="J1177" s="38" t="n">
        <x:v>0.2663380269</x:v>
      </x:c>
    </x:row>
    <x:row r="1178" ht="19" customHeight="1">
      <x:c r="A1178" s="29" t="str">
        <x:v>stagger_1</x:v>
      </x:c>
      <x:c r="B1178" s="38" t="str">
        <x:v>CME</x:v>
      </x:c>
      <x:c r="C1178" s="38" t="str">
        <x:v>Other sectors</x:v>
      </x:c>
      <x:c r="D1178" s="30" t="n">
        <x:v>1</x:v>
      </x:c>
      <x:c r="E1178" s="38" t="str">
        <x:v>XLC</x:v>
      </x:c>
      <x:c r="F1178" s="38" t="n">
        <x:v>0.2335794763</x:v>
      </x:c>
      <x:c r="G1178" s="38" t="n">
        <x:v>0.9463434476</x:v>
      </x:c>
      <x:c r="H1178" s="42" t="b">
        <x:v>0</x:v>
      </x:c>
      <x:c r="I1178" s="42" t="b">
        <x:v>0</x:v>
      </x:c>
      <x:c r="J1178" s="38" t="n">
        <x:v>0.2663380269</x:v>
      </x:c>
    </x:row>
    <x:row r="1179" ht="19" customHeight="1">
      <x:c r="A1179" s="29" t="str">
        <x:v>stagger_1</x:v>
      </x:c>
      <x:c r="B1179" s="38" t="str">
        <x:v>CME</x:v>
      </x:c>
      <x:c r="C1179" s="38" t="str">
        <x:v>Other sectors</x:v>
      </x:c>
      <x:c r="D1179" s="30" t="n">
        <x:v>1</x:v>
      </x:c>
      <x:c r="E1179" s="38" t="str">
        <x:v>XLE</x:v>
      </x:c>
      <x:c r="F1179" s="38" t="n">
        <x:v>0.3386420812</x:v>
      </x:c>
      <x:c r="G1179" s="38" t="n">
        <x:v>3.4464689581</x:v>
      </x:c>
      <x:c r="H1179" s="42" t="b">
        <x:v>0</x:v>
      </x:c>
      <x:c r="I1179" s="42" t="b">
        <x:v>0</x:v>
      </x:c>
      <x:c r="J1179" s="38" t="n">
        <x:v>0.2663380269</x:v>
      </x:c>
    </x:row>
    <x:row r="1180" ht="19" customHeight="1">
      <x:c r="A1180" s="29" t="str">
        <x:v>stagger_1</x:v>
      </x:c>
      <x:c r="B1180" s="38" t="str">
        <x:v>CME</x:v>
      </x:c>
      <x:c r="C1180" s="38" t="str">
        <x:v>Other sectors</x:v>
      </x:c>
      <x:c r="D1180" s="30" t="n">
        <x:v>1</x:v>
      </x:c>
      <x:c r="E1180" s="38" t="str">
        <x:v>XLI</x:v>
      </x:c>
      <x:c r="F1180" s="38" t="n">
        <x:v>0.4904319552</x:v>
      </x:c>
      <x:c r="G1180" s="38" t="n">
        <x:v>1.4352991538</x:v>
      </x:c>
      <x:c r="H1180" s="42" t="b">
        <x:v>0</x:v>
      </x:c>
      <x:c r="I1180" s="42" t="b">
        <x:v>0</x:v>
      </x:c>
      <x:c r="J1180" s="38" t="n">
        <x:v>0.2663380269</x:v>
      </x:c>
    </x:row>
    <x:row r="1181" ht="19" customHeight="1">
      <x:c r="A1181" s="29" t="str">
        <x:v>stagger_1</x:v>
      </x:c>
      <x:c r="B1181" s="38" t="str">
        <x:v>CME</x:v>
      </x:c>
      <x:c r="C1181" s="38" t="str">
        <x:v>Other sectors</x:v>
      </x:c>
      <x:c r="D1181" s="30" t="n">
        <x:v>1</x:v>
      </x:c>
      <x:c r="E1181" s="38" t="str">
        <x:v>XLK</x:v>
      </x:c>
      <x:c r="F1181" s="38" t="n">
        <x:v>0.1257279078</x:v>
      </x:c>
      <x:c r="G1181" s="38" t="n">
        <x:v>0.3834002846</x:v>
      </x:c>
      <x:c r="H1181" s="42" t="b">
        <x:v>1</x:v>
      </x:c>
      <x:c r="I1181" s="42" t="b">
        <x:v>0</x:v>
      </x:c>
      <x:c r="J1181" s="38" t="n">
        <x:v>0.2663380269</x:v>
      </x:c>
    </x:row>
    <x:row r="1182" ht="19" customHeight="1">
      <x:c r="A1182" s="29" t="str">
        <x:v>stagger_1</x:v>
      </x:c>
      <x:c r="B1182" s="38" t="str">
        <x:v>CME</x:v>
      </x:c>
      <x:c r="C1182" s="38" t="str">
        <x:v>Other sectors</x:v>
      </x:c>
      <x:c r="D1182" s="30" t="n">
        <x:v>1</x:v>
      </x:c>
      <x:c r="E1182" s="38" t="str">
        <x:v>XLP</x:v>
      </x:c>
      <x:c r="F1182" s="38" t="n">
        <x:v>0.5824864789</x:v>
      </x:c>
      <x:c r="G1182" s="38" t="n">
        <x:v>2.3046069371</x:v>
      </x:c>
      <x:c r="H1182" s="42" t="b">
        <x:v>0</x:v>
      </x:c>
      <x:c r="I1182" s="42" t="b">
        <x:v>0</x:v>
      </x:c>
      <x:c r="J1182" s="38" t="n">
        <x:v>0.2663380269</x:v>
      </x:c>
    </x:row>
    <x:row r="1183" ht="19" customHeight="1">
      <x:c r="A1183" s="29" t="str">
        <x:v>stagger_1</x:v>
      </x:c>
      <x:c r="B1183" s="38" t="str">
        <x:v>CME</x:v>
      </x:c>
      <x:c r="C1183" s="38" t="str">
        <x:v>Other sectors</x:v>
      </x:c>
      <x:c r="D1183" s="30" t="n">
        <x:v>1</x:v>
      </x:c>
      <x:c r="E1183" s="38" t="str">
        <x:v>XLRE</x:v>
      </x:c>
      <x:c r="F1183" s="38" t="n">
        <x:v>-0.3156380049</x:v>
      </x:c>
      <x:c r="G1183" s="38" t="n">
        <x:v>-1.4162696244</x:v>
      </x:c>
      <x:c r="H1183" s="42" t="b">
        <x:v>0</x:v>
      </x:c>
      <x:c r="I1183" s="42" t="b">
        <x:v>0</x:v>
      </x:c>
      <x:c r="J1183" s="38" t="n">
        <x:v>0.2663380269</x:v>
      </x:c>
    </x:row>
    <x:row r="1184" ht="19" customHeight="1">
      <x:c r="A1184" s="29" t="str">
        <x:v>stagger_1</x:v>
      </x:c>
      <x:c r="B1184" s="38" t="str">
        <x:v>CME</x:v>
      </x:c>
      <x:c r="C1184" s="38" t="str">
        <x:v>Other sectors</x:v>
      </x:c>
      <x:c r="D1184" s="30" t="n">
        <x:v>1</x:v>
      </x:c>
      <x:c r="E1184" s="38" t="str">
        <x:v>XLU</x:v>
      </x:c>
      <x:c r="F1184" s="38" t="n">
        <x:v>0.1059449866</x:v>
      </x:c>
      <x:c r="G1184" s="38" t="n">
        <x:v>0.6075976388</x:v>
      </x:c>
      <x:c r="H1184" s="42" t="b">
        <x:v>0</x:v>
      </x:c>
      <x:c r="I1184" s="42" t="b">
        <x:v>0</x:v>
      </x:c>
      <x:c r="J1184" s="38" t="n">
        <x:v>0.2663380269</x:v>
      </x:c>
    </x:row>
    <x:row r="1185" ht="19" customHeight="1">
      <x:c r="A1185" s="29" t="str">
        <x:v>stagger_1</x:v>
      </x:c>
      <x:c r="B1185" s="38" t="str">
        <x:v>CME</x:v>
      </x:c>
      <x:c r="C1185" s="38" t="str">
        <x:v>Other sectors</x:v>
      </x:c>
      <x:c r="D1185" s="30" t="n">
        <x:v>1</x:v>
      </x:c>
      <x:c r="E1185" s="38" t="str">
        <x:v>XLV</x:v>
      </x:c>
      <x:c r="F1185" s="38" t="n">
        <x:v>0.1138666222</x:v>
      </x:c>
      <x:c r="G1185" s="38" t="n">
        <x:v>0.4815633241</x:v>
      </x:c>
      <x:c r="H1185" s="42" t="b">
        <x:v>0</x:v>
      </x:c>
      <x:c r="I1185" s="42" t="b">
        <x:v>0</x:v>
      </x:c>
      <x:c r="J1185" s="38" t="n">
        <x:v>0.2663380269</x:v>
      </x:c>
    </x:row>
    <x:row r="1186" ht="19" customHeight="1">
      <x:c r="A1186" s="29" t="str">
        <x:v>stagger_1</x:v>
      </x:c>
      <x:c r="B1186" s="38" t="str">
        <x:v>CME</x:v>
      </x:c>
      <x:c r="C1186" s="38" t="str">
        <x:v>Other sectors</x:v>
      </x:c>
      <x:c r="D1186" s="30" t="n">
        <x:v>1</x:v>
      </x:c>
      <x:c r="E1186" s="38" t="str">
        <x:v>XLY</x:v>
      </x:c>
      <x:c r="F1186" s="38" t="n">
        <x:v>0.4093744812</x:v>
      </x:c>
      <x:c r="G1186" s="38" t="n">
        <x:v>1.5834995908</x:v>
      </x:c>
      <x:c r="H1186" s="42" t="b">
        <x:v>0</x:v>
      </x:c>
      <x:c r="I1186" s="42" t="b">
        <x:v>0</x:v>
      </x:c>
      <x:c r="J1186" s="38" t="n">
        <x:v>0.2663380269</x:v>
      </x:c>
    </x:row>
    <x:row r="1187" ht="19" customHeight="1">
      <x:c r="A1187" s="29" t="str">
        <x:v>stagger_1</x:v>
      </x:c>
      <x:c r="B1187" s="38" t="str">
        <x:v>CME</x:v>
      </x:c>
      <x:c r="C1187" s="38" t="str">
        <x:v>Other sectors</x:v>
      </x:c>
      <x:c r="D1187" s="30" t="n">
        <x:v>2</x:v>
      </x:c>
      <x:c r="E1187" s="38" t="str">
        <x:v>XLB</x:v>
      </x:c>
      <x:c r="F1187" s="38" t="n">
        <x:v>-0.4933552001</x:v>
      </x:c>
      <x:c r="G1187" s="38" t="n">
        <x:v>-1.8782760196</x:v>
      </x:c>
      <x:c r="H1187" s="42" t="b">
        <x:v>0</x:v>
      </x:c>
      <x:c r="I1187" s="42" t="b">
        <x:v>0</x:v>
      </x:c>
      <x:c r="J1187" s="38" t="n">
        <x:v>0.2647750528</x:v>
      </x:c>
    </x:row>
    <x:row r="1188" ht="19" customHeight="1">
      <x:c r="A1188" s="29" t="str">
        <x:v>stagger_1</x:v>
      </x:c>
      <x:c r="B1188" s="38" t="str">
        <x:v>CME</x:v>
      </x:c>
      <x:c r="C1188" s="38" t="str">
        <x:v>Other sectors</x:v>
      </x:c>
      <x:c r="D1188" s="30" t="n">
        <x:v>2</x:v>
      </x:c>
      <x:c r="E1188" s="38" t="str">
        <x:v>XLC</x:v>
      </x:c>
      <x:c r="F1188" s="38" t="n">
        <x:v>0.191410735</x:v>
      </x:c>
      <x:c r="G1188" s="38" t="n">
        <x:v>0.8715831715</x:v>
      </x:c>
      <x:c r="H1188" s="42" t="b">
        <x:v>0</x:v>
      </x:c>
      <x:c r="I1188" s="42" t="b">
        <x:v>0</x:v>
      </x:c>
      <x:c r="J1188" s="38" t="n">
        <x:v>0.2647750528</x:v>
      </x:c>
    </x:row>
    <x:row r="1189" ht="19" customHeight="1">
      <x:c r="A1189" s="29" t="str">
        <x:v>stagger_1</x:v>
      </x:c>
      <x:c r="B1189" s="38" t="str">
        <x:v>CME</x:v>
      </x:c>
      <x:c r="C1189" s="38" t="str">
        <x:v>Other sectors</x:v>
      </x:c>
      <x:c r="D1189" s="30" t="n">
        <x:v>2</x:v>
      </x:c>
      <x:c r="E1189" s="38" t="str">
        <x:v>XLE</x:v>
      </x:c>
      <x:c r="F1189" s="38" t="n">
        <x:v>0.3217032904</x:v>
      </x:c>
      <x:c r="G1189" s="38" t="n">
        <x:v>3.6880552065</x:v>
      </x:c>
      <x:c r="H1189" s="42" t="b">
        <x:v>0</x:v>
      </x:c>
      <x:c r="I1189" s="42" t="b">
        <x:v>0</x:v>
      </x:c>
      <x:c r="J1189" s="38" t="n">
        <x:v>0.2647750528</x:v>
      </x:c>
    </x:row>
    <x:row r="1190" ht="19" customHeight="1">
      <x:c r="A1190" s="29" t="str">
        <x:v>stagger_1</x:v>
      </x:c>
      <x:c r="B1190" s="38" t="str">
        <x:v>CME</x:v>
      </x:c>
      <x:c r="C1190" s="38" t="str">
        <x:v>Other sectors</x:v>
      </x:c>
      <x:c r="D1190" s="30" t="n">
        <x:v>2</x:v>
      </x:c>
      <x:c r="E1190" s="38" t="str">
        <x:v>XLI</x:v>
      </x:c>
      <x:c r="F1190" s="38" t="n">
        <x:v>0.4654489015</x:v>
      </x:c>
      <x:c r="G1190" s="38" t="n">
        <x:v>1.3961829254</x:v>
      </x:c>
      <x:c r="H1190" s="42" t="b">
        <x:v>0</x:v>
      </x:c>
      <x:c r="I1190" s="42" t="b">
        <x:v>0</x:v>
      </x:c>
      <x:c r="J1190" s="38" t="n">
        <x:v>0.2647750528</x:v>
      </x:c>
    </x:row>
    <x:row r="1191" ht="19" customHeight="1">
      <x:c r="A1191" s="29" t="str">
        <x:v>stagger_1</x:v>
      </x:c>
      <x:c r="B1191" s="38" t="str">
        <x:v>CME</x:v>
      </x:c>
      <x:c r="C1191" s="38" t="str">
        <x:v>Other sectors</x:v>
      </x:c>
      <x:c r="D1191" s="30" t="n">
        <x:v>2</x:v>
      </x:c>
      <x:c r="E1191" s="38" t="str">
        <x:v>XLP</x:v>
      </x:c>
      <x:c r="F1191" s="38" t="n">
        <x:v>0.5728526412</x:v>
      </x:c>
      <x:c r="G1191" s="38" t="n">
        <x:v>2.2917813145</x:v>
      </x:c>
      <x:c r="H1191" s="42" t="b">
        <x:v>0</x:v>
      </x:c>
      <x:c r="I1191" s="42" t="b">
        <x:v>0</x:v>
      </x:c>
      <x:c r="J1191" s="38" t="n">
        <x:v>0.2647750528</x:v>
      </x:c>
    </x:row>
    <x:row r="1192" ht="19" customHeight="1">
      <x:c r="A1192" s="29" t="str">
        <x:v>stagger_1</x:v>
      </x:c>
      <x:c r="B1192" s="38" t="str">
        <x:v>CME</x:v>
      </x:c>
      <x:c r="C1192" s="38" t="str">
        <x:v>Other sectors</x:v>
      </x:c>
      <x:c r="D1192" s="30" t="n">
        <x:v>2</x:v>
      </x:c>
      <x:c r="E1192" s="38" t="str">
        <x:v>XLRE</x:v>
      </x:c>
      <x:c r="F1192" s="38" t="n">
        <x:v>-0.3234090677</x:v>
      </x:c>
      <x:c r="G1192" s="38" t="n">
        <x:v>-1.4661376482</x:v>
      </x:c>
      <x:c r="H1192" s="42" t="b">
        <x:v>0</x:v>
      </x:c>
      <x:c r="I1192" s="42" t="b">
        <x:v>0</x:v>
      </x:c>
      <x:c r="J1192" s="38" t="n">
        <x:v>0.2647750528</x:v>
      </x:c>
    </x:row>
    <x:row r="1193" ht="19" customHeight="1">
      <x:c r="A1193" s="29" t="str">
        <x:v>stagger_1</x:v>
      </x:c>
      <x:c r="B1193" s="38" t="str">
        <x:v>CME</x:v>
      </x:c>
      <x:c r="C1193" s="38" t="str">
        <x:v>Other sectors</x:v>
      </x:c>
      <x:c r="D1193" s="30" t="n">
        <x:v>2</x:v>
      </x:c>
      <x:c r="E1193" s="38" t="str">
        <x:v>XLU</x:v>
      </x:c>
      <x:c r="F1193" s="38" t="n">
        <x:v>0.0939905011</x:v>
      </x:c>
      <x:c r="G1193" s="38" t="n">
        <x:v>0.5512378113</x:v>
      </x:c>
      <x:c r="H1193" s="42" t="b">
        <x:v>0</x:v>
      </x:c>
      <x:c r="I1193" s="42" t="b">
        <x:v>0</x:v>
      </x:c>
      <x:c r="J1193" s="38" t="n">
        <x:v>0.2647750528</x:v>
      </x:c>
    </x:row>
    <x:row r="1194" ht="19" customHeight="1">
      <x:c r="A1194" s="29" t="str">
        <x:v>stagger_1</x:v>
      </x:c>
      <x:c r="B1194" s="38" t="str">
        <x:v>CME</x:v>
      </x:c>
      <x:c r="C1194" s="38" t="str">
        <x:v>Other sectors</x:v>
      </x:c>
      <x:c r="D1194" s="30" t="n">
        <x:v>2</x:v>
      </x:c>
      <x:c r="E1194" s="38" t="str">
        <x:v>XLV</x:v>
      </x:c>
      <x:c r="F1194" s="38" t="n">
        <x:v>0.0645699037</x:v>
      </x:c>
      <x:c r="G1194" s="38" t="n">
        <x:v>0.327392943</x:v>
      </x:c>
      <x:c r="H1194" s="42" t="b">
        <x:v>1</x:v>
      </x:c>
      <x:c r="I1194" s="42" t="b">
        <x:v>0</x:v>
      </x:c>
      <x:c r="J1194" s="38" t="n">
        <x:v>0.2647750528</x:v>
      </x:c>
    </x:row>
    <x:row r="1195" ht="19" customHeight="1">
      <x:c r="A1195" s="29" t="str">
        <x:v>stagger_1</x:v>
      </x:c>
      <x:c r="B1195" s="38" t="str">
        <x:v>CME</x:v>
      </x:c>
      <x:c r="C1195" s="38" t="str">
        <x:v>Other sectors</x:v>
      </x:c>
      <x:c r="D1195" s="30" t="n">
        <x:v>2</x:v>
      </x:c>
      <x:c r="E1195" s="38" t="str">
        <x:v>XLY</x:v>
      </x:c>
      <x:c r="F1195" s="38" t="n">
        <x:v>0.3659695706</x:v>
      </x:c>
      <x:c r="G1195" s="38" t="n">
        <x:v>1.5842928104</x:v>
      </x:c>
      <x:c r="H1195" s="42" t="b">
        <x:v>0</x:v>
      </x:c>
      <x:c r="I1195" s="42" t="b">
        <x:v>0</x:v>
      </x:c>
      <x:c r="J1195" s="38" t="n">
        <x:v>0.2647750528</x:v>
      </x:c>
    </x:row>
    <x:row r="1196" ht="19" customHeight="1">
      <x:c r="A1196" s="29" t="str">
        <x:v>stagger_1</x:v>
      </x:c>
      <x:c r="B1196" s="38" t="str">
        <x:v>CME</x:v>
      </x:c>
      <x:c r="C1196" s="38" t="str">
        <x:v>Other sectors</x:v>
      </x:c>
      <x:c r="D1196" s="30" t="n">
        <x:v>3</x:v>
      </x:c>
      <x:c r="E1196" s="38" t="str">
        <x:v>XLB</x:v>
      </x:c>
      <x:c r="F1196" s="38" t="n">
        <x:v>-0.4828080848</x:v>
      </x:c>
      <x:c r="G1196" s="38" t="n">
        <x:v>-1.8638607385</x:v>
      </x:c>
      <x:c r="H1196" s="42" t="b">
        <x:v>0</x:v>
      </x:c>
      <x:c r="I1196" s="42" t="b">
        <x:v>0</x:v>
      </x:c>
      <x:c r="J1196" s="38" t="n">
        <x:v>0.2636492539</x:v>
      </x:c>
    </x:row>
    <x:row r="1197" ht="19" customHeight="1">
      <x:c r="A1197" s="29" t="str">
        <x:v>stagger_1</x:v>
      </x:c>
      <x:c r="B1197" s="38" t="str">
        <x:v>CME</x:v>
      </x:c>
      <x:c r="C1197" s="38" t="str">
        <x:v>Other sectors</x:v>
      </x:c>
      <x:c r="D1197" s="30" t="n">
        <x:v>3</x:v>
      </x:c>
      <x:c r="E1197" s="38" t="str">
        <x:v>XLC</x:v>
      </x:c>
      <x:c r="F1197" s="38" t="n">
        <x:v>0.1968686664</x:v>
      </x:c>
      <x:c r="G1197" s="38" t="n">
        <x:v>0.9047361781</x:v>
      </x:c>
      <x:c r="H1197" s="42" t="b">
        <x:v>0</x:v>
      </x:c>
      <x:c r="I1197" s="42" t="b">
        <x:v>0</x:v>
      </x:c>
      <x:c r="J1197" s="38" t="n">
        <x:v>0.2636492539</x:v>
      </x:c>
    </x:row>
    <x:row r="1198" ht="19" customHeight="1">
      <x:c r="A1198" s="29" t="str">
        <x:v>stagger_1</x:v>
      </x:c>
      <x:c r="B1198" s="38" t="str">
        <x:v>CME</x:v>
      </x:c>
      <x:c r="C1198" s="38" t="str">
        <x:v>Other sectors</x:v>
      </x:c>
      <x:c r="D1198" s="30" t="n">
        <x:v>3</x:v>
      </x:c>
      <x:c r="E1198" s="38" t="str">
        <x:v>XLE</x:v>
      </x:c>
      <x:c r="F1198" s="38" t="n">
        <x:v>0.3213987646</x:v>
      </x:c>
      <x:c r="G1198" s="38" t="n">
        <x:v>3.7081621157</x:v>
      </x:c>
      <x:c r="H1198" s="42" t="b">
        <x:v>0</x:v>
      </x:c>
      <x:c r="I1198" s="42" t="b">
        <x:v>0</x:v>
      </x:c>
      <x:c r="J1198" s="38" t="n">
        <x:v>0.2636492539</x:v>
      </x:c>
    </x:row>
    <x:row r="1199" ht="19" customHeight="1">
      <x:c r="A1199" s="29" t="str">
        <x:v>stagger_1</x:v>
      </x:c>
      <x:c r="B1199" s="38" t="str">
        <x:v>CME</x:v>
      </x:c>
      <x:c r="C1199" s="38" t="str">
        <x:v>Other sectors</x:v>
      </x:c>
      <x:c r="D1199" s="30" t="n">
        <x:v>3</x:v>
      </x:c>
      <x:c r="E1199" s="38" t="str">
        <x:v>XLI</x:v>
      </x:c>
      <x:c r="F1199" s="38" t="n">
        <x:v>0.4496649928</x:v>
      </x:c>
      <x:c r="G1199" s="38" t="n">
        <x:v>1.3718189982</x:v>
      </x:c>
      <x:c r="H1199" s="42" t="b">
        <x:v>0</x:v>
      </x:c>
      <x:c r="I1199" s="42" t="b">
        <x:v>0</x:v>
      </x:c>
      <x:c r="J1199" s="38" t="n">
        <x:v>0.2636492539</x:v>
      </x:c>
    </x:row>
    <x:row r="1200" ht="19" customHeight="1">
      <x:c r="A1200" s="29" t="str">
        <x:v>stagger_1</x:v>
      </x:c>
      <x:c r="B1200" s="38" t="str">
        <x:v>CME</x:v>
      </x:c>
      <x:c r="C1200" s="38" t="str">
        <x:v>Other sectors</x:v>
      </x:c>
      <x:c r="D1200" s="30" t="n">
        <x:v>3</x:v>
      </x:c>
      <x:c r="E1200" s="38" t="str">
        <x:v>XLP</x:v>
      </x:c>
      <x:c r="F1200" s="38" t="n">
        <x:v>0.5921901925</x:v>
      </x:c>
      <x:c r="G1200" s="38" t="n">
        <x:v>2.453668933</x:v>
      </x:c>
      <x:c r="H1200" s="42" t="b">
        <x:v>0</x:v>
      </x:c>
      <x:c r="I1200" s="42" t="b">
        <x:v>0</x:v>
      </x:c>
      <x:c r="J1200" s="38" t="n">
        <x:v>0.2636492539</x:v>
      </x:c>
    </x:row>
    <x:row r="1201" ht="19" customHeight="1">
      <x:c r="A1201" s="29" t="str">
        <x:v>stagger_1</x:v>
      </x:c>
      <x:c r="B1201" s="38" t="str">
        <x:v>CME</x:v>
      </x:c>
      <x:c r="C1201" s="38" t="str">
        <x:v>Other sectors</x:v>
      </x:c>
      <x:c r="D1201" s="30" t="n">
        <x:v>3</x:v>
      </x:c>
      <x:c r="E1201" s="38" t="str">
        <x:v>XLRE</x:v>
      </x:c>
      <x:c r="F1201" s="38" t="n">
        <x:v>-0.3049934482</x:v>
      </x:c>
      <x:c r="G1201" s="38" t="n">
        <x:v>-1.4390004447</x:v>
      </x:c>
      <x:c r="H1201" s="42" t="b">
        <x:v>0</x:v>
      </x:c>
      <x:c r="I1201" s="42" t="b">
        <x:v>0</x:v>
      </x:c>
      <x:c r="J1201" s="38" t="n">
        <x:v>0.2636492539</x:v>
      </x:c>
    </x:row>
    <x:row r="1202" ht="19" customHeight="1">
      <x:c r="A1202" s="29" t="str">
        <x:v>stagger_1</x:v>
      </x:c>
      <x:c r="B1202" s="38" t="str">
        <x:v>CME</x:v>
      </x:c>
      <x:c r="C1202" s="38" t="str">
        <x:v>Other sectors</x:v>
      </x:c>
      <x:c r="D1202" s="30" t="n">
        <x:v>3</x:v>
      </x:c>
      <x:c r="E1202" s="38" t="str">
        <x:v>XLU</x:v>
      </x:c>
      <x:c r="F1202" s="38" t="n">
        <x:v>0.0932936705</x:v>
      </x:c>
      <x:c r="G1202" s="38" t="n">
        <x:v>0.5506668841</x:v>
      </x:c>
      <x:c r="H1202" s="42" t="b">
        <x:v>1</x:v>
      </x:c>
      <x:c r="I1202" s="42" t="b">
        <x:v>0</x:v>
      </x:c>
      <x:c r="J1202" s="38" t="n">
        <x:v>0.2636492539</x:v>
      </x:c>
    </x:row>
    <x:row r="1203" ht="19" customHeight="1">
      <x:c r="A1203" s="29" t="str">
        <x:v>stagger_1</x:v>
      </x:c>
      <x:c r="B1203" s="38" t="str">
        <x:v>CME</x:v>
      </x:c>
      <x:c r="C1203" s="38" t="str">
        <x:v>Other sectors</x:v>
      </x:c>
      <x:c r="D1203" s="30" t="n">
        <x:v>3</x:v>
      </x:c>
      <x:c r="E1203" s="38" t="str">
        <x:v>XLY</x:v>
      </x:c>
      <x:c r="F1203" s="38" t="n">
        <x:v>0.3416282318</x:v>
      </x:c>
      <x:c r="G1203" s="38" t="n">
        <x:v>1.5719530215</x:v>
      </x:c>
      <x:c r="H1203" s="42" t="b">
        <x:v>0</x:v>
      </x:c>
      <x:c r="I1203" s="42" t="b">
        <x:v>0</x:v>
      </x:c>
      <x:c r="J1203" s="38" t="n">
        <x:v>0.2636492539</x:v>
      </x:c>
    </x:row>
    <x:row r="1204" ht="19" customHeight="1">
      <x:c r="A1204" s="29" t="str">
        <x:v>stagger_1</x:v>
      </x:c>
      <x:c r="B1204" s="38" t="str">
        <x:v>CME</x:v>
      </x:c>
      <x:c r="C1204" s="38" t="str">
        <x:v>Other sectors</x:v>
      </x:c>
      <x:c r="D1204" s="30" t="n">
        <x:v>4</x:v>
      </x:c>
      <x:c r="E1204" s="38" t="str">
        <x:v>XLB</x:v>
      </x:c>
      <x:c r="F1204" s="38" t="n">
        <x:v>-0.4795053562</x:v>
      </x:c>
      <x:c r="G1204" s="38" t="n">
        <x:v>-1.8606319192</x:v>
      </x:c>
      <x:c r="H1204" s="42" t="b">
        <x:v>0</x:v>
      </x:c>
      <x:c r="I1204" s="42" t="b">
        <x:v>0</x:v>
      </x:c>
      <x:c r="J1204" s="38" t="n">
        <x:v>0.2605043723</x:v>
      </x:c>
    </x:row>
    <x:row r="1205" ht="19" customHeight="1">
      <x:c r="A1205" s="29" t="str">
        <x:v>stagger_1</x:v>
      </x:c>
      <x:c r="B1205" s="38" t="str">
        <x:v>CME</x:v>
      </x:c>
      <x:c r="C1205" s="38" t="str">
        <x:v>Other sectors</x:v>
      </x:c>
      <x:c r="D1205" s="30" t="n">
        <x:v>4</x:v>
      </x:c>
      <x:c r="E1205" s="38" t="str">
        <x:v>XLC</x:v>
      </x:c>
      <x:c r="F1205" s="38" t="n">
        <x:v>0.1832311022</x:v>
      </x:c>
      <x:c r="G1205" s="38" t="n">
        <x:v>0.8517014264</x:v>
      </x:c>
      <x:c r="H1205" s="42" t="b">
        <x:v>1</x:v>
      </x:c>
      <x:c r="I1205" s="42" t="b">
        <x:v>0</x:v>
      </x:c>
      <x:c r="J1205" s="38" t="n">
        <x:v>0.2605043723</x:v>
      </x:c>
    </x:row>
    <x:row r="1206" ht="19" customHeight="1">
      <x:c r="A1206" s="29" t="str">
        <x:v>stagger_1</x:v>
      </x:c>
      <x:c r="B1206" s="38" t="str">
        <x:v>CME</x:v>
      </x:c>
      <x:c r="C1206" s="38" t="str">
        <x:v>Other sectors</x:v>
      </x:c>
      <x:c r="D1206" s="30" t="n">
        <x:v>4</x:v>
      </x:c>
      <x:c r="E1206" s="38" t="str">
        <x:v>XLE</x:v>
      </x:c>
      <x:c r="F1206" s="38" t="n">
        <x:v>0.3196301733</x:v>
      </x:c>
      <x:c r="G1206" s="38" t="n">
        <x:v>3.7082780151</x:v>
      </x:c>
      <x:c r="H1206" s="42" t="b">
        <x:v>0</x:v>
      </x:c>
      <x:c r="I1206" s="42" t="b">
        <x:v>0</x:v>
      </x:c>
      <x:c r="J1206" s="38" t="n">
        <x:v>0.2605043723</x:v>
      </x:c>
    </x:row>
    <x:row r="1207" ht="19" customHeight="1">
      <x:c r="A1207" s="29" t="str">
        <x:v>stagger_1</x:v>
      </x:c>
      <x:c r="B1207" s="38" t="str">
        <x:v>CME</x:v>
      </x:c>
      <x:c r="C1207" s="38" t="str">
        <x:v>Other sectors</x:v>
      </x:c>
      <x:c r="D1207" s="30" t="n">
        <x:v>4</x:v>
      </x:c>
      <x:c r="E1207" s="38" t="str">
        <x:v>XLI</x:v>
      </x:c>
      <x:c r="F1207" s="38" t="n">
        <x:v>0.4691709198</x:v>
      </x:c>
      <x:c r="G1207" s="38" t="n">
        <x:v>1.4467758031</x:v>
      </x:c>
      <x:c r="H1207" s="42" t="b">
        <x:v>0</x:v>
      </x:c>
      <x:c r="I1207" s="42" t="b">
        <x:v>0</x:v>
      </x:c>
      <x:c r="J1207" s="38" t="n">
        <x:v>0.2605043723</x:v>
      </x:c>
    </x:row>
    <x:row r="1208" ht="19" customHeight="1">
      <x:c r="A1208" s="29" t="str">
        <x:v>stagger_1</x:v>
      </x:c>
      <x:c r="B1208" s="38" t="str">
        <x:v>CME</x:v>
      </x:c>
      <x:c r="C1208" s="38" t="str">
        <x:v>Other sectors</x:v>
      </x:c>
      <x:c r="D1208" s="30" t="n">
        <x:v>4</x:v>
      </x:c>
      <x:c r="E1208" s="38" t="str">
        <x:v>XLP</x:v>
      </x:c>
      <x:c r="F1208" s="38" t="n">
        <x:v>0.6235684998</x:v>
      </x:c>
      <x:c r="G1208" s="38" t="n">
        <x:v>2.6718093021</x:v>
      </x:c>
      <x:c r="H1208" s="42" t="b">
        <x:v>0</x:v>
      </x:c>
      <x:c r="I1208" s="42" t="b">
        <x:v>0</x:v>
      </x:c>
      <x:c r="J1208" s="38" t="n">
        <x:v>0.2605043723</x:v>
      </x:c>
    </x:row>
    <x:row r="1209" ht="19" customHeight="1">
      <x:c r="A1209" s="29" t="str">
        <x:v>stagger_1</x:v>
      </x:c>
      <x:c r="B1209" s="38" t="str">
        <x:v>CME</x:v>
      </x:c>
      <x:c r="C1209" s="38" t="str">
        <x:v>Other sectors</x:v>
      </x:c>
      <x:c r="D1209" s="30" t="n">
        <x:v>4</x:v>
      </x:c>
      <x:c r="E1209" s="38" t="str">
        <x:v>XLRE</x:v>
      </x:c>
      <x:c r="F1209" s="38" t="n">
        <x:v>-0.2693184874</x:v>
      </x:c>
      <x:c r="G1209" s="38" t="n">
        <x:v>-1.3410585259</x:v>
      </x:c>
      <x:c r="H1209" s="42" t="b">
        <x:v>0</x:v>
      </x:c>
      <x:c r="I1209" s="42" t="b">
        <x:v>0</x:v>
      </x:c>
      <x:c r="J1209" s="38" t="n">
        <x:v>0.2605043723</x:v>
      </x:c>
    </x:row>
    <x:row r="1210" ht="19" customHeight="1">
      <x:c r="A1210" s="29" t="str">
        <x:v>stagger_1</x:v>
      </x:c>
      <x:c r="B1210" s="38" t="str">
        <x:v>CME</x:v>
      </x:c>
      <x:c r="C1210" s="38" t="str">
        <x:v>Other sectors</x:v>
      </x:c>
      <x:c r="D1210" s="30" t="n">
        <x:v>4</x:v>
      </x:c>
      <x:c r="E1210" s="38" t="str">
        <x:v>XLY</x:v>
      </x:c>
      <x:c r="F1210" s="38" t="n">
        <x:v>0.3397174177</x:v>
      </x:c>
      <x:c r="G1210" s="38" t="n">
        <x:v>1.5709798826</x:v>
      </x:c>
      <x:c r="H1210" s="42" t="b">
        <x:v>0</x:v>
      </x:c>
      <x:c r="I1210" s="42" t="b">
        <x:v>0</x:v>
      </x:c>
      <x:c r="J1210" s="38" t="n">
        <x:v>0.2605043723</x:v>
      </x:c>
    </x:row>
    <x:row r="1211" ht="19" customHeight="1">
      <x:c r="A1211" s="29" t="str">
        <x:v>stagger_1</x:v>
      </x:c>
      <x:c r="B1211" s="38" t="str">
        <x:v>CME</x:v>
      </x:c>
      <x:c r="C1211" s="38" t="str">
        <x:v>Other sectors</x:v>
      </x:c>
      <x:c r="D1211" s="30" t="n">
        <x:v>5</x:v>
      </x:c>
      <x:c r="E1211" s="38" t="str">
        <x:v>XLB</x:v>
      </x:c>
      <x:c r="F1211" s="38" t="n">
        <x:v>-0.4773748697</x:v>
      </x:c>
      <x:c r="G1211" s="38" t="n">
        <x:v>-1.8559462788</x:v>
      </x:c>
      <x:c r="H1211" s="42" t="b">
        <x:v>0</x:v>
      </x:c>
      <x:c r="I1211" s="42" t="b">
        <x:v>0</x:v>
      </x:c>
      <x:c r="J1211" s="38" t="n">
        <x:v>0.2530540019</x:v>
      </x:c>
    </x:row>
    <x:row r="1212" ht="19" customHeight="1">
      <x:c r="A1212" s="29" t="str">
        <x:v>stagger_1</x:v>
      </x:c>
      <x:c r="B1212" s="38" t="str">
        <x:v>CME</x:v>
      </x:c>
      <x:c r="C1212" s="38" t="str">
        <x:v>Other sectors</x:v>
      </x:c>
      <x:c r="D1212" s="30" t="n">
        <x:v>5</x:v>
      </x:c>
      <x:c r="E1212" s="38" t="str">
        <x:v>XLE</x:v>
      </x:c>
      <x:c r="F1212" s="38" t="n">
        <x:v>0.3328830855</x:v>
      </x:c>
      <x:c r="G1212" s="38" t="n">
        <x:v>3.9339565111</x:v>
      </x:c>
      <x:c r="H1212" s="42" t="b">
        <x:v>0</x:v>
      </x:c>
      <x:c r="I1212" s="42" t="b">
        <x:v>0</x:v>
      </x:c>
      <x:c r="J1212" s="38" t="n">
        <x:v>0.2530540019</x:v>
      </x:c>
    </x:row>
    <x:row r="1213" ht="19" customHeight="1">
      <x:c r="A1213" s="29" t="str">
        <x:v>stagger_1</x:v>
      </x:c>
      <x:c r="B1213" s="38" t="str">
        <x:v>CME</x:v>
      </x:c>
      <x:c r="C1213" s="38" t="str">
        <x:v>Other sectors</x:v>
      </x:c>
      <x:c r="D1213" s="30" t="n">
        <x:v>5</x:v>
      </x:c>
      <x:c r="E1213" s="38" t="str">
        <x:v>XLI</x:v>
      </x:c>
      <x:c r="F1213" s="38" t="n">
        <x:v>0.4326930791</x:v>
      </x:c>
      <x:c r="G1213" s="38" t="n">
        <x:v>1.3486201075</x:v>
      </x:c>
      <x:c r="H1213" s="42" t="b">
        <x:v>1</x:v>
      </x:c>
      <x:c r="I1213" s="42" t="b">
        <x:v>0</x:v>
      </x:c>
      <x:c r="J1213" s="38" t="n">
        <x:v>0.2530540019</x:v>
      </x:c>
    </x:row>
    <x:row r="1214" ht="19" customHeight="1">
      <x:c r="A1214" s="29" t="str">
        <x:v>stagger_1</x:v>
      </x:c>
      <x:c r="B1214" s="38" t="str">
        <x:v>CME</x:v>
      </x:c>
      <x:c r="C1214" s="38" t="str">
        <x:v>Other sectors</x:v>
      </x:c>
      <x:c r="D1214" s="30" t="n">
        <x:v>5</x:v>
      </x:c>
      <x:c r="E1214" s="38" t="str">
        <x:v>XLP</x:v>
      </x:c>
      <x:c r="F1214" s="38" t="n">
        <x:v>0.6666768924</x:v>
      </x:c>
      <x:c r="G1214" s="38" t="n">
        <x:v>2.9316753088</x:v>
      </x:c>
      <x:c r="H1214" s="42" t="b">
        <x:v>0</x:v>
      </x:c>
      <x:c r="I1214" s="42" t="b">
        <x:v>0</x:v>
      </x:c>
      <x:c r="J1214" s="38" t="n">
        <x:v>0.2530540019</x:v>
      </x:c>
    </x:row>
    <x:row r="1215" ht="19" customHeight="1">
      <x:c r="A1215" s="29" t="str">
        <x:v>stagger_1</x:v>
      </x:c>
      <x:c r="B1215" s="38" t="str">
        <x:v>CME</x:v>
      </x:c>
      <x:c r="C1215" s="38" t="str">
        <x:v>Other sectors</x:v>
      </x:c>
      <x:c r="D1215" s="30" t="n">
        <x:v>5</x:v>
      </x:c>
      <x:c r="E1215" s="38" t="str">
        <x:v>XLRE</x:v>
      </x:c>
      <x:c r="F1215" s="38" t="n">
        <x:v>-0.2968741353</x:v>
      </x:c>
      <x:c r="G1215" s="38" t="n">
        <x:v>-1.5006611835</x:v>
      </x:c>
      <x:c r="H1215" s="42" t="b">
        <x:v>0</x:v>
      </x:c>
      <x:c r="I1215" s="42" t="b">
        <x:v>0</x:v>
      </x:c>
      <x:c r="J1215" s="38" t="n">
        <x:v>0.2530540019</x:v>
      </x:c>
    </x:row>
    <x:row r="1216" ht="19" customHeight="1">
      <x:c r="A1216" s="29" t="str">
        <x:v>stagger_1</x:v>
      </x:c>
      <x:c r="B1216" s="38" t="str">
        <x:v>CME</x:v>
      </x:c>
      <x:c r="C1216" s="38" t="str">
        <x:v>Other sectors</x:v>
      </x:c>
      <x:c r="D1216" s="30" t="n">
        <x:v>5</x:v>
      </x:c>
      <x:c r="E1216" s="38" t="str">
        <x:v>XLY</x:v>
      </x:c>
      <x:c r="F1216" s="38" t="n">
        <x:v>0.4079143448</x:v>
      </x:c>
      <x:c r="G1216" s="38" t="n">
        <x:v>2.0345190799</x:v>
      </x:c>
      <x:c r="H1216" s="42" t="b">
        <x:v>0</x:v>
      </x:c>
      <x:c r="I1216" s="42" t="b">
        <x:v>0</x:v>
      </x:c>
      <x:c r="J1216" s="38" t="n">
        <x:v>0.2530540019</x:v>
      </x:c>
    </x:row>
    <x:row r="1217" ht="19" customHeight="1">
      <x:c r="A1217" s="29" t="str">
        <x:v>stagger_1</x:v>
      </x:c>
      <x:c r="B1217" s="38" t="str">
        <x:v>CME</x:v>
      </x:c>
      <x:c r="C1217" s="38" t="str">
        <x:v>Other sectors</x:v>
      </x:c>
      <x:c r="D1217" s="30" t="n">
        <x:v>6</x:v>
      </x:c>
      <x:c r="E1217" s="38" t="str">
        <x:v>XLB</x:v>
      </x:c>
      <x:c r="F1217" s="38" t="n">
        <x:v>-0.2192384378</x:v>
      </x:c>
      <x:c r="G1217" s="38" t="n">
        <x:v>-1.268979855</x:v>
      </x:c>
      <x:c r="H1217" s="42" t="b">
        <x:v>1</x:v>
      </x:c>
      <x:c r="I1217" s="42" t="b">
        <x:v>0</x:v>
      </x:c>
      <x:c r="J1217" s="38" t="n">
        <x:v>0.2344440348</x:v>
      </x:c>
    </x:row>
    <x:row r="1218" ht="19" customHeight="1">
      <x:c r="A1218" s="29" t="str">
        <x:v>stagger_1</x:v>
      </x:c>
      <x:c r="B1218" s="38" t="str">
        <x:v>CME</x:v>
      </x:c>
      <x:c r="C1218" s="38" t="str">
        <x:v>Other sectors</x:v>
      </x:c>
      <x:c r="D1218" s="30" t="n">
        <x:v>6</x:v>
      </x:c>
      <x:c r="E1218" s="38" t="str">
        <x:v>XLE</x:v>
      </x:c>
      <x:c r="F1218" s="38" t="n">
        <x:v>0.3162979837</x:v>
      </x:c>
      <x:c r="G1218" s="38" t="n">
        <x:v>3.7573400357</x:v>
      </x:c>
      <x:c r="H1218" s="42" t="b">
        <x:v>0</x:v>
      </x:c>
      <x:c r="I1218" s="42" t="b">
        <x:v>0</x:v>
      </x:c>
      <x:c r="J1218" s="38" t="n">
        <x:v>0.2344440348</x:v>
      </x:c>
    </x:row>
    <x:row r="1219" ht="19" customHeight="1">
      <x:c r="A1219" s="29" t="str">
        <x:v>stagger_1</x:v>
      </x:c>
      <x:c r="B1219" s="38" t="str">
        <x:v>CME</x:v>
      </x:c>
      <x:c r="C1219" s="38" t="str">
        <x:v>Other sectors</x:v>
      </x:c>
      <x:c r="D1219" s="30" t="n">
        <x:v>6</x:v>
      </x:c>
      <x:c r="E1219" s="38" t="str">
        <x:v>XLP</x:v>
      </x:c>
      <x:c r="F1219" s="38" t="n">
        <x:v>0.7030369725</x:v>
      </x:c>
      <x:c r="G1219" s="38" t="n">
        <x:v>3.0964433283</x:v>
      </x:c>
      <x:c r="H1219" s="42" t="b">
        <x:v>0</x:v>
      </x:c>
      <x:c r="I1219" s="42" t="b">
        <x:v>0</x:v>
      </x:c>
      <x:c r="J1219" s="38" t="n">
        <x:v>0.2344440348</x:v>
      </x:c>
    </x:row>
    <x:row r="1220" ht="19" customHeight="1">
      <x:c r="A1220" s="29" t="str">
        <x:v>stagger_1</x:v>
      </x:c>
      <x:c r="B1220" s="38" t="str">
        <x:v>CME</x:v>
      </x:c>
      <x:c r="C1220" s="38" t="str">
        <x:v>Other sectors</x:v>
      </x:c>
      <x:c r="D1220" s="30" t="n">
        <x:v>6</x:v>
      </x:c>
      <x:c r="E1220" s="38" t="str">
        <x:v>XLRE</x:v>
      </x:c>
      <x:c r="F1220" s="38" t="n">
        <x:v>-0.3258062515</x:v>
      </x:c>
      <x:c r="G1220" s="38" t="n">
        <x:v>-1.6475894885</x:v>
      </x:c>
      <x:c r="H1220" s="42" t="b">
        <x:v>0</x:v>
      </x:c>
      <x:c r="I1220" s="42" t="b">
        <x:v>0</x:v>
      </x:c>
      <x:c r="J1220" s="38" t="n">
        <x:v>0.2344440348</x:v>
      </x:c>
    </x:row>
    <x:row r="1221" ht="19" customHeight="1">
      <x:c r="A1221" s="29" t="str">
        <x:v>stagger_1</x:v>
      </x:c>
      <x:c r="B1221" s="38" t="str">
        <x:v>CME</x:v>
      </x:c>
      <x:c r="C1221" s="38" t="str">
        <x:v>Other sectors</x:v>
      </x:c>
      <x:c r="D1221" s="30" t="n">
        <x:v>6</x:v>
      </x:c>
      <x:c r="E1221" s="38" t="str">
        <x:v>XLY</x:v>
      </x:c>
      <x:c r="F1221" s="38" t="n">
        <x:v>0.3798983685</x:v>
      </x:c>
      <x:c r="G1221" s="38" t="n">
        <x:v>1.8945869472</x:v>
      </x:c>
      <x:c r="H1221" s="42" t="b">
        <x:v>0</x:v>
      </x:c>
      <x:c r="I1221" s="42" t="b">
        <x:v>0</x:v>
      </x:c>
      <x:c r="J1221" s="38" t="n">
        <x:v>0.2344440348</x:v>
      </x:c>
    </x:row>
    <x:row r="1222" ht="19" customHeight="1">
      <x:c r="A1222" s="29" t="str">
        <x:v>stagger_1</x:v>
      </x:c>
      <x:c r="B1222" s="38" t="str">
        <x:v>CME</x:v>
      </x:c>
      <x:c r="C1222" s="38" t="str">
        <x:v>Other sectors</x:v>
      </x:c>
      <x:c r="D1222" s="30" t="n">
        <x:v>7</x:v>
      </x:c>
      <x:c r="E1222" s="38" t="str">
        <x:v>XLE</x:v>
      </x:c>
      <x:c r="F1222" s="38" t="n">
        <x:v>0.2865216588</x:v>
      </x:c>
      <x:c r="G1222" s="38" t="n">
        <x:v>3.5297561524</x:v>
      </x:c>
      <x:c r="H1222" s="42" t="b">
        <x:v>0</x:v>
      </x:c>
      <x:c r="I1222" s="42" t="b">
        <x:v>0</x:v>
      </x:c>
      <x:c r="J1222" s="38" t="n">
        <x:v>0.2177848141</x:v>
      </x:c>
    </x:row>
    <x:row r="1223" ht="19" customHeight="1">
      <x:c r="A1223" s="29" t="str">
        <x:v>stagger_1</x:v>
      </x:c>
      <x:c r="B1223" s="38" t="str">
        <x:v>CME</x:v>
      </x:c>
      <x:c r="C1223" s="38" t="str">
        <x:v>Other sectors</x:v>
      </x:c>
      <x:c r="D1223" s="30" t="n">
        <x:v>7</x:v>
      </x:c>
      <x:c r="E1223" s="38" t="str">
        <x:v>XLP</x:v>
      </x:c>
      <x:c r="F1223" s="38" t="n">
        <x:v>0.6079427527</x:v>
      </x:c>
      <x:c r="G1223" s="38" t="n">
        <x:v>2.8250957069</x:v>
      </x:c>
      <x:c r="H1223" s="42" t="b">
        <x:v>0</x:v>
      </x:c>
      <x:c r="I1223" s="42" t="b">
        <x:v>0</x:v>
      </x:c>
      <x:c r="J1223" s="38" t="n">
        <x:v>0.2177848141</x:v>
      </x:c>
    </x:row>
    <x:row r="1224" ht="19" customHeight="1">
      <x:c r="A1224" s="29" t="str">
        <x:v>stagger_1</x:v>
      </x:c>
      <x:c r="B1224" s="38" t="str">
        <x:v>CME</x:v>
      </x:c>
      <x:c r="C1224" s="38" t="str">
        <x:v>Other sectors</x:v>
      </x:c>
      <x:c r="D1224" s="30" t="n">
        <x:v>7</x:v>
      </x:c>
      <x:c r="E1224" s="38" t="str">
        <x:v>XLRE</x:v>
      </x:c>
      <x:c r="F1224" s="38" t="n">
        <x:v>-0.3648225719</x:v>
      </x:c>
      <x:c r="G1224" s="38" t="n">
        <x:v>-1.8600533531</x:v>
      </x:c>
      <x:c r="H1224" s="42" t="b">
        <x:v>1</x:v>
      </x:c>
      <x:c r="I1224" s="42" t="b">
        <x:v>0</x:v>
      </x:c>
      <x:c r="J1224" s="38" t="n">
        <x:v>0.2177848141</x:v>
      </x:c>
    </x:row>
    <x:row r="1225" ht="19" customHeight="1">
      <x:c r="A1225" s="29" t="str">
        <x:v>stagger_1</x:v>
      </x:c>
      <x:c r="B1225" s="38" t="str">
        <x:v>CME</x:v>
      </x:c>
      <x:c r="C1225" s="38" t="str">
        <x:v>Other sectors</x:v>
      </x:c>
      <x:c r="D1225" s="30" t="n">
        <x:v>7</x:v>
      </x:c>
      <x:c r="E1225" s="38" t="str">
        <x:v>XLY</x:v>
      </x:c>
      <x:c r="F1225" s="38" t="n">
        <x:v>0.376688861</x:v>
      </x:c>
      <x:c r="G1225" s="38" t="n">
        <x:v>1.8711325908</x:v>
      </x:c>
      <x:c r="H1225" s="42" t="b">
        <x:v>0</x:v>
      </x:c>
      <x:c r="I1225" s="42" t="b">
        <x:v>0</x:v>
      </x:c>
      <x:c r="J1225" s="38" t="n">
        <x:v>0.2177848141</x:v>
      </x:c>
    </x:row>
    <x:row r="1226" ht="19" customHeight="1">
      <x:c r="A1226" s="29" t="str">
        <x:v>stagger_1</x:v>
      </x:c>
      <x:c r="B1226" s="38" t="str">
        <x:v>CME</x:v>
      </x:c>
      <x:c r="C1226" s="38" t="str">
        <x:v>Other sectors</x:v>
      </x:c>
      <x:c r="D1226" s="30" t="n">
        <x:v>8</x:v>
      </x:c>
      <x:c r="E1226" s="38" t="str">
        <x:v>XLE</x:v>
      </x:c>
      <x:c r="F1226" s="38" t="n">
        <x:v>0.2655381645</x:v>
      </x:c>
      <x:c r="G1226" s="38" t="n">
        <x:v>3.2511161089</x:v>
      </x:c>
      <x:c r="H1226" s="42" t="b">
        <x:v>0</x:v>
      </x:c>
      <x:c r="I1226" s="42" t="b">
        <x:v>0</x:v>
      </x:c>
      <x:c r="J1226" s="38" t="n">
        <x:v>0.181700722</x:v>
      </x:c>
    </x:row>
    <x:row r="1227" ht="19" customHeight="1">
      <x:c r="A1227" s="29" t="str">
        <x:v>stagger_1</x:v>
      </x:c>
      <x:c r="B1227" s="38" t="str">
        <x:v>CME</x:v>
      </x:c>
      <x:c r="C1227" s="38" t="str">
        <x:v>Other sectors</x:v>
      </x:c>
      <x:c r="D1227" s="30" t="n">
        <x:v>8</x:v>
      </x:c>
      <x:c r="E1227" s="38" t="str">
        <x:v>XLP</x:v>
      </x:c>
      <x:c r="F1227" s="38" t="n">
        <x:v>0.3792120143</x:v>
      </x:c>
      <x:c r="G1227" s="38" t="n">
        <x:v>2.1133944052</x:v>
      </x:c>
      <x:c r="H1227" s="42" t="b">
        <x:v>0</x:v>
      </x:c>
      <x:c r="I1227" s="42" t="b">
        <x:v>0</x:v>
      </x:c>
      <x:c r="J1227" s="38" t="n">
        <x:v>0.181700722</x:v>
      </x:c>
    </x:row>
    <x:row r="1228" ht="19" customHeight="1">
      <x:c r="A1228" s="29" t="str">
        <x:v>stagger_1</x:v>
      </x:c>
      <x:c r="B1228" s="38" t="str">
        <x:v>CME</x:v>
      </x:c>
      <x:c r="C1228" s="38" t="str">
        <x:v>Other sectors</x:v>
      </x:c>
      <x:c r="D1228" s="30" t="n">
        <x:v>8</x:v>
      </x:c>
      <x:c r="E1228" s="38" t="str">
        <x:v>XLY</x:v>
      </x:c>
      <x:c r="F1228" s="38" t="n">
        <x:v>0.2859847472</x:v>
      </x:c>
      <x:c r="G1228" s="38" t="n">
        <x:v>1.4410460638</x:v>
      </x:c>
      <x:c r="H1228" s="42" t="b">
        <x:v>1</x:v>
      </x:c>
      <x:c r="I1228" s="42" t="b">
        <x:v>0</x:v>
      </x:c>
      <x:c r="J1228" s="38" t="n">
        <x:v>0.181700722</x:v>
      </x:c>
    </x:row>
    <x:row r="1229" ht="19" customHeight="1">
      <x:c r="A1229" s="29" t="str">
        <x:v>stagger_1</x:v>
      </x:c>
      <x:c r="B1229" s="38" t="str">
        <x:v>CME</x:v>
      </x:c>
      <x:c r="C1229" s="38" t="str">
        <x:v>Other sectors</x:v>
      </x:c>
      <x:c r="D1229" s="30" t="n">
        <x:v>9</x:v>
      </x:c>
      <x:c r="E1229" s="38" t="str">
        <x:v>XLE</x:v>
      </x:c>
      <x:c r="F1229" s="38" t="n">
        <x:v>0.2384325895</x:v>
      </x:c>
      <x:c r="G1229" s="38" t="n">
        <x:v>2.9791292183</x:v>
      </x:c>
      <x:c r="H1229" s="42" t="b">
        <x:v>0</x:v>
      </x:c>
      <x:c r="I1229" s="42" t="b">
        <x:v>0</x:v>
      </x:c>
      <x:c r="J1229" s="38" t="n">
        <x:v>0.1593416228</x:v>
      </x:c>
    </x:row>
    <x:row r="1230" ht="19" customHeight="1">
      <x:c r="A1230" s="29" t="str">
        <x:v>stagger_1</x:v>
      </x:c>
      <x:c r="B1230" s="38" t="str">
        <x:v>CME</x:v>
      </x:c>
      <x:c r="C1230" s="38" t="str">
        <x:v>Other sectors</x:v>
      </x:c>
      <x:c r="D1230" s="30" t="n">
        <x:v>9</x:v>
      </x:c>
      <x:c r="E1230" s="38" t="str">
        <x:v>XLP</x:v>
      </x:c>
      <x:c r="F1230" s="38" t="n">
        <x:v>0.3569824561</x:v>
      </x:c>
      <x:c r="G1230" s="38" t="n">
        <x:v>1.9830840002</x:v>
      </x:c>
      <x:c r="H1230" s="42" t="b">
        <x:v>1</x:v>
      </x:c>
      <x:c r="I1230" s="42" t="b">
        <x:v>0</x:v>
      </x:c>
      <x:c r="J1230" s="38" t="n">
        <x:v>0.1593416228</x:v>
      </x:c>
    </x:row>
    <x:row r="1231" ht="19" customHeight="1">
      <x:c r="A1231" s="29" t="str">
        <x:v>stagger_1</x:v>
      </x:c>
      <x:c r="B1231" s="38" t="str">
        <x:v>CME</x:v>
      </x:c>
      <x:c r="C1231" s="38" t="str">
        <x:v>Other sectors</x:v>
      </x:c>
      <x:c r="D1231" s="30" t="n">
        <x:v>10</x:v>
      </x:c>
      <x:c r="E1231" s="38" t="str">
        <x:v>XLE</x:v>
      </x:c>
      <x:c r="F1231" s="38" t="n">
        <x:v>0.2591096794</x:v>
      </x:c>
      <x:c r="G1231" s="38" t="n">
        <x:v>3.2056050172</x:v>
      </x:c>
      <x:c r="H1231" s="42" t="b">
        <x:v>0</x:v>
      </x:c>
      <x:c r="I1231" s="42" t="b">
        <x:v>1</x:v>
      </x:c>
      <x:c r="J1231" s="38" t="n">
        <x:v>0.116406665</x:v>
      </x:c>
    </x:row>
    <x:row r="1232" ht="19" customHeight="1">
      <x:c r="A1232" s="29" t="str">
        <x:v>stagger_1</x:v>
      </x:c>
      <x:c r="B1232" s="38" t="str">
        <x:v>NET</x:v>
      </x:c>
      <x:c r="C1232" s="38" t="str">
        <x:v>Other FX</x:v>
      </x:c>
      <x:c r="D1232" s="30" t="n">
        <x:v>1</x:v>
      </x:c>
      <x:c r="E1232" s="38" t="str">
        <x:v>AUD/USD</x:v>
      </x:c>
      <x:c r="F1232" s="38" t="n">
        <x:v>-0.7560457389</x:v>
      </x:c>
      <x:c r="G1232" s="38" t="n">
        <x:v>-0.6285265606</x:v>
      </x:c>
      <x:c r="H1232" s="42" t="b">
        <x:v>0</x:v>
      </x:c>
      <x:c r="I1232" s="42" t="b">
        <x:v>0</x:v>
      </x:c>
      <x:c r="J1232" s="38" t="n">
        <x:v>0.1342747088</x:v>
      </x:c>
    </x:row>
    <x:row r="1233" ht="19" customHeight="1">
      <x:c r="A1233" s="29" t="str">
        <x:v>stagger_1</x:v>
      </x:c>
      <x:c r="B1233" s="38" t="str">
        <x:v>NET</x:v>
      </x:c>
      <x:c r="C1233" s="38" t="str">
        <x:v>Other FX</x:v>
      </x:c>
      <x:c r="D1233" s="30" t="n">
        <x:v>1</x:v>
      </x:c>
      <x:c r="E1233" s="38" t="str">
        <x:v>CAD/USD</x:v>
      </x:c>
      <x:c r="F1233" s="38" t="n">
        <x:v>2.479888372</x:v>
      </x:c>
      <x:c r="G1233" s="38" t="n">
        <x:v>1.7072778612</x:v>
      </x:c>
      <x:c r="H1233" s="42" t="b">
        <x:v>0</x:v>
      </x:c>
      <x:c r="I1233" s="42" t="b">
        <x:v>0</x:v>
      </x:c>
      <x:c r="J1233" s="38" t="n">
        <x:v>0.1342747088</x:v>
      </x:c>
    </x:row>
    <x:row r="1234" ht="19" customHeight="1">
      <x:c r="A1234" s="29" t="str">
        <x:v>stagger_1</x:v>
      </x:c>
      <x:c r="B1234" s="38" t="str">
        <x:v>NET</x:v>
      </x:c>
      <x:c r="C1234" s="38" t="str">
        <x:v>Other FX</x:v>
      </x:c>
      <x:c r="D1234" s="30" t="n">
        <x:v>1</x:v>
      </x:c>
      <x:c r="E1234" s="38" t="str">
        <x:v>DKK/USD</x:v>
      </x:c>
      <x:c r="F1234" s="38" t="n">
        <x:v>18.2264167885</x:v>
      </x:c>
      <x:c r="G1234" s="38" t="n">
        <x:v>1.8024052313</x:v>
      </x:c>
      <x:c r="H1234" s="42" t="b">
        <x:v>0</x:v>
      </x:c>
      <x:c r="I1234" s="42" t="b">
        <x:v>0</x:v>
      </x:c>
      <x:c r="J1234" s="38" t="n">
        <x:v>0.1342747088</x:v>
      </x:c>
    </x:row>
    <x:row r="1235" ht="19" customHeight="1">
      <x:c r="A1235" s="29" t="str">
        <x:v>stagger_1</x:v>
      </x:c>
      <x:c r="B1235" s="38" t="str">
        <x:v>NET</x:v>
      </x:c>
      <x:c r="C1235" s="38" t="str">
        <x:v>Other FX</x:v>
      </x:c>
      <x:c r="D1235" s="30" t="n">
        <x:v>1</x:v>
      </x:c>
      <x:c r="E1235" s="38" t="str">
        <x:v>EUR/USD</x:v>
      </x:c>
      <x:c r="F1235" s="38" t="n">
        <x:v>-20.0729765494</x:v>
      </x:c>
      <x:c r="G1235" s="38" t="n">
        <x:v>-2.1700932141</x:v>
      </x:c>
      <x:c r="H1235" s="42" t="b">
        <x:v>0</x:v>
      </x:c>
      <x:c r="I1235" s="42" t="b">
        <x:v>0</x:v>
      </x:c>
      <x:c r="J1235" s="38" t="n">
        <x:v>0.1342747088</x:v>
      </x:c>
    </x:row>
    <x:row r="1236" ht="19" customHeight="1">
      <x:c r="A1236" s="29" t="str">
        <x:v>stagger_1</x:v>
      </x:c>
      <x:c r="B1236" s="38" t="str">
        <x:v>NET</x:v>
      </x:c>
      <x:c r="C1236" s="38" t="str">
        <x:v>Other FX</x:v>
      </x:c>
      <x:c r="D1236" s="30" t="n">
        <x:v>1</x:v>
      </x:c>
      <x:c r="E1236" s="38" t="str">
        <x:v>MXN/USD</x:v>
      </x:c>
      <x:c r="F1236" s="38" t="n">
        <x:v>-0.0895696995</x:v>
      </x:c>
      <x:c r="G1236" s="38" t="n">
        <x:v>-0.1162298538</x:v>
      </x:c>
      <x:c r="H1236" s="42" t="b">
        <x:v>1</x:v>
      </x:c>
      <x:c r="I1236" s="42" t="b">
        <x:v>0</x:v>
      </x:c>
      <x:c r="J1236" s="38" t="n">
        <x:v>0.1342747088</x:v>
      </x:c>
    </x:row>
    <x:row r="1237" ht="19" customHeight="1">
      <x:c r="A1237" s="29" t="str">
        <x:v>stagger_1</x:v>
      </x:c>
      <x:c r="B1237" s="38" t="str">
        <x:v>NET</x:v>
      </x:c>
      <x:c r="C1237" s="38" t="str">
        <x:v>Other FX</x:v>
      </x:c>
      <x:c r="D1237" s="30" t="n">
        <x:v>1</x:v>
      </x:c>
      <x:c r="E1237" s="38" t="str">
        <x:v>SGD/USD</x:v>
      </x:c>
      <x:c r="F1237" s="38" t="n">
        <x:v>1.9869289731</x:v>
      </x:c>
      <x:c r="G1237" s="38" t="n">
        <x:v>0.6822261938</x:v>
      </x:c>
      <x:c r="H1237" s="42" t="b">
        <x:v>0</x:v>
      </x:c>
      <x:c r="I1237" s="42" t="b">
        <x:v>0</x:v>
      </x:c>
      <x:c r="J1237" s="38" t="n">
        <x:v>0.1342747088</x:v>
      </x:c>
    </x:row>
    <x:row r="1238" ht="19" customHeight="1">
      <x:c r="A1238" s="29" t="str">
        <x:v>stagger_1</x:v>
      </x:c>
      <x:c r="B1238" s="38" t="str">
        <x:v>NET</x:v>
      </x:c>
      <x:c r="C1238" s="38" t="str">
        <x:v>Other FX</x:v>
      </x:c>
      <x:c r="D1238" s="30" t="n">
        <x:v>2</x:v>
      </x:c>
      <x:c r="E1238" s="38" t="str">
        <x:v>AUD/USD</x:v>
      </x:c>
      <x:c r="F1238" s="38" t="n">
        <x:v>-0.782261269</x:v>
      </x:c>
      <x:c r="G1238" s="38" t="n">
        <x:v>-0.6665207939</x:v>
      </x:c>
      <x:c r="H1238" s="42" t="b">
        <x:v>1</x:v>
      </x:c>
      <x:c r="I1238" s="42" t="b">
        <x:v>0</x:v>
      </x:c>
      <x:c r="J1238" s="38" t="n">
        <x:v>0.1341144977</x:v>
      </x:c>
    </x:row>
    <x:row r="1239" ht="19" customHeight="1">
      <x:c r="A1239" s="29" t="str">
        <x:v>stagger_1</x:v>
      </x:c>
      <x:c r="B1239" s="38" t="str">
        <x:v>NET</x:v>
      </x:c>
      <x:c r="C1239" s="38" t="str">
        <x:v>Other FX</x:v>
      </x:c>
      <x:c r="D1239" s="30" t="n">
        <x:v>2</x:v>
      </x:c>
      <x:c r="E1239" s="38" t="str">
        <x:v>CAD/USD</x:v>
      </x:c>
      <x:c r="F1239" s="38" t="n">
        <x:v>2.4832688471</x:v>
      </x:c>
      <x:c r="G1239" s="38" t="n">
        <x:v>1.721460819</x:v>
      </x:c>
      <x:c r="H1239" s="42" t="b">
        <x:v>0</x:v>
      </x:c>
      <x:c r="I1239" s="42" t="b">
        <x:v>0</x:v>
      </x:c>
      <x:c r="J1239" s="38" t="n">
        <x:v>0.1341144977</x:v>
      </x:c>
    </x:row>
    <x:row r="1240" ht="19" customHeight="1">
      <x:c r="A1240" s="29" t="str">
        <x:v>stagger_1</x:v>
      </x:c>
      <x:c r="B1240" s="38" t="str">
        <x:v>NET</x:v>
      </x:c>
      <x:c r="C1240" s="38" t="str">
        <x:v>Other FX</x:v>
      </x:c>
      <x:c r="D1240" s="30" t="n">
        <x:v>2</x:v>
      </x:c>
      <x:c r="E1240" s="38" t="str">
        <x:v>DKK/USD</x:v>
      </x:c>
      <x:c r="F1240" s="38" t="n">
        <x:v>17.870896283</x:v>
      </x:c>
      <x:c r="G1240" s="38" t="n">
        <x:v>1.8665860069</x:v>
      </x:c>
      <x:c r="H1240" s="42" t="b">
        <x:v>0</x:v>
      </x:c>
      <x:c r="I1240" s="42" t="b">
        <x:v>0</x:v>
      </x:c>
      <x:c r="J1240" s="38" t="n">
        <x:v>0.1341144977</x:v>
      </x:c>
    </x:row>
    <x:row r="1241" ht="19" customHeight="1">
      <x:c r="A1241" s="29" t="str">
        <x:v>stagger_1</x:v>
      </x:c>
      <x:c r="B1241" s="38" t="str">
        <x:v>NET</x:v>
      </x:c>
      <x:c r="C1241" s="38" t="str">
        <x:v>Other FX</x:v>
      </x:c>
      <x:c r="D1241" s="30" t="n">
        <x:v>2</x:v>
      </x:c>
      <x:c r="E1241" s="38" t="str">
        <x:v>EUR/USD</x:v>
      </x:c>
      <x:c r="F1241" s="38" t="n">
        <x:v>-19.7901811805</x:v>
      </x:c>
      <x:c r="G1241" s="38" t="n">
        <x:v>-2.2325442542</x:v>
      </x:c>
      <x:c r="H1241" s="42" t="b">
        <x:v>0</x:v>
      </x:c>
      <x:c r="I1241" s="42" t="b">
        <x:v>0</x:v>
      </x:c>
      <x:c r="J1241" s="38" t="n">
        <x:v>0.1341144977</x:v>
      </x:c>
    </x:row>
    <x:row r="1242" ht="19" customHeight="1">
      <x:c r="A1242" s="29" t="str">
        <x:v>stagger_1</x:v>
      </x:c>
      <x:c r="B1242" s="38" t="str">
        <x:v>NET</x:v>
      </x:c>
      <x:c r="C1242" s="38" t="str">
        <x:v>Other FX</x:v>
      </x:c>
      <x:c r="D1242" s="30" t="n">
        <x:v>2</x:v>
      </x:c>
      <x:c r="E1242" s="38" t="str">
        <x:v>SGD/USD</x:v>
      </x:c>
      <x:c r="F1242" s="38" t="n">
        <x:v>2.0233388396</x:v>
      </x:c>
      <x:c r="G1242" s="38" t="n">
        <x:v>0.7034864382</x:v>
      </x:c>
      <x:c r="H1242" s="42" t="b">
        <x:v>0</x:v>
      </x:c>
      <x:c r="I1242" s="42" t="b">
        <x:v>0</x:v>
      </x:c>
      <x:c r="J1242" s="38" t="n">
        <x:v>0.1341144977</x:v>
      </x:c>
    </x:row>
    <x:row r="1243" ht="19" customHeight="1">
      <x:c r="A1243" s="29" t="str">
        <x:v>stagger_1</x:v>
      </x:c>
      <x:c r="B1243" s="38" t="str">
        <x:v>NET</x:v>
      </x:c>
      <x:c r="C1243" s="38" t="str">
        <x:v>Other FX</x:v>
      </x:c>
      <x:c r="D1243" s="30" t="n">
        <x:v>3</x:v>
      </x:c>
      <x:c r="E1243" s="38" t="str">
        <x:v>CAD/USD</x:v>
      </x:c>
      <x:c r="F1243" s="38" t="n">
        <x:v>2.248703756</x:v>
      </x:c>
      <x:c r="G1243" s="38" t="n">
        <x:v>1.6134123877</x:v>
      </x:c>
      <x:c r="H1243" s="42" t="b">
        <x:v>0</x:v>
      </x:c>
      <x:c r="I1243" s="42" t="b">
        <x:v>0</x:v>
      </x:c>
      <x:c r="J1243" s="38" t="n">
        <x:v>0.1289162597</x:v>
      </x:c>
    </x:row>
    <x:row r="1244" ht="19" customHeight="1">
      <x:c r="A1244" s="29" t="str">
        <x:v>stagger_1</x:v>
      </x:c>
      <x:c r="B1244" s="38" t="str">
        <x:v>NET</x:v>
      </x:c>
      <x:c r="C1244" s="38" t="str">
        <x:v>Other FX</x:v>
      </x:c>
      <x:c r="D1244" s="30" t="n">
        <x:v>3</x:v>
      </x:c>
      <x:c r="E1244" s="38" t="str">
        <x:v>DKK/USD</x:v>
      </x:c>
      <x:c r="F1244" s="38" t="n">
        <x:v>17.5160162682</x:v>
      </x:c>
      <x:c r="G1244" s="38" t="n">
        <x:v>1.8391818713</x:v>
      </x:c>
      <x:c r="H1244" s="42" t="b">
        <x:v>0</x:v>
      </x:c>
      <x:c r="I1244" s="42" t="b">
        <x:v>0</x:v>
      </x:c>
      <x:c r="J1244" s="38" t="n">
        <x:v>0.1289162597</x:v>
      </x:c>
    </x:row>
    <x:row r="1245" ht="19" customHeight="1">
      <x:c r="A1245" s="29" t="str">
        <x:v>stagger_1</x:v>
      </x:c>
      <x:c r="B1245" s="38" t="str">
        <x:v>NET</x:v>
      </x:c>
      <x:c r="C1245" s="38" t="str">
        <x:v>Other FX</x:v>
      </x:c>
      <x:c r="D1245" s="30" t="n">
        <x:v>3</x:v>
      </x:c>
      <x:c r="E1245" s="38" t="str">
        <x:v>EUR/USD</x:v>
      </x:c>
      <x:c r="F1245" s="38" t="n">
        <x:v>-19.4978624934</x:v>
      </x:c>
      <x:c r="G1245" s="38" t="n">
        <x:v>-2.2104696642</x:v>
      </x:c>
      <x:c r="H1245" s="42" t="b">
        <x:v>0</x:v>
      </x:c>
      <x:c r="I1245" s="42" t="b">
        <x:v>0</x:v>
      </x:c>
      <x:c r="J1245" s="38" t="n">
        <x:v>0.1289162597</x:v>
      </x:c>
    </x:row>
    <x:row r="1246" ht="19" customHeight="1">
      <x:c r="A1246" s="29" t="str">
        <x:v>stagger_1</x:v>
      </x:c>
      <x:c r="B1246" s="38" t="str">
        <x:v>NET</x:v>
      </x:c>
      <x:c r="C1246" s="38" t="str">
        <x:v>Other FX</x:v>
      </x:c>
      <x:c r="D1246" s="30" t="n">
        <x:v>3</x:v>
      </x:c>
      <x:c r="E1246" s="38" t="str">
        <x:v>SGD/USD</x:v>
      </x:c>
      <x:c r="F1246" s="38" t="n">
        <x:v>1.1536045224</x:v>
      </x:c>
      <x:c r="G1246" s="38" t="n">
        <x:v>0.4517559137</x:v>
      </x:c>
      <x:c r="H1246" s="42" t="b">
        <x:v>1</x:v>
      </x:c>
      <x:c r="I1246" s="42" t="b">
        <x:v>0</x:v>
      </x:c>
      <x:c r="J1246" s="38" t="n">
        <x:v>0.1289162597</x:v>
      </x:c>
    </x:row>
    <x:row r="1247" ht="19" customHeight="1">
      <x:c r="A1247" s="29" t="str">
        <x:v>stagger_1</x:v>
      </x:c>
      <x:c r="B1247" s="38" t="str">
        <x:v>NET</x:v>
      </x:c>
      <x:c r="C1247" s="38" t="str">
        <x:v>Other FX</x:v>
      </x:c>
      <x:c r="D1247" s="30" t="n">
        <x:v>4</x:v>
      </x:c>
      <x:c r="E1247" s="38" t="str">
        <x:v>CAD/USD</x:v>
      </x:c>
      <x:c r="F1247" s="38" t="n">
        <x:v>2.3327166632</x:v>
      </x:c>
      <x:c r="G1247" s="38" t="n">
        <x:v>1.6977044018</x:v>
      </x:c>
      <x:c r="H1247" s="42" t="b">
        <x:v>1</x:v>
      </x:c>
      <x:c r="I1247" s="42" t="b">
        <x:v>0</x:v>
      </x:c>
      <x:c r="J1247" s="38" t="n">
        <x:v>0.1265459432</x:v>
      </x:c>
    </x:row>
    <x:row r="1248" ht="19" customHeight="1">
      <x:c r="A1248" s="29" t="str">
        <x:v>stagger_1</x:v>
      </x:c>
      <x:c r="B1248" s="38" t="str">
        <x:v>NET</x:v>
      </x:c>
      <x:c r="C1248" s="38" t="str">
        <x:v>Other FX</x:v>
      </x:c>
      <x:c r="D1248" s="30" t="n">
        <x:v>4</x:v>
      </x:c>
      <x:c r="E1248" s="38" t="str">
        <x:v>DKK/USD</x:v>
      </x:c>
      <x:c r="F1248" s="38" t="n">
        <x:v>19.4319714343</x:v>
      </x:c>
      <x:c r="G1248" s="38" t="n">
        <x:v>2.2908079844</x:v>
      </x:c>
      <x:c r="H1248" s="42" t="b">
        <x:v>0</x:v>
      </x:c>
      <x:c r="I1248" s="42" t="b">
        <x:v>0</x:v>
      </x:c>
      <x:c r="J1248" s="38" t="n">
        <x:v>0.1265459432</x:v>
      </x:c>
    </x:row>
    <x:row r="1249" ht="19" customHeight="1">
      <x:c r="A1249" s="29" t="str">
        <x:v>stagger_1</x:v>
      </x:c>
      <x:c r="B1249" s="38" t="str">
        <x:v>NET</x:v>
      </x:c>
      <x:c r="C1249" s="38" t="str">
        <x:v>Other FX</x:v>
      </x:c>
      <x:c r="D1249" s="30" t="n">
        <x:v>4</x:v>
      </x:c>
      <x:c r="E1249" s="38" t="str">
        <x:v>EUR/USD</x:v>
      </x:c>
      <x:c r="F1249" s="38" t="n">
        <x:v>-20.8573854402</x:v>
      </x:c>
      <x:c r="G1249" s="38" t="n">
        <x:v>-2.5288097057</x:v>
      </x:c>
      <x:c r="H1249" s="42" t="b">
        <x:v>0</x:v>
      </x:c>
      <x:c r="I1249" s="42" t="b">
        <x:v>0</x:v>
      </x:c>
      <x:c r="J1249" s="38" t="n">
        <x:v>0.1265459432</x:v>
      </x:c>
    </x:row>
    <x:row r="1250" ht="19" customHeight="1">
      <x:c r="A1250" s="29" t="str">
        <x:v>stagger_1</x:v>
      </x:c>
      <x:c r="B1250" s="38" t="str">
        <x:v>NET</x:v>
      </x:c>
      <x:c r="C1250" s="38" t="str">
        <x:v>Other FX</x:v>
      </x:c>
      <x:c r="D1250" s="30" t="n">
        <x:v>5</x:v>
      </x:c>
      <x:c r="E1250" s="38" t="str">
        <x:v>DKK/USD</x:v>
      </x:c>
      <x:c r="F1250" s="38" t="n">
        <x:v>22.2671919707</x:v>
      </x:c>
      <x:c r="G1250" s="38" t="n">
        <x:v>2.6453150659</x:v>
      </x:c>
      <x:c r="H1250" s="42" t="b">
        <x:v>0</x:v>
      </x:c>
      <x:c r="I1250" s="42" t="b">
        <x:v>1</x:v>
      </x:c>
      <x:c r="J1250" s="38" t="n">
        <x:v>0.0934213447</x:v>
      </x:c>
    </x:row>
    <x:row r="1251" ht="19" customHeight="1">
      <x:c r="A1251" s="29" t="str">
        <x:v>stagger_1</x:v>
      </x:c>
      <x:c r="B1251" s="38" t="str">
        <x:v>NET</x:v>
      </x:c>
      <x:c r="C1251" s="38" t="str">
        <x:v>Other FX</x:v>
      </x:c>
      <x:c r="D1251" s="30" t="n">
        <x:v>5</x:v>
      </x:c>
      <x:c r="E1251" s="38" t="str">
        <x:v>EUR/USD</x:v>
      </x:c>
      <x:c r="F1251" s="38" t="n">
        <x:v>-22.6211709966</x:v>
      </x:c>
      <x:c r="G1251" s="38" t="n">
        <x:v>-2.7314936994</x:v>
      </x:c>
      <x:c r="H1251" s="42" t="b">
        <x:v>0</x:v>
      </x:c>
      <x:c r="I1251" s="42" t="b">
        <x:v>1</x:v>
      </x:c>
      <x:c r="J1251" s="38" t="n">
        <x:v>0.0934213447</x:v>
      </x:c>
    </x:row>
    <x:row r="1252" ht="19" customHeight="1">
      <x:c r="A1252" s="29" t="str">
        <x:v>stagger_1</x:v>
      </x:c>
      <x:c r="B1252" s="38" t="str">
        <x:v>NET</x:v>
      </x:c>
      <x:c r="C1252" s="38" t="str">
        <x:v>Other sectors</x:v>
      </x:c>
      <x:c r="D1252" s="30" t="n">
        <x:v>1</x:v>
      </x:c>
      <x:c r="E1252" s="38" t="str">
        <x:v>XLB</x:v>
      </x:c>
      <x:c r="F1252" s="38" t="n">
        <x:v>-0.8480969785</x:v>
      </x:c>
      <x:c r="G1252" s="38" t="n">
        <x:v>-1.253998631</x:v>
      </x:c>
      <x:c r="H1252" s="42" t="b">
        <x:v>0</x:v>
      </x:c>
      <x:c r="I1252" s="42" t="b">
        <x:v>0</x:v>
      </x:c>
      <x:c r="J1252" s="38" t="n">
        <x:v>0.2369521489</x:v>
      </x:c>
    </x:row>
    <x:row r="1253" ht="19" customHeight="1">
      <x:c r="A1253" s="29" t="str">
        <x:v>stagger_1</x:v>
      </x:c>
      <x:c r="B1253" s="38" t="str">
        <x:v>NET</x:v>
      </x:c>
      <x:c r="C1253" s="38" t="str">
        <x:v>Other sectors</x:v>
      </x:c>
      <x:c r="D1253" s="30" t="n">
        <x:v>1</x:v>
      </x:c>
      <x:c r="E1253" s="38" t="str">
        <x:v>XLC</x:v>
      </x:c>
      <x:c r="F1253" s="38" t="n">
        <x:v>0.1537870043</x:v>
      </x:c>
      <x:c r="G1253" s="38" t="n">
        <x:v>0.2714251972</x:v>
      </x:c>
      <x:c r="H1253" s="42" t="b">
        <x:v>0</x:v>
      </x:c>
      <x:c r="I1253" s="42" t="b">
        <x:v>0</x:v>
      </x:c>
      <x:c r="J1253" s="38" t="n">
        <x:v>0.2369521489</x:v>
      </x:c>
    </x:row>
    <x:row r="1254" ht="19" customHeight="1">
      <x:c r="A1254" s="29" t="str">
        <x:v>stagger_1</x:v>
      </x:c>
      <x:c r="B1254" s="38" t="str">
        <x:v>NET</x:v>
      </x:c>
      <x:c r="C1254" s="38" t="str">
        <x:v>Other sectors</x:v>
      </x:c>
      <x:c r="D1254" s="30" t="n">
        <x:v>1</x:v>
      </x:c>
      <x:c r="E1254" s="38" t="str">
        <x:v>XLE</x:v>
      </x:c>
      <x:c r="F1254" s="38" t="n">
        <x:v>0.4958410056</x:v>
      </x:c>
      <x:c r="G1254" s="38" t="n">
        <x:v>2.1918774261</x:v>
      </x:c>
      <x:c r="H1254" s="42" t="b">
        <x:v>0</x:v>
      </x:c>
      <x:c r="I1254" s="42" t="b">
        <x:v>0</x:v>
      </x:c>
      <x:c r="J1254" s="38" t="n">
        <x:v>0.2369521489</x:v>
      </x:c>
    </x:row>
    <x:row r="1255" ht="19" customHeight="1">
      <x:c r="A1255" s="29" t="str">
        <x:v>stagger_1</x:v>
      </x:c>
      <x:c r="B1255" s="38" t="str">
        <x:v>NET</x:v>
      </x:c>
      <x:c r="C1255" s="38" t="str">
        <x:v>Other sectors</x:v>
      </x:c>
      <x:c r="D1255" s="30" t="n">
        <x:v>1</x:v>
      </x:c>
      <x:c r="E1255" s="38" t="str">
        <x:v>XLF</x:v>
      </x:c>
      <x:c r="F1255" s="38" t="n">
        <x:v>0.3539942855</x:v>
      </x:c>
      <x:c r="G1255" s="38" t="n">
        <x:v>0.6345583686</x:v>
      </x:c>
      <x:c r="H1255" s="42" t="b">
        <x:v>0</x:v>
      </x:c>
      <x:c r="I1255" s="42" t="b">
        <x:v>0</x:v>
      </x:c>
      <x:c r="J1255" s="38" t="n">
        <x:v>0.2369521489</x:v>
      </x:c>
    </x:row>
    <x:row r="1256" ht="19" customHeight="1">
      <x:c r="A1256" s="29" t="str">
        <x:v>stagger_1</x:v>
      </x:c>
      <x:c r="B1256" s="38" t="str">
        <x:v>NET</x:v>
      </x:c>
      <x:c r="C1256" s="38" t="str">
        <x:v>Other sectors</x:v>
      </x:c>
      <x:c r="D1256" s="30" t="n">
        <x:v>1</x:v>
      </x:c>
      <x:c r="E1256" s="38" t="str">
        <x:v>XLI</x:v>
      </x:c>
      <x:c r="F1256" s="38" t="n">
        <x:v>0.732941271</x:v>
      </x:c>
      <x:c r="G1256" s="38" t="n">
        <x:v>0.8423548838</x:v>
      </x:c>
      <x:c r="H1256" s="42" t="b">
        <x:v>0</x:v>
      </x:c>
      <x:c r="I1256" s="42" t="b">
        <x:v>0</x:v>
      </x:c>
      <x:c r="J1256" s="38" t="n">
        <x:v>0.2369521489</x:v>
      </x:c>
    </x:row>
    <x:row r="1257" ht="19" customHeight="1">
      <x:c r="A1257" s="29" t="str">
        <x:v>stagger_1</x:v>
      </x:c>
      <x:c r="B1257" s="38" t="str">
        <x:v>NET</x:v>
      </x:c>
      <x:c r="C1257" s="38" t="str">
        <x:v>Other sectors</x:v>
      </x:c>
      <x:c r="D1257" s="30" t="n">
        <x:v>1</x:v>
      </x:c>
      <x:c r="E1257" s="38" t="str">
        <x:v>XLP</x:v>
      </x:c>
      <x:c r="F1257" s="38" t="n">
        <x:v>-1.4855976118</x:v>
      </x:c>
      <x:c r="G1257" s="38" t="n">
        <x:v>-2.1979235064</x:v>
      </x:c>
      <x:c r="H1257" s="42" t="b">
        <x:v>0</x:v>
      </x:c>
      <x:c r="I1257" s="42" t="b">
        <x:v>0</x:v>
      </x:c>
      <x:c r="J1257" s="38" t="n">
        <x:v>0.2369521489</x:v>
      </x:c>
    </x:row>
    <x:row r="1258" ht="19" customHeight="1">
      <x:c r="A1258" s="29" t="str">
        <x:v>stagger_1</x:v>
      </x:c>
      <x:c r="B1258" s="38" t="str">
        <x:v>NET</x:v>
      </x:c>
      <x:c r="C1258" s="38" t="str">
        <x:v>Other sectors</x:v>
      </x:c>
      <x:c r="D1258" s="30" t="n">
        <x:v>1</x:v>
      </x:c>
      <x:c r="E1258" s="38" t="str">
        <x:v>XLRE</x:v>
      </x:c>
      <x:c r="F1258" s="38" t="n">
        <x:v>0.6230095164</x:v>
      </x:c>
      <x:c r="G1258" s="38" t="n">
        <x:v>1.0824587864</x:v>
      </x:c>
      <x:c r="H1258" s="42" t="b">
        <x:v>0</x:v>
      </x:c>
      <x:c r="I1258" s="42" t="b">
        <x:v>0</x:v>
      </x:c>
      <x:c r="J1258" s="38" t="n">
        <x:v>0.2369521489</x:v>
      </x:c>
    </x:row>
    <x:row r="1259" ht="19" customHeight="1">
      <x:c r="A1259" s="29" t="str">
        <x:v>stagger_1</x:v>
      </x:c>
      <x:c r="B1259" s="38" t="str">
        <x:v>NET</x:v>
      </x:c>
      <x:c r="C1259" s="38" t="str">
        <x:v>Other sectors</x:v>
      </x:c>
      <x:c r="D1259" s="30" t="n">
        <x:v>1</x:v>
      </x:c>
      <x:c r="E1259" s="38" t="str">
        <x:v>XLU</x:v>
      </x:c>
      <x:c r="F1259" s="38" t="n">
        <x:v>0.4459573566</x:v>
      </x:c>
      <x:c r="G1259" s="38" t="n">
        <x:v>1.0201225185</x:v>
      </x:c>
      <x:c r="H1259" s="42" t="b">
        <x:v>0</x:v>
      </x:c>
      <x:c r="I1259" s="42" t="b">
        <x:v>0</x:v>
      </x:c>
      <x:c r="J1259" s="38" t="n">
        <x:v>0.2369521489</x:v>
      </x:c>
    </x:row>
    <x:row r="1260" ht="19" customHeight="1">
      <x:c r="A1260" s="29" t="str">
        <x:v>stagger_1</x:v>
      </x:c>
      <x:c r="B1260" s="38" t="str">
        <x:v>NET</x:v>
      </x:c>
      <x:c r="C1260" s="38" t="str">
        <x:v>Other sectors</x:v>
      </x:c>
      <x:c r="D1260" s="30" t="n">
        <x:v>1</x:v>
      </x:c>
      <x:c r="E1260" s="38" t="str">
        <x:v>XLV</x:v>
      </x:c>
      <x:c r="F1260" s="38" t="n">
        <x:v>-0.0072356425</x:v>
      </x:c>
      <x:c r="G1260" s="38" t="n">
        <x:v>-0.0140177366</x:v>
      </x:c>
      <x:c r="H1260" s="42" t="b">
        <x:v>1</x:v>
      </x:c>
      <x:c r="I1260" s="42" t="b">
        <x:v>0</x:v>
      </x:c>
      <x:c r="J1260" s="38" t="n">
        <x:v>0.2369521489</x:v>
      </x:c>
    </x:row>
    <x:row r="1261" ht="19" customHeight="1">
      <x:c r="A1261" s="29" t="str">
        <x:v>stagger_1</x:v>
      </x:c>
      <x:c r="B1261" s="38" t="str">
        <x:v>NET</x:v>
      </x:c>
      <x:c r="C1261" s="38" t="str">
        <x:v>Other sectors</x:v>
      </x:c>
      <x:c r="D1261" s="30" t="n">
        <x:v>1</x:v>
      </x:c>
      <x:c r="E1261" s="38" t="str">
        <x:v>XLY</x:v>
      </x:c>
      <x:c r="F1261" s="38" t="n">
        <x:v>1.2894217047</x:v>
      </x:c>
      <x:c r="G1261" s="38" t="n">
        <x:v>2.1792937474</x:v>
      </x:c>
      <x:c r="H1261" s="42" t="b">
        <x:v>0</x:v>
      </x:c>
      <x:c r="I1261" s="42" t="b">
        <x:v>0</x:v>
      </x:c>
      <x:c r="J1261" s="38" t="n">
        <x:v>0.2369521489</x:v>
      </x:c>
    </x:row>
    <x:row r="1262" ht="19" customHeight="1">
      <x:c r="A1262" s="29" t="str">
        <x:v>stagger_1</x:v>
      </x:c>
      <x:c r="B1262" s="38" t="str">
        <x:v>NET</x:v>
      </x:c>
      <x:c r="C1262" s="38" t="str">
        <x:v>Other sectors</x:v>
      </x:c>
      <x:c r="D1262" s="30" t="n">
        <x:v>2</x:v>
      </x:c>
      <x:c r="E1262" s="38" t="str">
        <x:v>XLB</x:v>
      </x:c>
      <x:c r="F1262" s="38" t="n">
        <x:v>-0.8490298899</x:v>
      </x:c>
      <x:c r="G1262" s="38" t="n">
        <x:v>-1.2706073235</x:v>
      </x:c>
      <x:c r="H1262" s="42" t="b">
        <x:v>0</x:v>
      </x:c>
      <x:c r="I1262" s="42" t="b">
        <x:v>0</x:v>
      </x:c>
      <x:c r="J1262" s="38" t="n">
        <x:v>0.2369499759</x:v>
      </x:c>
    </x:row>
    <x:row r="1263" ht="19" customHeight="1">
      <x:c r="A1263" s="29" t="str">
        <x:v>stagger_1</x:v>
      </x:c>
      <x:c r="B1263" s="38" t="str">
        <x:v>NET</x:v>
      </x:c>
      <x:c r="C1263" s="38" t="str">
        <x:v>Other sectors</x:v>
      </x:c>
      <x:c r="D1263" s="30" t="n">
        <x:v>2</x:v>
      </x:c>
      <x:c r="E1263" s="38" t="str">
        <x:v>XLC</x:v>
      </x:c>
      <x:c r="F1263" s="38" t="n">
        <x:v>0.1533968783</x:v>
      </x:c>
      <x:c r="G1263" s="38" t="n">
        <x:v>0.2730206278</x:v>
      </x:c>
      <x:c r="H1263" s="42" t="b">
        <x:v>1</x:v>
      </x:c>
      <x:c r="I1263" s="42" t="b">
        <x:v>0</x:v>
      </x:c>
      <x:c r="J1263" s="38" t="n">
        <x:v>0.2369499759</x:v>
      </x:c>
    </x:row>
    <x:row r="1264" ht="19" customHeight="1">
      <x:c r="A1264" s="29" t="str">
        <x:v>stagger_1</x:v>
      </x:c>
      <x:c r="B1264" s="38" t="str">
        <x:v>NET</x:v>
      </x:c>
      <x:c r="C1264" s="38" t="str">
        <x:v>Other sectors</x:v>
      </x:c>
      <x:c r="D1264" s="30" t="n">
        <x:v>2</x:v>
      </x:c>
      <x:c r="E1264" s="38" t="str">
        <x:v>XLE</x:v>
      </x:c>
      <x:c r="F1264" s="38" t="n">
        <x:v>0.495975809</x:v>
      </x:c>
      <x:c r="G1264" s="38" t="n">
        <x:v>2.2102985944</x:v>
      </x:c>
      <x:c r="H1264" s="42" t="b">
        <x:v>0</x:v>
      </x:c>
      <x:c r="I1264" s="42" t="b">
        <x:v>0</x:v>
      </x:c>
      <x:c r="J1264" s="38" t="n">
        <x:v>0.2369499759</x:v>
      </x:c>
    </x:row>
    <x:row r="1265" ht="19" customHeight="1">
      <x:c r="A1265" s="29" t="str">
        <x:v>stagger_1</x:v>
      </x:c>
      <x:c r="B1265" s="38" t="str">
        <x:v>NET</x:v>
      </x:c>
      <x:c r="C1265" s="38" t="str">
        <x:v>Other sectors</x:v>
      </x:c>
      <x:c r="D1265" s="30" t="n">
        <x:v>2</x:v>
      </x:c>
      <x:c r="E1265" s="38" t="str">
        <x:v>XLF</x:v>
      </x:c>
      <x:c r="F1265" s="38" t="n">
        <x:v>0.3523872881</x:v>
      </x:c>
      <x:c r="G1265" s="38" t="n">
        <x:v>0.6501130604</x:v>
      </x:c>
      <x:c r="H1265" s="42" t="b">
        <x:v>0</x:v>
      </x:c>
      <x:c r="I1265" s="42" t="b">
        <x:v>0</x:v>
      </x:c>
      <x:c r="J1265" s="38" t="n">
        <x:v>0.2369499759</x:v>
      </x:c>
    </x:row>
    <x:row r="1266" ht="19" customHeight="1">
      <x:c r="A1266" s="29" t="str">
        <x:v>stagger_1</x:v>
      </x:c>
      <x:c r="B1266" s="38" t="str">
        <x:v>NET</x:v>
      </x:c>
      <x:c r="C1266" s="38" t="str">
        <x:v>Other sectors</x:v>
      </x:c>
      <x:c r="D1266" s="30" t="n">
        <x:v>2</x:v>
      </x:c>
      <x:c r="E1266" s="38" t="str">
        <x:v>XLI</x:v>
      </x:c>
      <x:c r="F1266" s="38" t="n">
        <x:v>0.7351171096</x:v>
      </x:c>
      <x:c r="G1266" s="38" t="n">
        <x:v>0.8648266493</x:v>
      </x:c>
      <x:c r="H1266" s="42" t="b">
        <x:v>0</x:v>
      </x:c>
      <x:c r="I1266" s="42" t="b">
        <x:v>0</x:v>
      </x:c>
      <x:c r="J1266" s="38" t="n">
        <x:v>0.2369499759</x:v>
      </x:c>
    </x:row>
    <x:row r="1267" ht="19" customHeight="1">
      <x:c r="A1267" s="29" t="str">
        <x:v>stagger_1</x:v>
      </x:c>
      <x:c r="B1267" s="38" t="str">
        <x:v>NET</x:v>
      </x:c>
      <x:c r="C1267" s="38" t="str">
        <x:v>Other sectors</x:v>
      </x:c>
      <x:c r="D1267" s="30" t="n">
        <x:v>2</x:v>
      </x:c>
      <x:c r="E1267" s="38" t="str">
        <x:v>XLP</x:v>
      </x:c>
      <x:c r="F1267" s="38" t="n">
        <x:v>-1.4882972554</x:v>
      </x:c>
      <x:c r="G1267" s="38" t="n">
        <x:v>-2.3137213724</x:v>
      </x:c>
      <x:c r="H1267" s="42" t="b">
        <x:v>0</x:v>
      </x:c>
      <x:c r="I1267" s="42" t="b">
        <x:v>0</x:v>
      </x:c>
      <x:c r="J1267" s="38" t="n">
        <x:v>0.2369499759</x:v>
      </x:c>
    </x:row>
    <x:row r="1268" ht="19" customHeight="1">
      <x:c r="A1268" s="29" t="str">
        <x:v>stagger_1</x:v>
      </x:c>
      <x:c r="B1268" s="38" t="str">
        <x:v>NET</x:v>
      </x:c>
      <x:c r="C1268" s="38" t="str">
        <x:v>Other sectors</x:v>
      </x:c>
      <x:c r="D1268" s="30" t="n">
        <x:v>2</x:v>
      </x:c>
      <x:c r="E1268" s="38" t="str">
        <x:v>XLRE</x:v>
      </x:c>
      <x:c r="F1268" s="38" t="n">
        <x:v>0.6213490636</x:v>
      </x:c>
      <x:c r="G1268" s="38" t="n">
        <x:v>1.1111546176</x:v>
      </x:c>
      <x:c r="H1268" s="42" t="b">
        <x:v>0</x:v>
      </x:c>
      <x:c r="I1268" s="42" t="b">
        <x:v>0</x:v>
      </x:c>
      <x:c r="J1268" s="38" t="n">
        <x:v>0.2369499759</x:v>
      </x:c>
    </x:row>
    <x:row r="1269" ht="19" customHeight="1">
      <x:c r="A1269" s="29" t="str">
        <x:v>stagger_1</x:v>
      </x:c>
      <x:c r="B1269" s="38" t="str">
        <x:v>NET</x:v>
      </x:c>
      <x:c r="C1269" s="38" t="str">
        <x:v>Other sectors</x:v>
      </x:c>
      <x:c r="D1269" s="30" t="n">
        <x:v>2</x:v>
      </x:c>
      <x:c r="E1269" s="38" t="str">
        <x:v>XLU</x:v>
      </x:c>
      <x:c r="F1269" s="38" t="n">
        <x:v>0.4459763212</x:v>
      </x:c>
      <x:c r="G1269" s="38" t="n">
        <x:v>1.0275352718</x:v>
      </x:c>
      <x:c r="H1269" s="42" t="b">
        <x:v>0</x:v>
      </x:c>
      <x:c r="I1269" s="42" t="b">
        <x:v>0</x:v>
      </x:c>
      <x:c r="J1269" s="38" t="n">
        <x:v>0.2369499759</x:v>
      </x:c>
    </x:row>
    <x:row r="1270" ht="19" customHeight="1">
      <x:c r="A1270" s="29" t="str">
        <x:v>stagger_1</x:v>
      </x:c>
      <x:c r="B1270" s="38" t="str">
        <x:v>NET</x:v>
      </x:c>
      <x:c r="C1270" s="38" t="str">
        <x:v>Other sectors</x:v>
      </x:c>
      <x:c r="D1270" s="30" t="n">
        <x:v>2</x:v>
      </x:c>
      <x:c r="E1270" s="38" t="str">
        <x:v>XLY</x:v>
      </x:c>
      <x:c r="F1270" s="38" t="n">
        <x:v>1.2920374015</x:v>
      </x:c>
      <x:c r="G1270" s="38" t="n">
        <x:v>2.3177623575</x:v>
      </x:c>
      <x:c r="H1270" s="42" t="b">
        <x:v>0</x:v>
      </x:c>
      <x:c r="I1270" s="42" t="b">
        <x:v>0</x:v>
      </x:c>
      <x:c r="J1270" s="38" t="n">
        <x:v>0.2369499759</x:v>
      </x:c>
    </x:row>
    <x:row r="1271" ht="19" customHeight="1">
      <x:c r="A1271" s="29" t="str">
        <x:v>stagger_1</x:v>
      </x:c>
      <x:c r="B1271" s="38" t="str">
        <x:v>NET</x:v>
      </x:c>
      <x:c r="C1271" s="38" t="str">
        <x:v>Other sectors</x:v>
      </x:c>
      <x:c r="D1271" s="30" t="n">
        <x:v>3</x:v>
      </x:c>
      <x:c r="E1271" s="38" t="str">
        <x:v>XLB</x:v>
      </x:c>
      <x:c r="F1271" s="38" t="n">
        <x:v>-0.8498766213</x:v>
      </x:c>
      <x:c r="G1271" s="38" t="n">
        <x:v>-1.2802594218</x:v>
      </x:c>
      <x:c r="H1271" s="42" t="b">
        <x:v>0</x:v>
      </x:c>
      <x:c r="I1271" s="42" t="b">
        <x:v>0</x:v>
      </x:c>
      <x:c r="J1271" s="38" t="n">
        <x:v>0.2361374338</x:v>
      </x:c>
    </x:row>
    <x:row r="1272" ht="19" customHeight="1">
      <x:c r="A1272" s="29" t="str">
        <x:v>stagger_1</x:v>
      </x:c>
      <x:c r="B1272" s="38" t="str">
        <x:v>NET</x:v>
      </x:c>
      <x:c r="C1272" s="38" t="str">
        <x:v>Other sectors</x:v>
      </x:c>
      <x:c r="D1272" s="30" t="n">
        <x:v>3</x:v>
      </x:c>
      <x:c r="E1272" s="38" t="str">
        <x:v>XLE</x:v>
      </x:c>
      <x:c r="F1272" s="38" t="n">
        <x:v>0.5052475894</x:v>
      </x:c>
      <x:c r="G1272" s="38" t="n">
        <x:v>2.2928475984</x:v>
      </x:c>
      <x:c r="H1272" s="42" t="b">
        <x:v>0</x:v>
      </x:c>
      <x:c r="I1272" s="42" t="b">
        <x:v>0</x:v>
      </x:c>
      <x:c r="J1272" s="38" t="n">
        <x:v>0.2361374338</x:v>
      </x:c>
    </x:row>
    <x:row r="1273" ht="19" customHeight="1">
      <x:c r="A1273" s="29" t="str">
        <x:v>stagger_1</x:v>
      </x:c>
      <x:c r="B1273" s="38" t="str">
        <x:v>NET</x:v>
      </x:c>
      <x:c r="C1273" s="38" t="str">
        <x:v>Other sectors</x:v>
      </x:c>
      <x:c r="D1273" s="30" t="n">
        <x:v>3</x:v>
      </x:c>
      <x:c r="E1273" s="38" t="str">
        <x:v>XLF</x:v>
      </x:c>
      <x:c r="F1273" s="38" t="n">
        <x:v>0.3720645925</x:v>
      </x:c>
      <x:c r="G1273" s="38" t="n">
        <x:v>0.6971231588</x:v>
      </x:c>
      <x:c r="H1273" s="42" t="b">
        <x:v>1</x:v>
      </x:c>
      <x:c r="I1273" s="42" t="b">
        <x:v>0</x:v>
      </x:c>
      <x:c r="J1273" s="38" t="n">
        <x:v>0.2361374338</x:v>
      </x:c>
    </x:row>
    <x:row r="1274" ht="19" customHeight="1">
      <x:c r="A1274" s="29" t="str">
        <x:v>stagger_1</x:v>
      </x:c>
      <x:c r="B1274" s="38" t="str">
        <x:v>NET</x:v>
      </x:c>
      <x:c r="C1274" s="38" t="str">
        <x:v>Other sectors</x:v>
      </x:c>
      <x:c r="D1274" s="30" t="n">
        <x:v>3</x:v>
      </x:c>
      <x:c r="E1274" s="38" t="str">
        <x:v>XLI</x:v>
      </x:c>
      <x:c r="F1274" s="38" t="n">
        <x:v>0.7033140558</x:v>
      </x:c>
      <x:c r="G1274" s="38" t="n">
        <x:v>0.8407902045</x:v>
      </x:c>
      <x:c r="H1274" s="42" t="b">
        <x:v>0</x:v>
      </x:c>
      <x:c r="I1274" s="42" t="b">
        <x:v>0</x:v>
      </x:c>
      <x:c r="J1274" s="38" t="n">
        <x:v>0.2361374338</x:v>
      </x:c>
    </x:row>
    <x:row r="1275" ht="19" customHeight="1">
      <x:c r="A1275" s="29" t="str">
        <x:v>stagger_1</x:v>
      </x:c>
      <x:c r="B1275" s="38" t="str">
        <x:v>NET</x:v>
      </x:c>
      <x:c r="C1275" s="38" t="str">
        <x:v>Other sectors</x:v>
      </x:c>
      <x:c r="D1275" s="30" t="n">
        <x:v>3</x:v>
      </x:c>
      <x:c r="E1275" s="38" t="str">
        <x:v>XLP</x:v>
      </x:c>
      <x:c r="F1275" s="38" t="n">
        <x:v>-1.4422913748</x:v>
      </x:c>
      <x:c r="G1275" s="38" t="n">
        <x:v>-2.3386272201</x:v>
      </x:c>
      <x:c r="H1275" s="42" t="b">
        <x:v>0</x:v>
      </x:c>
      <x:c r="I1275" s="42" t="b">
        <x:v>0</x:v>
      </x:c>
      <x:c r="J1275" s="38" t="n">
        <x:v>0.2361374338</x:v>
      </x:c>
    </x:row>
    <x:row r="1276" ht="19" customHeight="1">
      <x:c r="A1276" s="29" t="str">
        <x:v>stagger_1</x:v>
      </x:c>
      <x:c r="B1276" s="38" t="str">
        <x:v>NET</x:v>
      </x:c>
      <x:c r="C1276" s="38" t="str">
        <x:v>Other sectors</x:v>
      </x:c>
      <x:c r="D1276" s="30" t="n">
        <x:v>3</x:v>
      </x:c>
      <x:c r="E1276" s="38" t="str">
        <x:v>XLRE</x:v>
      </x:c>
      <x:c r="F1276" s="38" t="n">
        <x:v>0.5991506289</x:v>
      </x:c>
      <x:c r="G1276" s="38" t="n">
        <x:v>1.0900938955</x:v>
      </x:c>
      <x:c r="H1276" s="42" t="b">
        <x:v>0</x:v>
      </x:c>
      <x:c r="I1276" s="42" t="b">
        <x:v>0</x:v>
      </x:c>
      <x:c r="J1276" s="38" t="n">
        <x:v>0.2361374338</x:v>
      </x:c>
    </x:row>
    <x:row r="1277" ht="19" customHeight="1">
      <x:c r="A1277" s="29" t="str">
        <x:v>stagger_1</x:v>
      </x:c>
      <x:c r="B1277" s="38" t="str">
        <x:v>NET</x:v>
      </x:c>
      <x:c r="C1277" s="38" t="str">
        <x:v>Other sectors</x:v>
      </x:c>
      <x:c r="D1277" s="30" t="n">
        <x:v>3</x:v>
      </x:c>
      <x:c r="E1277" s="38" t="str">
        <x:v>XLU</x:v>
      </x:c>
      <x:c r="F1277" s="38" t="n">
        <x:v>0.4333474804</x:v>
      </x:c>
      <x:c r="G1277" s="38" t="n">
        <x:v>1.0107663021</x:v>
      </x:c>
      <x:c r="H1277" s="42" t="b">
        <x:v>0</x:v>
      </x:c>
      <x:c r="I1277" s="42" t="b">
        <x:v>0</x:v>
      </x:c>
      <x:c r="J1277" s="38" t="n">
        <x:v>0.2361374338</x:v>
      </x:c>
    </x:row>
    <x:row r="1278" ht="19" customHeight="1">
      <x:c r="A1278" s="29" t="str">
        <x:v>stagger_1</x:v>
      </x:c>
      <x:c r="B1278" s="38" t="str">
        <x:v>NET</x:v>
      </x:c>
      <x:c r="C1278" s="38" t="str">
        <x:v>Other sectors</x:v>
      </x:c>
      <x:c r="D1278" s="30" t="n">
        <x:v>3</x:v>
      </x:c>
      <x:c r="E1278" s="38" t="str">
        <x:v>XLY</x:v>
      </x:c>
      <x:c r="F1278" s="38" t="n">
        <x:v>1.348492004</x:v>
      </x:c>
      <x:c r="G1278" s="38" t="n">
        <x:v>2.6220141522</x:v>
      </x:c>
      <x:c r="H1278" s="42" t="b">
        <x:v>0</x:v>
      </x:c>
      <x:c r="I1278" s="42" t="b">
        <x:v>0</x:v>
      </x:c>
      <x:c r="J1278" s="38" t="n">
        <x:v>0.2361374338</x:v>
      </x:c>
    </x:row>
    <x:row r="1279" ht="19" customHeight="1">
      <x:c r="A1279" s="29" t="str">
        <x:v>stagger_1</x:v>
      </x:c>
      <x:c r="B1279" s="38" t="str">
        <x:v>NET</x:v>
      </x:c>
      <x:c r="C1279" s="38" t="str">
        <x:v>Other sectors</x:v>
      </x:c>
      <x:c r="D1279" s="30" t="n">
        <x:v>4</x:v>
      </x:c>
      <x:c r="E1279" s="38" t="str">
        <x:v>XLB</x:v>
      </x:c>
      <x:c r="F1279" s="38" t="n">
        <x:v>-0.7914794954</x:v>
      </x:c>
      <x:c r="G1279" s="38" t="n">
        <x:v>-1.2062108251</x:v>
      </x:c>
      <x:c r="H1279" s="42" t="b">
        <x:v>0</x:v>
      </x:c>
      <x:c r="I1279" s="42" t="b">
        <x:v>0</x:v>
      </x:c>
      <x:c r="J1279" s="38" t="n">
        <x:v>0.2309089484</x:v>
      </x:c>
    </x:row>
    <x:row r="1280" ht="19" customHeight="1">
      <x:c r="A1280" s="29" t="str">
        <x:v>stagger_1</x:v>
      </x:c>
      <x:c r="B1280" s="38" t="str">
        <x:v>NET</x:v>
      </x:c>
      <x:c r="C1280" s="38" t="str">
        <x:v>Other sectors</x:v>
      </x:c>
      <x:c r="D1280" s="30" t="n">
        <x:v>4</x:v>
      </x:c>
      <x:c r="E1280" s="38" t="str">
        <x:v>XLE</x:v>
      </x:c>
      <x:c r="F1280" s="38" t="n">
        <x:v>0.5321323136</x:v>
      </x:c>
      <x:c r="G1280" s="38" t="n">
        <x:v>2.4615087672</x:v>
      </x:c>
      <x:c r="H1280" s="42" t="b">
        <x:v>0</x:v>
      </x:c>
      <x:c r="I1280" s="42" t="b">
        <x:v>0</x:v>
      </x:c>
      <x:c r="J1280" s="38" t="n">
        <x:v>0.2309089484</x:v>
      </x:c>
    </x:row>
    <x:row r="1281" ht="19" customHeight="1">
      <x:c r="A1281" s="29" t="str">
        <x:v>stagger_1</x:v>
      </x:c>
      <x:c r="B1281" s="38" t="str">
        <x:v>NET</x:v>
      </x:c>
      <x:c r="C1281" s="38" t="str">
        <x:v>Other sectors</x:v>
      </x:c>
      <x:c r="D1281" s="30" t="n">
        <x:v>4</x:v>
      </x:c>
      <x:c r="E1281" s="38" t="str">
        <x:v>XLI</x:v>
      </x:c>
      <x:c r="F1281" s="38" t="n">
        <x:v>0.7884445091</x:v>
      </x:c>
      <x:c r="G1281" s="38" t="n">
        <x:v>0.9561877879</x:v>
      </x:c>
      <x:c r="H1281" s="42" t="b">
        <x:v>1</x:v>
      </x:c>
      <x:c r="I1281" s="42" t="b">
        <x:v>0</x:v>
      </x:c>
      <x:c r="J1281" s="38" t="n">
        <x:v>0.2309089484</x:v>
      </x:c>
    </x:row>
    <x:row r="1282" ht="19" customHeight="1">
      <x:c r="A1282" s="29" t="str">
        <x:v>stagger_1</x:v>
      </x:c>
      <x:c r="B1282" s="38" t="str">
        <x:v>NET</x:v>
      </x:c>
      <x:c r="C1282" s="38" t="str">
        <x:v>Other sectors</x:v>
      </x:c>
      <x:c r="D1282" s="30" t="n">
        <x:v>4</x:v>
      </x:c>
      <x:c r="E1282" s="38" t="str">
        <x:v>XLP</x:v>
      </x:c>
      <x:c r="F1282" s="38" t="n">
        <x:v>-1.5521886835</x:v>
      </x:c>
      <x:c r="G1282" s="38" t="n">
        <x:v>-2.6126498282</x:v>
      </x:c>
      <x:c r="H1282" s="42" t="b">
        <x:v>0</x:v>
      </x:c>
      <x:c r="I1282" s="42" t="b">
        <x:v>0</x:v>
      </x:c>
      <x:c r="J1282" s="38" t="n">
        <x:v>0.2309089484</x:v>
      </x:c>
    </x:row>
    <x:row r="1283" ht="19" customHeight="1">
      <x:c r="A1283" s="29" t="str">
        <x:v>stagger_1</x:v>
      </x:c>
      <x:c r="B1283" s="38" t="str">
        <x:v>NET</x:v>
      </x:c>
      <x:c r="C1283" s="38" t="str">
        <x:v>Other sectors</x:v>
      </x:c>
      <x:c r="D1283" s="30" t="n">
        <x:v>4</x:v>
      </x:c>
      <x:c r="E1283" s="38" t="str">
        <x:v>XLRE</x:v>
      </x:c>
      <x:c r="F1283" s="38" t="n">
        <x:v>0.686624667</x:v>
      </x:c>
      <x:c r="G1283" s="38" t="n">
        <x:v>1.2877339995</x:v>
      </x:c>
      <x:c r="H1283" s="42" t="b">
        <x:v>0</x:v>
      </x:c>
      <x:c r="I1283" s="42" t="b">
        <x:v>0</x:v>
      </x:c>
      <x:c r="J1283" s="38" t="n">
        <x:v>0.2309089484</x:v>
      </x:c>
    </x:row>
    <x:row r="1284" ht="19" customHeight="1">
      <x:c r="A1284" s="29" t="str">
        <x:v>stagger_1</x:v>
      </x:c>
      <x:c r="B1284" s="38" t="str">
        <x:v>NET</x:v>
      </x:c>
      <x:c r="C1284" s="38" t="str">
        <x:v>Other sectors</x:v>
      </x:c>
      <x:c r="D1284" s="30" t="n">
        <x:v>4</x:v>
      </x:c>
      <x:c r="E1284" s="38" t="str">
        <x:v>XLU</x:v>
      </x:c>
      <x:c r="F1284" s="38" t="n">
        <x:v>0.4151150892</x:v>
      </x:c>
      <x:c r="G1284" s="38" t="n">
        <x:v>0.9735278706</x:v>
      </x:c>
      <x:c r="H1284" s="42" t="b">
        <x:v>0</x:v>
      </x:c>
      <x:c r="I1284" s="42" t="b">
        <x:v>0</x:v>
      </x:c>
      <x:c r="J1284" s="38" t="n">
        <x:v>0.2309089484</x:v>
      </x:c>
    </x:row>
    <x:row r="1285" ht="19" customHeight="1">
      <x:c r="A1285" s="29" t="str">
        <x:v>stagger_1</x:v>
      </x:c>
      <x:c r="B1285" s="38" t="str">
        <x:v>NET</x:v>
      </x:c>
      <x:c r="C1285" s="38" t="str">
        <x:v>Other sectors</x:v>
      </x:c>
      <x:c r="D1285" s="30" t="n">
        <x:v>4</x:v>
      </x:c>
      <x:c r="E1285" s="38" t="str">
        <x:v>XLY</x:v>
      </x:c>
      <x:c r="F1285" s="38" t="n">
        <x:v>1.3413132743</x:v>
      </x:c>
      <x:c r="G1285" s="38" t="n">
        <x:v>2.6179404373</x:v>
      </x:c>
      <x:c r="H1285" s="42" t="b">
        <x:v>0</x:v>
      </x:c>
      <x:c r="I1285" s="42" t="b">
        <x:v>0</x:v>
      </x:c>
      <x:c r="J1285" s="38" t="n">
        <x:v>0.2309089484</x:v>
      </x:c>
    </x:row>
    <x:row r="1286" ht="19" customHeight="1">
      <x:c r="A1286" s="29" t="str">
        <x:v>stagger_1</x:v>
      </x:c>
      <x:c r="B1286" s="38" t="str">
        <x:v>NET</x:v>
      </x:c>
      <x:c r="C1286" s="38" t="str">
        <x:v>Other sectors</x:v>
      </x:c>
      <x:c r="D1286" s="30" t="n">
        <x:v>5</x:v>
      </x:c>
      <x:c r="E1286" s="38" t="str">
        <x:v>XLB</x:v>
      </x:c>
      <x:c r="F1286" s="38" t="n">
        <x:v>-0.3299368311</x:v>
      </x:c>
      <x:c r="G1286" s="38" t="n">
        <x:v>-0.7427219672</x:v>
      </x:c>
      <x:c r="H1286" s="42" t="b">
        <x:v>1</x:v>
      </x:c>
      <x:c r="I1286" s="42" t="b">
        <x:v>0</x:v>
      </x:c>
      <x:c r="J1286" s="38" t="n">
        <x:v>0.2211426127</x:v>
      </x:c>
    </x:row>
    <x:row r="1287" ht="19" customHeight="1">
      <x:c r="A1287" s="29" t="str">
        <x:v>stagger_1</x:v>
      </x:c>
      <x:c r="B1287" s="38" t="str">
        <x:v>NET</x:v>
      </x:c>
      <x:c r="C1287" s="38" t="str">
        <x:v>Other sectors</x:v>
      </x:c>
      <x:c r="D1287" s="30" t="n">
        <x:v>5</x:v>
      </x:c>
      <x:c r="E1287" s="38" t="str">
        <x:v>XLE</x:v>
      </x:c>
      <x:c r="F1287" s="38" t="n">
        <x:v>0.5038527192</x:v>
      </x:c>
      <x:c r="G1287" s="38" t="n">
        <x:v>2.3541991119</x:v>
      </x:c>
      <x:c r="H1287" s="42" t="b">
        <x:v>0</x:v>
      </x:c>
      <x:c r="I1287" s="42" t="b">
        <x:v>0</x:v>
      </x:c>
      <x:c r="J1287" s="38" t="n">
        <x:v>0.2211426127</x:v>
      </x:c>
    </x:row>
    <x:row r="1288" ht="19" customHeight="1">
      <x:c r="A1288" s="29" t="str">
        <x:v>stagger_1</x:v>
      </x:c>
      <x:c r="B1288" s="38" t="str">
        <x:v>NET</x:v>
      </x:c>
      <x:c r="C1288" s="38" t="str">
        <x:v>Other sectors</x:v>
      </x:c>
      <x:c r="D1288" s="30" t="n">
        <x:v>5</x:v>
      </x:c>
      <x:c r="E1288" s="38" t="str">
        <x:v>XLP</x:v>
      </x:c>
      <x:c r="F1288" s="38" t="n">
        <x:v>-1.5021026291</x:v>
      </x:c>
      <x:c r="G1288" s="38" t="n">
        <x:v>-2.5397209009</x:v>
      </x:c>
      <x:c r="H1288" s="42" t="b">
        <x:v>0</x:v>
      </x:c>
      <x:c r="I1288" s="42" t="b">
        <x:v>0</x:v>
      </x:c>
      <x:c r="J1288" s="38" t="n">
        <x:v>0.2211426127</x:v>
      </x:c>
    </x:row>
    <x:row r="1289" ht="19" customHeight="1">
      <x:c r="A1289" s="29" t="str">
        <x:v>stagger_1</x:v>
      </x:c>
      <x:c r="B1289" s="38" t="str">
        <x:v>NET</x:v>
      </x:c>
      <x:c r="C1289" s="38" t="str">
        <x:v>Other sectors</x:v>
      </x:c>
      <x:c r="D1289" s="30" t="n">
        <x:v>5</x:v>
      </x:c>
      <x:c r="E1289" s="38" t="str">
        <x:v>XLRE</x:v>
      </x:c>
      <x:c r="F1289" s="38" t="n">
        <x:v>0.6143976369</x:v>
      </x:c>
      <x:c r="G1289" s="38" t="n">
        <x:v>1.1646988533</x:v>
      </x:c>
      <x:c r="H1289" s="42" t="b">
        <x:v>0</x:v>
      </x:c>
      <x:c r="I1289" s="42" t="b">
        <x:v>0</x:v>
      </x:c>
      <x:c r="J1289" s="38" t="n">
        <x:v>0.2211426127</x:v>
      </x:c>
    </x:row>
    <x:row r="1290" ht="19" customHeight="1">
      <x:c r="A1290" s="29" t="str">
        <x:v>stagger_1</x:v>
      </x:c>
      <x:c r="B1290" s="38" t="str">
        <x:v>NET</x:v>
      </x:c>
      <x:c r="C1290" s="38" t="str">
        <x:v>Other sectors</x:v>
      </x:c>
      <x:c r="D1290" s="30" t="n">
        <x:v>5</x:v>
      </x:c>
      <x:c r="E1290" s="38" t="str">
        <x:v>XLU</x:v>
      </x:c>
      <x:c r="F1290" s="38" t="n">
        <x:v>0.4653337501</x:v>
      </x:c>
      <x:c r="G1290" s="38" t="n">
        <x:v>1.1003200206</x:v>
      </x:c>
      <x:c r="H1290" s="42" t="b">
        <x:v>0</x:v>
      </x:c>
      <x:c r="I1290" s="42" t="b">
        <x:v>0</x:v>
      </x:c>
      <x:c r="J1290" s="38" t="n">
        <x:v>0.2211426127</x:v>
      </x:c>
    </x:row>
    <x:row r="1291" ht="19" customHeight="1">
      <x:c r="A1291" s="29" t="str">
        <x:v>stagger_1</x:v>
      </x:c>
      <x:c r="B1291" s="38" t="str">
        <x:v>NET</x:v>
      </x:c>
      <x:c r="C1291" s="38" t="str">
        <x:v>Other sectors</x:v>
      </x:c>
      <x:c r="D1291" s="30" t="n">
        <x:v>5</x:v>
      </x:c>
      <x:c r="E1291" s="38" t="str">
        <x:v>XLY</x:v>
      </x:c>
      <x:c r="F1291" s="38" t="n">
        <x:v>1.2947983786</x:v>
      </x:c>
      <x:c r="G1291" s="38" t="n">
        <x:v>2.5401139166</x:v>
      </x:c>
      <x:c r="H1291" s="42" t="b">
        <x:v>0</x:v>
      </x:c>
      <x:c r="I1291" s="42" t="b">
        <x:v>0</x:v>
      </x:c>
      <x:c r="J1291" s="38" t="n">
        <x:v>0.2211426127</x:v>
      </x:c>
    </x:row>
    <x:row r="1292" ht="19" customHeight="1">
      <x:c r="A1292" s="29" t="str">
        <x:v>stagger_1</x:v>
      </x:c>
      <x:c r="B1292" s="38" t="str">
        <x:v>NET</x:v>
      </x:c>
      <x:c r="C1292" s="38" t="str">
        <x:v>Other sectors</x:v>
      </x:c>
      <x:c r="D1292" s="30" t="n">
        <x:v>6</x:v>
      </x:c>
      <x:c r="E1292" s="38" t="str">
        <x:v>XLE</x:v>
      </x:c>
      <x:c r="F1292" s="38" t="n">
        <x:v>0.4582645172</x:v>
      </x:c>
      <x:c r="G1292" s="38" t="n">
        <x:v>2.2418838926</x:v>
      </x:c>
      <x:c r="H1292" s="42" t="b">
        <x:v>0</x:v>
      </x:c>
      <x:c r="I1292" s="42" t="b">
        <x:v>0</x:v>
      </x:c>
      <x:c r="J1292" s="38" t="n">
        <x:v>0.215257055</x:v>
      </x:c>
    </x:row>
    <x:row r="1293" ht="19" customHeight="1">
      <x:c r="A1293" s="29" t="str">
        <x:v>stagger_1</x:v>
      </x:c>
      <x:c r="B1293" s="38" t="str">
        <x:v>NET</x:v>
      </x:c>
      <x:c r="C1293" s="38" t="str">
        <x:v>Other sectors</x:v>
      </x:c>
      <x:c r="D1293" s="30" t="n">
        <x:v>6</x:v>
      </x:c>
      <x:c r="E1293" s="38" t="str">
        <x:v>XLP</x:v>
      </x:c>
      <x:c r="F1293" s="38" t="n">
        <x:v>-1.624278604</x:v>
      </x:c>
      <x:c r="G1293" s="38" t="n">
        <x:v>-2.8678037686</x:v>
      </x:c>
      <x:c r="H1293" s="42" t="b">
        <x:v>0</x:v>
      </x:c>
      <x:c r="I1293" s="42" t="b">
        <x:v>0</x:v>
      </x:c>
      <x:c r="J1293" s="38" t="n">
        <x:v>0.215257055</x:v>
      </x:c>
    </x:row>
    <x:row r="1294" ht="19" customHeight="1">
      <x:c r="A1294" s="29" t="str">
        <x:v>stagger_1</x:v>
      </x:c>
      <x:c r="B1294" s="38" t="str">
        <x:v>NET</x:v>
      </x:c>
      <x:c r="C1294" s="38" t="str">
        <x:v>Other sectors</x:v>
      </x:c>
      <x:c r="D1294" s="30" t="n">
        <x:v>6</x:v>
      </x:c>
      <x:c r="E1294" s="38" t="str">
        <x:v>XLRE</x:v>
      </x:c>
      <x:c r="F1294" s="38" t="n">
        <x:v>0.5777459514</x:v>
      </x:c>
      <x:c r="G1294" s="38" t="n">
        <x:v>1.1033908001</x:v>
      </x:c>
      <x:c r="H1294" s="42" t="b">
        <x:v>0</x:v>
      </x:c>
      <x:c r="I1294" s="42" t="b">
        <x:v>0</x:v>
      </x:c>
      <x:c r="J1294" s="38" t="n">
        <x:v>0.215257055</x:v>
      </x:c>
    </x:row>
    <x:row r="1295" ht="19" customHeight="1">
      <x:c r="A1295" s="29" t="str">
        <x:v>stagger_1</x:v>
      </x:c>
      <x:c r="B1295" s="38" t="str">
        <x:v>NET</x:v>
      </x:c>
      <x:c r="C1295" s="38" t="str">
        <x:v>Other sectors</x:v>
      </x:c>
      <x:c r="D1295" s="30" t="n">
        <x:v>6</x:v>
      </x:c>
      <x:c r="E1295" s="38" t="str">
        <x:v>XLU</x:v>
      </x:c>
      <x:c r="F1295" s="38" t="n">
        <x:v>0.4127654658</x:v>
      </x:c>
      <x:c r="G1295" s="38" t="n">
        <x:v>0.9929936678</x:v>
      </x:c>
      <x:c r="H1295" s="42" t="b">
        <x:v>1</x:v>
      </x:c>
      <x:c r="I1295" s="42" t="b">
        <x:v>0</x:v>
      </x:c>
      <x:c r="J1295" s="38" t="n">
        <x:v>0.215257055</x:v>
      </x:c>
    </x:row>
    <x:row r="1296" ht="19" customHeight="1">
      <x:c r="A1296" s="29" t="str">
        <x:v>stagger_1</x:v>
      </x:c>
      <x:c r="B1296" s="38" t="str">
        <x:v>NET</x:v>
      </x:c>
      <x:c r="C1296" s="38" t="str">
        <x:v>Other sectors</x:v>
      </x:c>
      <x:c r="D1296" s="30" t="n">
        <x:v>6</x:v>
      </x:c>
      <x:c r="E1296" s="38" t="str">
        <x:v>XLY</x:v>
      </x:c>
      <x:c r="F1296" s="38" t="n">
        <x:v>1.2853561665</x:v>
      </x:c>
      <x:c r="G1296" s="38" t="n">
        <x:v>2.5300513379</x:v>
      </x:c>
      <x:c r="H1296" s="42" t="b">
        <x:v>0</x:v>
      </x:c>
      <x:c r="I1296" s="42" t="b">
        <x:v>0</x:v>
      </x:c>
      <x:c r="J1296" s="38" t="n">
        <x:v>0.215257055</x:v>
      </x:c>
    </x:row>
    <x:row r="1297" ht="19" customHeight="1">
      <x:c r="A1297" s="29" t="str">
        <x:v>stagger_1</x:v>
      </x:c>
      <x:c r="B1297" s="38" t="str">
        <x:v>NET</x:v>
      </x:c>
      <x:c r="C1297" s="38" t="str">
        <x:v>Other sectors</x:v>
      </x:c>
      <x:c r="D1297" s="30" t="n">
        <x:v>7</x:v>
      </x:c>
      <x:c r="E1297" s="38" t="str">
        <x:v>XLE</x:v>
      </x:c>
      <x:c r="F1297" s="38" t="n">
        <x:v>0.4521623904</x:v>
      </x:c>
      <x:c r="G1297" s="38" t="n">
        <x:v>2.2132378865</x:v>
      </x:c>
      <x:c r="H1297" s="42" t="b">
        <x:v>0</x:v>
      </x:c>
      <x:c r="I1297" s="42" t="b">
        <x:v>0</x:v>
      </x:c>
      <x:c r="J1297" s="38" t="n">
        <x:v>0.2048004992</x:v>
      </x:c>
    </x:row>
    <x:row r="1298" ht="19" customHeight="1">
      <x:c r="A1298" s="29" t="str">
        <x:v>stagger_1</x:v>
      </x:c>
      <x:c r="B1298" s="38" t="str">
        <x:v>NET</x:v>
      </x:c>
      <x:c r="C1298" s="38" t="str">
        <x:v>Other sectors</x:v>
      </x:c>
      <x:c r="D1298" s="30" t="n">
        <x:v>7</x:v>
      </x:c>
      <x:c r="E1298" s="38" t="str">
        <x:v>XLP</x:v>
      </x:c>
      <x:c r="F1298" s="38" t="n">
        <x:v>-1.4599094774</x:v>
      </x:c>
      <x:c r="G1298" s="38" t="n">
        <x:v>-2.6955216241</x:v>
      </x:c>
      <x:c r="H1298" s="42" t="b">
        <x:v>0</x:v>
      </x:c>
      <x:c r="I1298" s="42" t="b">
        <x:v>0</x:v>
      </x:c>
      <x:c r="J1298" s="38" t="n">
        <x:v>0.2048004992</x:v>
      </x:c>
    </x:row>
    <x:row r="1299" ht="19" customHeight="1">
      <x:c r="A1299" s="29" t="str">
        <x:v>stagger_1</x:v>
      </x:c>
      <x:c r="B1299" s="38" t="str">
        <x:v>NET</x:v>
      </x:c>
      <x:c r="C1299" s="38" t="str">
        <x:v>Other sectors</x:v>
      </x:c>
      <x:c r="D1299" s="30" t="n">
        <x:v>7</x:v>
      </x:c>
      <x:c r="E1299" s="38" t="str">
        <x:v>XLRE</x:v>
      </x:c>
      <x:c r="F1299" s="38" t="n">
        <x:v>0.7509988439</x:v>
      </x:c>
      <x:c r="G1299" s="38" t="n">
        <x:v>1.521350852</x:v>
      </x:c>
      <x:c r="H1299" s="42" t="b">
        <x:v>1</x:v>
      </x:c>
      <x:c r="I1299" s="42" t="b">
        <x:v>0</x:v>
      </x:c>
      <x:c r="J1299" s="38" t="n">
        <x:v>0.2048004992</x:v>
      </x:c>
    </x:row>
    <x:row r="1300" ht="19" customHeight="1">
      <x:c r="A1300" s="29" t="str">
        <x:v>stagger_1</x:v>
      </x:c>
      <x:c r="B1300" s="38" t="str">
        <x:v>NET</x:v>
      </x:c>
      <x:c r="C1300" s="38" t="str">
        <x:v>Other sectors</x:v>
      </x:c>
      <x:c r="D1300" s="30" t="n">
        <x:v>7</x:v>
      </x:c>
      <x:c r="E1300" s="38" t="str">
        <x:v>XLY</x:v>
      </x:c>
      <x:c r="F1300" s="38" t="n">
        <x:v>1.249141608</x:v>
      </x:c>
      <x:c r="G1300" s="38" t="n">
        <x:v>2.4653573168</x:v>
      </x:c>
      <x:c r="H1300" s="42" t="b">
        <x:v>0</x:v>
      </x:c>
      <x:c r="I1300" s="42" t="b">
        <x:v>0</x:v>
      </x:c>
      <x:c r="J1300" s="38" t="n">
        <x:v>0.2048004992</x:v>
      </x:c>
    </x:row>
    <x:row r="1301" ht="19" customHeight="1">
      <x:c r="A1301" s="29" t="str">
        <x:v>stagger_1</x:v>
      </x:c>
      <x:c r="B1301" s="38" t="str">
        <x:v>NET</x:v>
      </x:c>
      <x:c r="C1301" s="38" t="str">
        <x:v>Other sectors</x:v>
      </x:c>
      <x:c r="D1301" s="30" t="n">
        <x:v>8</x:v>
      </x:c>
      <x:c r="E1301" s="38" t="str">
        <x:v>XLE</x:v>
      </x:c>
      <x:c r="F1301" s="38" t="n">
        <x:v>0.4953575796</x:v>
      </x:c>
      <x:c r="G1301" s="38" t="n">
        <x:v>2.427525782</x:v>
      </x:c>
      <x:c r="H1301" s="42" t="b">
        <x:v>0</x:v>
      </x:c>
      <x:c r="I1301" s="42" t="b">
        <x:v>1</x:v>
      </x:c>
      <x:c r="J1301" s="38" t="n">
        <x:v>0.1802605534</x:v>
      </x:c>
    </x:row>
    <x:row r="1302" ht="19" customHeight="1">
      <x:c r="A1302" s="29" t="str">
        <x:v>stagger_1</x:v>
      </x:c>
      <x:c r="B1302" s="38" t="str">
        <x:v>NET</x:v>
      </x:c>
      <x:c r="C1302" s="38" t="str">
        <x:v>Other sectors</x:v>
      </x:c>
      <x:c r="D1302" s="30" t="n">
        <x:v>8</x:v>
      </x:c>
      <x:c r="E1302" s="38" t="str">
        <x:v>XLP</x:v>
      </x:c>
      <x:c r="F1302" s="38" t="n">
        <x:v>-0.9890599922</x:v>
      </x:c>
      <x:c r="G1302" s="38" t="n">
        <x:v>-2.2062798946</x:v>
      </x:c>
      <x:c r="H1302" s="42" t="b">
        <x:v>0</x:v>
      </x:c>
      <x:c r="I1302" s="42" t="b">
        <x:v>1</x:v>
      </x:c>
      <x:c r="J1302" s="38" t="n">
        <x:v>0.1802605534</x:v>
      </x:c>
    </x:row>
    <x:row r="1303" ht="19" customHeight="1">
      <x:c r="A1303" s="29" t="str">
        <x:v>stagger_1</x:v>
      </x:c>
      <x:c r="B1303" s="38" t="str">
        <x:v>NET</x:v>
      </x:c>
      <x:c r="C1303" s="38" t="str">
        <x:v>Other sectors</x:v>
      </x:c>
      <x:c r="D1303" s="30" t="n">
        <x:v>8</x:v>
      </x:c>
      <x:c r="E1303" s="38" t="str">
        <x:v>XLY</x:v>
      </x:c>
      <x:c r="F1303" s="38" t="n">
        <x:v>1.4358589052</x:v>
      </x:c>
      <x:c r="G1303" s="38" t="n">
        <x:v>2.8959180379</x:v>
      </x:c>
      <x:c r="H1303" s="42" t="b">
        <x:v>0</x:v>
      </x:c>
      <x:c r="I1303" s="42" t="b">
        <x:v>1</x:v>
      </x:c>
      <x:c r="J1303" s="38" t="n">
        <x:v>0.1802605534</x:v>
      </x:c>
    </x:row>
    <x:row r="1304" ht="19" customHeight="1">
      <x:c r="A1304" s="29" t="str">
        <x:v>stagger_1</x:v>
      </x:c>
      <x:c r="B1304" s="38" t="str">
        <x:v>MRNA</x:v>
      </x:c>
      <x:c r="C1304" s="38" t="str">
        <x:v>Other FX</x:v>
      </x:c>
      <x:c r="D1304" s="30" t="n">
        <x:v>1</x:v>
      </x:c>
      <x:c r="E1304" s="38" t="str">
        <x:v>AUD/USD</x:v>
      </x:c>
      <x:c r="F1304" s="38" t="n">
        <x:v>3.7394648812</x:v>
      </x:c>
      <x:c r="G1304" s="38" t="n">
        <x:v>2.5963009599</x:v>
      </x:c>
      <x:c r="H1304" s="42" t="b">
        <x:v>0</x:v>
      </x:c>
      <x:c r="I1304" s="42" t="b">
        <x:v>0</x:v>
      </x:c>
      <x:c r="J1304" s="38" t="n">
        <x:v>0.2191940925</x:v>
      </x:c>
    </x:row>
    <x:row r="1305" ht="19" customHeight="1">
      <x:c r="A1305" s="29" t="str">
        <x:v>stagger_1</x:v>
      </x:c>
      <x:c r="B1305" s="38" t="str">
        <x:v>MRNA</x:v>
      </x:c>
      <x:c r="C1305" s="38" t="str">
        <x:v>Other FX</x:v>
      </x:c>
      <x:c r="D1305" s="30" t="n">
        <x:v>1</x:v>
      </x:c>
      <x:c r="E1305" s="38" t="str">
        <x:v>CAD/USD</x:v>
      </x:c>
      <x:c r="F1305" s="38" t="n">
        <x:v>-2.5701117853</x:v>
      </x:c>
      <x:c r="G1305" s="38" t="n">
        <x:v>-1.4777266293</x:v>
      </x:c>
      <x:c r="H1305" s="42" t="b">
        <x:v>0</x:v>
      </x:c>
      <x:c r="I1305" s="42" t="b">
        <x:v>0</x:v>
      </x:c>
      <x:c r="J1305" s="38" t="n">
        <x:v>0.2191940925</x:v>
      </x:c>
    </x:row>
    <x:row r="1306" ht="19" customHeight="1">
      <x:c r="A1306" s="29" t="str">
        <x:v>stagger_1</x:v>
      </x:c>
      <x:c r="B1306" s="38" t="str">
        <x:v>MRNA</x:v>
      </x:c>
      <x:c r="C1306" s="38" t="str">
        <x:v>Other FX</x:v>
      </x:c>
      <x:c r="D1306" s="30" t="n">
        <x:v>1</x:v>
      </x:c>
      <x:c r="E1306" s="38" t="str">
        <x:v>DKK/USD</x:v>
      </x:c>
      <x:c r="F1306" s="38" t="n">
        <x:v>-9.0110973009</x:v>
      </x:c>
      <x:c r="G1306" s="38" t="n">
        <x:v>-0.744215706</x:v>
      </x:c>
      <x:c r="H1306" s="42" t="b">
        <x:v>1</x:v>
      </x:c>
      <x:c r="I1306" s="42" t="b">
        <x:v>0</x:v>
      </x:c>
      <x:c r="J1306" s="38" t="n">
        <x:v>0.2191940925</x:v>
      </x:c>
    </x:row>
    <x:row r="1307" ht="19" customHeight="1">
      <x:c r="A1307" s="29" t="str">
        <x:v>stagger_1</x:v>
      </x:c>
      <x:c r="B1307" s="38" t="str">
        <x:v>MRNA</x:v>
      </x:c>
      <x:c r="C1307" s="38" t="str">
        <x:v>Other FX</x:v>
      </x:c>
      <x:c r="D1307" s="30" t="n">
        <x:v>1</x:v>
      </x:c>
      <x:c r="E1307" s="38" t="str">
        <x:v>EUR/USD</x:v>
      </x:c>
      <x:c r="F1307" s="38" t="n">
        <x:v>8.6238615788</x:v>
      </x:c>
      <x:c r="G1307" s="38" t="n">
        <x:v>0.778643027</x:v>
      </x:c>
      <x:c r="H1307" s="42" t="b">
        <x:v>0</x:v>
      </x:c>
      <x:c r="I1307" s="42" t="b">
        <x:v>0</x:v>
      </x:c>
      <x:c r="J1307" s="38" t="n">
        <x:v>0.2191940925</x:v>
      </x:c>
    </x:row>
    <x:row r="1308" ht="19" customHeight="1">
      <x:c r="A1308" s="29" t="str">
        <x:v>stagger_1</x:v>
      </x:c>
      <x:c r="B1308" s="38" t="str">
        <x:v>MRNA</x:v>
      </x:c>
      <x:c r="C1308" s="38" t="str">
        <x:v>Other FX</x:v>
      </x:c>
      <x:c r="D1308" s="30" t="n">
        <x:v>1</x:v>
      </x:c>
      <x:c r="E1308" s="38" t="str">
        <x:v>MXN/USD</x:v>
      </x:c>
      <x:c r="F1308" s="38" t="n">
        <x:v>2.472896161</x:v>
      </x:c>
      <x:c r="G1308" s="38" t="n">
        <x:v>2.6799856244</x:v>
      </x:c>
      <x:c r="H1308" s="42" t="b">
        <x:v>0</x:v>
      </x:c>
      <x:c r="I1308" s="42" t="b">
        <x:v>0</x:v>
      </x:c>
      <x:c r="J1308" s="38" t="n">
        <x:v>0.2191940925</x:v>
      </x:c>
    </x:row>
    <x:row r="1309" ht="19" customHeight="1">
      <x:c r="A1309" s="29" t="str">
        <x:v>stagger_1</x:v>
      </x:c>
      <x:c r="B1309" s="38" t="str">
        <x:v>MRNA</x:v>
      </x:c>
      <x:c r="C1309" s="38" t="str">
        <x:v>Other FX</x:v>
      </x:c>
      <x:c r="D1309" s="30" t="n">
        <x:v>1</x:v>
      </x:c>
      <x:c r="E1309" s="38" t="str">
        <x:v>SGD/USD</x:v>
      </x:c>
      <x:c r="F1309" s="38" t="n">
        <x:v>-3.2394097494</x:v>
      </x:c>
      <x:c r="G1309" s="38" t="n">
        <x:v>-0.9289277615</x:v>
      </x:c>
      <x:c r="H1309" s="42" t="b">
        <x:v>0</x:v>
      </x:c>
      <x:c r="I1309" s="42" t="b">
        <x:v>0</x:v>
      </x:c>
      <x:c r="J1309" s="38" t="n">
        <x:v>0.2191940925</x:v>
      </x:c>
    </x:row>
    <x:row r="1310" ht="19" customHeight="1">
      <x:c r="A1310" s="29" t="str">
        <x:v>stagger_1</x:v>
      </x:c>
      <x:c r="B1310" s="38" t="str">
        <x:v>MRNA</x:v>
      </x:c>
      <x:c r="C1310" s="38" t="str">
        <x:v>Other FX</x:v>
      </x:c>
      <x:c r="D1310" s="30" t="n">
        <x:v>2</x:v>
      </x:c>
      <x:c r="E1310" s="38" t="str">
        <x:v>AUD/USD</x:v>
      </x:c>
      <x:c r="F1310" s="38" t="n">
        <x:v>3.7444495747</x:v>
      </x:c>
      <x:c r="G1310" s="38" t="n">
        <x:v>2.6076625608</x:v>
      </x:c>
      <x:c r="H1310" s="42" t="b">
        <x:v>0</x:v>
      </x:c>
      <x:c r="I1310" s="42" t="b">
        <x:v>0</x:v>
      </x:c>
      <x:c r="J1310" s="38" t="n">
        <x:v>0.2132700537</x:v>
      </x:c>
    </x:row>
    <x:row r="1311" ht="19" customHeight="1">
      <x:c r="A1311" s="29" t="str">
        <x:v>stagger_1</x:v>
      </x:c>
      <x:c r="B1311" s="38" t="str">
        <x:v>MRNA</x:v>
      </x:c>
      <x:c r="C1311" s="38" t="str">
        <x:v>Other FX</x:v>
      </x:c>
      <x:c r="D1311" s="30" t="n">
        <x:v>2</x:v>
      </x:c>
      <x:c r="E1311" s="38" t="str">
        <x:v>CAD/USD</x:v>
      </x:c>
      <x:c r="F1311" s="38" t="n">
        <x:v>-2.6989064891</x:v>
      </x:c>
      <x:c r="G1311" s="38" t="n">
        <x:v>-1.5642413592</x:v>
      </x:c>
      <x:c r="H1311" s="42" t="b">
        <x:v>0</x:v>
      </x:c>
      <x:c r="I1311" s="42" t="b">
        <x:v>0</x:v>
      </x:c>
      <x:c r="J1311" s="38" t="n">
        <x:v>0.2132700537</x:v>
      </x:c>
    </x:row>
    <x:row r="1312" ht="19" customHeight="1">
      <x:c r="A1312" s="29" t="str">
        <x:v>stagger_1</x:v>
      </x:c>
      <x:c r="B1312" s="38" t="str">
        <x:v>MRNA</x:v>
      </x:c>
      <x:c r="C1312" s="38" t="str">
        <x:v>Other FX</x:v>
      </x:c>
      <x:c r="D1312" s="30" t="n">
        <x:v>2</x:v>
      </x:c>
      <x:c r="E1312" s="38" t="str">
        <x:v>EUR/USD</x:v>
      </x:c>
      <x:c r="F1312" s="38" t="n">
        <x:v>0.4867676227</x:v>
      </x:c>
      <x:c r="G1312" s="38" t="n">
        <x:v>0.2764530135</x:v>
      </x:c>
      <x:c r="H1312" s="42" t="b">
        <x:v>1</x:v>
      </x:c>
      <x:c r="I1312" s="42" t="b">
        <x:v>0</x:v>
      </x:c>
      <x:c r="J1312" s="38" t="n">
        <x:v>0.2132700537</x:v>
      </x:c>
    </x:row>
    <x:row r="1313" ht="19" customHeight="1">
      <x:c r="A1313" s="29" t="str">
        <x:v>stagger_1</x:v>
      </x:c>
      <x:c r="B1313" s="38" t="str">
        <x:v>MRNA</x:v>
      </x:c>
      <x:c r="C1313" s="38" t="str">
        <x:v>Other FX</x:v>
      </x:c>
      <x:c r="D1313" s="30" t="n">
        <x:v>2</x:v>
      </x:c>
      <x:c r="E1313" s="38" t="str">
        <x:v>MXN/USD</x:v>
      </x:c>
      <x:c r="F1313" s="38" t="n">
        <x:v>2.2651799688</x:v>
      </x:c>
      <x:c r="G1313" s="38" t="n">
        <x:v>2.5833230083</x:v>
      </x:c>
      <x:c r="H1313" s="42" t="b">
        <x:v>0</x:v>
      </x:c>
      <x:c r="I1313" s="42" t="b">
        <x:v>0</x:v>
      </x:c>
      <x:c r="J1313" s="38" t="n">
        <x:v>0.2132700537</x:v>
      </x:c>
    </x:row>
    <x:row r="1314" ht="19" customHeight="1">
      <x:c r="A1314" s="29" t="str">
        <x:v>stagger_1</x:v>
      </x:c>
      <x:c r="B1314" s="38" t="str">
        <x:v>MRNA</x:v>
      </x:c>
      <x:c r="C1314" s="38" t="str">
        <x:v>Other FX</x:v>
      </x:c>
      <x:c r="D1314" s="30" t="n">
        <x:v>2</x:v>
      </x:c>
      <x:c r="E1314" s="38" t="str">
        <x:v>SGD/USD</x:v>
      </x:c>
      <x:c r="F1314" s="38" t="n">
        <x:v>-4.2362753444</x:v>
      </x:c>
      <x:c r="G1314" s="38" t="n">
        <x:v>-1.3197029395</x:v>
      </x:c>
      <x:c r="H1314" s="42" t="b">
        <x:v>0</x:v>
      </x:c>
      <x:c r="I1314" s="42" t="b">
        <x:v>0</x:v>
      </x:c>
      <x:c r="J1314" s="38" t="n">
        <x:v>0.2132700537</x:v>
      </x:c>
    </x:row>
    <x:row r="1315" ht="19" customHeight="1">
      <x:c r="A1315" s="29" t="str">
        <x:v>stagger_1</x:v>
      </x:c>
      <x:c r="B1315" s="38" t="str">
        <x:v>MRNA</x:v>
      </x:c>
      <x:c r="C1315" s="38" t="str">
        <x:v>Other FX</x:v>
      </x:c>
      <x:c r="D1315" s="30" t="n">
        <x:v>3</x:v>
      </x:c>
      <x:c r="E1315" s="38" t="str">
        <x:v>AUD/USD</x:v>
      </x:c>
      <x:c r="F1315" s="38" t="n">
        <x:v>3.7390819754</x:v>
      </x:c>
      <x:c r="G1315" s="38" t="n">
        <x:v>2.6203464587</x:v>
      </x:c>
      <x:c r="H1315" s="42" t="b">
        <x:v>0</x:v>
      </x:c>
      <x:c r="I1315" s="42" t="b">
        <x:v>0</x:v>
      </x:c>
      <x:c r="J1315" s="38" t="n">
        <x:v>0.2124575289</x:v>
      </x:c>
    </x:row>
    <x:row r="1316" ht="19" customHeight="1">
      <x:c r="A1316" s="29" t="str">
        <x:v>stagger_1</x:v>
      </x:c>
      <x:c r="B1316" s="38" t="str">
        <x:v>MRNA</x:v>
      </x:c>
      <x:c r="C1316" s="38" t="str">
        <x:v>Other FX</x:v>
      </x:c>
      <x:c r="D1316" s="30" t="n">
        <x:v>3</x:v>
      </x:c>
      <x:c r="E1316" s="38" t="str">
        <x:v>CAD/USD</x:v>
      </x:c>
      <x:c r="F1316" s="38" t="n">
        <x:v>-2.5861636903</x:v>
      </x:c>
      <x:c r="G1316" s="38" t="n">
        <x:v>-1.5521951003</x:v>
      </x:c>
      <x:c r="H1316" s="42" t="b">
        <x:v>0</x:v>
      </x:c>
      <x:c r="I1316" s="42" t="b">
        <x:v>0</x:v>
      </x:c>
      <x:c r="J1316" s="38" t="n">
        <x:v>0.2124575289</x:v>
      </x:c>
    </x:row>
    <x:row r="1317" ht="19" customHeight="1">
      <x:c r="A1317" s="29" t="str">
        <x:v>stagger_1</x:v>
      </x:c>
      <x:c r="B1317" s="38" t="str">
        <x:v>MRNA</x:v>
      </x:c>
      <x:c r="C1317" s="38" t="str">
        <x:v>Other FX</x:v>
      </x:c>
      <x:c r="D1317" s="30" t="n">
        <x:v>3</x:v>
      </x:c>
      <x:c r="E1317" s="38" t="str">
        <x:v>MXN/USD</x:v>
      </x:c>
      <x:c r="F1317" s="38" t="n">
        <x:v>2.3219118326</x:v>
      </x:c>
      <x:c r="G1317" s="38" t="n">
        <x:v>2.740590805</x:v>
      </x:c>
      <x:c r="H1317" s="42" t="b">
        <x:v>0</x:v>
      </x:c>
      <x:c r="I1317" s="42" t="b">
        <x:v>0</x:v>
      </x:c>
      <x:c r="J1317" s="38" t="n">
        <x:v>0.2124575289</x:v>
      </x:c>
    </x:row>
    <x:row r="1318" ht="19" customHeight="1">
      <x:c r="A1318" s="29" t="str">
        <x:v>stagger_1</x:v>
      </x:c>
      <x:c r="B1318" s="38" t="str">
        <x:v>MRNA</x:v>
      </x:c>
      <x:c r="C1318" s="38" t="str">
        <x:v>Other FX</x:v>
      </x:c>
      <x:c r="D1318" s="30" t="n">
        <x:v>3</x:v>
      </x:c>
      <x:c r="E1318" s="38" t="str">
        <x:v>SGD/USD</x:v>
      </x:c>
      <x:c r="F1318" s="38" t="n">
        <x:v>-3.7471124242</x:v>
      </x:c>
      <x:c r="G1318" s="38" t="n">
        <x:v>-1.4077501114</x:v>
      </x:c>
      <x:c r="H1318" s="42" t="b">
        <x:v>1</x:v>
      </x:c>
      <x:c r="I1318" s="42" t="b">
        <x:v>0</x:v>
      </x:c>
      <x:c r="J1318" s="38" t="n">
        <x:v>0.2124575289</x:v>
      </x:c>
    </x:row>
    <x:row r="1319" ht="19" customHeight="1">
      <x:c r="A1319" s="29" t="str">
        <x:v>stagger_1</x:v>
      </x:c>
      <x:c r="B1319" s="38" t="str">
        <x:v>MRNA</x:v>
      </x:c>
      <x:c r="C1319" s="38" t="str">
        <x:v>Other FX</x:v>
      </x:c>
      <x:c r="D1319" s="30" t="n">
        <x:v>4</x:v>
      </x:c>
      <x:c r="E1319" s="38" t="str">
        <x:v>AUD/USD</x:v>
      </x:c>
      <x:c r="F1319" s="38" t="n">
        <x:v>2.5536531389</x:v>
      </x:c>
      <x:c r="G1319" s="38" t="n">
        <x:v>2.2025560607</x:v>
      </x:c>
      <x:c r="H1319" s="42" t="b">
        <x:v>0</x:v>
      </x:c>
      <x:c r="I1319" s="42" t="b">
        <x:v>0</x:v>
      </x:c>
      <x:c r="J1319" s="38" t="n">
        <x:v>0.1916479227</x:v>
      </x:c>
    </x:row>
    <x:row r="1320" ht="19" customHeight="1">
      <x:c r="A1320" s="29" t="str">
        <x:v>stagger_1</x:v>
      </x:c>
      <x:c r="B1320" s="38" t="str">
        <x:v>MRNA</x:v>
      </x:c>
      <x:c r="C1320" s="38" t="str">
        <x:v>Other FX</x:v>
      </x:c>
      <x:c r="D1320" s="30" t="n">
        <x:v>4</x:v>
      </x:c>
      <x:c r="E1320" s="38" t="str">
        <x:v>CAD/USD</x:v>
      </x:c>
      <x:c r="F1320" s="38" t="n">
        <x:v>-3.0911800595</x:v>
      </x:c>
      <x:c r="G1320" s="38" t="n">
        <x:v>-1.8877095574</x:v>
      </x:c>
      <x:c r="H1320" s="42" t="b">
        <x:v>1</x:v>
      </x:c>
      <x:c r="I1320" s="42" t="b">
        <x:v>0</x:v>
      </x:c>
      <x:c r="J1320" s="38" t="n">
        <x:v>0.1916479227</x:v>
      </x:c>
    </x:row>
    <x:row r="1321" ht="19" customHeight="1">
      <x:c r="A1321" s="29" t="str">
        <x:v>stagger_1</x:v>
      </x:c>
      <x:c r="B1321" s="38" t="str">
        <x:v>MRNA</x:v>
      </x:c>
      <x:c r="C1321" s="38" t="str">
        <x:v>Other FX</x:v>
      </x:c>
      <x:c r="D1321" s="30" t="n">
        <x:v>4</x:v>
      </x:c>
      <x:c r="E1321" s="38" t="str">
        <x:v>MXN/USD</x:v>
      </x:c>
      <x:c r="F1321" s="38" t="n">
        <x:v>2.1178241878</x:v>
      </x:c>
      <x:c r="G1321" s="38" t="n">
        <x:v>2.5208928529</x:v>
      </x:c>
      <x:c r="H1321" s="42" t="b">
        <x:v>0</x:v>
      </x:c>
      <x:c r="I1321" s="42" t="b">
        <x:v>0</x:v>
      </x:c>
      <x:c r="J1321" s="38" t="n">
        <x:v>0.1916479227</x:v>
      </x:c>
    </x:row>
    <x:row r="1322" ht="19" customHeight="1">
      <x:c r="A1322" s="29" t="str">
        <x:v>stagger_1</x:v>
      </x:c>
      <x:c r="B1322" s="38" t="str">
        <x:v>MRNA</x:v>
      </x:c>
      <x:c r="C1322" s="38" t="str">
        <x:v>Other FX</x:v>
      </x:c>
      <x:c r="D1322" s="30" t="n">
        <x:v>5</x:v>
      </x:c>
      <x:c r="E1322" s="38" t="str">
        <x:v>AUD/USD</x:v>
      </x:c>
      <x:c r="F1322" s="38" t="n">
        <x:v>1.5125953008</x:v>
      </x:c>
      <x:c r="G1322" s="38" t="n">
        <x:v>1.459079996</x:v>
      </x:c>
      <x:c r="H1322" s="42" t="b">
        <x:v>1</x:v>
      </x:c>
      <x:c r="I1322" s="42" t="b">
        <x:v>0</x:v>
      </x:c>
      <x:c r="J1322" s="38" t="n">
        <x:v>0.1537463426</x:v>
      </x:c>
    </x:row>
    <x:row r="1323" ht="19" customHeight="1">
      <x:c r="A1323" s="29" t="str">
        <x:v>stagger_1</x:v>
      </x:c>
      <x:c r="B1323" s="38" t="str">
        <x:v>MRNA</x:v>
      </x:c>
      <x:c r="C1323" s="38" t="str">
        <x:v>Other FX</x:v>
      </x:c>
      <x:c r="D1323" s="30" t="n">
        <x:v>5</x:v>
      </x:c>
      <x:c r="E1323" s="38" t="str">
        <x:v>MXN/USD</x:v>
      </x:c>
      <x:c r="F1323" s="38" t="n">
        <x:v>1.9420421616</x:v>
      </x:c>
      <x:c r="G1323" s="38" t="n">
        <x:v>2.2882110595</x:v>
      </x:c>
      <x:c r="H1323" s="42" t="b">
        <x:v>0</x:v>
      </x:c>
      <x:c r="I1323" s="42" t="b">
        <x:v>0</x:v>
      </x:c>
      <x:c r="J1323" s="38" t="n">
        <x:v>0.1537463426</x:v>
      </x:c>
    </x:row>
    <x:row r="1324" ht="19" customHeight="1">
      <x:c r="A1324" s="29" t="str">
        <x:v>stagger_1</x:v>
      </x:c>
      <x:c r="B1324" s="38" t="str">
        <x:v>MRNA</x:v>
      </x:c>
      <x:c r="C1324" s="38" t="str">
        <x:v>Other FX</x:v>
      </x:c>
      <x:c r="D1324" s="30" t="n">
        <x:v>6</x:v>
      </x:c>
      <x:c r="E1324" s="38" t="str">
        <x:v>MXN/USD</x:v>
      </x:c>
      <x:c r="F1324" s="38" t="n">
        <x:v>2.5484491166</x:v>
      </x:c>
      <x:c r="G1324" s="38" t="n">
        <x:v>3.419231435</x:v>
      </x:c>
      <x:c r="H1324" s="42" t="b">
        <x:v>0</x:v>
      </x:c>
      <x:c r="I1324" s="42" t="b">
        <x:v>1</x:v>
      </x:c>
      <x:c r="J1324" s="38" t="n">
        <x:v>0.1303489189</x:v>
      </x:c>
    </x:row>
    <x:row r="1325" ht="19" customHeight="1">
      <x:c r="A1325" s="29" t="str">
        <x:v>stagger_1</x:v>
      </x:c>
      <x:c r="B1325" s="38" t="str">
        <x:v>MRNA</x:v>
      </x:c>
      <x:c r="C1325" s="38" t="str">
        <x:v>Other sectors</x:v>
      </x:c>
      <x:c r="D1325" s="30" t="n">
        <x:v>1</x:v>
      </x:c>
      <x:c r="E1325" s="38" t="str">
        <x:v>XLB</x:v>
      </x:c>
      <x:c r="F1325" s="38" t="n">
        <x:v>0.6979258153</x:v>
      </x:c>
      <x:c r="G1325" s="38" t="n">
        <x:v>0.7455833235</x:v>
      </x:c>
      <x:c r="H1325" s="42" t="b">
        <x:v>0</x:v>
      </x:c>
      <x:c r="I1325" s="42" t="b">
        <x:v>0</x:v>
      </x:c>
      <x:c r="J1325" s="38" t="n">
        <x:v>0.1153316359</x:v>
      </x:c>
    </x:row>
    <x:row r="1326" ht="19" customHeight="1">
      <x:c r="A1326" s="29" t="str">
        <x:v>stagger_1</x:v>
      </x:c>
      <x:c r="B1326" s="38" t="str">
        <x:v>MRNA</x:v>
      </x:c>
      <x:c r="C1326" s="38" t="str">
        <x:v>Other sectors</x:v>
      </x:c>
      <x:c r="D1326" s="30" t="n">
        <x:v>1</x:v>
      </x:c>
      <x:c r="E1326" s="38" t="str">
        <x:v>XLC</x:v>
      </x:c>
      <x:c r="F1326" s="38" t="n">
        <x:v>0.3074696687</x:v>
      </x:c>
      <x:c r="G1326" s="38" t="n">
        <x:v>0.3521680834</x:v>
      </x:c>
      <x:c r="H1326" s="42" t="b">
        <x:v>0</x:v>
      </x:c>
      <x:c r="I1326" s="42" t="b">
        <x:v>0</x:v>
      </x:c>
      <x:c r="J1326" s="38" t="n">
        <x:v>0.1153316359</x:v>
      </x:c>
    </x:row>
    <x:row r="1327" ht="19" customHeight="1">
      <x:c r="A1327" s="29" t="str">
        <x:v>stagger_1</x:v>
      </x:c>
      <x:c r="B1327" s="38" t="str">
        <x:v>MRNA</x:v>
      </x:c>
      <x:c r="C1327" s="38" t="str">
        <x:v>Other sectors</x:v>
      </x:c>
      <x:c r="D1327" s="30" t="n">
        <x:v>1</x:v>
      </x:c>
      <x:c r="E1327" s="38" t="str">
        <x:v>XLE</x:v>
      </x:c>
      <x:c r="F1327" s="38" t="n">
        <x:v>0.0557885125</x:v>
      </x:c>
      <x:c r="G1327" s="38" t="n">
        <x:v>0.1643992301</x:v>
      </x:c>
      <x:c r="H1327" s="42" t="b">
        <x:v>1</x:v>
      </x:c>
      <x:c r="I1327" s="42" t="b">
        <x:v>0</x:v>
      </x:c>
      <x:c r="J1327" s="38" t="n">
        <x:v>0.1153316359</x:v>
      </x:c>
    </x:row>
    <x:row r="1328" ht="19" customHeight="1">
      <x:c r="A1328" s="29" t="str">
        <x:v>stagger_1</x:v>
      </x:c>
      <x:c r="B1328" s="38" t="str">
        <x:v>MRNA</x:v>
      </x:c>
      <x:c r="C1328" s="38" t="str">
        <x:v>Other sectors</x:v>
      </x:c>
      <x:c r="D1328" s="30" t="n">
        <x:v>1</x:v>
      </x:c>
      <x:c r="E1328" s="38" t="str">
        <x:v>XLF</x:v>
      </x:c>
      <x:c r="F1328" s="38" t="n">
        <x:v>-0.9843488513</x:v>
      </x:c>
      <x:c r="G1328" s="38" t="n">
        <x:v>-0.9973636105</x:v>
      </x:c>
      <x:c r="H1328" s="42" t="b">
        <x:v>0</x:v>
      </x:c>
      <x:c r="I1328" s="42" t="b">
        <x:v>0</x:v>
      </x:c>
      <x:c r="J1328" s="38" t="n">
        <x:v>0.1153316359</x:v>
      </x:c>
    </x:row>
    <x:row r="1329" ht="19" customHeight="1">
      <x:c r="A1329" s="29" t="str">
        <x:v>stagger_1</x:v>
      </x:c>
      <x:c r="B1329" s="38" t="str">
        <x:v>MRNA</x:v>
      </x:c>
      <x:c r="C1329" s="38" t="str">
        <x:v>Other sectors</x:v>
      </x:c>
      <x:c r="D1329" s="30" t="n">
        <x:v>1</x:v>
      </x:c>
      <x:c r="E1329" s="38" t="str">
        <x:v>XLI</x:v>
      </x:c>
      <x:c r="F1329" s="38" t="n">
        <x:v>1.0604563603</x:v>
      </x:c>
      <x:c r="G1329" s="38" t="n">
        <x:v>0.8913115594</x:v>
      </x:c>
      <x:c r="H1329" s="42" t="b">
        <x:v>0</x:v>
      </x:c>
      <x:c r="I1329" s="42" t="b">
        <x:v>0</x:v>
      </x:c>
      <x:c r="J1329" s="38" t="n">
        <x:v>0.1153316359</x:v>
      </x:c>
    </x:row>
    <x:row r="1330" ht="19" customHeight="1">
      <x:c r="A1330" s="29" t="str">
        <x:v>stagger_1</x:v>
      </x:c>
      <x:c r="B1330" s="38" t="str">
        <x:v>MRNA</x:v>
      </x:c>
      <x:c r="C1330" s="38" t="str">
        <x:v>Other sectors</x:v>
      </x:c>
      <x:c r="D1330" s="30" t="n">
        <x:v>1</x:v>
      </x:c>
      <x:c r="E1330" s="38" t="str">
        <x:v>XLK</x:v>
      </x:c>
      <x:c r="F1330" s="38" t="n">
        <x:v>0.9295811433</x:v>
      </x:c>
      <x:c r="G1330" s="38" t="n">
        <x:v>0.7339746021</x:v>
      </x:c>
      <x:c r="H1330" s="42" t="b">
        <x:v>0</x:v>
      </x:c>
      <x:c r="I1330" s="42" t="b">
        <x:v>0</x:v>
      </x:c>
      <x:c r="J1330" s="38" t="n">
        <x:v>0.1153316359</x:v>
      </x:c>
    </x:row>
    <x:row r="1331" ht="19" customHeight="1">
      <x:c r="A1331" s="29" t="str">
        <x:v>stagger_1</x:v>
      </x:c>
      <x:c r="B1331" s="38" t="str">
        <x:v>MRNA</x:v>
      </x:c>
      <x:c r="C1331" s="38" t="str">
        <x:v>Other sectors</x:v>
      </x:c>
      <x:c r="D1331" s="30" t="n">
        <x:v>1</x:v>
      </x:c>
      <x:c r="E1331" s="38" t="str">
        <x:v>XLP</x:v>
      </x:c>
      <x:c r="F1331" s="38" t="n">
        <x:v>-0.7885163887</x:v>
      </x:c>
      <x:c r="G1331" s="38" t="n">
        <x:v>-0.7818008238</x:v>
      </x:c>
      <x:c r="H1331" s="42" t="b">
        <x:v>0</x:v>
      </x:c>
      <x:c r="I1331" s="42" t="b">
        <x:v>0</x:v>
      </x:c>
      <x:c r="J1331" s="38" t="n">
        <x:v>0.1153316359</x:v>
      </x:c>
    </x:row>
    <x:row r="1332" ht="19" customHeight="1">
      <x:c r="A1332" s="29" t="str">
        <x:v>stagger_1</x:v>
      </x:c>
      <x:c r="B1332" s="38" t="str">
        <x:v>MRNA</x:v>
      </x:c>
      <x:c r="C1332" s="38" t="str">
        <x:v>Other sectors</x:v>
      </x:c>
      <x:c r="D1332" s="30" t="n">
        <x:v>1</x:v>
      </x:c>
      <x:c r="E1332" s="38" t="str">
        <x:v>XLRE</x:v>
      </x:c>
      <x:c r="F1332" s="38" t="n">
        <x:v>0.1343017475</x:v>
      </x:c>
      <x:c r="G1332" s="38" t="n">
        <x:v>0.1711135123</x:v>
      </x:c>
      <x:c r="H1332" s="42" t="b">
        <x:v>0</x:v>
      </x:c>
      <x:c r="I1332" s="42" t="b">
        <x:v>0</x:v>
      </x:c>
      <x:c r="J1332" s="38" t="n">
        <x:v>0.1153316359</x:v>
      </x:c>
    </x:row>
    <x:row r="1333" ht="19" customHeight="1">
      <x:c r="A1333" s="29" t="str">
        <x:v>stagger_1</x:v>
      </x:c>
      <x:c r="B1333" s="38" t="str">
        <x:v>MRNA</x:v>
      </x:c>
      <x:c r="C1333" s="38" t="str">
        <x:v>Other sectors</x:v>
      </x:c>
      <x:c r="D1333" s="30" t="n">
        <x:v>1</x:v>
      </x:c>
      <x:c r="E1333" s="38" t="str">
        <x:v>XLU</x:v>
      </x:c>
      <x:c r="F1333" s="38" t="n">
        <x:v>0.6814629022</x:v>
      </x:c>
      <x:c r="G1333" s="38" t="n">
        <x:v>1.094079473</x:v>
      </x:c>
      <x:c r="H1333" s="42" t="b">
        <x:v>0</x:v>
      </x:c>
      <x:c r="I1333" s="42" t="b">
        <x:v>0</x:v>
      </x:c>
      <x:c r="J1333" s="38" t="n">
        <x:v>0.1153316359</x:v>
      </x:c>
    </x:row>
    <x:row r="1334" ht="19" customHeight="1">
      <x:c r="A1334" s="29" t="str">
        <x:v>stagger_1</x:v>
      </x:c>
      <x:c r="B1334" s="38" t="str">
        <x:v>MRNA</x:v>
      </x:c>
      <x:c r="C1334" s="38" t="str">
        <x:v>Other sectors</x:v>
      </x:c>
      <x:c r="D1334" s="30" t="n">
        <x:v>1</x:v>
      </x:c>
      <x:c r="E1334" s="38" t="str">
        <x:v>XLY</x:v>
      </x:c>
      <x:c r="F1334" s="38" t="n">
        <x:v>-0.1668023388</x:v>
      </x:c>
      <x:c r="G1334" s="38" t="n">
        <x:v>-0.2000986101</x:v>
      </x:c>
      <x:c r="H1334" s="42" t="b">
        <x:v>0</x:v>
      </x:c>
      <x:c r="I1334" s="42" t="b">
        <x:v>0</x:v>
      </x:c>
      <x:c r="J1334" s="38" t="n">
        <x:v>0.1153316359</x:v>
      </x:c>
    </x:row>
    <x:row r="1335" ht="19" customHeight="1">
      <x:c r="A1335" s="29" t="str">
        <x:v>stagger_1</x:v>
      </x:c>
      <x:c r="B1335" s="38" t="str">
        <x:v>MRNA</x:v>
      </x:c>
      <x:c r="C1335" s="38" t="str">
        <x:v>Other sectors</x:v>
      </x:c>
      <x:c r="D1335" s="30" t="n">
        <x:v>2</x:v>
      </x:c>
      <x:c r="E1335" s="38" t="str">
        <x:v>XLB</x:v>
      </x:c>
      <x:c r="F1335" s="38" t="n">
        <x:v>0.7323613644</x:v>
      </x:c>
      <x:c r="G1335" s="38" t="n">
        <x:v>0.8083626973</x:v>
      </x:c>
      <x:c r="H1335" s="42" t="b">
        <x:v>0</x:v>
      </x:c>
      <x:c r="I1335" s="42" t="b">
        <x:v>0</x:v>
      </x:c>
      <x:c r="J1335" s="38" t="n">
        <x:v>0.1149851138</x:v>
      </x:c>
    </x:row>
    <x:row r="1336" ht="19" customHeight="1">
      <x:c r="A1336" s="29" t="str">
        <x:v>stagger_1</x:v>
      </x:c>
      <x:c r="B1336" s="38" t="str">
        <x:v>MRNA</x:v>
      </x:c>
      <x:c r="C1336" s="38" t="str">
        <x:v>Other sectors</x:v>
      </x:c>
      <x:c r="D1336" s="30" t="n">
        <x:v>2</x:v>
      </x:c>
      <x:c r="E1336" s="38" t="str">
        <x:v>XLC</x:v>
      </x:c>
      <x:c r="F1336" s="38" t="n">
        <x:v>0.3018886131</x:v>
      </x:c>
      <x:c r="G1336" s="38" t="n">
        <x:v>0.3484676278</x:v>
      </x:c>
      <x:c r="H1336" s="42" t="b">
        <x:v>0</x:v>
      </x:c>
      <x:c r="I1336" s="42" t="b">
        <x:v>0</x:v>
      </x:c>
      <x:c r="J1336" s="38" t="n">
        <x:v>0.1149851138</x:v>
      </x:c>
    </x:row>
    <x:row r="1337" ht="19" customHeight="1">
      <x:c r="A1337" s="29" t="str">
        <x:v>stagger_1</x:v>
      </x:c>
      <x:c r="B1337" s="38" t="str">
        <x:v>MRNA</x:v>
      </x:c>
      <x:c r="C1337" s="38" t="str">
        <x:v>Other sectors</x:v>
      </x:c>
      <x:c r="D1337" s="30" t="n">
        <x:v>2</x:v>
      </x:c>
      <x:c r="E1337" s="38" t="str">
        <x:v>XLF</x:v>
      </x:c>
      <x:c r="F1337" s="38" t="n">
        <x:v>-1.0062711388</x:v>
      </x:c>
      <x:c r="G1337" s="38" t="n">
        <x:v>-1.0362381479</x:v>
      </x:c>
      <x:c r="H1337" s="42" t="b">
        <x:v>0</x:v>
      </x:c>
      <x:c r="I1337" s="42" t="b">
        <x:v>0</x:v>
      </x:c>
      <x:c r="J1337" s="38" t="n">
        <x:v>0.1149851138</x:v>
      </x:c>
    </x:row>
    <x:row r="1338" ht="19" customHeight="1">
      <x:c r="A1338" s="29" t="str">
        <x:v>stagger_1</x:v>
      </x:c>
      <x:c r="B1338" s="38" t="str">
        <x:v>MRNA</x:v>
      </x:c>
      <x:c r="C1338" s="38" t="str">
        <x:v>Other sectors</x:v>
      </x:c>
      <x:c r="D1338" s="30" t="n">
        <x:v>2</x:v>
      </x:c>
      <x:c r="E1338" s="38" t="str">
        <x:v>XLI</x:v>
      </x:c>
      <x:c r="F1338" s="38" t="n">
        <x:v>1.0379292628</x:v>
      </x:c>
      <x:c r="G1338" s="38" t="n">
        <x:v>0.8843893604</x:v>
      </x:c>
      <x:c r="H1338" s="42" t="b">
        <x:v>0</x:v>
      </x:c>
      <x:c r="I1338" s="42" t="b">
        <x:v>0</x:v>
      </x:c>
      <x:c r="J1338" s="38" t="n">
        <x:v>0.1149851138</x:v>
      </x:c>
    </x:row>
    <x:row r="1339" ht="19" customHeight="1">
      <x:c r="A1339" s="29" t="str">
        <x:v>stagger_1</x:v>
      </x:c>
      <x:c r="B1339" s="38" t="str">
        <x:v>MRNA</x:v>
      </x:c>
      <x:c r="C1339" s="38" t="str">
        <x:v>Other sectors</x:v>
      </x:c>
      <x:c r="D1339" s="30" t="n">
        <x:v>2</x:v>
      </x:c>
      <x:c r="E1339" s="38" t="str">
        <x:v>XLK</x:v>
      </x:c>
      <x:c r="F1339" s="38" t="n">
        <x:v>0.8506004896</x:v>
      </x:c>
      <x:c r="G1339" s="38" t="n">
        <x:v>0.7309604828</x:v>
      </x:c>
      <x:c r="H1339" s="42" t="b">
        <x:v>0</x:v>
      </x:c>
      <x:c r="I1339" s="42" t="b">
        <x:v>0</x:v>
      </x:c>
      <x:c r="J1339" s="38" t="n">
        <x:v>0.1149851138</x:v>
      </x:c>
    </x:row>
    <x:row r="1340" ht="19" customHeight="1">
      <x:c r="A1340" s="29" t="str">
        <x:v>stagger_1</x:v>
      </x:c>
      <x:c r="B1340" s="38" t="str">
        <x:v>MRNA</x:v>
      </x:c>
      <x:c r="C1340" s="38" t="str">
        <x:v>Other sectors</x:v>
      </x:c>
      <x:c r="D1340" s="30" t="n">
        <x:v>2</x:v>
      </x:c>
      <x:c r="E1340" s="38" t="str">
        <x:v>XLP</x:v>
      </x:c>
      <x:c r="F1340" s="38" t="n">
        <x:v>-0.8230052683</x:v>
      </x:c>
      <x:c r="G1340" s="38" t="n">
        <x:v>-0.8401009082</x:v>
      </x:c>
      <x:c r="H1340" s="42" t="b">
        <x:v>0</x:v>
      </x:c>
      <x:c r="I1340" s="42" t="b">
        <x:v>0</x:v>
      </x:c>
      <x:c r="J1340" s="38" t="n">
        <x:v>0.1149851138</x:v>
      </x:c>
    </x:row>
    <x:row r="1341" ht="19" customHeight="1">
      <x:c r="A1341" s="29" t="str">
        <x:v>stagger_1</x:v>
      </x:c>
      <x:c r="B1341" s="38" t="str">
        <x:v>MRNA</x:v>
      </x:c>
      <x:c r="C1341" s="38" t="str">
        <x:v>Other sectors</x:v>
      </x:c>
      <x:c r="D1341" s="30" t="n">
        <x:v>2</x:v>
      </x:c>
      <x:c r="E1341" s="38" t="str">
        <x:v>XLRE</x:v>
      </x:c>
      <x:c r="F1341" s="38" t="n">
        <x:v>0.1380527672</x:v>
      </x:c>
      <x:c r="G1341" s="38" t="n">
        <x:v>0.1772028821</x:v>
      </x:c>
      <x:c r="H1341" s="42" t="b">
        <x:v>1</x:v>
      </x:c>
      <x:c r="I1341" s="42" t="b">
        <x:v>0</x:v>
      </x:c>
      <x:c r="J1341" s="38" t="n">
        <x:v>0.1149851138</x:v>
      </x:c>
    </x:row>
    <x:row r="1342" ht="19" customHeight="1">
      <x:c r="A1342" s="29" t="str">
        <x:v>stagger_1</x:v>
      </x:c>
      <x:c r="B1342" s="38" t="str">
        <x:v>MRNA</x:v>
      </x:c>
      <x:c r="C1342" s="38" t="str">
        <x:v>Other sectors</x:v>
      </x:c>
      <x:c r="D1342" s="30" t="n">
        <x:v>2</x:v>
      </x:c>
      <x:c r="E1342" s="38" t="str">
        <x:v>XLU</x:v>
      </x:c>
      <x:c r="F1342" s="38" t="n">
        <x:v>0.6701007182</x:v>
      </x:c>
      <x:c r="G1342" s="38" t="n">
        <x:v>1.0901250921</x:v>
      </x:c>
      <x:c r="H1342" s="42" t="b">
        <x:v>0</x:v>
      </x:c>
      <x:c r="I1342" s="42" t="b">
        <x:v>0</x:v>
      </x:c>
      <x:c r="J1342" s="38" t="n">
        <x:v>0.1149851138</x:v>
      </x:c>
    </x:row>
    <x:row r="1343" ht="19" customHeight="1">
      <x:c r="A1343" s="29" t="str">
        <x:v>stagger_1</x:v>
      </x:c>
      <x:c r="B1343" s="38" t="str">
        <x:v>MRNA</x:v>
      </x:c>
      <x:c r="C1343" s="38" t="str">
        <x:v>Other sectors</x:v>
      </x:c>
      <x:c r="D1343" s="30" t="n">
        <x:v>2</x:v>
      </x:c>
      <x:c r="E1343" s="38" t="str">
        <x:v>XLY</x:v>
      </x:c>
      <x:c r="F1343" s="38" t="n">
        <x:v>-0.2195200139</x:v>
      </x:c>
      <x:c r="G1343" s="38" t="n">
        <x:v>-0.2872963172</x:v>
      </x:c>
      <x:c r="H1343" s="42" t="b">
        <x:v>0</x:v>
      </x:c>
      <x:c r="I1343" s="42" t="b">
        <x:v>0</x:v>
      </x:c>
      <x:c r="J1343" s="38" t="n">
        <x:v>0.1149851138</x:v>
      </x:c>
    </x:row>
    <x:row r="1344" ht="19" customHeight="1">
      <x:c r="A1344" s="29" t="str">
        <x:v>stagger_1</x:v>
      </x:c>
      <x:c r="B1344" s="38" t="str">
        <x:v>MRNA</x:v>
      </x:c>
      <x:c r="C1344" s="38" t="str">
        <x:v>Other sectors</x:v>
      </x:c>
      <x:c r="D1344" s="30" t="n">
        <x:v>3</x:v>
      </x:c>
      <x:c r="E1344" s="38" t="str">
        <x:v>XLB</x:v>
      </x:c>
      <x:c r="F1344" s="38" t="n">
        <x:v>0.7542018451</x:v>
      </x:c>
      <x:c r="G1344" s="38" t="n">
        <x:v>0.8460726841</x:v>
      </x:c>
      <x:c r="H1344" s="42" t="b">
        <x:v>0</x:v>
      </x:c>
      <x:c r="I1344" s="42" t="b">
        <x:v>0</x:v>
      </x:c>
      <x:c r="J1344" s="38" t="n">
        <x:v>0.1145881105</x:v>
      </x:c>
    </x:row>
    <x:row r="1345" ht="19" customHeight="1">
      <x:c r="A1345" s="29" t="str">
        <x:v>stagger_1</x:v>
      </x:c>
      <x:c r="B1345" s="38" t="str">
        <x:v>MRNA</x:v>
      </x:c>
      <x:c r="C1345" s="38" t="str">
        <x:v>Other sectors</x:v>
      </x:c>
      <x:c r="D1345" s="30" t="n">
        <x:v>3</x:v>
      </x:c>
      <x:c r="E1345" s="38" t="str">
        <x:v>XLC</x:v>
      </x:c>
      <x:c r="F1345" s="38" t="n">
        <x:v>0.2764183222</x:v>
      </x:c>
      <x:c r="G1345" s="38" t="n">
        <x:v>0.3257815665</x:v>
      </x:c>
      <x:c r="H1345" s="42" t="b">
        <x:v>0</x:v>
      </x:c>
      <x:c r="I1345" s="42" t="b">
        <x:v>0</x:v>
      </x:c>
      <x:c r="J1345" s="38" t="n">
        <x:v>0.1145881105</x:v>
      </x:c>
    </x:row>
    <x:row r="1346" ht="19" customHeight="1">
      <x:c r="A1346" s="29" t="str">
        <x:v>stagger_1</x:v>
      </x:c>
      <x:c r="B1346" s="38" t="str">
        <x:v>MRNA</x:v>
      </x:c>
      <x:c r="C1346" s="38" t="str">
        <x:v>Other sectors</x:v>
      </x:c>
      <x:c r="D1346" s="30" t="n">
        <x:v>3</x:v>
      </x:c>
      <x:c r="E1346" s="38" t="str">
        <x:v>XLF</x:v>
      </x:c>
      <x:c r="F1346" s="38" t="n">
        <x:v>-0.9832879093</x:v>
      </x:c>
      <x:c r="G1346" s="38" t="n">
        <x:v>-1.0287661735</x:v>
      </x:c>
      <x:c r="H1346" s="42" t="b">
        <x:v>0</x:v>
      </x:c>
      <x:c r="I1346" s="42" t="b">
        <x:v>0</x:v>
      </x:c>
      <x:c r="J1346" s="38" t="n">
        <x:v>0.1145881105</x:v>
      </x:c>
    </x:row>
    <x:row r="1347" ht="19" customHeight="1">
      <x:c r="A1347" s="29" t="str">
        <x:v>stagger_1</x:v>
      </x:c>
      <x:c r="B1347" s="38" t="str">
        <x:v>MRNA</x:v>
      </x:c>
      <x:c r="C1347" s="38" t="str">
        <x:v>Other sectors</x:v>
      </x:c>
      <x:c r="D1347" s="30" t="n">
        <x:v>3</x:v>
      </x:c>
      <x:c r="E1347" s="38" t="str">
        <x:v>XLI</x:v>
      </x:c>
      <x:c r="F1347" s="38" t="n">
        <x:v>0.9987468713</x:v>
      </x:c>
      <x:c r="G1347" s="38" t="n">
        <x:v>0.8724934271</x:v>
      </x:c>
      <x:c r="H1347" s="42" t="b">
        <x:v>0</x:v>
      </x:c>
      <x:c r="I1347" s="42" t="b">
        <x:v>0</x:v>
      </x:c>
      <x:c r="J1347" s="38" t="n">
        <x:v>0.1145881105</x:v>
      </x:c>
    </x:row>
    <x:row r="1348" ht="19" customHeight="1">
      <x:c r="A1348" s="29" t="str">
        <x:v>stagger_1</x:v>
      </x:c>
      <x:c r="B1348" s="38" t="str">
        <x:v>MRNA</x:v>
      </x:c>
      <x:c r="C1348" s="38" t="str">
        <x:v>Other sectors</x:v>
      </x:c>
      <x:c r="D1348" s="30" t="n">
        <x:v>3</x:v>
      </x:c>
      <x:c r="E1348" s="38" t="str">
        <x:v>XLK</x:v>
      </x:c>
      <x:c r="F1348" s="38" t="n">
        <x:v>0.8306813923</x:v>
      </x:c>
      <x:c r="G1348" s="38" t="n">
        <x:v>0.722139768</x:v>
      </x:c>
      <x:c r="H1348" s="42" t="b">
        <x:v>0</x:v>
      </x:c>
      <x:c r="I1348" s="42" t="b">
        <x:v>0</x:v>
      </x:c>
      <x:c r="J1348" s="38" t="n">
        <x:v>0.1145881105</x:v>
      </x:c>
    </x:row>
    <x:row r="1349" ht="19" customHeight="1">
      <x:c r="A1349" s="29" t="str">
        <x:v>stagger_1</x:v>
      </x:c>
      <x:c r="B1349" s="38" t="str">
        <x:v>MRNA</x:v>
      </x:c>
      <x:c r="C1349" s="38" t="str">
        <x:v>Other sectors</x:v>
      </x:c>
      <x:c r="D1349" s="30" t="n">
        <x:v>3</x:v>
      </x:c>
      <x:c r="E1349" s="38" t="str">
        <x:v>XLP</x:v>
      </x:c>
      <x:c r="F1349" s="38" t="n">
        <x:v>-0.7614612666</x:v>
      </x:c>
      <x:c r="G1349" s="38" t="n">
        <x:v>-0.8370005732</x:v>
      </x:c>
      <x:c r="H1349" s="42" t="b">
        <x:v>0</x:v>
      </x:c>
      <x:c r="I1349" s="42" t="b">
        <x:v>0</x:v>
      </x:c>
      <x:c r="J1349" s="38" t="n">
        <x:v>0.1145881105</x:v>
      </x:c>
    </x:row>
    <x:row r="1350" ht="19" customHeight="1">
      <x:c r="A1350" s="29" t="str">
        <x:v>stagger_1</x:v>
      </x:c>
      <x:c r="B1350" s="38" t="str">
        <x:v>MRNA</x:v>
      </x:c>
      <x:c r="C1350" s="38" t="str">
        <x:v>Other sectors</x:v>
      </x:c>
      <x:c r="D1350" s="30" t="n">
        <x:v>3</x:v>
      </x:c>
      <x:c r="E1350" s="38" t="str">
        <x:v>XLU</x:v>
      </x:c>
      <x:c r="F1350" s="38" t="n">
        <x:v>0.7005990113</x:v>
      </x:c>
      <x:c r="G1350" s="38" t="n">
        <x:v>1.1954071772</x:v>
      </x:c>
      <x:c r="H1350" s="42" t="b">
        <x:v>0</x:v>
      </x:c>
      <x:c r="I1350" s="42" t="b">
        <x:v>0</x:v>
      </x:c>
      <x:c r="J1350" s="38" t="n">
        <x:v>0.1145881105</x:v>
      </x:c>
    </x:row>
    <x:row r="1351" ht="19" customHeight="1">
      <x:c r="A1351" s="29" t="str">
        <x:v>stagger_1</x:v>
      </x:c>
      <x:c r="B1351" s="38" t="str">
        <x:v>MRNA</x:v>
      </x:c>
      <x:c r="C1351" s="38" t="str">
        <x:v>Other sectors</x:v>
      </x:c>
      <x:c r="D1351" s="30" t="n">
        <x:v>3</x:v>
      </x:c>
      <x:c r="E1351" s="38" t="str">
        <x:v>XLY</x:v>
      </x:c>
      <x:c r="F1351" s="38" t="n">
        <x:v>-0.1889582033</x:v>
      </x:c>
      <x:c r="G1351" s="38" t="n">
        <x:v>-0.2555991981</x:v>
      </x:c>
      <x:c r="H1351" s="42" t="b">
        <x:v>1</x:v>
      </x:c>
      <x:c r="I1351" s="42" t="b">
        <x:v>0</x:v>
      </x:c>
      <x:c r="J1351" s="38" t="n">
        <x:v>0.1145881105</x:v>
      </x:c>
    </x:row>
    <x:row r="1352" ht="19" customHeight="1">
      <x:c r="A1352" s="29" t="str">
        <x:v>stagger_1</x:v>
      </x:c>
      <x:c r="B1352" s="38" t="str">
        <x:v>MRNA</x:v>
      </x:c>
      <x:c r="C1352" s="38" t="str">
        <x:v>Other sectors</x:v>
      </x:c>
      <x:c r="D1352" s="30" t="n">
        <x:v>4</x:v>
      </x:c>
      <x:c r="E1352" s="38" t="str">
        <x:v>XLB</x:v>
      </x:c>
      <x:c r="F1352" s="38" t="n">
        <x:v>0.7534099735</x:v>
      </x:c>
      <x:c r="G1352" s="38" t="n">
        <x:v>0.8507293734</x:v>
      </x:c>
      <x:c r="H1352" s="42" t="b">
        <x:v>0</x:v>
      </x:c>
      <x:c r="I1352" s="42" t="b">
        <x:v>0</x:v>
      </x:c>
      <x:c r="J1352" s="38" t="n">
        <x:v>0.113773395</x:v>
      </x:c>
    </x:row>
    <x:row r="1353" ht="19" customHeight="1">
      <x:c r="A1353" s="29" t="str">
        <x:v>stagger_1</x:v>
      </x:c>
      <x:c r="B1353" s="38" t="str">
        <x:v>MRNA</x:v>
      </x:c>
      <x:c r="C1353" s="38" t="str">
        <x:v>Other sectors</x:v>
      </x:c>
      <x:c r="D1353" s="30" t="n">
        <x:v>4</x:v>
      </x:c>
      <x:c r="E1353" s="38" t="str">
        <x:v>XLC</x:v>
      </x:c>
      <x:c r="F1353" s="38" t="n">
        <x:v>0.2422625767</x:v>
      </x:c>
      <x:c r="G1353" s="38" t="n">
        <x:v>0.2910298215</x:v>
      </x:c>
      <x:c r="H1353" s="42" t="b">
        <x:v>1</x:v>
      </x:c>
      <x:c r="I1353" s="42" t="b">
        <x:v>0</x:v>
      </x:c>
      <x:c r="J1353" s="38" t="n">
        <x:v>0.113773395</x:v>
      </x:c>
    </x:row>
    <x:row r="1354" ht="19" customHeight="1">
      <x:c r="A1354" s="29" t="str">
        <x:v>stagger_1</x:v>
      </x:c>
      <x:c r="B1354" s="38" t="str">
        <x:v>MRNA</x:v>
      </x:c>
      <x:c r="C1354" s="38" t="str">
        <x:v>Other sectors</x:v>
      </x:c>
      <x:c r="D1354" s="30" t="n">
        <x:v>4</x:v>
      </x:c>
      <x:c r="E1354" s="38" t="str">
        <x:v>XLF</x:v>
      </x:c>
      <x:c r="F1354" s="38" t="n">
        <x:v>-0.9293727002</x:v>
      </x:c>
      <x:c r="G1354" s="38" t="n">
        <x:v>-1.0034729951</x:v>
      </x:c>
      <x:c r="H1354" s="42" t="b">
        <x:v>0</x:v>
      </x:c>
      <x:c r="I1354" s="42" t="b">
        <x:v>0</x:v>
      </x:c>
      <x:c r="J1354" s="38" t="n">
        <x:v>0.113773395</x:v>
      </x:c>
    </x:row>
    <x:row r="1355" ht="19" customHeight="1">
      <x:c r="A1355" s="29" t="str">
        <x:v>stagger_1</x:v>
      </x:c>
      <x:c r="B1355" s="38" t="str">
        <x:v>MRNA</x:v>
      </x:c>
      <x:c r="C1355" s="38" t="str">
        <x:v>Other sectors</x:v>
      </x:c>
      <x:c r="D1355" s="30" t="n">
        <x:v>4</x:v>
      </x:c>
      <x:c r="E1355" s="38" t="str">
        <x:v>XLI</x:v>
      </x:c>
      <x:c r="F1355" s="38" t="n">
        <x:v>1.0042918275</x:v>
      </x:c>
      <x:c r="G1355" s="38" t="n">
        <x:v>0.8832466981</x:v>
      </x:c>
      <x:c r="H1355" s="42" t="b">
        <x:v>0</x:v>
      </x:c>
      <x:c r="I1355" s="42" t="b">
        <x:v>0</x:v>
      </x:c>
      <x:c r="J1355" s="38" t="n">
        <x:v>0.113773395</x:v>
      </x:c>
    </x:row>
    <x:row r="1356" ht="19" customHeight="1">
      <x:c r="A1356" s="29" t="str">
        <x:v>stagger_1</x:v>
      </x:c>
      <x:c r="B1356" s="38" t="str">
        <x:v>MRNA</x:v>
      </x:c>
      <x:c r="C1356" s="38" t="str">
        <x:v>Other sectors</x:v>
      </x:c>
      <x:c r="D1356" s="30" t="n">
        <x:v>4</x:v>
      </x:c>
      <x:c r="E1356" s="38" t="str">
        <x:v>XLK</x:v>
      </x:c>
      <x:c r="F1356" s="38" t="n">
        <x:v>0.9107178142</x:v>
      </x:c>
      <x:c r="G1356" s="38" t="n">
        <x:v>0.8281831588</x:v>
      </x:c>
      <x:c r="H1356" s="42" t="b">
        <x:v>0</x:v>
      </x:c>
      <x:c r="I1356" s="42" t="b">
        <x:v>0</x:v>
      </x:c>
      <x:c r="J1356" s="38" t="n">
        <x:v>0.113773395</x:v>
      </x:c>
    </x:row>
    <x:row r="1357" ht="19" customHeight="1">
      <x:c r="A1357" s="29" t="str">
        <x:v>stagger_1</x:v>
      </x:c>
      <x:c r="B1357" s="38" t="str">
        <x:v>MRNA</x:v>
      </x:c>
      <x:c r="C1357" s="38" t="str">
        <x:v>Other sectors</x:v>
      </x:c>
      <x:c r="D1357" s="30" t="n">
        <x:v>4</x:v>
      </x:c>
      <x:c r="E1357" s="38" t="str">
        <x:v>XLP</x:v>
      </x:c>
      <x:c r="F1357" s="38" t="n">
        <x:v>-0.7014480158</x:v>
      </x:c>
      <x:c r="G1357" s="38" t="n">
        <x:v>-0.8033021346</x:v>
      </x:c>
      <x:c r="H1357" s="42" t="b">
        <x:v>0</x:v>
      </x:c>
      <x:c r="I1357" s="42" t="b">
        <x:v>0</x:v>
      </x:c>
      <x:c r="J1357" s="38" t="n">
        <x:v>0.113773395</x:v>
      </x:c>
    </x:row>
    <x:row r="1358" ht="19" customHeight="1">
      <x:c r="A1358" s="29" t="str">
        <x:v>stagger_1</x:v>
      </x:c>
      <x:c r="B1358" s="38" t="str">
        <x:v>MRNA</x:v>
      </x:c>
      <x:c r="C1358" s="38" t="str">
        <x:v>Other sectors</x:v>
      </x:c>
      <x:c r="D1358" s="30" t="n">
        <x:v>4</x:v>
      </x:c>
      <x:c r="E1358" s="38" t="str">
        <x:v>XLU</x:v>
      </x:c>
      <x:c r="F1358" s="38" t="n">
        <x:v>0.6997289652</x:v>
      </x:c>
      <x:c r="G1358" s="38" t="n">
        <x:v>1.2017686559</x:v>
      </x:c>
      <x:c r="H1358" s="42" t="b">
        <x:v>0</x:v>
      </x:c>
      <x:c r="I1358" s="42" t="b">
        <x:v>0</x:v>
      </x:c>
      <x:c r="J1358" s="38" t="n">
        <x:v>0.113773395</x:v>
      </x:c>
    </x:row>
    <x:row r="1359" ht="19" customHeight="1">
      <x:c r="A1359" s="29" t="str">
        <x:v>stagger_1</x:v>
      </x:c>
      <x:c r="B1359" s="38" t="str">
        <x:v>MRNA</x:v>
      </x:c>
      <x:c r="C1359" s="38" t="str">
        <x:v>Other sectors</x:v>
      </x:c>
      <x:c r="D1359" s="30" t="n">
        <x:v>5</x:v>
      </x:c>
      <x:c r="E1359" s="38" t="str">
        <x:v>XLB</x:v>
      </x:c>
      <x:c r="F1359" s="38" t="n">
        <x:v>0.7382635765</x:v>
      </x:c>
      <x:c r="G1359" s="38" t="n">
        <x:v>0.8403546666</x:v>
      </x:c>
      <x:c r="H1359" s="42" t="b">
        <x:v>0</x:v>
      </x:c>
      <x:c r="I1359" s="42" t="b">
        <x:v>0</x:v>
      </x:c>
      <x:c r="J1359" s="38" t="n">
        <x:v>0.1127308681</x:v>
      </x:c>
    </x:row>
    <x:row r="1360" ht="19" customHeight="1">
      <x:c r="A1360" s="29" t="str">
        <x:v>stagger_1</x:v>
      </x:c>
      <x:c r="B1360" s="38" t="str">
        <x:v>MRNA</x:v>
      </x:c>
      <x:c r="C1360" s="38" t="str">
        <x:v>Other sectors</x:v>
      </x:c>
      <x:c r="D1360" s="30" t="n">
        <x:v>5</x:v>
      </x:c>
      <x:c r="E1360" s="38" t="str">
        <x:v>XLF</x:v>
      </x:c>
      <x:c r="F1360" s="38" t="n">
        <x:v>-0.9977993044</x:v>
      </x:c>
      <x:c r="G1360" s="38" t="n">
        <x:v>-1.1208946519</x:v>
      </x:c>
      <x:c r="H1360" s="42" t="b">
        <x:v>0</x:v>
      </x:c>
      <x:c r="I1360" s="42" t="b">
        <x:v>0</x:v>
      </x:c>
      <x:c r="J1360" s="38" t="n">
        <x:v>0.1127308681</x:v>
      </x:c>
    </x:row>
    <x:row r="1361" ht="19" customHeight="1">
      <x:c r="A1361" s="29" t="str">
        <x:v>stagger_1</x:v>
      </x:c>
      <x:c r="B1361" s="38" t="str">
        <x:v>MRNA</x:v>
      </x:c>
      <x:c r="C1361" s="38" t="str">
        <x:v>Other sectors</x:v>
      </x:c>
      <x:c r="D1361" s="30" t="n">
        <x:v>5</x:v>
      </x:c>
      <x:c r="E1361" s="38" t="str">
        <x:v>XLI</x:v>
      </x:c>
      <x:c r="F1361" s="38" t="n">
        <x:v>0.9764473479</x:v>
      </x:c>
      <x:c r="G1361" s="38" t="n">
        <x:v>0.8672688194</x:v>
      </x:c>
      <x:c r="H1361" s="42" t="b">
        <x:v>0</x:v>
      </x:c>
      <x:c r="I1361" s="42" t="b">
        <x:v>0</x:v>
      </x:c>
      <x:c r="J1361" s="38" t="n">
        <x:v>0.1127308681</x:v>
      </x:c>
    </x:row>
    <x:row r="1362" ht="19" customHeight="1">
      <x:c r="A1362" s="29" t="str">
        <x:v>stagger_1</x:v>
      </x:c>
      <x:c r="B1362" s="38" t="str">
        <x:v>MRNA</x:v>
      </x:c>
      <x:c r="C1362" s="38" t="str">
        <x:v>Other sectors</x:v>
      </x:c>
      <x:c r="D1362" s="30" t="n">
        <x:v>5</x:v>
      </x:c>
      <x:c r="E1362" s="38" t="str">
        <x:v>XLK</x:v>
      </x:c>
      <x:c r="F1362" s="38" t="n">
        <x:v>0.7458397495</x:v>
      </x:c>
      <x:c r="G1362" s="38" t="n">
        <x:v>0.7963588921</x:v>
      </x:c>
      <x:c r="H1362" s="42" t="b">
        <x:v>1</x:v>
      </x:c>
      <x:c r="I1362" s="42" t="b">
        <x:v>0</x:v>
      </x:c>
      <x:c r="J1362" s="38" t="n">
        <x:v>0.1127308681</x:v>
      </x:c>
    </x:row>
    <x:row r="1363" ht="19" customHeight="1">
      <x:c r="A1363" s="29" t="str">
        <x:v>stagger_1</x:v>
      </x:c>
      <x:c r="B1363" s="38" t="str">
        <x:v>MRNA</x:v>
      </x:c>
      <x:c r="C1363" s="38" t="str">
        <x:v>Other sectors</x:v>
      </x:c>
      <x:c r="D1363" s="30" t="n">
        <x:v>5</x:v>
      </x:c>
      <x:c r="E1363" s="38" t="str">
        <x:v>XLP</x:v>
      </x:c>
      <x:c r="F1363" s="38" t="n">
        <x:v>-0.7226602407</x:v>
      </x:c>
      <x:c r="G1363" s="38" t="n">
        <x:v>-0.8357486872</x:v>
      </x:c>
      <x:c r="H1363" s="42" t="b">
        <x:v>0</x:v>
      </x:c>
      <x:c r="I1363" s="42" t="b">
        <x:v>0</x:v>
      </x:c>
      <x:c r="J1363" s="38" t="n">
        <x:v>0.1127308681</x:v>
      </x:c>
    </x:row>
    <x:row r="1364" ht="19" customHeight="1">
      <x:c r="A1364" s="29" t="str">
        <x:v>stagger_1</x:v>
      </x:c>
      <x:c r="B1364" s="38" t="str">
        <x:v>MRNA</x:v>
      </x:c>
      <x:c r="C1364" s="38" t="str">
        <x:v>Other sectors</x:v>
      </x:c>
      <x:c r="D1364" s="30" t="n">
        <x:v>5</x:v>
      </x:c>
      <x:c r="E1364" s="38" t="str">
        <x:v>XLU</x:v>
      </x:c>
      <x:c r="F1364" s="38" t="n">
        <x:v>0.6575489996</x:v>
      </x:c>
      <x:c r="G1364" s="38" t="n">
        <x:v>1.173406846</x:v>
      </x:c>
      <x:c r="H1364" s="42" t="b">
        <x:v>0</x:v>
      </x:c>
      <x:c r="I1364" s="42" t="b">
        <x:v>0</x:v>
      </x:c>
      <x:c r="J1364" s="38" t="n">
        <x:v>0.1127308681</x:v>
      </x:c>
    </x:row>
    <x:row r="1365" ht="19" customHeight="1">
      <x:c r="A1365" s="29" t="str">
        <x:v>stagger_1</x:v>
      </x:c>
      <x:c r="B1365" s="38" t="str">
        <x:v>MRNA</x:v>
      </x:c>
      <x:c r="C1365" s="38" t="str">
        <x:v>Other sectors</x:v>
      </x:c>
      <x:c r="D1365" s="30" t="n">
        <x:v>6</x:v>
      </x:c>
      <x:c r="E1365" s="38" t="str">
        <x:v>XLB</x:v>
      </x:c>
      <x:c r="F1365" s="38" t="n">
        <x:v>0.6238953833</x:v>
      </x:c>
      <x:c r="G1365" s="38" t="n">
        <x:v>0.7216406068</x:v>
      </x:c>
      <x:c r="H1365" s="42" t="b">
        <x:v>1</x:v>
      </x:c>
      <x:c r="I1365" s="42" t="b">
        <x:v>0</x:v>
      </x:c>
      <x:c r="J1365" s="38" t="n">
        <x:v>0.1050227177</x:v>
      </x:c>
    </x:row>
    <x:row r="1366" ht="19" customHeight="1">
      <x:c r="A1366" s="29" t="str">
        <x:v>stagger_1</x:v>
      </x:c>
      <x:c r="B1366" s="38" t="str">
        <x:v>MRNA</x:v>
      </x:c>
      <x:c r="C1366" s="38" t="str">
        <x:v>Other sectors</x:v>
      </x:c>
      <x:c r="D1366" s="30" t="n">
        <x:v>6</x:v>
      </x:c>
      <x:c r="E1366" s="38" t="str">
        <x:v>XLF</x:v>
      </x:c>
      <x:c r="F1366" s="38" t="n">
        <x:v>-1.4362061638</x:v>
      </x:c>
      <x:c r="G1366" s="38" t="n">
        <x:v>-2.0581648265</x:v>
      </x:c>
      <x:c r="H1366" s="42" t="b">
        <x:v>0</x:v>
      </x:c>
      <x:c r="I1366" s="42" t="b">
        <x:v>0</x:v>
      </x:c>
      <x:c r="J1366" s="38" t="n">
        <x:v>0.1050227177</x:v>
      </x:c>
    </x:row>
    <x:row r="1367" ht="19" customHeight="1">
      <x:c r="A1367" s="29" t="str">
        <x:v>stagger_1</x:v>
      </x:c>
      <x:c r="B1367" s="38" t="str">
        <x:v>MRNA</x:v>
      </x:c>
      <x:c r="C1367" s="38" t="str">
        <x:v>Other sectors</x:v>
      </x:c>
      <x:c r="D1367" s="30" t="n">
        <x:v>6</x:v>
      </x:c>
      <x:c r="E1367" s="38" t="str">
        <x:v>XLI</x:v>
      </x:c>
      <x:c r="F1367" s="38" t="n">
        <x:v>1.1313006668</x:v>
      </x:c>
      <x:c r="G1367" s="38" t="n">
        <x:v>1.0226683765</x:v>
      </x:c>
      <x:c r="H1367" s="42" t="b">
        <x:v>0</x:v>
      </x:c>
      <x:c r="I1367" s="42" t="b">
        <x:v>0</x:v>
      </x:c>
      <x:c r="J1367" s="38" t="n">
        <x:v>0.1050227177</x:v>
      </x:c>
    </x:row>
    <x:row r="1368" ht="19" customHeight="1">
      <x:c r="A1368" s="29" t="str">
        <x:v>stagger_1</x:v>
      </x:c>
      <x:c r="B1368" s="38" t="str">
        <x:v>MRNA</x:v>
      </x:c>
      <x:c r="C1368" s="38" t="str">
        <x:v>Other sectors</x:v>
      </x:c>
      <x:c r="D1368" s="30" t="n">
        <x:v>6</x:v>
      </x:c>
      <x:c r="E1368" s="38" t="str">
        <x:v>XLP</x:v>
      </x:c>
      <x:c r="F1368" s="38" t="n">
        <x:v>-1.0423404373</x:v>
      </x:c>
      <x:c r="G1368" s="38" t="n">
        <x:v>-1.3643870188</x:v>
      </x:c>
      <x:c r="H1368" s="42" t="b">
        <x:v>0</x:v>
      </x:c>
      <x:c r="I1368" s="42" t="b">
        <x:v>0</x:v>
      </x:c>
      <x:c r="J1368" s="38" t="n">
        <x:v>0.1050227177</x:v>
      </x:c>
    </x:row>
    <x:row r="1369" ht="19" customHeight="1">
      <x:c r="A1369" s="29" t="str">
        <x:v>stagger_1</x:v>
      </x:c>
      <x:c r="B1369" s="38" t="str">
        <x:v>MRNA</x:v>
      </x:c>
      <x:c r="C1369" s="38" t="str">
        <x:v>Other sectors</x:v>
      </x:c>
      <x:c r="D1369" s="30" t="n">
        <x:v>6</x:v>
      </x:c>
      <x:c r="E1369" s="38" t="str">
        <x:v>XLU</x:v>
      </x:c>
      <x:c r="F1369" s="38" t="n">
        <x:v>0.5953723237</x:v>
      </x:c>
      <x:c r="G1369" s="38" t="n">
        <x:v>1.0755783242</x:v>
      </x:c>
      <x:c r="H1369" s="42" t="b">
        <x:v>0</x:v>
      </x:c>
      <x:c r="I1369" s="42" t="b">
        <x:v>0</x:v>
      </x:c>
      <x:c r="J1369" s="38" t="n">
        <x:v>0.1050227177</x:v>
      </x:c>
    </x:row>
    <x:row r="1370" ht="19" customHeight="1">
      <x:c r="A1370" s="29" t="str">
        <x:v>stagger_1</x:v>
      </x:c>
      <x:c r="B1370" s="38" t="str">
        <x:v>MRNA</x:v>
      </x:c>
      <x:c r="C1370" s="38" t="str">
        <x:v>Other sectors</x:v>
      </x:c>
      <x:c r="D1370" s="30" t="n">
        <x:v>7</x:v>
      </x:c>
      <x:c r="E1370" s="38" t="str">
        <x:v>XLF</x:v>
      </x:c>
      <x:c r="F1370" s="38" t="n">
        <x:v>-1.3224290348</x:v>
      </x:c>
      <x:c r="G1370" s="38" t="n">
        <x:v>-1.9516683917</x:v>
      </x:c>
      <x:c r="H1370" s="42" t="b">
        <x:v>0</x:v>
      </x:c>
      <x:c r="I1370" s="42" t="b">
        <x:v>0</x:v>
      </x:c>
      <x:c r="J1370" s="38" t="n">
        <x:v>0.098724434</x:v>
      </x:c>
    </x:row>
    <x:row r="1371" ht="19" customHeight="1">
      <x:c r="A1371" s="29" t="str">
        <x:v>stagger_1</x:v>
      </x:c>
      <x:c r="B1371" s="38" t="str">
        <x:v>MRNA</x:v>
      </x:c>
      <x:c r="C1371" s="38" t="str">
        <x:v>Other sectors</x:v>
      </x:c>
      <x:c r="D1371" s="30" t="n">
        <x:v>7</x:v>
      </x:c>
      <x:c r="E1371" s="38" t="str">
        <x:v>XLI</x:v>
      </x:c>
      <x:c r="F1371" s="38" t="n">
        <x:v>1.6784528622</x:v>
      </x:c>
      <x:c r="G1371" s="38" t="n">
        <x:v>2.090388172</x:v>
      </x:c>
      <x:c r="H1371" s="42" t="b">
        <x:v>0</x:v>
      </x:c>
      <x:c r="I1371" s="42" t="b">
        <x:v>0</x:v>
      </x:c>
      <x:c r="J1371" s="38" t="n">
        <x:v>0.098724434</x:v>
      </x:c>
    </x:row>
    <x:row r="1372" ht="19" customHeight="1">
      <x:c r="A1372" s="29" t="str">
        <x:v>stagger_1</x:v>
      </x:c>
      <x:c r="B1372" s="38" t="str">
        <x:v>MRNA</x:v>
      </x:c>
      <x:c r="C1372" s="38" t="str">
        <x:v>Other sectors</x:v>
      </x:c>
      <x:c r="D1372" s="30" t="n">
        <x:v>7</x:v>
      </x:c>
      <x:c r="E1372" s="38" t="str">
        <x:v>XLP</x:v>
      </x:c>
      <x:c r="F1372" s="38" t="n">
        <x:v>-0.9117063976</x:v>
      </x:c>
      <x:c r="G1372" s="38" t="n">
        <x:v>-1.2323180218</x:v>
      </x:c>
      <x:c r="H1372" s="42" t="b">
        <x:v>0</x:v>
      </x:c>
      <x:c r="I1372" s="42" t="b">
        <x:v>0</x:v>
      </x:c>
      <x:c r="J1372" s="38" t="n">
        <x:v>0.098724434</x:v>
      </x:c>
    </x:row>
    <x:row r="1373" ht="19" customHeight="1">
      <x:c r="A1373" s="29" t="str">
        <x:v>stagger_1</x:v>
      </x:c>
      <x:c r="B1373" s="38" t="str">
        <x:v>MRNA</x:v>
      </x:c>
      <x:c r="C1373" s="38" t="str">
        <x:v>Other sectors</x:v>
      </x:c>
      <x:c r="D1373" s="30" t="n">
        <x:v>7</x:v>
      </x:c>
      <x:c r="E1373" s="38" t="str">
        <x:v>XLU</x:v>
      </x:c>
      <x:c r="F1373" s="38" t="n">
        <x:v>0.6243668617</x:v>
      </x:c>
      <x:c r="G1373" s="38" t="n">
        <x:v>1.1345726617</x:v>
      </x:c>
      <x:c r="H1373" s="42" t="b">
        <x:v>1</x:v>
      </x:c>
      <x:c r="I1373" s="42" t="b">
        <x:v>0</x:v>
      </x:c>
      <x:c r="J1373" s="38" t="n">
        <x:v>0.098724434</x:v>
      </x:c>
    </x:row>
    <x:row r="1374" ht="19" customHeight="1">
      <x:c r="A1374" s="29" t="str">
        <x:v>stagger_1</x:v>
      </x:c>
      <x:c r="B1374" s="38" t="str">
        <x:v>MRNA</x:v>
      </x:c>
      <x:c r="C1374" s="38" t="str">
        <x:v>Other sectors</x:v>
      </x:c>
      <x:c r="D1374" s="30" t="n">
        <x:v>8</x:v>
      </x:c>
      <x:c r="E1374" s="38" t="str">
        <x:v>XLF</x:v>
      </x:c>
      <x:c r="F1374" s="38" t="n">
        <x:v>-1.302783423</x:v>
      </x:c>
      <x:c r="G1374" s="38" t="n">
        <x:v>-1.9196786214</x:v>
      </x:c>
      <x:c r="H1374" s="42" t="b">
        <x:v>0</x:v>
      </x:c>
      <x:c r="I1374" s="42" t="b">
        <x:v>0</x:v>
      </x:c>
      <x:c r="J1374" s="38" t="n">
        <x:v>0.0832554794</x:v>
      </x:c>
    </x:row>
    <x:row r="1375" ht="19" customHeight="1">
      <x:c r="A1375" s="29" t="str">
        <x:v>stagger_1</x:v>
      </x:c>
      <x:c r="B1375" s="38" t="str">
        <x:v>MRNA</x:v>
      </x:c>
      <x:c r="C1375" s="38" t="str">
        <x:v>Other sectors</x:v>
      </x:c>
      <x:c r="D1375" s="30" t="n">
        <x:v>8</x:v>
      </x:c>
      <x:c r="E1375" s="38" t="str">
        <x:v>XLI</x:v>
      </x:c>
      <x:c r="F1375" s="38" t="n">
        <x:v>1.848403436</x:v>
      </x:c>
      <x:c r="G1375" s="38" t="n">
        <x:v>2.3387692183</x:v>
      </x:c>
      <x:c r="H1375" s="42" t="b">
        <x:v>0</x:v>
      </x:c>
      <x:c r="I1375" s="42" t="b">
        <x:v>0</x:v>
      </x:c>
      <x:c r="J1375" s="38" t="n">
        <x:v>0.0832554794</x:v>
      </x:c>
    </x:row>
    <x:row r="1376" ht="19" customHeight="1">
      <x:c r="A1376" s="29" t="str">
        <x:v>stagger_1</x:v>
      </x:c>
      <x:c r="B1376" s="38" t="str">
        <x:v>MRNA</x:v>
      </x:c>
      <x:c r="C1376" s="38" t="str">
        <x:v>Other sectors</x:v>
      </x:c>
      <x:c r="D1376" s="30" t="n">
        <x:v>8</x:v>
      </x:c>
      <x:c r="E1376" s="38" t="str">
        <x:v>XLP</x:v>
      </x:c>
      <x:c r="F1376" s="38" t="n">
        <x:v>-0.5640585411</x:v>
      </x:c>
      <x:c r="G1376" s="38" t="n">
        <x:v>-0.8360560997</x:v>
      </x:c>
      <x:c r="H1376" s="42" t="b">
        <x:v>1</x:v>
      </x:c>
      <x:c r="I1376" s="42" t="b">
        <x:v>0</x:v>
      </x:c>
      <x:c r="J1376" s="38" t="n">
        <x:v>0.0832554794</x:v>
      </x:c>
    </x:row>
    <x:row r="1377" ht="19" customHeight="1">
      <x:c r="A1377" s="29" t="str">
        <x:v>stagger_1</x:v>
      </x:c>
      <x:c r="B1377" s="38" t="str">
        <x:v>MRNA</x:v>
      </x:c>
      <x:c r="C1377" s="38" t="str">
        <x:v>Other sectors</x:v>
      </x:c>
      <x:c r="D1377" s="30" t="n">
        <x:v>9</x:v>
      </x:c>
      <x:c r="E1377" s="38" t="str">
        <x:v>XLF</x:v>
      </x:c>
      <x:c r="F1377" s="38" t="n">
        <x:v>-1.225097241</x:v>
      </x:c>
      <x:c r="G1377" s="38" t="n">
        <x:v>-1.8259416067</x:v>
      </x:c>
      <x:c r="H1377" s="42" t="b">
        <x:v>1</x:v>
      </x:c>
      <x:c r="I1377" s="42" t="b">
        <x:v>0</x:v>
      </x:c>
      <x:c r="J1377" s="38" t="n">
        <x:v>0.0748239654</x:v>
      </x:c>
    </x:row>
    <x:row r="1378" ht="19" customHeight="1">
      <x:c r="A1378" s="29" t="str">
        <x:v>stagger_1</x:v>
      </x:c>
      <x:c r="B1378" s="38" t="str">
        <x:v>MRNA</x:v>
      </x:c>
      <x:c r="C1378" s="38" t="str">
        <x:v>Other sectors</x:v>
      </x:c>
      <x:c r="D1378" s="30" t="n">
        <x:v>9</x:v>
      </x:c>
      <x:c r="E1378" s="38" t="str">
        <x:v>XLI</x:v>
      </x:c>
      <x:c r="F1378" s="38" t="n">
        <x:v>1.5546678874</x:v>
      </x:c>
      <x:c r="G1378" s="38" t="n">
        <x:v>2.2003298888</x:v>
      </x:c>
      <x:c r="H1378" s="42" t="b">
        <x:v>0</x:v>
      </x:c>
      <x:c r="I1378" s="42" t="b">
        <x:v>0</x:v>
      </x:c>
      <x:c r="J1378" s="38" t="n">
        <x:v>0.0748239654</x:v>
      </x:c>
    </x:row>
    <x:row r="1379" ht="19" customHeight="1">
      <x:c r="A1379" s="29" t="str">
        <x:v>stagger_1</x:v>
      </x:c>
      <x:c r="B1379" s="38" t="str">
        <x:v>MRNA</x:v>
      </x:c>
      <x:c r="C1379" s="38" t="str">
        <x:v>Other sectors</x:v>
      </x:c>
      <x:c r="D1379" s="30" t="n">
        <x:v>10</x:v>
      </x:c>
      <x:c r="E1379" s="38" t="str">
        <x:v>XLI</x:v>
      </x:c>
      <x:c r="F1379" s="38" t="n">
        <x:v>1.1371831298</x:v>
      </x:c>
      <x:c r="G1379" s="38" t="n">
        <x:v>1.6760898534</x:v>
      </x:c>
      <x:c r="H1379" s="42" t="b">
        <x:v>1</x:v>
      </x:c>
      <x:c r="I1379" s="42" t="b">
        <x:v>0</x:v>
      </x:c>
      <x:c r="J1379" s="38" t="n">
        <x:v>0.0347642906</x:v>
      </x:c>
    </x:row>
    <x:row r="1380" ht="19" customHeight="1">
      <x:c r="A1380" s="29" t="str">
        <x:v>stagger_1</x:v>
      </x:c>
      <x:c r="B1380" s="38" t="str">
        <x:v>AXON</x:v>
      </x:c>
      <x:c r="C1380" s="38" t="str">
        <x:v>Other FX</x:v>
      </x:c>
      <x:c r="D1380" s="30" t="n">
        <x:v>1</x:v>
      </x:c>
      <x:c r="E1380" s="38" t="str">
        <x:v>AUD/USD</x:v>
      </x:c>
      <x:c r="F1380" s="38" t="n">
        <x:v>-1.9318233539</x:v>
      </x:c>
      <x:c r="G1380" s="38" t="n">
        <x:v>-1.8042545122</x:v>
      </x:c>
      <x:c r="H1380" s="42" t="b">
        <x:v>0</x:v>
      </x:c>
      <x:c r="I1380" s="42" t="b">
        <x:v>0</x:v>
      </x:c>
      <x:c r="J1380" s="38" t="n">
        <x:v>0.1230734246</x:v>
      </x:c>
    </x:row>
    <x:row r="1381" ht="19" customHeight="1">
      <x:c r="A1381" s="29" t="str">
        <x:v>stagger_1</x:v>
      </x:c>
      <x:c r="B1381" s="38" t="str">
        <x:v>AXON</x:v>
      </x:c>
      <x:c r="C1381" s="38" t="str">
        <x:v>Other FX</x:v>
      </x:c>
      <x:c r="D1381" s="30" t="n">
        <x:v>1</x:v>
      </x:c>
      <x:c r="E1381" s="38" t="str">
        <x:v>CAD/USD</x:v>
      </x:c>
      <x:c r="F1381" s="38" t="n">
        <x:v>-0.7173645256</x:v>
      </x:c>
      <x:c r="G1381" s="38" t="n">
        <x:v>-0.5548387648</x:v>
      </x:c>
      <x:c r="H1381" s="42" t="b">
        <x:v>0</x:v>
      </x:c>
      <x:c r="I1381" s="42" t="b">
        <x:v>0</x:v>
      </x:c>
      <x:c r="J1381" s="38" t="n">
        <x:v>0.1230734246</x:v>
      </x:c>
    </x:row>
    <x:row r="1382" ht="19" customHeight="1">
      <x:c r="A1382" s="29" t="str">
        <x:v>stagger_1</x:v>
      </x:c>
      <x:c r="B1382" s="38" t="str">
        <x:v>AXON</x:v>
      </x:c>
      <x:c r="C1382" s="38" t="str">
        <x:v>Other FX</x:v>
      </x:c>
      <x:c r="D1382" s="30" t="n">
        <x:v>1</x:v>
      </x:c>
      <x:c r="E1382" s="38" t="str">
        <x:v>DKK/USD</x:v>
      </x:c>
      <x:c r="F1382" s="38" t="n">
        <x:v>6.7228071301</x:v>
      </x:c>
      <x:c r="G1382" s="38" t="n">
        <x:v>0.7468899525</x:v>
      </x:c>
      <x:c r="H1382" s="42" t="b">
        <x:v>0</x:v>
      </x:c>
      <x:c r="I1382" s="42" t="b">
        <x:v>0</x:v>
      </x:c>
      <x:c r="J1382" s="38" t="n">
        <x:v>0.1230734246</x:v>
      </x:c>
    </x:row>
    <x:row r="1383" ht="19" customHeight="1">
      <x:c r="A1383" s="29" t="str">
        <x:v>stagger_1</x:v>
      </x:c>
      <x:c r="B1383" s="38" t="str">
        <x:v>AXON</x:v>
      </x:c>
      <x:c r="C1383" s="38" t="str">
        <x:v>Other FX</x:v>
      </x:c>
      <x:c r="D1383" s="30" t="n">
        <x:v>1</x:v>
      </x:c>
      <x:c r="E1383" s="38" t="str">
        <x:v>EUR/USD</x:v>
      </x:c>
      <x:c r="F1383" s="38" t="n">
        <x:v>-6.5644558452</x:v>
      </x:c>
      <x:c r="G1383" s="38" t="n">
        <x:v>-0.7972970666</x:v>
      </x:c>
      <x:c r="H1383" s="42" t="b">
        <x:v>0</x:v>
      </x:c>
      <x:c r="I1383" s="42" t="b">
        <x:v>0</x:v>
      </x:c>
      <x:c r="J1383" s="38" t="n">
        <x:v>0.1230734246</x:v>
      </x:c>
    </x:row>
    <x:row r="1384" ht="19" customHeight="1">
      <x:c r="A1384" s="29" t="str">
        <x:v>stagger_1</x:v>
      </x:c>
      <x:c r="B1384" s="38" t="str">
        <x:v>AXON</x:v>
      </x:c>
      <x:c r="C1384" s="38" t="str">
        <x:v>Other FX</x:v>
      </x:c>
      <x:c r="D1384" s="30" t="n">
        <x:v>1</x:v>
      </x:c>
      <x:c r="E1384" s="38" t="str">
        <x:v>MXN/USD</x:v>
      </x:c>
      <x:c r="F1384" s="38" t="n">
        <x:v>-0.1684626525</x:v>
      </x:c>
      <x:c r="G1384" s="38" t="n">
        <x:v>-0.2455924614</x:v>
      </x:c>
      <x:c r="H1384" s="42" t="b">
        <x:v>1</x:v>
      </x:c>
      <x:c r="I1384" s="42" t="b">
        <x:v>0</x:v>
      </x:c>
      <x:c r="J1384" s="38" t="n">
        <x:v>0.1230734246</x:v>
      </x:c>
    </x:row>
    <x:row r="1385" ht="19" customHeight="1">
      <x:c r="A1385" s="29" t="str">
        <x:v>stagger_1</x:v>
      </x:c>
      <x:c r="B1385" s="38" t="str">
        <x:v>AXON</x:v>
      </x:c>
      <x:c r="C1385" s="38" t="str">
        <x:v>Other FX</x:v>
      </x:c>
      <x:c r="D1385" s="30" t="n">
        <x:v>1</x:v>
      </x:c>
      <x:c r="E1385" s="38" t="str">
        <x:v>SGD/USD</x:v>
      </x:c>
      <x:c r="F1385" s="38" t="n">
        <x:v>5.8374694312</x:v>
      </x:c>
      <x:c r="G1385" s="38" t="n">
        <x:v>2.251777575</x:v>
      </x:c>
      <x:c r="H1385" s="42" t="b">
        <x:v>0</x:v>
      </x:c>
      <x:c r="I1385" s="42" t="b">
        <x:v>0</x:v>
      </x:c>
      <x:c r="J1385" s="38" t="n">
        <x:v>0.1230734246</x:v>
      </x:c>
    </x:row>
    <x:row r="1386" ht="19" customHeight="1">
      <x:c r="A1386" s="29" t="str">
        <x:v>stagger_1</x:v>
      </x:c>
      <x:c r="B1386" s="38" t="str">
        <x:v>AXON</x:v>
      </x:c>
      <x:c r="C1386" s="38" t="str">
        <x:v>Other FX</x:v>
      </x:c>
      <x:c r="D1386" s="30" t="n">
        <x:v>2</x:v>
      </x:c>
      <x:c r="E1386" s="38" t="str">
        <x:v>AUD/USD</x:v>
      </x:c>
      <x:c r="F1386" s="38" t="n">
        <x:v>-1.9811295116</x:v>
      </x:c>
      <x:c r="G1386" s="38" t="n">
        <x:v>-1.8957907713</x:v>
      </x:c>
      <x:c r="H1386" s="42" t="b">
        <x:v>0</x:v>
      </x:c>
      <x:c r="I1386" s="42" t="b">
        <x:v>0</x:v>
      </x:c>
      <x:c r="J1386" s="38" t="n">
        <x:v>0.1223488711</x:v>
      </x:c>
    </x:row>
    <x:row r="1387" ht="19" customHeight="1">
      <x:c r="A1387" s="29" t="str">
        <x:v>stagger_1</x:v>
      </x:c>
      <x:c r="B1387" s="38" t="str">
        <x:v>AXON</x:v>
      </x:c>
      <x:c r="C1387" s="38" t="str">
        <x:v>Other FX</x:v>
      </x:c>
      <x:c r="D1387" s="30" t="n">
        <x:v>2</x:v>
      </x:c>
      <x:c r="E1387" s="38" t="str">
        <x:v>CAD/USD</x:v>
      </x:c>
      <x:c r="F1387" s="38" t="n">
        <x:v>-0.7110065296</x:v>
      </x:c>
      <x:c r="G1387" s="38" t="n">
        <x:v>-0.5535573913</x:v>
      </x:c>
      <x:c r="H1387" s="42" t="b">
        <x:v>1</x:v>
      </x:c>
      <x:c r="I1387" s="42" t="b">
        <x:v>0</x:v>
      </x:c>
      <x:c r="J1387" s="38" t="n">
        <x:v>0.1223488711</x:v>
      </x:c>
    </x:row>
    <x:row r="1388" ht="19" customHeight="1">
      <x:c r="A1388" s="29" t="str">
        <x:v>stagger_1</x:v>
      </x:c>
      <x:c r="B1388" s="38" t="str">
        <x:v>AXON</x:v>
      </x:c>
      <x:c r="C1388" s="38" t="str">
        <x:v>Other FX</x:v>
      </x:c>
      <x:c r="D1388" s="30" t="n">
        <x:v>2</x:v>
      </x:c>
      <x:c r="E1388" s="38" t="str">
        <x:v>DKK/USD</x:v>
      </x:c>
      <x:c r="F1388" s="38" t="n">
        <x:v>6.0541443155</x:v>
      </x:c>
      <x:c r="G1388" s="38" t="n">
        <x:v>0.7101827238</x:v>
      </x:c>
      <x:c r="H1388" s="42" t="b">
        <x:v>0</x:v>
      </x:c>
      <x:c r="I1388" s="42" t="b">
        <x:v>0</x:v>
      </x:c>
      <x:c r="J1388" s="38" t="n">
        <x:v>0.1223488711</x:v>
      </x:c>
    </x:row>
    <x:row r="1389" ht="19" customHeight="1">
      <x:c r="A1389" s="29" t="str">
        <x:v>stagger_1</x:v>
      </x:c>
      <x:c r="B1389" s="38" t="str">
        <x:v>AXON</x:v>
      </x:c>
      <x:c r="C1389" s="38" t="str">
        <x:v>Other FX</x:v>
      </x:c>
      <x:c r="D1389" s="30" t="n">
        <x:v>2</x:v>
      </x:c>
      <x:c r="E1389" s="38" t="str">
        <x:v>EUR/USD</x:v>
      </x:c>
      <x:c r="F1389" s="38" t="n">
        <x:v>-6.0325744365</x:v>
      </x:c>
      <x:c r="G1389" s="38" t="n">
        <x:v>-0.7643084449</x:v>
      </x:c>
      <x:c r="H1389" s="42" t="b">
        <x:v>0</x:v>
      </x:c>
      <x:c r="I1389" s="42" t="b">
        <x:v>0</x:v>
      </x:c>
      <x:c r="J1389" s="38" t="n">
        <x:v>0.1223488711</x:v>
      </x:c>
    </x:row>
    <x:row r="1390" ht="19" customHeight="1">
      <x:c r="A1390" s="29" t="str">
        <x:v>stagger_1</x:v>
      </x:c>
      <x:c r="B1390" s="38" t="str">
        <x:v>AXON</x:v>
      </x:c>
      <x:c r="C1390" s="38" t="str">
        <x:v>Other FX</x:v>
      </x:c>
      <x:c r="D1390" s="30" t="n">
        <x:v>2</x:v>
      </x:c>
      <x:c r="E1390" s="38" t="str">
        <x:v>SGD/USD</x:v>
      </x:c>
      <x:c r="F1390" s="38" t="n">
        <x:v>5.9059490926</x:v>
      </x:c>
      <x:c r="G1390" s="38" t="n">
        <x:v>2.306176132</x:v>
      </x:c>
      <x:c r="H1390" s="42" t="b">
        <x:v>0</x:v>
      </x:c>
      <x:c r="I1390" s="42" t="b">
        <x:v>0</x:v>
      </x:c>
      <x:c r="J1390" s="38" t="n">
        <x:v>0.1223488711</x:v>
      </x:c>
    </x:row>
    <x:row r="1391" ht="19" customHeight="1">
      <x:c r="A1391" s="29" t="str">
        <x:v>stagger_1</x:v>
      </x:c>
      <x:c r="B1391" s="38" t="str">
        <x:v>AXON</x:v>
      </x:c>
      <x:c r="C1391" s="38" t="str">
        <x:v>Other FX</x:v>
      </x:c>
      <x:c r="D1391" s="30" t="n">
        <x:v>3</x:v>
      </x:c>
      <x:c r="E1391" s="38" t="str">
        <x:v>AUD/USD</x:v>
      </x:c>
      <x:c r="F1391" s="38" t="n">
        <x:v>-2.1222558894</x:v>
      </x:c>
      <x:c r="G1391" s="38" t="n">
        <x:v>-2.1038628161</x:v>
      </x:c>
      <x:c r="H1391" s="42" t="b">
        <x:v>0</x:v>
      </x:c>
      <x:c r="I1391" s="42" t="b">
        <x:v>0</x:v>
      </x:c>
      <x:c r="J1391" s="38" t="n">
        <x:v>0.1187146152</x:v>
      </x:c>
    </x:row>
    <x:row r="1392" ht="19" customHeight="1">
      <x:c r="A1392" s="29" t="str">
        <x:v>stagger_1</x:v>
      </x:c>
      <x:c r="B1392" s="38" t="str">
        <x:v>AXON</x:v>
      </x:c>
      <x:c r="C1392" s="38" t="str">
        <x:v>Other FX</x:v>
      </x:c>
      <x:c r="D1392" s="30" t="n">
        <x:v>3</x:v>
      </x:c>
      <x:c r="E1392" s="38" t="str">
        <x:v>DKK/USD</x:v>
      </x:c>
      <x:c r="F1392" s="38" t="n">
        <x:v>5.591404806</x:v>
      </x:c>
      <x:c r="G1392" s="38" t="n">
        <x:v>0.6621461368</x:v>
      </x:c>
      <x:c r="H1392" s="42" t="b">
        <x:v>1</x:v>
      </x:c>
      <x:c r="I1392" s="42" t="b">
        <x:v>0</x:v>
      </x:c>
      <x:c r="J1392" s="38" t="n">
        <x:v>0.1187146152</x:v>
      </x:c>
    </x:row>
    <x:row r="1393" ht="19" customHeight="1">
      <x:c r="A1393" s="29" t="str">
        <x:v>stagger_1</x:v>
      </x:c>
      <x:c r="B1393" s="38" t="str">
        <x:v>AXON</x:v>
      </x:c>
      <x:c r="C1393" s="38" t="str">
        <x:v>Other FX</x:v>
      </x:c>
      <x:c r="D1393" s="30" t="n">
        <x:v>3</x:v>
      </x:c>
      <x:c r="E1393" s="38" t="str">
        <x:v>EUR/USD</x:v>
      </x:c>
      <x:c r="F1393" s="38" t="n">
        <x:v>-5.7813644356</x:v>
      </x:c>
      <x:c r="G1393" s="38" t="n">
        <x:v>-0.7371108469</x:v>
      </x:c>
      <x:c r="H1393" s="42" t="b">
        <x:v>0</x:v>
      </x:c>
      <x:c r="I1393" s="42" t="b">
        <x:v>0</x:v>
      </x:c>
      <x:c r="J1393" s="38" t="n">
        <x:v>0.1187146152</x:v>
      </x:c>
    </x:row>
    <x:row r="1394" ht="19" customHeight="1">
      <x:c r="A1394" s="29" t="str">
        <x:v>stagger_1</x:v>
      </x:c>
      <x:c r="B1394" s="38" t="str">
        <x:v>AXON</x:v>
      </x:c>
      <x:c r="C1394" s="38" t="str">
        <x:v>Other FX</x:v>
      </x:c>
      <x:c r="D1394" s="30" t="n">
        <x:v>3</x:v>
      </x:c>
      <x:c r="E1394" s="38" t="str">
        <x:v>SGD/USD</x:v>
      </x:c>
      <x:c r="F1394" s="38" t="n">
        <x:v>5.8993834283</x:v>
      </x:c>
      <x:c r="G1394" s="38" t="n">
        <x:v>2.3143631278</x:v>
      </x:c>
      <x:c r="H1394" s="42" t="b">
        <x:v>0</x:v>
      </x:c>
      <x:c r="I1394" s="42" t="b">
        <x:v>0</x:v>
      </x:c>
      <x:c r="J1394" s="38" t="n">
        <x:v>0.1187146152</x:v>
      </x:c>
    </x:row>
    <x:row r="1395" ht="19" customHeight="1">
      <x:c r="A1395" s="29" t="str">
        <x:v>stagger_1</x:v>
      </x:c>
      <x:c r="B1395" s="38" t="str">
        <x:v>AXON</x:v>
      </x:c>
      <x:c r="C1395" s="38" t="str">
        <x:v>Other FX</x:v>
      </x:c>
      <x:c r="D1395" s="30" t="n">
        <x:v>4</x:v>
      </x:c>
      <x:c r="E1395" s="38" t="str">
        <x:v>AUD/USD</x:v>
      </x:c>
      <x:c r="F1395" s="38" t="n">
        <x:v>-2.0672111789</x:v>
      </x:c>
      <x:c r="G1395" s="38" t="n">
        <x:v>-2.0639289628</x:v>
      </x:c>
      <x:c r="H1395" s="42" t="b">
        <x:v>0</x:v>
      </x:c>
      <x:c r="I1395" s="42" t="b">
        <x:v>0</x:v>
      </x:c>
      <x:c r="J1395" s="38" t="n">
        <x:v>0.1135627676</x:v>
      </x:c>
    </x:row>
    <x:row r="1396" ht="19" customHeight="1">
      <x:c r="A1396" s="29" t="str">
        <x:v>stagger_1</x:v>
      </x:c>
      <x:c r="B1396" s="38" t="str">
        <x:v>AXON</x:v>
      </x:c>
      <x:c r="C1396" s="38" t="str">
        <x:v>Other FX</x:v>
      </x:c>
      <x:c r="D1396" s="30" t="n">
        <x:v>4</x:v>
      </x:c>
      <x:c r="E1396" s="38" t="str">
        <x:v>EUR/USD</x:v>
      </x:c>
      <x:c r="F1396" s="38" t="n">
        <x:v>-0.6515697867</x:v>
      </x:c>
      <x:c r="G1396" s="38" t="n">
        <x:v>-0.534425224</x:v>
      </x:c>
      <x:c r="H1396" s="42" t="b">
        <x:v>1</x:v>
      </x:c>
      <x:c r="I1396" s="42" t="b">
        <x:v>0</x:v>
      </x:c>
      <x:c r="J1396" s="38" t="n">
        <x:v>0.1135627676</x:v>
      </x:c>
    </x:row>
    <x:row r="1397" ht="19" customHeight="1">
      <x:c r="A1397" s="29" t="str">
        <x:v>stagger_1</x:v>
      </x:c>
      <x:c r="B1397" s="38" t="str">
        <x:v>AXON</x:v>
      </x:c>
      <x:c r="C1397" s="38" t="str">
        <x:v>Other FX</x:v>
      </x:c>
      <x:c r="D1397" s="30" t="n">
        <x:v>4</x:v>
      </x:c>
      <x:c r="E1397" s="38" t="str">
        <x:v>SGD/USD</x:v>
      </x:c>
      <x:c r="F1397" s="38" t="n">
        <x:v>6.5293865476</x:v>
      </x:c>
      <x:c r="G1397" s="38" t="n">
        <x:v>2.7713283741</x:v>
      </x:c>
      <x:c r="H1397" s="42" t="b">
        <x:v>0</x:v>
      </x:c>
      <x:c r="I1397" s="42" t="b">
        <x:v>0</x:v>
      </x:c>
      <x:c r="J1397" s="38" t="n">
        <x:v>0.1135627676</x:v>
      </x:c>
    </x:row>
    <x:row r="1398" ht="19" customHeight="1">
      <x:c r="A1398" s="29" t="str">
        <x:v>stagger_1</x:v>
      </x:c>
      <x:c r="B1398" s="38" t="str">
        <x:v>AXON</x:v>
      </x:c>
      <x:c r="C1398" s="38" t="str">
        <x:v>Other FX</x:v>
      </x:c>
      <x:c r="D1398" s="30" t="n">
        <x:v>5</x:v>
      </x:c>
      <x:c r="E1398" s="38" t="str">
        <x:v>AUD/USD</x:v>
      </x:c>
      <x:c r="F1398" s="38" t="n">
        <x:v>-2.1216407686</x:v>
      </x:c>
      <x:c r="G1398" s="38" t="n">
        <x:v>-2.1392560576</x:v>
      </x:c>
      <x:c r="H1398" s="42" t="b">
        <x:v>0</x:v>
      </x:c>
      <x:c r="I1398" s="42" t="b">
        <x:v>1</x:v>
      </x:c>
      <x:c r="J1398" s="38" t="n">
        <x:v>0.1102315095</x:v>
      </x:c>
    </x:row>
    <x:row r="1399" ht="19" customHeight="1">
      <x:c r="A1399" s="29" t="str">
        <x:v>stagger_1</x:v>
      </x:c>
      <x:c r="B1399" s="38" t="str">
        <x:v>AXON</x:v>
      </x:c>
      <x:c r="C1399" s="38" t="str">
        <x:v>Other FX</x:v>
      </x:c>
      <x:c r="D1399" s="30" t="n">
        <x:v>5</x:v>
      </x:c>
      <x:c r="E1399" s="38" t="str">
        <x:v>SGD/USD</x:v>
      </x:c>
      <x:c r="F1399" s="38" t="n">
        <x:v>5.7749233989</x:v>
      </x:c>
      <x:c r="G1399" s="38" t="n">
        <x:v>3.0758685761</x:v>
      </x:c>
      <x:c r="H1399" s="42" t="b">
        <x:v>0</x:v>
      </x:c>
      <x:c r="I1399" s="42" t="b">
        <x:v>1</x:v>
      </x:c>
      <x:c r="J1399" s="38" t="n">
        <x:v>0.1102315095</x:v>
      </x:c>
    </x:row>
    <x:row r="1400" ht="19" customHeight="1">
      <x:c r="A1400" s="29" t="str">
        <x:v>stagger_1</x:v>
      </x:c>
      <x:c r="B1400" s="38" t="str">
        <x:v>AXON</x:v>
      </x:c>
      <x:c r="C1400" s="38" t="str">
        <x:v>Other sectors</x:v>
      </x:c>
      <x:c r="D1400" s="30" t="n">
        <x:v>1</x:v>
      </x:c>
      <x:c r="E1400" s="38" t="str">
        <x:v>XLB</x:v>
      </x:c>
      <x:c r="F1400" s="38" t="n">
        <x:v>-0.6009305914</x:v>
      </x:c>
      <x:c r="G1400" s="38" t="n">
        <x:v>-1.4243677974</x:v>
      </x:c>
      <x:c r="H1400" s="42" t="b">
        <x:v>0</x:v>
      </x:c>
      <x:c r="I1400" s="42" t="b">
        <x:v>0</x:v>
      </x:c>
      <x:c r="J1400" s="38" t="n">
        <x:v>0.2107246562</x:v>
      </x:c>
    </x:row>
    <x:row r="1401" ht="19" customHeight="1">
      <x:c r="A1401" s="29" t="str">
        <x:v>stagger_1</x:v>
      </x:c>
      <x:c r="B1401" s="38" t="str">
        <x:v>AXON</x:v>
      </x:c>
      <x:c r="C1401" s="38" t="str">
        <x:v>Other sectors</x:v>
      </x:c>
      <x:c r="D1401" s="30" t="n">
        <x:v>1</x:v>
      </x:c>
      <x:c r="E1401" s="38" t="str">
        <x:v>XLC</x:v>
      </x:c>
      <x:c r="F1401" s="38" t="n">
        <x:v>0.5898068988</x:v>
      </x:c>
      <x:c r="G1401" s="38" t="n">
        <x:v>1.0628897298</x:v>
      </x:c>
      <x:c r="H1401" s="42" t="b">
        <x:v>0</x:v>
      </x:c>
      <x:c r="I1401" s="42" t="b">
        <x:v>0</x:v>
      </x:c>
      <x:c r="J1401" s="38" t="n">
        <x:v>0.2107246562</x:v>
      </x:c>
    </x:row>
    <x:row r="1402" ht="19" customHeight="1">
      <x:c r="A1402" s="29" t="str">
        <x:v>stagger_1</x:v>
      </x:c>
      <x:c r="B1402" s="38" t="str">
        <x:v>AXON</x:v>
      </x:c>
      <x:c r="C1402" s="38" t="str">
        <x:v>Other sectors</x:v>
      </x:c>
      <x:c r="D1402" s="30" t="n">
        <x:v>1</x:v>
      </x:c>
      <x:c r="E1402" s="38" t="str">
        <x:v>XLE</x:v>
      </x:c>
      <x:c r="F1402" s="38" t="n">
        <x:v>0.3475439652</x:v>
      </x:c>
      <x:c r="G1402" s="38" t="n">
        <x:v>1.5894287058</x:v>
      </x:c>
      <x:c r="H1402" s="42" t="b">
        <x:v>0</x:v>
      </x:c>
      <x:c r="I1402" s="42" t="b">
        <x:v>0</x:v>
      </x:c>
      <x:c r="J1402" s="38" t="n">
        <x:v>0.2107246562</x:v>
      </x:c>
    </x:row>
    <x:row r="1403" ht="19" customHeight="1">
      <x:c r="A1403" s="29" t="str">
        <x:v>stagger_1</x:v>
      </x:c>
      <x:c r="B1403" s="38" t="str">
        <x:v>AXON</x:v>
      </x:c>
      <x:c r="C1403" s="38" t="str">
        <x:v>Other sectors</x:v>
      </x:c>
      <x:c r="D1403" s="30" t="n">
        <x:v>1</x:v>
      </x:c>
      <x:c r="E1403" s="38" t="str">
        <x:v>XLF</x:v>
      </x:c>
      <x:c r="F1403" s="38" t="n">
        <x:v>1.4114186579</x:v>
      </x:c>
      <x:c r="G1403" s="38" t="n">
        <x:v>2.2358795077</x:v>
      </x:c>
      <x:c r="H1403" s="42" t="b">
        <x:v>0</x:v>
      </x:c>
      <x:c r="I1403" s="42" t="b">
        <x:v>0</x:v>
      </x:c>
      <x:c r="J1403" s="38" t="n">
        <x:v>0.2107246562</x:v>
      </x:c>
    </x:row>
    <x:row r="1404" ht="19" customHeight="1">
      <x:c r="A1404" s="29" t="str">
        <x:v>stagger_1</x:v>
      </x:c>
      <x:c r="B1404" s="38" t="str">
        <x:v>AXON</x:v>
      </x:c>
      <x:c r="C1404" s="38" t="str">
        <x:v>Other sectors</x:v>
      </x:c>
      <x:c r="D1404" s="30" t="n">
        <x:v>1</x:v>
      </x:c>
      <x:c r="E1404" s="38" t="str">
        <x:v>XLK</x:v>
      </x:c>
      <x:c r="F1404" s="38" t="n">
        <x:v>1.3773649384</x:v>
      </x:c>
      <x:c r="G1404" s="38" t="n">
        <x:v>1.4576365001</x:v>
      </x:c>
      <x:c r="H1404" s="42" t="b">
        <x:v>0</x:v>
      </x:c>
      <x:c r="I1404" s="42" t="b">
        <x:v>0</x:v>
      </x:c>
      <x:c r="J1404" s="38" t="n">
        <x:v>0.2107246562</x:v>
      </x:c>
    </x:row>
    <x:row r="1405" ht="19" customHeight="1">
      <x:c r="A1405" s="29" t="str">
        <x:v>stagger_1</x:v>
      </x:c>
      <x:c r="B1405" s="38" t="str">
        <x:v>AXON</x:v>
      </x:c>
      <x:c r="C1405" s="38" t="str">
        <x:v>Other sectors</x:v>
      </x:c>
      <x:c r="D1405" s="30" t="n">
        <x:v>1</x:v>
      </x:c>
      <x:c r="E1405" s="38" t="str">
        <x:v>XLP</x:v>
      </x:c>
      <x:c r="F1405" s="38" t="n">
        <x:v>0.0252430754</x:v>
      </x:c>
      <x:c r="G1405" s="38" t="n">
        <x:v>0.0403942299</x:v>
      </x:c>
      <x:c r="H1405" s="42" t="b">
        <x:v>1</x:v>
      </x:c>
      <x:c r="I1405" s="42" t="b">
        <x:v>0</x:v>
      </x:c>
      <x:c r="J1405" s="38" t="n">
        <x:v>0.2107246562</x:v>
      </x:c>
    </x:row>
    <x:row r="1406" ht="19" customHeight="1">
      <x:c r="A1406" s="29" t="str">
        <x:v>stagger_1</x:v>
      </x:c>
      <x:c r="B1406" s="38" t="str">
        <x:v>AXON</x:v>
      </x:c>
      <x:c r="C1406" s="38" t="str">
        <x:v>Other sectors</x:v>
      </x:c>
      <x:c r="D1406" s="30" t="n">
        <x:v>1</x:v>
      </x:c>
      <x:c r="E1406" s="38" t="str">
        <x:v>XLRE</x:v>
      </x:c>
      <x:c r="F1406" s="38" t="n">
        <x:v>-0.5104565359</x:v>
      </x:c>
      <x:c r="G1406" s="38" t="n">
        <x:v>-1.0281316651</x:v>
      </x:c>
      <x:c r="H1406" s="42" t="b">
        <x:v>0</x:v>
      </x:c>
      <x:c r="I1406" s="42" t="b">
        <x:v>0</x:v>
      </x:c>
      <x:c r="J1406" s="38" t="n">
        <x:v>0.2107246562</x:v>
      </x:c>
    </x:row>
    <x:row r="1407" ht="19" customHeight="1">
      <x:c r="A1407" s="29" t="str">
        <x:v>stagger_1</x:v>
      </x:c>
      <x:c r="B1407" s="38" t="str">
        <x:v>AXON</x:v>
      </x:c>
      <x:c r="C1407" s="38" t="str">
        <x:v>Other sectors</x:v>
      </x:c>
      <x:c r="D1407" s="30" t="n">
        <x:v>1</x:v>
      </x:c>
      <x:c r="E1407" s="38" t="str">
        <x:v>XLU</x:v>
      </x:c>
      <x:c r="F1407" s="38" t="n">
        <x:v>0.4643859443</x:v>
      </x:c>
      <x:c r="G1407" s="38" t="n">
        <x:v>1.1814354798</x:v>
      </x:c>
      <x:c r="H1407" s="42" t="b">
        <x:v>0</x:v>
      </x:c>
      <x:c r="I1407" s="42" t="b">
        <x:v>0</x:v>
      </x:c>
      <x:c r="J1407" s="38" t="n">
        <x:v>0.2107246562</x:v>
      </x:c>
    </x:row>
    <x:row r="1408" ht="19" customHeight="1">
      <x:c r="A1408" s="29" t="str">
        <x:v>stagger_1</x:v>
      </x:c>
      <x:c r="B1408" s="38" t="str">
        <x:v>AXON</x:v>
      </x:c>
      <x:c r="C1408" s="38" t="str">
        <x:v>Other sectors</x:v>
      </x:c>
      <x:c r="D1408" s="30" t="n">
        <x:v>1</x:v>
      </x:c>
      <x:c r="E1408" s="38" t="str">
        <x:v>XLV</x:v>
      </x:c>
      <x:c r="F1408" s="38" t="n">
        <x:v>1.0221541501</x:v>
      </x:c>
      <x:c r="G1408" s="38" t="n">
        <x:v>1.9410400324</x:v>
      </x:c>
      <x:c r="H1408" s="42" t="b">
        <x:v>0</x:v>
      </x:c>
      <x:c r="I1408" s="42" t="b">
        <x:v>0</x:v>
      </x:c>
      <x:c r="J1408" s="38" t="n">
        <x:v>0.2107246562</x:v>
      </x:c>
    </x:row>
    <x:row r="1409" ht="19" customHeight="1">
      <x:c r="A1409" s="29" t="str">
        <x:v>stagger_1</x:v>
      </x:c>
      <x:c r="B1409" s="38" t="str">
        <x:v>AXON</x:v>
      </x:c>
      <x:c r="C1409" s="38" t="str">
        <x:v>Other sectors</x:v>
      </x:c>
      <x:c r="D1409" s="30" t="n">
        <x:v>1</x:v>
      </x:c>
      <x:c r="E1409" s="38" t="str">
        <x:v>XLY</x:v>
      </x:c>
      <x:c r="F1409" s="38" t="n">
        <x:v>1.7725318963</x:v>
      </x:c>
      <x:c r="G1409" s="38" t="n">
        <x:v>2.9281146351</x:v>
      </x:c>
      <x:c r="H1409" s="42" t="b">
        <x:v>0</x:v>
      </x:c>
      <x:c r="I1409" s="42" t="b">
        <x:v>0</x:v>
      </x:c>
      <x:c r="J1409" s="38" t="n">
        <x:v>0.2107246562</x:v>
      </x:c>
    </x:row>
    <x:row r="1410" ht="19" customHeight="1">
      <x:c r="A1410" s="29" t="str">
        <x:v>stagger_1</x:v>
      </x:c>
      <x:c r="B1410" s="38" t="str">
        <x:v>AXON</x:v>
      </x:c>
      <x:c r="C1410" s="38" t="str">
        <x:v>Other sectors</x:v>
      </x:c>
      <x:c r="D1410" s="30" t="n">
        <x:v>2</x:v>
      </x:c>
      <x:c r="E1410" s="38" t="str">
        <x:v>XLB</x:v>
      </x:c>
      <x:c r="F1410" s="38" t="n">
        <x:v>-0.5958908158</x:v>
      </x:c>
      <x:c r="G1410" s="38" t="n">
        <x:v>-1.4892117991</x:v>
      </x:c>
      <x:c r="H1410" s="42" t="b">
        <x:v>0</x:v>
      </x:c>
      <x:c r="I1410" s="42" t="b">
        <x:v>0</x:v>
      </x:c>
      <x:c r="J1410" s="38" t="n">
        <x:v>0.2107059917</x:v>
      </x:c>
    </x:row>
    <x:row r="1411" ht="19" customHeight="1">
      <x:c r="A1411" s="29" t="str">
        <x:v>stagger_1</x:v>
      </x:c>
      <x:c r="B1411" s="38" t="str">
        <x:v>AXON</x:v>
      </x:c>
      <x:c r="C1411" s="38" t="str">
        <x:v>Other sectors</x:v>
      </x:c>
      <x:c r="D1411" s="30" t="n">
        <x:v>2</x:v>
      </x:c>
      <x:c r="E1411" s="38" t="str">
        <x:v>XLC</x:v>
      </x:c>
      <x:c r="F1411" s="38" t="n">
        <x:v>0.5897198425</x:v>
      </x:c>
      <x:c r="G1411" s="38" t="n">
        <x:v>1.0704015238</x:v>
      </x:c>
      <x:c r="H1411" s="42" t="b">
        <x:v>1</x:v>
      </x:c>
      <x:c r="I1411" s="42" t="b">
        <x:v>0</x:v>
      </x:c>
      <x:c r="J1411" s="38" t="n">
        <x:v>0.2107059917</x:v>
      </x:c>
    </x:row>
    <x:row r="1412" ht="19" customHeight="1">
      <x:c r="A1412" s="29" t="str">
        <x:v>stagger_1</x:v>
      </x:c>
      <x:c r="B1412" s="38" t="str">
        <x:v>AXON</x:v>
      </x:c>
      <x:c r="C1412" s="38" t="str">
        <x:v>Other sectors</x:v>
      </x:c>
      <x:c r="D1412" s="30" t="n">
        <x:v>2</x:v>
      </x:c>
      <x:c r="E1412" s="38" t="str">
        <x:v>XLE</x:v>
      </x:c>
      <x:c r="F1412" s="38" t="n">
        <x:v>0.3455731584</x:v>
      </x:c>
      <x:c r="G1412" s="38" t="n">
        <x:v>1.6329769538</x:v>
      </x:c>
      <x:c r="H1412" s="42" t="b">
        <x:v>0</x:v>
      </x:c>
      <x:c r="I1412" s="42" t="b">
        <x:v>0</x:v>
      </x:c>
      <x:c r="J1412" s="38" t="n">
        <x:v>0.2107059917</x:v>
      </x:c>
    </x:row>
    <x:row r="1413" ht="19" customHeight="1">
      <x:c r="A1413" s="29" t="str">
        <x:v>stagger_1</x:v>
      </x:c>
      <x:c r="B1413" s="38" t="str">
        <x:v>AXON</x:v>
      </x:c>
      <x:c r="C1413" s="38" t="str">
        <x:v>Other sectors</x:v>
      </x:c>
      <x:c r="D1413" s="30" t="n">
        <x:v>2</x:v>
      </x:c>
      <x:c r="E1413" s="38" t="str">
        <x:v>XLF</x:v>
      </x:c>
      <x:c r="F1413" s="38" t="n">
        <x:v>1.3997637412</x:v>
      </x:c>
      <x:c r="G1413" s="38" t="n">
        <x:v>2.5110444703</x:v>
      </x:c>
      <x:c r="H1413" s="42" t="b">
        <x:v>0</x:v>
      </x:c>
      <x:c r="I1413" s="42" t="b">
        <x:v>0</x:v>
      </x:c>
      <x:c r="J1413" s="38" t="n">
        <x:v>0.2107059917</x:v>
      </x:c>
    </x:row>
    <x:row r="1414" ht="19" customHeight="1">
      <x:c r="A1414" s="29" t="str">
        <x:v>stagger_1</x:v>
      </x:c>
      <x:c r="B1414" s="38" t="str">
        <x:v>AXON</x:v>
      </x:c>
      <x:c r="C1414" s="38" t="str">
        <x:v>Other sectors</x:v>
      </x:c>
      <x:c r="D1414" s="30" t="n">
        <x:v>2</x:v>
      </x:c>
      <x:c r="E1414" s="38" t="str">
        <x:v>XLK</x:v>
      </x:c>
      <x:c r="F1414" s="38" t="n">
        <x:v>1.362700364</x:v>
      </x:c>
      <x:c r="G1414" s="38" t="n">
        <x:v>1.5732561652</x:v>
      </x:c>
      <x:c r="H1414" s="42" t="b">
        <x:v>0</x:v>
      </x:c>
      <x:c r="I1414" s="42" t="b">
        <x:v>0</x:v>
      </x:c>
      <x:c r="J1414" s="38" t="n">
        <x:v>0.2107059917</x:v>
      </x:c>
    </x:row>
    <x:row r="1415" ht="19" customHeight="1">
      <x:c r="A1415" s="29" t="str">
        <x:v>stagger_1</x:v>
      </x:c>
      <x:c r="B1415" s="38" t="str">
        <x:v>AXON</x:v>
      </x:c>
      <x:c r="C1415" s="38" t="str">
        <x:v>Other sectors</x:v>
      </x:c>
      <x:c r="D1415" s="30" t="n">
        <x:v>2</x:v>
      </x:c>
      <x:c r="E1415" s="38" t="str">
        <x:v>XLRE</x:v>
      </x:c>
      <x:c r="F1415" s="38" t="n">
        <x:v>-0.5038818655</x:v>
      </x:c>
      <x:c r="G1415" s="38" t="n">
        <x:v>-1.0819987082</x:v>
      </x:c>
      <x:c r="H1415" s="42" t="b">
        <x:v>0</x:v>
      </x:c>
      <x:c r="I1415" s="42" t="b">
        <x:v>0</x:v>
      </x:c>
      <x:c r="J1415" s="38" t="n">
        <x:v>0.2107059917</x:v>
      </x:c>
    </x:row>
    <x:row r="1416" ht="19" customHeight="1">
      <x:c r="A1416" s="29" t="str">
        <x:v>stagger_1</x:v>
      </x:c>
      <x:c r="B1416" s="38" t="str">
        <x:v>AXON</x:v>
      </x:c>
      <x:c r="C1416" s="38" t="str">
        <x:v>Other sectors</x:v>
      </x:c>
      <x:c r="D1416" s="30" t="n">
        <x:v>2</x:v>
      </x:c>
      <x:c r="E1416" s="38" t="str">
        <x:v>XLU</x:v>
      </x:c>
      <x:c r="F1416" s="38" t="n">
        <x:v>0.4660033037</x:v>
      </x:c>
      <x:c r="G1416" s="38" t="n">
        <x:v>1.2003397872</x:v>
      </x:c>
      <x:c r="H1416" s="42" t="b">
        <x:v>0</x:v>
      </x:c>
      <x:c r="I1416" s="42" t="b">
        <x:v>0</x:v>
      </x:c>
      <x:c r="J1416" s="38" t="n">
        <x:v>0.2107059917</x:v>
      </x:c>
    </x:row>
    <x:row r="1417" ht="19" customHeight="1">
      <x:c r="A1417" s="29" t="str">
        <x:v>stagger_1</x:v>
      </x:c>
      <x:c r="B1417" s="38" t="str">
        <x:v>AXON</x:v>
      </x:c>
      <x:c r="C1417" s="38" t="str">
        <x:v>Other sectors</x:v>
      </x:c>
      <x:c r="D1417" s="30" t="n">
        <x:v>2</x:v>
      </x:c>
      <x:c r="E1417" s="38" t="str">
        <x:v>XLV</x:v>
      </x:c>
      <x:c r="F1417" s="38" t="n">
        <x:v>1.0219846421</x:v>
      </x:c>
      <x:c r="G1417" s="38" t="n">
        <x:v>1.9547696826</x:v>
      </x:c>
      <x:c r="H1417" s="42" t="b">
        <x:v>0</x:v>
      </x:c>
      <x:c r="I1417" s="42" t="b">
        <x:v>0</x:v>
      </x:c>
      <x:c r="J1417" s="38" t="n">
        <x:v>0.2107059917</x:v>
      </x:c>
    </x:row>
    <x:row r="1418" ht="19" customHeight="1">
      <x:c r="A1418" s="29" t="str">
        <x:v>stagger_1</x:v>
      </x:c>
      <x:c r="B1418" s="38" t="str">
        <x:v>AXON</x:v>
      </x:c>
      <x:c r="C1418" s="38" t="str">
        <x:v>Other sectors</x:v>
      </x:c>
      <x:c r="D1418" s="30" t="n">
        <x:v>2</x:v>
      </x:c>
      <x:c r="E1418" s="38" t="str">
        <x:v>XLY</x:v>
      </x:c>
      <x:c r="F1418" s="38" t="n">
        <x:v>1.7645917464</x:v>
      </x:c>
      <x:c r="G1418" s="38" t="n">
        <x:v>3.1042232188</x:v>
      </x:c>
      <x:c r="H1418" s="42" t="b">
        <x:v>0</x:v>
      </x:c>
      <x:c r="I1418" s="42" t="b">
        <x:v>0</x:v>
      </x:c>
      <x:c r="J1418" s="38" t="n">
        <x:v>0.2107059917</x:v>
      </x:c>
    </x:row>
    <x:row r="1419" ht="19" customHeight="1">
      <x:c r="A1419" s="29" t="str">
        <x:v>stagger_1</x:v>
      </x:c>
      <x:c r="B1419" s="38" t="str">
        <x:v>AXON</x:v>
      </x:c>
      <x:c r="C1419" s="38" t="str">
        <x:v>Other sectors</x:v>
      </x:c>
      <x:c r="D1419" s="30" t="n">
        <x:v>3</x:v>
      </x:c>
      <x:c r="E1419" s="38" t="str">
        <x:v>XLB</x:v>
      </x:c>
      <x:c r="F1419" s="38" t="n">
        <x:v>-0.6664509031</x:v>
      </x:c>
      <x:c r="G1419" s="38" t="n">
        <x:v>-1.6868922829</x:v>
      </x:c>
      <x:c r="H1419" s="42" t="b">
        <x:v>0</x:v>
      </x:c>
      <x:c r="I1419" s="42" t="b">
        <x:v>0</x:v>
      </x:c>
      <x:c r="J1419" s="38" t="n">
        <x:v>0.1977868338</x:v>
      </x:c>
    </x:row>
    <x:row r="1420" ht="19" customHeight="1">
      <x:c r="A1420" s="29" t="str">
        <x:v>stagger_1</x:v>
      </x:c>
      <x:c r="B1420" s="38" t="str">
        <x:v>AXON</x:v>
      </x:c>
      <x:c r="C1420" s="38" t="str">
        <x:v>Other sectors</x:v>
      </x:c>
      <x:c r="D1420" s="30" t="n">
        <x:v>3</x:v>
      </x:c>
      <x:c r="E1420" s="38" t="str">
        <x:v>XLE</x:v>
      </x:c>
      <x:c r="F1420" s="38" t="n">
        <x:v>0.3277724344</x:v>
      </x:c>
      <x:c r="G1420" s="38" t="n">
        <x:v>1.5520734279</x:v>
      </x:c>
      <x:c r="H1420" s="42" t="b">
        <x:v>0</x:v>
      </x:c>
      <x:c r="I1420" s="42" t="b">
        <x:v>0</x:v>
      </x:c>
      <x:c r="J1420" s="38" t="n">
        <x:v>0.1977868338</x:v>
      </x:c>
    </x:row>
    <x:row r="1421" ht="19" customHeight="1">
      <x:c r="A1421" s="29" t="str">
        <x:v>stagger_1</x:v>
      </x:c>
      <x:c r="B1421" s="38" t="str">
        <x:v>AXON</x:v>
      </x:c>
      <x:c r="C1421" s="38" t="str">
        <x:v>Other sectors</x:v>
      </x:c>
      <x:c r="D1421" s="30" t="n">
        <x:v>3</x:v>
      </x:c>
      <x:c r="E1421" s="38" t="str">
        <x:v>XLF</x:v>
      </x:c>
      <x:c r="F1421" s="38" t="n">
        <x:v>1.2369284653</x:v>
      </x:c>
      <x:c r="G1421" s="38" t="n">
        <x:v>2.304117004</x:v>
      </x:c>
      <x:c r="H1421" s="42" t="b">
        <x:v>0</x:v>
      </x:c>
      <x:c r="I1421" s="42" t="b">
        <x:v>0</x:v>
      </x:c>
      <x:c r="J1421" s="38" t="n">
        <x:v>0.1977868338</x:v>
      </x:c>
    </x:row>
    <x:row r="1422" ht="19" customHeight="1">
      <x:c r="A1422" s="29" t="str">
        <x:v>stagger_1</x:v>
      </x:c>
      <x:c r="B1422" s="38" t="str">
        <x:v>AXON</x:v>
      </x:c>
      <x:c r="C1422" s="38" t="str">
        <x:v>Other sectors</x:v>
      </x:c>
      <x:c r="D1422" s="30" t="n">
        <x:v>3</x:v>
      </x:c>
      <x:c r="E1422" s="38" t="str">
        <x:v>XLK</x:v>
      </x:c>
      <x:c r="F1422" s="38" t="n">
        <x:v>0.8899152397</x:v>
      </x:c>
      <x:c r="G1422" s="38" t="n">
        <x:v>1.1931550355</x:v>
      </x:c>
      <x:c r="H1422" s="42" t="b">
        <x:v>0</x:v>
      </x:c>
      <x:c r="I1422" s="42" t="b">
        <x:v>0</x:v>
      </x:c>
      <x:c r="J1422" s="38" t="n">
        <x:v>0.1977868338</x:v>
      </x:c>
    </x:row>
    <x:row r="1423" ht="19" customHeight="1">
      <x:c r="A1423" s="29" t="str">
        <x:v>stagger_1</x:v>
      </x:c>
      <x:c r="B1423" s="38" t="str">
        <x:v>AXON</x:v>
      </x:c>
      <x:c r="C1423" s="38" t="str">
        <x:v>Other sectors</x:v>
      </x:c>
      <x:c r="D1423" s="30" t="n">
        <x:v>3</x:v>
      </x:c>
      <x:c r="E1423" s="38" t="str">
        <x:v>XLRE</x:v>
      </x:c>
      <x:c r="F1423" s="38" t="n">
        <x:v>-0.5541563437</x:v>
      </x:c>
      <x:c r="G1423" s="38" t="n">
        <x:v>-1.1948271315</x:v>
      </x:c>
      <x:c r="H1423" s="42" t="b">
        <x:v>0</x:v>
      </x:c>
      <x:c r="I1423" s="42" t="b">
        <x:v>0</x:v>
      </x:c>
      <x:c r="J1423" s="38" t="n">
        <x:v>0.1977868338</x:v>
      </x:c>
    </x:row>
    <x:row r="1424" ht="19" customHeight="1">
      <x:c r="A1424" s="29" t="str">
        <x:v>stagger_1</x:v>
      </x:c>
      <x:c r="B1424" s="38" t="str">
        <x:v>AXON</x:v>
      </x:c>
      <x:c r="C1424" s="38" t="str">
        <x:v>Other sectors</x:v>
      </x:c>
      <x:c r="D1424" s="30" t="n">
        <x:v>3</x:v>
      </x:c>
      <x:c r="E1424" s="38" t="str">
        <x:v>XLU</x:v>
      </x:c>
      <x:c r="F1424" s="38" t="n">
        <x:v>0.3685760244</x:v>
      </x:c>
      <x:c r="G1424" s="38" t="n">
        <x:v>0.9756035035</x:v>
      </x:c>
      <x:c r="H1424" s="42" t="b">
        <x:v>1</x:v>
      </x:c>
      <x:c r="I1424" s="42" t="b">
        <x:v>0</x:v>
      </x:c>
      <x:c r="J1424" s="38" t="n">
        <x:v>0.1977868338</x:v>
      </x:c>
    </x:row>
    <x:row r="1425" ht="19" customHeight="1">
      <x:c r="A1425" s="29" t="str">
        <x:v>stagger_1</x:v>
      </x:c>
      <x:c r="B1425" s="38" t="str">
        <x:v>AXON</x:v>
      </x:c>
      <x:c r="C1425" s="38" t="str">
        <x:v>Other sectors</x:v>
      </x:c>
      <x:c r="D1425" s="30" t="n">
        <x:v>3</x:v>
      </x:c>
      <x:c r="E1425" s="38" t="str">
        <x:v>XLV</x:v>
      </x:c>
      <x:c r="F1425" s="38" t="n">
        <x:v>0.9086595706</x:v>
      </x:c>
      <x:c r="G1425" s="38" t="n">
        <x:v>1.7729620557</x:v>
      </x:c>
      <x:c r="H1425" s="42" t="b">
        <x:v>0</x:v>
      </x:c>
      <x:c r="I1425" s="42" t="b">
        <x:v>0</x:v>
      </x:c>
      <x:c r="J1425" s="38" t="n">
        <x:v>0.1977868338</x:v>
      </x:c>
    </x:row>
    <x:row r="1426" ht="19" customHeight="1">
      <x:c r="A1426" s="29" t="str">
        <x:v>stagger_1</x:v>
      </x:c>
      <x:c r="B1426" s="38" t="str">
        <x:v>AXON</x:v>
      </x:c>
      <x:c r="C1426" s="38" t="str">
        <x:v>Other sectors</x:v>
      </x:c>
      <x:c r="D1426" s="30" t="n">
        <x:v>3</x:v>
      </x:c>
      <x:c r="E1426" s="38" t="str">
        <x:v>XLY</x:v>
      </x:c>
      <x:c r="F1426" s="38" t="n">
        <x:v>1.7878179623</x:v>
      </x:c>
      <x:c r="G1426" s="38" t="n">
        <x:v>3.1441502402</x:v>
      </x:c>
      <x:c r="H1426" s="42" t="b">
        <x:v>0</x:v>
      </x:c>
      <x:c r="I1426" s="42" t="b">
        <x:v>0</x:v>
      </x:c>
      <x:c r="J1426" s="38" t="n">
        <x:v>0.1977868338</x:v>
      </x:c>
    </x:row>
    <x:row r="1427" ht="19" customHeight="1">
      <x:c r="A1427" s="29" t="str">
        <x:v>stagger_1</x:v>
      </x:c>
      <x:c r="B1427" s="38" t="str">
        <x:v>AXON</x:v>
      </x:c>
      <x:c r="C1427" s="38" t="str">
        <x:v>Other sectors</x:v>
      </x:c>
      <x:c r="D1427" s="30" t="n">
        <x:v>4</x:v>
      </x:c>
      <x:c r="E1427" s="38" t="str">
        <x:v>XLB</x:v>
      </x:c>
      <x:c r="F1427" s="38" t="n">
        <x:v>-0.5858086146</x:v>
      </x:c>
      <x:c r="G1427" s="38" t="n">
        <x:v>-1.5168411659</x:v>
      </x:c>
      <x:c r="H1427" s="42" t="b">
        <x:v>0</x:v>
      </x:c>
      <x:c r="I1427" s="42" t="b">
        <x:v>0</x:v>
      </x:c>
      <x:c r="J1427" s="38" t="n">
        <x:v>0.1870326331</x:v>
      </x:c>
    </x:row>
    <x:row r="1428" ht="19" customHeight="1">
      <x:c r="A1428" s="29" t="str">
        <x:v>stagger_1</x:v>
      </x:c>
      <x:c r="B1428" s="38" t="str">
        <x:v>AXON</x:v>
      </x:c>
      <x:c r="C1428" s="38" t="str">
        <x:v>Other sectors</x:v>
      </x:c>
      <x:c r="D1428" s="30" t="n">
        <x:v>4</x:v>
      </x:c>
      <x:c r="E1428" s="38" t="str">
        <x:v>XLE</x:v>
      </x:c>
      <x:c r="F1428" s="38" t="n">
        <x:v>0.2908277326</x:v>
      </x:c>
      <x:c r="G1428" s="38" t="n">
        <x:v>1.4002899531</x:v>
      </x:c>
      <x:c r="H1428" s="42" t="b">
        <x:v>0</x:v>
      </x:c>
      <x:c r="I1428" s="42" t="b">
        <x:v>0</x:v>
      </x:c>
      <x:c r="J1428" s="38" t="n">
        <x:v>0.1870326331</x:v>
      </x:c>
    </x:row>
    <x:row r="1429" ht="19" customHeight="1">
      <x:c r="A1429" s="29" t="str">
        <x:v>stagger_1</x:v>
      </x:c>
      <x:c r="B1429" s="38" t="str">
        <x:v>AXON</x:v>
      </x:c>
      <x:c r="C1429" s="38" t="str">
        <x:v>Other sectors</x:v>
      </x:c>
      <x:c r="D1429" s="30" t="n">
        <x:v>4</x:v>
      </x:c>
      <x:c r="E1429" s="38" t="str">
        <x:v>XLF</x:v>
      </x:c>
      <x:c r="F1429" s="38" t="n">
        <x:v>1.1187824877</x:v>
      </x:c>
      <x:c r="G1429" s="38" t="n">
        <x:v>2.1398935362</x:v>
      </x:c>
      <x:c r="H1429" s="42" t="b">
        <x:v>0</x:v>
      </x:c>
      <x:c r="I1429" s="42" t="b">
        <x:v>0</x:v>
      </x:c>
      <x:c r="J1429" s="38" t="n">
        <x:v>0.1870326331</x:v>
      </x:c>
    </x:row>
    <x:row r="1430" ht="19" customHeight="1">
      <x:c r="A1430" s="29" t="str">
        <x:v>stagger_1</x:v>
      </x:c>
      <x:c r="B1430" s="38" t="str">
        <x:v>AXON</x:v>
      </x:c>
      <x:c r="C1430" s="38" t="str">
        <x:v>Other sectors</x:v>
      </x:c>
      <x:c r="D1430" s="30" t="n">
        <x:v>4</x:v>
      </x:c>
      <x:c r="E1430" s="38" t="str">
        <x:v>XLK</x:v>
      </x:c>
      <x:c r="F1430" s="38" t="n">
        <x:v>0.6973940537</x:v>
      </x:c>
      <x:c r="G1430" s="38" t="n">
        <x:v>0.969908445</x:v>
      </x:c>
      <x:c r="H1430" s="42" t="b">
        <x:v>0</x:v>
      </x:c>
      <x:c r="I1430" s="42" t="b">
        <x:v>0</x:v>
      </x:c>
      <x:c r="J1430" s="38" t="n">
        <x:v>0.1870326331</x:v>
      </x:c>
    </x:row>
    <x:row r="1431" ht="19" customHeight="1">
      <x:c r="A1431" s="29" t="str">
        <x:v>stagger_1</x:v>
      </x:c>
      <x:c r="B1431" s="38" t="str">
        <x:v>AXON</x:v>
      </x:c>
      <x:c r="C1431" s="38" t="str">
        <x:v>Other sectors</x:v>
      </x:c>
      <x:c r="D1431" s="30" t="n">
        <x:v>4</x:v>
      </x:c>
      <x:c r="E1431" s="38" t="str">
        <x:v>XLRE</x:v>
      </x:c>
      <x:c r="F1431" s="38" t="n">
        <x:v>-0.3801270931</x:v>
      </x:c>
      <x:c r="G1431" s="38" t="n">
        <x:v>-0.8881948317</x:v>
      </x:c>
      <x:c r="H1431" s="42" t="b">
        <x:v>1</x:v>
      </x:c>
      <x:c r="I1431" s="42" t="b">
        <x:v>0</x:v>
      </x:c>
      <x:c r="J1431" s="38" t="n">
        <x:v>0.1870326331</x:v>
      </x:c>
    </x:row>
    <x:row r="1432" ht="19" customHeight="1">
      <x:c r="A1432" s="29" t="str">
        <x:v>stagger_1</x:v>
      </x:c>
      <x:c r="B1432" s="38" t="str">
        <x:v>AXON</x:v>
      </x:c>
      <x:c r="C1432" s="38" t="str">
        <x:v>Other sectors</x:v>
      </x:c>
      <x:c r="D1432" s="30" t="n">
        <x:v>4</x:v>
      </x:c>
      <x:c r="E1432" s="38" t="str">
        <x:v>XLV</x:v>
      </x:c>
      <x:c r="F1432" s="38" t="n">
        <x:v>0.8445242215</x:v>
      </x:c>
      <x:c r="G1432" s="38" t="n">
        <x:v>1.6621039954</x:v>
      </x:c>
      <x:c r="H1432" s="42" t="b">
        <x:v>0</x:v>
      </x:c>
      <x:c r="I1432" s="42" t="b">
        <x:v>0</x:v>
      </x:c>
      <x:c r="J1432" s="38" t="n">
        <x:v>0.1870326331</x:v>
      </x:c>
    </x:row>
    <x:row r="1433" ht="19" customHeight="1">
      <x:c r="A1433" s="29" t="str">
        <x:v>stagger_1</x:v>
      </x:c>
      <x:c r="B1433" s="38" t="str">
        <x:v>AXON</x:v>
      </x:c>
      <x:c r="C1433" s="38" t="str">
        <x:v>Other sectors</x:v>
      </x:c>
      <x:c r="D1433" s="30" t="n">
        <x:v>4</x:v>
      </x:c>
      <x:c r="E1433" s="38" t="str">
        <x:v>XLY</x:v>
      </x:c>
      <x:c r="F1433" s="38" t="n">
        <x:v>1.6599942417</x:v>
      </x:c>
      <x:c r="G1433" s="38" t="n">
        <x:v>3.0010849704</x:v>
      </x:c>
      <x:c r="H1433" s="42" t="b">
        <x:v>0</x:v>
      </x:c>
      <x:c r="I1433" s="42" t="b">
        <x:v>0</x:v>
      </x:c>
      <x:c r="J1433" s="38" t="n">
        <x:v>0.1870326331</x:v>
      </x:c>
    </x:row>
    <x:row r="1434" ht="19" customHeight="1">
      <x:c r="A1434" s="29" t="str">
        <x:v>stagger_1</x:v>
      </x:c>
      <x:c r="B1434" s="38" t="str">
        <x:v>AXON</x:v>
      </x:c>
      <x:c r="C1434" s="38" t="str">
        <x:v>Other sectors</x:v>
      </x:c>
      <x:c r="D1434" s="30" t="n">
        <x:v>5</x:v>
      </x:c>
      <x:c r="E1434" s="38" t="str">
        <x:v>XLB</x:v>
      </x:c>
      <x:c r="F1434" s="38" t="n">
        <x:v>-0.6703835863</x:v>
      </x:c>
      <x:c r="G1434" s="38" t="n">
        <x:v>-1.7937229948</x:v>
      </x:c>
      <x:c r="H1434" s="42" t="b">
        <x:v>0</x:v>
      </x:c>
      <x:c r="I1434" s="42" t="b">
        <x:v>0</x:v>
      </x:c>
      <x:c r="J1434" s="38" t="n">
        <x:v>0.1781251071</x:v>
      </x:c>
    </x:row>
    <x:row r="1435" ht="19" customHeight="1">
      <x:c r="A1435" s="29" t="str">
        <x:v>stagger_1</x:v>
      </x:c>
      <x:c r="B1435" s="38" t="str">
        <x:v>AXON</x:v>
      </x:c>
      <x:c r="C1435" s="38" t="str">
        <x:v>Other sectors</x:v>
      </x:c>
      <x:c r="D1435" s="30" t="n">
        <x:v>5</x:v>
      </x:c>
      <x:c r="E1435" s="38" t="str">
        <x:v>XLE</x:v>
      </x:c>
      <x:c r="F1435" s="38" t="n">
        <x:v>0.2954767225</x:v>
      </x:c>
      <x:c r="G1435" s="38" t="n">
        <x:v>1.4251883754</x:v>
      </x:c>
      <x:c r="H1435" s="42" t="b">
        <x:v>0</x:v>
      </x:c>
      <x:c r="I1435" s="42" t="b">
        <x:v>0</x:v>
      </x:c>
      <x:c r="J1435" s="38" t="n">
        <x:v>0.1781251071</x:v>
      </x:c>
    </x:row>
    <x:row r="1436" ht="19" customHeight="1">
      <x:c r="A1436" s="29" t="str">
        <x:v>stagger_1</x:v>
      </x:c>
      <x:c r="B1436" s="38" t="str">
        <x:v>AXON</x:v>
      </x:c>
      <x:c r="C1436" s="38" t="str">
        <x:v>Other sectors</x:v>
      </x:c>
      <x:c r="D1436" s="30" t="n">
        <x:v>5</x:v>
      </x:c>
      <x:c r="E1436" s="38" t="str">
        <x:v>XLF</x:v>
      </x:c>
      <x:c r="F1436" s="38" t="n">
        <x:v>1.1401749966</x:v>
      </x:c>
      <x:c r="G1436" s="38" t="n">
        <x:v>2.1862923531</x:v>
      </x:c>
      <x:c r="H1436" s="42" t="b">
        <x:v>0</x:v>
      </x:c>
      <x:c r="I1436" s="42" t="b">
        <x:v>0</x:v>
      </x:c>
      <x:c r="J1436" s="38" t="n">
        <x:v>0.1781251071</x:v>
      </x:c>
    </x:row>
    <x:row r="1437" ht="19" customHeight="1">
      <x:c r="A1437" s="29" t="str">
        <x:v>stagger_1</x:v>
      </x:c>
      <x:c r="B1437" s="38" t="str">
        <x:v>AXON</x:v>
      </x:c>
      <x:c r="C1437" s="38" t="str">
        <x:v>Other sectors</x:v>
      </x:c>
      <x:c r="D1437" s="30" t="n">
        <x:v>5</x:v>
      </x:c>
      <x:c r="E1437" s="38" t="str">
        <x:v>XLK</x:v>
      </x:c>
      <x:c r="F1437" s="38" t="n">
        <x:v>0.7947546698</x:v>
      </x:c>
      <x:c r="G1437" s="38" t="n">
        <x:v>1.1200070693</x:v>
      </x:c>
      <x:c r="H1437" s="42" t="b">
        <x:v>1</x:v>
      </x:c>
      <x:c r="I1437" s="42" t="b">
        <x:v>0</x:v>
      </x:c>
      <x:c r="J1437" s="38" t="n">
        <x:v>0.1781251071</x:v>
      </x:c>
    </x:row>
    <x:row r="1438" ht="19" customHeight="1">
      <x:c r="A1438" s="29" t="str">
        <x:v>stagger_1</x:v>
      </x:c>
      <x:c r="B1438" s="38" t="str">
        <x:v>AXON</x:v>
      </x:c>
      <x:c r="C1438" s="38" t="str">
        <x:v>Other sectors</x:v>
      </x:c>
      <x:c r="D1438" s="30" t="n">
        <x:v>5</x:v>
      </x:c>
      <x:c r="E1438" s="38" t="str">
        <x:v>XLV</x:v>
      </x:c>
      <x:c r="F1438" s="38" t="n">
        <x:v>0.737096965</x:v>
      </x:c>
      <x:c r="G1438" s="38" t="n">
        <x:v>1.4957751247</x:v>
      </x:c>
      <x:c r="H1438" s="42" t="b">
        <x:v>0</x:v>
      </x:c>
      <x:c r="I1438" s="42" t="b">
        <x:v>0</x:v>
      </x:c>
      <x:c r="J1438" s="38" t="n">
        <x:v>0.1781251071</x:v>
      </x:c>
    </x:row>
    <x:row r="1439" ht="19" customHeight="1">
      <x:c r="A1439" s="29" t="str">
        <x:v>stagger_1</x:v>
      </x:c>
      <x:c r="B1439" s="38" t="str">
        <x:v>AXON</x:v>
      </x:c>
      <x:c r="C1439" s="38" t="str">
        <x:v>Other sectors</x:v>
      </x:c>
      <x:c r="D1439" s="30" t="n">
        <x:v>5</x:v>
      </x:c>
      <x:c r="E1439" s="38" t="str">
        <x:v>XLY</x:v>
      </x:c>
      <x:c r="F1439" s="38" t="n">
        <x:v>1.5871265296</x:v>
      </x:c>
      <x:c r="G1439" s="38" t="n">
        <x:v>2.9056441724</x:v>
      </x:c>
      <x:c r="H1439" s="42" t="b">
        <x:v>0</x:v>
      </x:c>
      <x:c r="I1439" s="42" t="b">
        <x:v>0</x:v>
      </x:c>
      <x:c r="J1439" s="38" t="n">
        <x:v>0.1781251071</x:v>
      </x:c>
    </x:row>
    <x:row r="1440" ht="19" customHeight="1">
      <x:c r="A1440" s="29" t="str">
        <x:v>stagger_1</x:v>
      </x:c>
      <x:c r="B1440" s="38" t="str">
        <x:v>AXON</x:v>
      </x:c>
      <x:c r="C1440" s="38" t="str">
        <x:v>Other sectors</x:v>
      </x:c>
      <x:c r="D1440" s="30" t="n">
        <x:v>6</x:v>
      </x:c>
      <x:c r="E1440" s="38" t="str">
        <x:v>XLB</x:v>
      </x:c>
      <x:c r="F1440" s="38" t="n">
        <x:v>-0.7833377322</x:v>
      </x:c>
      <x:c r="G1440" s="38" t="n">
        <x:v>-2.1729653579</x:v>
      </x:c>
      <x:c r="H1440" s="42" t="b">
        <x:v>0</x:v>
      </x:c>
      <x:c r="I1440" s="42" t="b">
        <x:v>0</x:v>
      </x:c>
      <x:c r="J1440" s="38" t="n">
        <x:v>0.1640021909</x:v>
      </x:c>
    </x:row>
    <x:row r="1441" ht="19" customHeight="1">
      <x:c r="A1441" s="29" t="str">
        <x:v>stagger_1</x:v>
      </x:c>
      <x:c r="B1441" s="38" t="str">
        <x:v>AXON</x:v>
      </x:c>
      <x:c r="C1441" s="38" t="str">
        <x:v>Other sectors</x:v>
      </x:c>
      <x:c r="D1441" s="30" t="n">
        <x:v>6</x:v>
      </x:c>
      <x:c r="E1441" s="38" t="str">
        <x:v>XLE</x:v>
      </x:c>
      <x:c r="F1441" s="38" t="n">
        <x:v>0.2017505431</x:v>
      </x:c>
      <x:c r="G1441" s="38" t="n">
        <x:v>1.0617819154</x:v>
      </x:c>
      <x:c r="H1441" s="42" t="b">
        <x:v>0</x:v>
      </x:c>
      <x:c r="I1441" s="42" t="b">
        <x:v>0</x:v>
      </x:c>
      <x:c r="J1441" s="38" t="n">
        <x:v>0.1640021909</x:v>
      </x:c>
    </x:row>
    <x:row r="1442" ht="19" customHeight="1">
      <x:c r="A1442" s="29" t="str">
        <x:v>stagger_1</x:v>
      </x:c>
      <x:c r="B1442" s="38" t="str">
        <x:v>AXON</x:v>
      </x:c>
      <x:c r="C1442" s="38" t="str">
        <x:v>Other sectors</x:v>
      </x:c>
      <x:c r="D1442" s="30" t="n">
        <x:v>6</x:v>
      </x:c>
      <x:c r="E1442" s="38" t="str">
        <x:v>XLF</x:v>
      </x:c>
      <x:c r="F1442" s="38" t="n">
        <x:v>0.8425518309</x:v>
      </x:c>
      <x:c r="G1442" s="38" t="n">
        <x:v>1.8744139279</x:v>
      </x:c>
      <x:c r="H1442" s="42" t="b">
        <x:v>0</x:v>
      </x:c>
      <x:c r="I1442" s="42" t="b">
        <x:v>0</x:v>
      </x:c>
      <x:c r="J1442" s="38" t="n">
        <x:v>0.1640021909</x:v>
      </x:c>
    </x:row>
    <x:row r="1443" ht="19" customHeight="1">
      <x:c r="A1443" s="29" t="str">
        <x:v>stagger_1</x:v>
      </x:c>
      <x:c r="B1443" s="38" t="str">
        <x:v>AXON</x:v>
      </x:c>
      <x:c r="C1443" s="38" t="str">
        <x:v>Other sectors</x:v>
      </x:c>
      <x:c r="D1443" s="30" t="n">
        <x:v>6</x:v>
      </x:c>
      <x:c r="E1443" s="38" t="str">
        <x:v>XLV</x:v>
      </x:c>
      <x:c r="F1443" s="38" t="n">
        <x:v>0.3924153105</x:v>
      </x:c>
      <x:c r="G1443" s="38" t="n">
        <x:v>1.017845274</x:v>
      </x:c>
      <x:c r="H1443" s="42" t="b">
        <x:v>1</x:v>
      </x:c>
      <x:c r="I1443" s="42" t="b">
        <x:v>0</x:v>
      </x:c>
      <x:c r="J1443" s="38" t="n">
        <x:v>0.1640021909</x:v>
      </x:c>
    </x:row>
    <x:row r="1444" ht="19" customHeight="1">
      <x:c r="A1444" s="29" t="str">
        <x:v>stagger_1</x:v>
      </x:c>
      <x:c r="B1444" s="38" t="str">
        <x:v>AXON</x:v>
      </x:c>
      <x:c r="C1444" s="38" t="str">
        <x:v>Other sectors</x:v>
      </x:c>
      <x:c r="D1444" s="30" t="n">
        <x:v>6</x:v>
      </x:c>
      <x:c r="E1444" s="38" t="str">
        <x:v>XLY</x:v>
      </x:c>
      <x:c r="F1444" s="38" t="n">
        <x:v>1.2374456609</x:v>
      </x:c>
      <x:c r="G1444" s="38" t="n">
        <x:v>2.7562018822</x:v>
      </x:c>
      <x:c r="H1444" s="42" t="b">
        <x:v>0</x:v>
      </x:c>
      <x:c r="I1444" s="42" t="b">
        <x:v>0</x:v>
      </x:c>
      <x:c r="J1444" s="38" t="n">
        <x:v>0.1640021909</x:v>
      </x:c>
    </x:row>
    <x:row r="1445" ht="19" customHeight="1">
      <x:c r="A1445" s="29" t="str">
        <x:v>stagger_1</x:v>
      </x:c>
      <x:c r="B1445" s="38" t="str">
        <x:v>AXON</x:v>
      </x:c>
      <x:c r="C1445" s="38" t="str">
        <x:v>Other sectors</x:v>
      </x:c>
      <x:c r="D1445" s="30" t="n">
        <x:v>7</x:v>
      </x:c>
      <x:c r="E1445" s="38" t="str">
        <x:v>XLB</x:v>
      </x:c>
      <x:c r="F1445" s="38" t="n">
        <x:v>-0.70969266</x:v>
      </x:c>
      <x:c r="G1445" s="38" t="n">
        <x:v>-2.0090856189</x:v>
      </x:c>
      <x:c r="H1445" s="42" t="b">
        <x:v>0</x:v>
      </x:c>
      <x:c r="I1445" s="42" t="b">
        <x:v>0</x:v>
      </x:c>
      <x:c r="J1445" s="38" t="n">
        <x:v>0.1522981199</x:v>
      </x:c>
    </x:row>
    <x:row r="1446" ht="19" customHeight="1">
      <x:c r="A1446" s="29" t="str">
        <x:v>stagger_1</x:v>
      </x:c>
      <x:c r="B1446" s="38" t="str">
        <x:v>AXON</x:v>
      </x:c>
      <x:c r="C1446" s="38" t="str">
        <x:v>Other sectors</x:v>
      </x:c>
      <x:c r="D1446" s="30" t="n">
        <x:v>7</x:v>
      </x:c>
      <x:c r="E1446" s="38" t="str">
        <x:v>XLE</x:v>
      </x:c>
      <x:c r="F1446" s="38" t="n">
        <x:v>0.2020453522</x:v>
      </x:c>
      <x:c r="G1446" s="38" t="n">
        <x:v>1.0630795129</x:v>
      </x:c>
      <x:c r="H1446" s="42" t="b">
        <x:v>1</x:v>
      </x:c>
      <x:c r="I1446" s="42" t="b">
        <x:v>0</x:v>
      </x:c>
      <x:c r="J1446" s="38" t="n">
        <x:v>0.1522981199</x:v>
      </x:c>
    </x:row>
    <x:row r="1447" ht="19" customHeight="1">
      <x:c r="A1447" s="29" t="str">
        <x:v>stagger_1</x:v>
      </x:c>
      <x:c r="B1447" s="38" t="str">
        <x:v>AXON</x:v>
      </x:c>
      <x:c r="C1447" s="38" t="str">
        <x:v>Other sectors</x:v>
      </x:c>
      <x:c r="D1447" s="30" t="n">
        <x:v>7</x:v>
      </x:c>
      <x:c r="E1447" s="38" t="str">
        <x:v>XLF</x:v>
      </x:c>
      <x:c r="F1447" s="38" t="n">
        <x:v>0.9064335732</x:v>
      </x:c>
      <x:c r="G1447" s="38" t="n">
        <x:v>2.0359905851</x:v>
      </x:c>
      <x:c r="H1447" s="42" t="b">
        <x:v>0</x:v>
      </x:c>
      <x:c r="I1447" s="42" t="b">
        <x:v>0</x:v>
      </x:c>
      <x:c r="J1447" s="38" t="n">
        <x:v>0.1522981199</x:v>
      </x:c>
    </x:row>
    <x:row r="1448" ht="19" customHeight="1">
      <x:c r="A1448" s="29" t="str">
        <x:v>stagger_1</x:v>
      </x:c>
      <x:c r="B1448" s="38" t="str">
        <x:v>AXON</x:v>
      </x:c>
      <x:c r="C1448" s="38" t="str">
        <x:v>Other sectors</x:v>
      </x:c>
      <x:c r="D1448" s="30" t="n">
        <x:v>7</x:v>
      </x:c>
      <x:c r="E1448" s="38" t="str">
        <x:v>XLY</x:v>
      </x:c>
      <x:c r="F1448" s="38" t="n">
        <x:v>1.116179782</x:v>
      </x:c>
      <x:c r="G1448" s="38" t="n">
        <x:v>2.5779289714</x:v>
      </x:c>
      <x:c r="H1448" s="42" t="b">
        <x:v>0</x:v>
      </x:c>
      <x:c r="I1448" s="42" t="b">
        <x:v>0</x:v>
      </x:c>
      <x:c r="J1448" s="38" t="n">
        <x:v>0.1522981199</x:v>
      </x:c>
    </x:row>
    <x:row r="1449" ht="19" customHeight="1">
      <x:c r="A1449" s="29" t="str">
        <x:v>stagger_1</x:v>
      </x:c>
      <x:c r="B1449" s="38" t="str">
        <x:v>AXON</x:v>
      </x:c>
      <x:c r="C1449" s="38" t="str">
        <x:v>Other sectors</x:v>
      </x:c>
      <x:c r="D1449" s="30" t="n">
        <x:v>8</x:v>
      </x:c>
      <x:c r="E1449" s="38" t="str">
        <x:v>XLB</x:v>
      </x:c>
      <x:c r="F1449" s="38" t="n">
        <x:v>-0.6206427041</x:v>
      </x:c>
      <x:c r="G1449" s="38" t="n">
        <x:v>-1.8070322658</x:v>
      </x:c>
      <x:c r="H1449" s="42" t="b">
        <x:v>1</x:v>
      </x:c>
      <x:c r="I1449" s="42" t="b">
        <x:v>0</x:v>
      </x:c>
      <x:c r="J1449" s="38" t="n">
        <x:v>0.1395245179</x:v>
      </x:c>
    </x:row>
    <x:row r="1450" ht="19" customHeight="1">
      <x:c r="A1450" s="29" t="str">
        <x:v>stagger_1</x:v>
      </x:c>
      <x:c r="B1450" s="38" t="str">
        <x:v>AXON</x:v>
      </x:c>
      <x:c r="C1450" s="38" t="str">
        <x:v>Other sectors</x:v>
      </x:c>
      <x:c r="D1450" s="30" t="n">
        <x:v>8</x:v>
      </x:c>
      <x:c r="E1450" s="38" t="str">
        <x:v>XLF</x:v>
      </x:c>
      <x:c r="F1450" s="38" t="n">
        <x:v>0.9914619934</x:v>
      </x:c>
      <x:c r="G1450" s="38" t="n">
        <x:v>2.261874621</x:v>
      </x:c>
      <x:c r="H1450" s="42" t="b">
        <x:v>0</x:v>
      </x:c>
      <x:c r="I1450" s="42" t="b">
        <x:v>0</x:v>
      </x:c>
      <x:c r="J1450" s="38" t="n">
        <x:v>0.1395245179</x:v>
      </x:c>
    </x:row>
    <x:row r="1451" ht="19" customHeight="1">
      <x:c r="A1451" s="29" t="str">
        <x:v>stagger_1</x:v>
      </x:c>
      <x:c r="B1451" s="38" t="str">
        <x:v>AXON</x:v>
      </x:c>
      <x:c r="C1451" s="38" t="str">
        <x:v>Other sectors</x:v>
      </x:c>
      <x:c r="D1451" s="30" t="n">
        <x:v>8</x:v>
      </x:c>
      <x:c r="E1451" s="38" t="str">
        <x:v>XLY</x:v>
      </x:c>
      <x:c r="F1451" s="38" t="n">
        <x:v>1.0083618195</x:v>
      </x:c>
      <x:c r="G1451" s="38" t="n">
        <x:v>2.3935119141</x:v>
      </x:c>
      <x:c r="H1451" s="42" t="b">
        <x:v>0</x:v>
      </x:c>
      <x:c r="I1451" s="42" t="b">
        <x:v>0</x:v>
      </x:c>
      <x:c r="J1451" s="38" t="n">
        <x:v>0.1395245179</x:v>
      </x:c>
    </x:row>
    <x:row r="1452" ht="19" customHeight="1">
      <x:c r="A1452" s="29" t="str">
        <x:v>stagger_1</x:v>
      </x:c>
      <x:c r="B1452" s="38" t="str">
        <x:v>AXON</x:v>
      </x:c>
      <x:c r="C1452" s="38" t="str">
        <x:v>Other sectors</x:v>
      </x:c>
      <x:c r="D1452" s="30" t="n">
        <x:v>9</x:v>
      </x:c>
      <x:c r="E1452" s="38" t="str">
        <x:v>XLF</x:v>
      </x:c>
      <x:c r="F1452" s="38" t="n">
        <x:v>0.7059257378</x:v>
      </x:c>
      <x:c r="G1452" s="38" t="n">
        <x:v>1.7016997975</x:v>
      </x:c>
      <x:c r="H1452" s="42" t="b">
        <x:v>1</x:v>
      </x:c>
      <x:c r="I1452" s="42" t="b">
        <x:v>0</x:v>
      </x:c>
      <x:c r="J1452" s="38" t="n">
        <x:v>0.1025538988</x:v>
      </x:c>
    </x:row>
    <x:row r="1453" ht="19" customHeight="1">
      <x:c r="A1453" s="29" t="str">
        <x:v>stagger_1</x:v>
      </x:c>
      <x:c r="B1453" s="38" t="str">
        <x:v>AXON</x:v>
      </x:c>
      <x:c r="C1453" s="38" t="str">
        <x:v>Other sectors</x:v>
      </x:c>
      <x:c r="D1453" s="30" t="n">
        <x:v>9</x:v>
      </x:c>
      <x:c r="E1453" s="38" t="str">
        <x:v>XLY</x:v>
      </x:c>
      <x:c r="F1453" s="38" t="n">
        <x:v>1.0580256795</x:v>
      </x:c>
      <x:c r="G1453" s="38" t="n">
        <x:v>2.4805338551</x:v>
      </x:c>
      <x:c r="H1453" s="42" t="b">
        <x:v>0</x:v>
      </x:c>
      <x:c r="I1453" s="42" t="b">
        <x:v>0</x:v>
      </x:c>
      <x:c r="J1453" s="38" t="n">
        <x:v>0.1025538988</x:v>
      </x:c>
    </x:row>
    <x:row r="1454" ht="19" customHeight="1">
      <x:c r="A1454" s="29" t="str">
        <x:v>stagger_1</x:v>
      </x:c>
      <x:c r="B1454" s="38" t="str">
        <x:v>AXON</x:v>
      </x:c>
      <x:c r="C1454" s="38" t="str">
        <x:v>Other sectors</x:v>
      </x:c>
      <x:c r="D1454" s="30" t="n">
        <x:v>10</x:v>
      </x:c>
      <x:c r="E1454" s="38" t="str">
        <x:v>XLY</x:v>
      </x:c>
      <x:c r="F1454" s="38" t="n">
        <x:v>1.035841757</x:v>
      </x:c>
      <x:c r="G1454" s="38" t="n">
        <x:v>2.4006601233</x:v>
      </x:c>
      <x:c r="H1454" s="42" t="b">
        <x:v>0</x:v>
      </x:c>
      <x:c r="I1454" s="42" t="b">
        <x:v>1</x:v>
      </x:c>
      <x:c r="J1454" s="38" t="n">
        <x:v>0.0688031398</x:v>
      </x:c>
    </x:row>
    <x:row r="1455" ht="19" customHeight="1">
      <x:c r="A1455" s="29" t="str">
        <x:v>stagger_1</x:v>
      </x:c>
      <x:c r="B1455" s="38" t="str">
        <x:v>NFLX</x:v>
      </x:c>
      <x:c r="C1455" s="38" t="str">
        <x:v>Other FX</x:v>
      </x:c>
      <x:c r="D1455" s="30" t="n">
        <x:v>1</x:v>
      </x:c>
      <x:c r="E1455" s="38" t="str">
        <x:v>AUD/USD</x:v>
      </x:c>
      <x:c r="F1455" s="38" t="n">
        <x:v>-0.4462243263</x:v>
      </x:c>
      <x:c r="G1455" s="38" t="n">
        <x:v>-0.4838960064</x:v>
      </x:c>
      <x:c r="H1455" s="42" t="b">
        <x:v>0</x:v>
      </x:c>
      <x:c r="I1455" s="42" t="b">
        <x:v>0</x:v>
      </x:c>
      <x:c r="J1455" s="38" t="n">
        <x:v>0.1241301567</x:v>
      </x:c>
    </x:row>
    <x:row r="1456" ht="19" customHeight="1">
      <x:c r="A1456" s="29" t="str">
        <x:v>stagger_1</x:v>
      </x:c>
      <x:c r="B1456" s="38" t="str">
        <x:v>NFLX</x:v>
      </x:c>
      <x:c r="C1456" s="38" t="str">
        <x:v>Other FX</x:v>
      </x:c>
      <x:c r="D1456" s="30" t="n">
        <x:v>1</x:v>
      </x:c>
      <x:c r="E1456" s="38" t="str">
        <x:v>CAD/USD</x:v>
      </x:c>
      <x:c r="F1456" s="38" t="n">
        <x:v>1.1004885659</x:v>
      </x:c>
      <x:c r="G1456" s="38" t="n">
        <x:v>0.9882818999</x:v>
      </x:c>
      <x:c r="H1456" s="42" t="b">
        <x:v>0</x:v>
      </x:c>
      <x:c r="I1456" s="42" t="b">
        <x:v>0</x:v>
      </x:c>
      <x:c r="J1456" s="38" t="n">
        <x:v>0.1241301567</x:v>
      </x:c>
    </x:row>
    <x:row r="1457" ht="19" customHeight="1">
      <x:c r="A1457" s="29" t="str">
        <x:v>stagger_1</x:v>
      </x:c>
      <x:c r="B1457" s="38" t="str">
        <x:v>NFLX</x:v>
      </x:c>
      <x:c r="C1457" s="38" t="str">
        <x:v>Other FX</x:v>
      </x:c>
      <x:c r="D1457" s="30" t="n">
        <x:v>1</x:v>
      </x:c>
      <x:c r="E1457" s="38" t="str">
        <x:v>DKK/USD</x:v>
      </x:c>
      <x:c r="F1457" s="38" t="n">
        <x:v>8.3124710453</x:v>
      </x:c>
      <x:c r="G1457" s="38" t="n">
        <x:v>1.0722708949</x:v>
      </x:c>
      <x:c r="H1457" s="42" t="b">
        <x:v>0</x:v>
      </x:c>
      <x:c r="I1457" s="42" t="b">
        <x:v>0</x:v>
      </x:c>
      <x:c r="J1457" s="38" t="n">
        <x:v>0.1241301567</x:v>
      </x:c>
    </x:row>
    <x:row r="1458" ht="19" customHeight="1">
      <x:c r="A1458" s="29" t="str">
        <x:v>stagger_1</x:v>
      </x:c>
      <x:c r="B1458" s="38" t="str">
        <x:v>NFLX</x:v>
      </x:c>
      <x:c r="C1458" s="38" t="str">
        <x:v>Other FX</x:v>
      </x:c>
      <x:c r="D1458" s="30" t="n">
        <x:v>1</x:v>
      </x:c>
      <x:c r="E1458" s="38" t="str">
        <x:v>EUR/USD</x:v>
      </x:c>
      <x:c r="F1458" s="38" t="n">
        <x:v>-7.0725194637</x:v>
      </x:c>
      <x:c r="G1458" s="38" t="n">
        <x:v>-0.9973876661</x:v>
      </x:c>
      <x:c r="H1458" s="42" t="b">
        <x:v>0</x:v>
      </x:c>
      <x:c r="I1458" s="42" t="b">
        <x:v>0</x:v>
      </x:c>
      <x:c r="J1458" s="38" t="n">
        <x:v>0.1241301567</x:v>
      </x:c>
    </x:row>
    <x:row r="1459" ht="19" customHeight="1">
      <x:c r="A1459" s="29" t="str">
        <x:v>stagger_1</x:v>
      </x:c>
      <x:c r="B1459" s="38" t="str">
        <x:v>NFLX</x:v>
      </x:c>
      <x:c r="C1459" s="38" t="str">
        <x:v>Other FX</x:v>
      </x:c>
      <x:c r="D1459" s="30" t="n">
        <x:v>1</x:v>
      </x:c>
      <x:c r="E1459" s="38" t="str">
        <x:v>MXN/USD</x:v>
      </x:c>
      <x:c r="F1459" s="38" t="n">
        <x:v>-0.2286127733</x:v>
      </x:c>
      <x:c r="G1459" s="38" t="n">
        <x:v>-0.3869726723</x:v>
      </x:c>
      <x:c r="H1459" s="42" t="b">
        <x:v>1</x:v>
      </x:c>
      <x:c r="I1459" s="42" t="b">
        <x:v>0</x:v>
      </x:c>
      <x:c r="J1459" s="38" t="n">
        <x:v>0.1241301567</x:v>
      </x:c>
    </x:row>
    <x:row r="1460" ht="19" customHeight="1">
      <x:c r="A1460" s="29" t="str">
        <x:v>stagger_1</x:v>
      </x:c>
      <x:c r="B1460" s="38" t="str">
        <x:v>NFLX</x:v>
      </x:c>
      <x:c r="C1460" s="38" t="str">
        <x:v>Other FX</x:v>
      </x:c>
      <x:c r="D1460" s="30" t="n">
        <x:v>1</x:v>
      </x:c>
      <x:c r="E1460" s="38" t="str">
        <x:v>SGD/USD</x:v>
      </x:c>
      <x:c r="F1460" s="38" t="n">
        <x:v>1.3347673429</x:v>
      </x:c>
      <x:c r="G1460" s="38" t="n">
        <x:v>0.5978260704</x:v>
      </x:c>
      <x:c r="H1460" s="42" t="b">
        <x:v>0</x:v>
      </x:c>
      <x:c r="I1460" s="42" t="b">
        <x:v>0</x:v>
      </x:c>
      <x:c r="J1460" s="38" t="n">
        <x:v>0.1241301567</x:v>
      </x:c>
    </x:row>
    <x:row r="1461" ht="19" customHeight="1">
      <x:c r="A1461" s="29" t="str">
        <x:v>stagger_1</x:v>
      </x:c>
      <x:c r="B1461" s="38" t="str">
        <x:v>NFLX</x:v>
      </x:c>
      <x:c r="C1461" s="38" t="str">
        <x:v>Other FX</x:v>
      </x:c>
      <x:c r="D1461" s="30" t="n">
        <x:v>2</x:v>
      </x:c>
      <x:c r="E1461" s="38" t="str">
        <x:v>AUD/USD</x:v>
      </x:c>
      <x:c r="F1461" s="38" t="n">
        <x:v>-0.5131354029</x:v>
      </x:c>
      <x:c r="G1461" s="38" t="n">
        <x:v>-0.5697866625</x:v>
      </x:c>
      <x:c r="H1461" s="42" t="b">
        <x:v>1</x:v>
      </x:c>
      <x:c r="I1461" s="42" t="b">
        <x:v>0</x:v>
      </x:c>
      <x:c r="J1461" s="38" t="n">
        <x:v>0.1223334495</x:v>
      </x:c>
    </x:row>
    <x:row r="1462" ht="19" customHeight="1">
      <x:c r="A1462" s="29" t="str">
        <x:v>stagger_1</x:v>
      </x:c>
      <x:c r="B1462" s="38" t="str">
        <x:v>NFLX</x:v>
      </x:c>
      <x:c r="C1462" s="38" t="str">
        <x:v>Other FX</x:v>
      </x:c>
      <x:c r="D1462" s="30" t="n">
        <x:v>2</x:v>
      </x:c>
      <x:c r="E1462" s="38" t="str">
        <x:v>CAD/USD</x:v>
      </x:c>
      <x:c r="F1462" s="38" t="n">
        <x:v>1.1091167044</x:v>
      </x:c>
      <x:c r="G1462" s="38" t="n">
        <x:v>1.0020031197</x:v>
      </x:c>
      <x:c r="H1462" s="42" t="b">
        <x:v>0</x:v>
      </x:c>
      <x:c r="I1462" s="42" t="b">
        <x:v>0</x:v>
      </x:c>
      <x:c r="J1462" s="38" t="n">
        <x:v>0.1223334495</x:v>
      </x:c>
    </x:row>
    <x:row r="1463" ht="19" customHeight="1">
      <x:c r="A1463" s="29" t="str">
        <x:v>stagger_1</x:v>
      </x:c>
      <x:c r="B1463" s="38" t="str">
        <x:v>NFLX</x:v>
      </x:c>
      <x:c r="C1463" s="38" t="str">
        <x:v>Other FX</x:v>
      </x:c>
      <x:c r="D1463" s="30" t="n">
        <x:v>2</x:v>
      </x:c>
      <x:c r="E1463" s="38" t="str">
        <x:v>DKK/USD</x:v>
      </x:c>
      <x:c r="F1463" s="38" t="n">
        <x:v>7.4050600662</x:v>
      </x:c>
      <x:c r="G1463" s="38" t="n">
        <x:v>1.007972497</x:v>
      </x:c>
      <x:c r="H1463" s="42" t="b">
        <x:v>0</x:v>
      </x:c>
      <x:c r="I1463" s="42" t="b">
        <x:v>0</x:v>
      </x:c>
      <x:c r="J1463" s="38" t="n">
        <x:v>0.1223334495</x:v>
      </x:c>
    </x:row>
    <x:row r="1464" ht="19" customHeight="1">
      <x:c r="A1464" s="29" t="str">
        <x:v>stagger_1</x:v>
      </x:c>
      <x:c r="B1464" s="38" t="str">
        <x:v>NFLX</x:v>
      </x:c>
      <x:c r="C1464" s="38" t="str">
        <x:v>Other FX</x:v>
      </x:c>
      <x:c r="D1464" s="30" t="n">
        <x:v>2</x:v>
      </x:c>
      <x:c r="E1464" s="38" t="str">
        <x:v>EUR/USD</x:v>
      </x:c>
      <x:c r="F1464" s="38" t="n">
        <x:v>-6.3507281224</x:v>
      </x:c>
      <x:c r="G1464" s="38" t="n">
        <x:v>-0.9336675225</x:v>
      </x:c>
      <x:c r="H1464" s="42" t="b">
        <x:v>0</x:v>
      </x:c>
      <x:c r="I1464" s="42" t="b">
        <x:v>0</x:v>
      </x:c>
      <x:c r="J1464" s="38" t="n">
        <x:v>0.1223334495</x:v>
      </x:c>
    </x:row>
    <x:row r="1465" ht="19" customHeight="1">
      <x:c r="A1465" s="29" t="str">
        <x:v>stagger_1</x:v>
      </x:c>
      <x:c r="B1465" s="38" t="str">
        <x:v>NFLX</x:v>
      </x:c>
      <x:c r="C1465" s="38" t="str">
        <x:v>Other FX</x:v>
      </x:c>
      <x:c r="D1465" s="30" t="n">
        <x:v>2</x:v>
      </x:c>
      <x:c r="E1465" s="38" t="str">
        <x:v>SGD/USD</x:v>
      </x:c>
      <x:c r="F1465" s="38" t="n">
        <x:v>1.4276978831</x:v>
      </x:c>
      <x:c r="G1465" s="38" t="n">
        <x:v>0.6469070023</x:v>
      </x:c>
      <x:c r="H1465" s="42" t="b">
        <x:v>0</x:v>
      </x:c>
      <x:c r="I1465" s="42" t="b">
        <x:v>0</x:v>
      </x:c>
      <x:c r="J1465" s="38" t="n">
        <x:v>0.1223334495</x:v>
      </x:c>
    </x:row>
    <x:row r="1466" ht="19" customHeight="1">
      <x:c r="A1466" s="29" t="str">
        <x:v>stagger_1</x:v>
      </x:c>
      <x:c r="B1466" s="38" t="str">
        <x:v>NFLX</x:v>
      </x:c>
      <x:c r="C1466" s="38" t="str">
        <x:v>Other FX</x:v>
      </x:c>
      <x:c r="D1466" s="30" t="n">
        <x:v>3</x:v>
      </x:c>
      <x:c r="E1466" s="38" t="str">
        <x:v>CAD/USD</x:v>
      </x:c>
      <x:c r="F1466" s="38" t="n">
        <x:v>0.9552503974</x:v>
      </x:c>
      <x:c r="G1466" s="38" t="n">
        <x:v>0.8939184832</x:v>
      </x:c>
      <x:c r="H1466" s="42" t="b">
        <x:v>0</x:v>
      </x:c>
      <x:c r="I1466" s="42" t="b">
        <x:v>0</x:v>
      </x:c>
      <x:c r="J1466" s="38" t="n">
        <x:v>0.1184829029</x:v>
      </x:c>
    </x:row>
    <x:row r="1467" ht="19" customHeight="1">
      <x:c r="A1467" s="29" t="str">
        <x:v>stagger_1</x:v>
      </x:c>
      <x:c r="B1467" s="38" t="str">
        <x:v>NFLX</x:v>
      </x:c>
      <x:c r="C1467" s="38" t="str">
        <x:v>Other FX</x:v>
      </x:c>
      <x:c r="D1467" s="30" t="n">
        <x:v>3</x:v>
      </x:c>
      <x:c r="E1467" s="38" t="str">
        <x:v>DKK/USD</x:v>
      </x:c>
      <x:c r="F1467" s="38" t="n">
        <x:v>7.1722714742</x:v>
      </x:c>
      <x:c r="G1467" s="38" t="n">
        <x:v>0.982230929</x:v>
      </x:c>
      <x:c r="H1467" s="42" t="b">
        <x:v>0</x:v>
      </x:c>
      <x:c r="I1467" s="42" t="b">
        <x:v>0</x:v>
      </x:c>
      <x:c r="J1467" s="38" t="n">
        <x:v>0.1184829029</x:v>
      </x:c>
    </x:row>
    <x:row r="1468" ht="19" customHeight="1">
      <x:c r="A1468" s="29" t="str">
        <x:v>stagger_1</x:v>
      </x:c>
      <x:c r="B1468" s="38" t="str">
        <x:v>NFLX</x:v>
      </x:c>
      <x:c r="C1468" s="38" t="str">
        <x:v>Other FX</x:v>
      </x:c>
      <x:c r="D1468" s="30" t="n">
        <x:v>3</x:v>
      </x:c>
      <x:c r="E1468" s="38" t="str">
        <x:v>EUR/USD</x:v>
      </x:c>
      <x:c r="F1468" s="38" t="n">
        <x:v>-6.1589775229</x:v>
      </x:c>
      <x:c r="G1468" s="38" t="n">
        <x:v>-0.910696617</x:v>
      </x:c>
      <x:c r="H1468" s="42" t="b">
        <x:v>0</x:v>
      </x:c>
      <x:c r="I1468" s="42" t="b">
        <x:v>0</x:v>
      </x:c>
      <x:c r="J1468" s="38" t="n">
        <x:v>0.1184829029</x:v>
      </x:c>
    </x:row>
    <x:row r="1469" ht="19" customHeight="1">
      <x:c r="A1469" s="29" t="str">
        <x:v>stagger_1</x:v>
      </x:c>
      <x:c r="B1469" s="38" t="str">
        <x:v>NFLX</x:v>
      </x:c>
      <x:c r="C1469" s="38" t="str">
        <x:v>Other FX</x:v>
      </x:c>
      <x:c r="D1469" s="30" t="n">
        <x:v>3</x:v>
      </x:c>
      <x:c r="E1469" s="38" t="str">
        <x:v>SGD/USD</x:v>
      </x:c>
      <x:c r="F1469" s="38" t="n">
        <x:v>0.8571832903</x:v>
      </x:c>
      <x:c r="G1469" s="38" t="n">
        <x:v>0.4378124841</x:v>
      </x:c>
      <x:c r="H1469" s="42" t="b">
        <x:v>1</x:v>
      </x:c>
      <x:c r="I1469" s="42" t="b">
        <x:v>0</x:v>
      </x:c>
      <x:c r="J1469" s="38" t="n">
        <x:v>0.1184829029</x:v>
      </x:c>
    </x:row>
    <x:row r="1470" ht="19" customHeight="1">
      <x:c r="A1470" s="29" t="str">
        <x:v>stagger_1</x:v>
      </x:c>
      <x:c r="B1470" s="38" t="str">
        <x:v>NFLX</x:v>
      </x:c>
      <x:c r="C1470" s="38" t="str">
        <x:v>Other FX</x:v>
      </x:c>
      <x:c r="D1470" s="30" t="n">
        <x:v>4</x:v>
      </x:c>
      <x:c r="E1470" s="38" t="str">
        <x:v>CAD/USD</x:v>
      </x:c>
      <x:c r="F1470" s="38" t="n">
        <x:v>1.0176760024</x:v>
      </x:c>
      <x:c r="G1470" s="38" t="n">
        <x:v>0.9660797581</x:v>
      </x:c>
      <x:c r="H1470" s="42" t="b">
        <x:v>1</x:v>
      </x:c>
      <x:c r="I1470" s="42" t="b">
        <x:v>0</x:v>
      </x:c>
      <x:c r="J1470" s="38" t="n">
        <x:v>0.1162299829</x:v>
      </x:c>
    </x:row>
    <x:row r="1471" ht="19" customHeight="1">
      <x:c r="A1471" s="29" t="str">
        <x:v>stagger_1</x:v>
      </x:c>
      <x:c r="B1471" s="38" t="str">
        <x:v>NFLX</x:v>
      </x:c>
      <x:c r="C1471" s="38" t="str">
        <x:v>Other FX</x:v>
      </x:c>
      <x:c r="D1471" s="30" t="n">
        <x:v>4</x:v>
      </x:c>
      <x:c r="E1471" s="38" t="str">
        <x:v>DKK/USD</x:v>
      </x:c>
      <x:c r="F1471" s="38" t="n">
        <x:v>8.5959177252</x:v>
      </x:c>
      <x:c r="G1471" s="38" t="n">
        <x:v>1.3218051534</x:v>
      </x:c>
      <x:c r="H1471" s="42" t="b">
        <x:v>0</x:v>
      </x:c>
      <x:c r="I1471" s="42" t="b">
        <x:v>0</x:v>
      </x:c>
      <x:c r="J1471" s="38" t="n">
        <x:v>0.1162299829</x:v>
      </x:c>
    </x:row>
    <x:row r="1472" ht="19" customHeight="1">
      <x:c r="A1472" s="29" t="str">
        <x:v>stagger_1</x:v>
      </x:c>
      <x:c r="B1472" s="38" t="str">
        <x:v>NFLX</x:v>
      </x:c>
      <x:c r="C1472" s="38" t="str">
        <x:v>Other FX</x:v>
      </x:c>
      <x:c r="D1472" s="30" t="n">
        <x:v>4</x:v>
      </x:c>
      <x:c r="E1472" s="38" t="str">
        <x:v>EUR/USD</x:v>
      </x:c>
      <x:c r="F1472" s="38" t="n">
        <x:v>-7.1691680432</x:v>
      </x:c>
      <x:c r="G1472" s="38" t="n">
        <x:v>-1.1337790008</x:v>
      </x:c>
      <x:c r="H1472" s="42" t="b">
        <x:v>0</x:v>
      </x:c>
      <x:c r="I1472" s="42" t="b">
        <x:v>0</x:v>
      </x:c>
      <x:c r="J1472" s="38" t="n">
        <x:v>0.1162299829</x:v>
      </x:c>
    </x:row>
    <x:row r="1473" ht="19" customHeight="1">
      <x:c r="A1473" s="29" t="str">
        <x:v>stagger_1</x:v>
      </x:c>
      <x:c r="B1473" s="38" t="str">
        <x:v>NFLX</x:v>
      </x:c>
      <x:c r="C1473" s="38" t="str">
        <x:v>Other FX</x:v>
      </x:c>
      <x:c r="D1473" s="30" t="n">
        <x:v>5</x:v>
      </x:c>
      <x:c r="E1473" s="38" t="str">
        <x:v>DKK/USD</x:v>
      </x:c>
      <x:c r="F1473" s="38" t="n">
        <x:v>9.8328171511</x:v>
      </x:c>
      <x:c r="G1473" s="38" t="n">
        <x:v>1.5428566608</x:v>
      </x:c>
      <x:c r="H1473" s="42" t="b">
        <x:v>0</x:v>
      </x:c>
      <x:c r="I1473" s="42" t="b">
        <x:v>0</x:v>
      </x:c>
      <x:c r="J1473" s="38" t="n">
        <x:v>0.1053769371</x:v>
      </x:c>
    </x:row>
    <x:row r="1474" ht="19" customHeight="1">
      <x:c r="A1474" s="29" t="str">
        <x:v>stagger_1</x:v>
      </x:c>
      <x:c r="B1474" s="38" t="str">
        <x:v>NFLX</x:v>
      </x:c>
      <x:c r="C1474" s="38" t="str">
        <x:v>Other FX</x:v>
      </x:c>
      <x:c r="D1474" s="30" t="n">
        <x:v>5</x:v>
      </x:c>
      <x:c r="E1474" s="38" t="str">
        <x:v>EUR/USD</x:v>
      </x:c>
      <x:c r="F1474" s="38" t="n">
        <x:v>-7.938640934</x:v>
      </x:c>
      <x:c r="G1474" s="38" t="n">
        <x:v>-1.2660968962</x:v>
      </x:c>
      <x:c r="H1474" s="42" t="b">
        <x:v>1</x:v>
      </x:c>
      <x:c r="I1474" s="42" t="b">
        <x:v>0</x:v>
      </x:c>
      <x:c r="J1474" s="38" t="n">
        <x:v>0.1053769371</x:v>
      </x:c>
    </x:row>
    <x:row r="1475" ht="19" customHeight="1">
      <x:c r="A1475" s="29" t="str">
        <x:v>stagger_1</x:v>
      </x:c>
      <x:c r="B1475" s="38" t="str">
        <x:v>NFLX</x:v>
      </x:c>
      <x:c r="C1475" s="38" t="str">
        <x:v>Other FX</x:v>
      </x:c>
      <x:c r="D1475" s="30" t="n">
        <x:v>6</x:v>
      </x:c>
      <x:c r="E1475" s="38" t="str">
        <x:v>DKK/USD</x:v>
      </x:c>
      <x:c r="F1475" s="38" t="n">
        <x:v>1.8073990469</x:v>
      </x:c>
      <x:c r="G1475" s="38" t="n">
        <x:v>2.7220371204</x:v>
      </x:c>
      <x:c r="H1475" s="42" t="b">
        <x:v>0</x:v>
      </x:c>
      <x:c r="I1475" s="42" t="b">
        <x:v>1</x:v>
      </x:c>
      <x:c r="J1475" s="38" t="n">
        <x:v>0.0867524958</x:v>
      </x:c>
    </x:row>
    <x:row r="1476" ht="19" customHeight="1">
      <x:c r="A1476" s="29" t="str">
        <x:v>stagger_1</x:v>
      </x:c>
      <x:c r="B1476" s="38" t="str">
        <x:v>NFLX</x:v>
      </x:c>
      <x:c r="C1476" s="38" t="str">
        <x:v>Other sectors</x:v>
      </x:c>
      <x:c r="D1476" s="30" t="n">
        <x:v>1</x:v>
      </x:c>
      <x:c r="E1476" s="38" t="str">
        <x:v>XLB</x:v>
      </x:c>
      <x:c r="F1476" s="38" t="n">
        <x:v>-0.5533227932</x:v>
      </x:c>
      <x:c r="G1476" s="38" t="n">
        <x:v>-1.0892507762</x:v>
      </x:c>
      <x:c r="H1476" s="42" t="b">
        <x:v>0</x:v>
      </x:c>
      <x:c r="I1476" s="42" t="b">
        <x:v>0</x:v>
      </x:c>
      <x:c r="J1476" s="38" t="n">
        <x:v>0.2183460381</x:v>
      </x:c>
    </x:row>
    <x:row r="1477" ht="19" customHeight="1">
      <x:c r="A1477" s="29" t="str">
        <x:v>stagger_1</x:v>
      </x:c>
      <x:c r="B1477" s="38" t="str">
        <x:v>NFLX</x:v>
      </x:c>
      <x:c r="C1477" s="38" t="str">
        <x:v>Other sectors</x:v>
      </x:c>
      <x:c r="D1477" s="30" t="n">
        <x:v>1</x:v>
      </x:c>
      <x:c r="E1477" s="38" t="str">
        <x:v>XLE</x:v>
      </x:c>
      <x:c r="F1477" s="38" t="n">
        <x:v>0.2565891338</x:v>
      </x:c>
      <x:c r="G1477" s="38" t="n">
        <x:v>1.3479472884</x:v>
      </x:c>
      <x:c r="H1477" s="42" t="b">
        <x:v>0</x:v>
      </x:c>
      <x:c r="I1477" s="42" t="b">
        <x:v>0</x:v>
      </x:c>
      <x:c r="J1477" s="38" t="n">
        <x:v>0.2183460381</x:v>
      </x:c>
    </x:row>
    <x:row r="1478" ht="19" customHeight="1">
      <x:c r="A1478" s="29" t="str">
        <x:v>stagger_1</x:v>
      </x:c>
      <x:c r="B1478" s="38" t="str">
        <x:v>NFLX</x:v>
      </x:c>
      <x:c r="C1478" s="38" t="str">
        <x:v>Other sectors</x:v>
      </x:c>
      <x:c r="D1478" s="30" t="n">
        <x:v>1</x:v>
      </x:c>
      <x:c r="E1478" s="38" t="str">
        <x:v>XLF</x:v>
      </x:c>
      <x:c r="F1478" s="38" t="n">
        <x:v>0.40355199</x:v>
      </x:c>
      <x:c r="G1478" s="38" t="n">
        <x:v>0.7573621586</x:v>
      </x:c>
      <x:c r="H1478" s="42" t="b">
        <x:v>0</x:v>
      </x:c>
      <x:c r="I1478" s="42" t="b">
        <x:v>0</x:v>
      </x:c>
      <x:c r="J1478" s="38" t="n">
        <x:v>0.2183460381</x:v>
      </x:c>
    </x:row>
    <x:row r="1479" ht="19" customHeight="1">
      <x:c r="A1479" s="29" t="str">
        <x:v>stagger_1</x:v>
      </x:c>
      <x:c r="B1479" s="38" t="str">
        <x:v>NFLX</x:v>
      </x:c>
      <x:c r="C1479" s="38" t="str">
        <x:v>Other sectors</x:v>
      </x:c>
      <x:c r="D1479" s="30" t="n">
        <x:v>1</x:v>
      </x:c>
      <x:c r="E1479" s="38" t="str">
        <x:v>XLI</x:v>
      </x:c>
      <x:c r="F1479" s="38" t="n">
        <x:v>0.5295006528</x:v>
      </x:c>
      <x:c r="G1479" s="38" t="n">
        <x:v>0.816593652</x:v>
      </x:c>
      <x:c r="H1479" s="42" t="b">
        <x:v>0</x:v>
      </x:c>
      <x:c r="I1479" s="42" t="b">
        <x:v>0</x:v>
      </x:c>
      <x:c r="J1479" s="38" t="n">
        <x:v>0.2183460381</x:v>
      </x:c>
    </x:row>
    <x:row r="1480" ht="19" customHeight="1">
      <x:c r="A1480" s="29" t="str">
        <x:v>stagger_1</x:v>
      </x:c>
      <x:c r="B1480" s="38" t="str">
        <x:v>NFLX</x:v>
      </x:c>
      <x:c r="C1480" s="38" t="str">
        <x:v>Other sectors</x:v>
      </x:c>
      <x:c r="D1480" s="30" t="n">
        <x:v>1</x:v>
      </x:c>
      <x:c r="E1480" s="38" t="str">
        <x:v>XLK</x:v>
      </x:c>
      <x:c r="F1480" s="38" t="n">
        <x:v>1.6565491506</x:v>
      </x:c>
      <x:c r="G1480" s="38" t="n">
        <x:v>2.3039352948</x:v>
      </x:c>
      <x:c r="H1480" s="42" t="b">
        <x:v>0</x:v>
      </x:c>
      <x:c r="I1480" s="42" t="b">
        <x:v>0</x:v>
      </x:c>
      <x:c r="J1480" s="38" t="n">
        <x:v>0.2183460381</x:v>
      </x:c>
    </x:row>
    <x:row r="1481" ht="19" customHeight="1">
      <x:c r="A1481" s="29" t="str">
        <x:v>stagger_1</x:v>
      </x:c>
      <x:c r="B1481" s="38" t="str">
        <x:v>NFLX</x:v>
      </x:c>
      <x:c r="C1481" s="38" t="str">
        <x:v>Other sectors</x:v>
      </x:c>
      <x:c r="D1481" s="30" t="n">
        <x:v>1</x:v>
      </x:c>
      <x:c r="E1481" s="38" t="str">
        <x:v>XLP</x:v>
      </x:c>
      <x:c r="F1481" s="38" t="n">
        <x:v>0.441552578</x:v>
      </x:c>
      <x:c r="G1481" s="38" t="n">
        <x:v>0.8097021594</x:v>
      </x:c>
      <x:c r="H1481" s="42" t="b">
        <x:v>0</x:v>
      </x:c>
      <x:c r="I1481" s="42" t="b">
        <x:v>0</x:v>
      </x:c>
      <x:c r="J1481" s="38" t="n">
        <x:v>0.2183460381</x:v>
      </x:c>
    </x:row>
    <x:row r="1482" ht="19" customHeight="1">
      <x:c r="A1482" s="29" t="str">
        <x:v>stagger_1</x:v>
      </x:c>
      <x:c r="B1482" s="38" t="str">
        <x:v>NFLX</x:v>
      </x:c>
      <x:c r="C1482" s="38" t="str">
        <x:v>Other sectors</x:v>
      </x:c>
      <x:c r="D1482" s="30" t="n">
        <x:v>1</x:v>
      </x:c>
      <x:c r="E1482" s="38" t="str">
        <x:v>XLRE</x:v>
      </x:c>
      <x:c r="F1482" s="38" t="n">
        <x:v>-0.7316376068</x:v>
      </x:c>
      <x:c r="G1482" s="38" t="n">
        <x:v>-1.7017978638</x:v>
      </x:c>
      <x:c r="H1482" s="42" t="b">
        <x:v>0</x:v>
      </x:c>
      <x:c r="I1482" s="42" t="b">
        <x:v>0</x:v>
      </x:c>
      <x:c r="J1482" s="38" t="n">
        <x:v>0.2183460381</x:v>
      </x:c>
    </x:row>
    <x:row r="1483" ht="19" customHeight="1">
      <x:c r="A1483" s="29" t="str">
        <x:v>stagger_1</x:v>
      </x:c>
      <x:c r="B1483" s="38" t="str">
        <x:v>NFLX</x:v>
      </x:c>
      <x:c r="C1483" s="38" t="str">
        <x:v>Other sectors</x:v>
      </x:c>
      <x:c r="D1483" s="30" t="n">
        <x:v>1</x:v>
      </x:c>
      <x:c r="E1483" s="38" t="str">
        <x:v>XLU</x:v>
      </x:c>
      <x:c r="F1483" s="38" t="n">
        <x:v>1.020957754</x:v>
      </x:c>
      <x:c r="G1483" s="38" t="n">
        <x:v>3.0714728565</x:v>
      </x:c>
      <x:c r="H1483" s="42" t="b">
        <x:v>0</x:v>
      </x:c>
      <x:c r="I1483" s="42" t="b">
        <x:v>0</x:v>
      </x:c>
      <x:c r="J1483" s="38" t="n">
        <x:v>0.2183460381</x:v>
      </x:c>
    </x:row>
    <x:row r="1484" ht="19" customHeight="1">
      <x:c r="A1484" s="29" t="str">
        <x:v>stagger_1</x:v>
      </x:c>
      <x:c r="B1484" s="38" t="str">
        <x:v>NFLX</x:v>
      </x:c>
      <x:c r="C1484" s="38" t="str">
        <x:v>Other sectors</x:v>
      </x:c>
      <x:c r="D1484" s="30" t="n">
        <x:v>1</x:v>
      </x:c>
      <x:c r="E1484" s="38" t="str">
        <x:v>XLV</x:v>
      </x:c>
      <x:c r="F1484" s="38" t="n">
        <x:v>0.2945374149</x:v>
      </x:c>
      <x:c r="G1484" s="38" t="n">
        <x:v>0.6522749199</x:v>
      </x:c>
      <x:c r="H1484" s="42" t="b">
        <x:v>1</x:v>
      </x:c>
      <x:c r="I1484" s="42" t="b">
        <x:v>0</x:v>
      </x:c>
      <x:c r="J1484" s="38" t="n">
        <x:v>0.2183460381</x:v>
      </x:c>
    </x:row>
    <x:row r="1485" ht="19" customHeight="1">
      <x:c r="A1485" s="29" t="str">
        <x:v>stagger_1</x:v>
      </x:c>
      <x:c r="B1485" s="38" t="str">
        <x:v>NFLX</x:v>
      </x:c>
      <x:c r="C1485" s="38" t="str">
        <x:v>Other sectors</x:v>
      </x:c>
      <x:c r="D1485" s="30" t="n">
        <x:v>1</x:v>
      </x:c>
      <x:c r="E1485" s="38" t="str">
        <x:v>XLY</x:v>
      </x:c>
      <x:c r="F1485" s="38" t="n">
        <x:v>1.2290291406</x:v>
      </x:c>
      <x:c r="G1485" s="38" t="n">
        <x:v>2.3355606983</x:v>
      </x:c>
      <x:c r="H1485" s="42" t="b">
        <x:v>0</x:v>
      </x:c>
      <x:c r="I1485" s="42" t="b">
        <x:v>0</x:v>
      </x:c>
      <x:c r="J1485" s="38" t="n">
        <x:v>0.2183460381</x:v>
      </x:c>
    </x:row>
    <x:row r="1486" ht="19" customHeight="1">
      <x:c r="A1486" s="29" t="str">
        <x:v>stagger_1</x:v>
      </x:c>
      <x:c r="B1486" s="38" t="str">
        <x:v>NFLX</x:v>
      </x:c>
      <x:c r="C1486" s="38" t="str">
        <x:v>Other sectors</x:v>
      </x:c>
      <x:c r="D1486" s="30" t="n">
        <x:v>2</x:v>
      </x:c>
      <x:c r="E1486" s="38" t="str">
        <x:v>XLB</x:v>
      </x:c>
      <x:c r="F1486" s="38" t="n">
        <x:v>-0.5235963211</x:v>
      </x:c>
      <x:c r="G1486" s="38" t="n">
        <x:v>-1.0391789728</x:v>
      </x:c>
      <x:c r="H1486" s="42" t="b">
        <x:v>0</x:v>
      </x:c>
      <x:c r="I1486" s="42" t="b">
        <x:v>0</x:v>
      </x:c>
      <x:c r="J1486" s="38" t="n">
        <x:v>0.2135262626</x:v>
      </x:c>
    </x:row>
    <x:row r="1487" ht="19" customHeight="1">
      <x:c r="A1487" s="29" t="str">
        <x:v>stagger_1</x:v>
      </x:c>
      <x:c r="B1487" s="38" t="str">
        <x:v>NFLX</x:v>
      </x:c>
      <x:c r="C1487" s="38" t="str">
        <x:v>Other sectors</x:v>
      </x:c>
      <x:c r="D1487" s="30" t="n">
        <x:v>2</x:v>
      </x:c>
      <x:c r="E1487" s="38" t="str">
        <x:v>XLE</x:v>
      </x:c>
      <x:c r="F1487" s="38" t="n">
        <x:v>0.2231700113</x:v>
      </x:c>
      <x:c r="G1487" s="38" t="n">
        <x:v>1.2223339428</x:v>
      </x:c>
      <x:c r="H1487" s="42" t="b">
        <x:v>0</x:v>
      </x:c>
      <x:c r="I1487" s="42" t="b">
        <x:v>0</x:v>
      </x:c>
      <x:c r="J1487" s="38" t="n">
        <x:v>0.2135262626</x:v>
      </x:c>
    </x:row>
    <x:row r="1488" ht="19" customHeight="1">
      <x:c r="A1488" s="29" t="str">
        <x:v>stagger_1</x:v>
      </x:c>
      <x:c r="B1488" s="38" t="str">
        <x:v>NFLX</x:v>
      </x:c>
      <x:c r="C1488" s="38" t="str">
        <x:v>Other sectors</x:v>
      </x:c>
      <x:c r="D1488" s="30" t="n">
        <x:v>2</x:v>
      </x:c>
      <x:c r="E1488" s="38" t="str">
        <x:v>XLF</x:v>
      </x:c>
      <x:c r="F1488" s="38" t="n">
        <x:v>0.3414326646</x:v>
      </x:c>
      <x:c r="G1488" s="38" t="n">
        <x:v>0.6539563276</x:v>
      </x:c>
      <x:c r="H1488" s="42" t="b">
        <x:v>1</x:v>
      </x:c>
      <x:c r="I1488" s="42" t="b">
        <x:v>0</x:v>
      </x:c>
      <x:c r="J1488" s="38" t="n">
        <x:v>0.2135262626</x:v>
      </x:c>
    </x:row>
    <x:row r="1489" ht="19" customHeight="1">
      <x:c r="A1489" s="29" t="str">
        <x:v>stagger_1</x:v>
      </x:c>
      <x:c r="B1489" s="38" t="str">
        <x:v>NFLX</x:v>
      </x:c>
      <x:c r="C1489" s="38" t="str">
        <x:v>Other sectors</x:v>
      </x:c>
      <x:c r="D1489" s="30" t="n">
        <x:v>2</x:v>
      </x:c>
      <x:c r="E1489" s="38" t="str">
        <x:v>XLI</x:v>
      </x:c>
      <x:c r="F1489" s="38" t="n">
        <x:v>0.4582925863</x:v>
      </x:c>
      <x:c r="G1489" s="38" t="n">
        <x:v>0.7199725011</x:v>
      </x:c>
      <x:c r="H1489" s="42" t="b">
        <x:v>0</x:v>
      </x:c>
      <x:c r="I1489" s="42" t="b">
        <x:v>0</x:v>
      </x:c>
      <x:c r="J1489" s="38" t="n">
        <x:v>0.2135262626</x:v>
      </x:c>
    </x:row>
    <x:row r="1490" ht="19" customHeight="1">
      <x:c r="A1490" s="29" t="str">
        <x:v>stagger_1</x:v>
      </x:c>
      <x:c r="B1490" s="38" t="str">
        <x:v>NFLX</x:v>
      </x:c>
      <x:c r="C1490" s="38" t="str">
        <x:v>Other sectors</x:v>
      </x:c>
      <x:c r="D1490" s="30" t="n">
        <x:v>2</x:v>
      </x:c>
      <x:c r="E1490" s="38" t="str">
        <x:v>XLK</x:v>
      </x:c>
      <x:c r="F1490" s="38" t="n">
        <x:v>1.4153013781</x:v>
      </x:c>
      <x:c r="G1490" s="38" t="n">
        <x:v>2.3048571599</x:v>
      </x:c>
      <x:c r="H1490" s="42" t="b">
        <x:v>0</x:v>
      </x:c>
      <x:c r="I1490" s="42" t="b">
        <x:v>0</x:v>
      </x:c>
      <x:c r="J1490" s="38" t="n">
        <x:v>0.2135262626</x:v>
      </x:c>
    </x:row>
    <x:row r="1491" ht="19" customHeight="1">
      <x:c r="A1491" s="29" t="str">
        <x:v>stagger_1</x:v>
      </x:c>
      <x:c r="B1491" s="38" t="str">
        <x:v>NFLX</x:v>
      </x:c>
      <x:c r="C1491" s="38" t="str">
        <x:v>Other sectors</x:v>
      </x:c>
      <x:c r="D1491" s="30" t="n">
        <x:v>2</x:v>
      </x:c>
      <x:c r="E1491" s="38" t="str">
        <x:v>XLP</x:v>
      </x:c>
      <x:c r="F1491" s="38" t="n">
        <x:v>0.447826331</x:v>
      </x:c>
      <x:c r="G1491" s="38" t="n">
        <x:v>0.8247260051</x:v>
      </x:c>
      <x:c r="H1491" s="42" t="b">
        <x:v>0</x:v>
      </x:c>
      <x:c r="I1491" s="42" t="b">
        <x:v>0</x:v>
      </x:c>
      <x:c r="J1491" s="38" t="n">
        <x:v>0.2135262626</x:v>
      </x:c>
    </x:row>
    <x:row r="1492" ht="19" customHeight="1">
      <x:c r="A1492" s="29" t="str">
        <x:v>stagger_1</x:v>
      </x:c>
      <x:c r="B1492" s="38" t="str">
        <x:v>NFLX</x:v>
      </x:c>
      <x:c r="C1492" s="38" t="str">
        <x:v>Other sectors</x:v>
      </x:c>
      <x:c r="D1492" s="30" t="n">
        <x:v>2</x:v>
      </x:c>
      <x:c r="E1492" s="38" t="str">
        <x:v>XLRE</x:v>
      </x:c>
      <x:c r="F1492" s="38" t="n">
        <x:v>-0.6675857401</x:v>
      </x:c>
      <x:c r="G1492" s="38" t="n">
        <x:v>-1.6015612574</x:v>
      </x:c>
      <x:c r="H1492" s="42" t="b">
        <x:v>0</x:v>
      </x:c>
      <x:c r="I1492" s="42" t="b">
        <x:v>0</x:v>
      </x:c>
      <x:c r="J1492" s="38" t="n">
        <x:v>0.2135262626</x:v>
      </x:c>
    </x:row>
    <x:row r="1493" ht="19" customHeight="1">
      <x:c r="A1493" s="29" t="str">
        <x:v>stagger_1</x:v>
      </x:c>
      <x:c r="B1493" s="38" t="str">
        <x:v>NFLX</x:v>
      </x:c>
      <x:c r="C1493" s="38" t="str">
        <x:v>Other sectors</x:v>
      </x:c>
      <x:c r="D1493" s="30" t="n">
        <x:v>2</x:v>
      </x:c>
      <x:c r="E1493" s="38" t="str">
        <x:v>XLU</x:v>
      </x:c>
      <x:c r="F1493" s="38" t="n">
        <x:v>0.9984899567</x:v>
      </x:c>
      <x:c r="G1493" s="38" t="n">
        <x:v>3.0326106262</x:v>
      </x:c>
      <x:c r="H1493" s="42" t="b">
        <x:v>0</x:v>
      </x:c>
      <x:c r="I1493" s="42" t="b">
        <x:v>0</x:v>
      </x:c>
      <x:c r="J1493" s="38" t="n">
        <x:v>0.2135262626</x:v>
      </x:c>
    </x:row>
    <x:row r="1494" ht="19" customHeight="1">
      <x:c r="A1494" s="29" t="str">
        <x:v>stagger_1</x:v>
      </x:c>
      <x:c r="B1494" s="38" t="str">
        <x:v>NFLX</x:v>
      </x:c>
      <x:c r="C1494" s="38" t="str">
        <x:v>Other sectors</x:v>
      </x:c>
      <x:c r="D1494" s="30" t="n">
        <x:v>2</x:v>
      </x:c>
      <x:c r="E1494" s="38" t="str">
        <x:v>XLY</x:v>
      </x:c>
      <x:c r="F1494" s="38" t="n">
        <x:v>1.0457695947</x:v>
      </x:c>
      <x:c r="G1494" s="38" t="n">
        <x:v>2.3600354676</x:v>
      </x:c>
      <x:c r="H1494" s="42" t="b">
        <x:v>0</x:v>
      </x:c>
      <x:c r="I1494" s="42" t="b">
        <x:v>0</x:v>
      </x:c>
      <x:c r="J1494" s="38" t="n">
        <x:v>0.2135262626</x:v>
      </x:c>
    </x:row>
    <x:row r="1495" ht="19" customHeight="1">
      <x:c r="A1495" s="29" t="str">
        <x:v>stagger_1</x:v>
      </x:c>
      <x:c r="B1495" s="38" t="str">
        <x:v>NFLX</x:v>
      </x:c>
      <x:c r="C1495" s="38" t="str">
        <x:v>Other sectors</x:v>
      </x:c>
      <x:c r="D1495" s="30" t="n">
        <x:v>3</x:v>
      </x:c>
      <x:c r="E1495" s="38" t="str">
        <x:v>XLB</x:v>
      </x:c>
      <x:c r="F1495" s="38" t="n">
        <x:v>-0.4999712415</x:v>
      </x:c>
      <x:c r="G1495" s="38" t="n">
        <x:v>-0.9988851153</x:v>
      </x:c>
      <x:c r="H1495" s="42" t="b">
        <x:v>0</x:v>
      </x:c>
      <x:c r="I1495" s="42" t="b">
        <x:v>0</x:v>
      </x:c>
      <x:c r="J1495" s="38" t="n">
        <x:v>0.2087213701</x:v>
      </x:c>
    </x:row>
    <x:row r="1496" ht="19" customHeight="1">
      <x:c r="A1496" s="29" t="str">
        <x:v>stagger_1</x:v>
      </x:c>
      <x:c r="B1496" s="38" t="str">
        <x:v>NFLX</x:v>
      </x:c>
      <x:c r="C1496" s="38" t="str">
        <x:v>Other sectors</x:v>
      </x:c>
      <x:c r="D1496" s="30" t="n">
        <x:v>3</x:v>
      </x:c>
      <x:c r="E1496" s="38" t="str">
        <x:v>XLE</x:v>
      </x:c>
      <x:c r="F1496" s="38" t="n">
        <x:v>0.2076191905</x:v>
      </x:c>
      <x:c r="G1496" s="38" t="n">
        <x:v>1.1515804185</x:v>
      </x:c>
      <x:c r="H1496" s="42" t="b">
        <x:v>0</x:v>
      </x:c>
      <x:c r="I1496" s="42" t="b">
        <x:v>0</x:v>
      </x:c>
      <x:c r="J1496" s="38" t="n">
        <x:v>0.2087213701</x:v>
      </x:c>
    </x:row>
    <x:row r="1497" ht="19" customHeight="1">
      <x:c r="A1497" s="29" t="str">
        <x:v>stagger_1</x:v>
      </x:c>
      <x:c r="B1497" s="38" t="str">
        <x:v>NFLX</x:v>
      </x:c>
      <x:c r="C1497" s="38" t="str">
        <x:v>Other sectors</x:v>
      </x:c>
      <x:c r="D1497" s="30" t="n">
        <x:v>3</x:v>
      </x:c>
      <x:c r="E1497" s="38" t="str">
        <x:v>XLI</x:v>
      </x:c>
      <x:c r="F1497" s="38" t="n">
        <x:v>0.5269601069</x:v>
      </x:c>
      <x:c r="G1497" s="38" t="n">
        <x:v>0.8427507255</x:v>
      </x:c>
      <x:c r="H1497" s="42" t="b">
        <x:v>0</x:v>
      </x:c>
      <x:c r="I1497" s="42" t="b">
        <x:v>0</x:v>
      </x:c>
      <x:c r="J1497" s="38" t="n">
        <x:v>0.2087213701</x:v>
      </x:c>
    </x:row>
    <x:row r="1498" ht="19" customHeight="1">
      <x:c r="A1498" s="29" t="str">
        <x:v>stagger_1</x:v>
      </x:c>
      <x:c r="B1498" s="38" t="str">
        <x:v>NFLX</x:v>
      </x:c>
      <x:c r="C1498" s="38" t="str">
        <x:v>Other sectors</x:v>
      </x:c>
      <x:c r="D1498" s="30" t="n">
        <x:v>3</x:v>
      </x:c>
      <x:c r="E1498" s="38" t="str">
        <x:v>XLK</x:v>
      </x:c>
      <x:c r="F1498" s="38" t="n">
        <x:v>1.1616432026</x:v>
      </x:c>
      <x:c r="G1498" s="38" t="n">
        <x:v>2.4501573037</x:v>
      </x:c>
      <x:c r="H1498" s="42" t="b">
        <x:v>0</x:v>
      </x:c>
      <x:c r="I1498" s="42" t="b">
        <x:v>0</x:v>
      </x:c>
      <x:c r="J1498" s="38" t="n">
        <x:v>0.2087213701</x:v>
      </x:c>
    </x:row>
    <x:row r="1499" ht="19" customHeight="1">
      <x:c r="A1499" s="29" t="str">
        <x:v>stagger_1</x:v>
      </x:c>
      <x:c r="B1499" s="38" t="str">
        <x:v>NFLX</x:v>
      </x:c>
      <x:c r="C1499" s="38" t="str">
        <x:v>Other sectors</x:v>
      </x:c>
      <x:c r="D1499" s="30" t="n">
        <x:v>3</x:v>
      </x:c>
      <x:c r="E1499" s="38" t="str">
        <x:v>XLP</x:v>
      </x:c>
      <x:c r="F1499" s="38" t="n">
        <x:v>0.2732599324</x:v>
      </x:c>
      <x:c r="G1499" s="38" t="n">
        <x:v>0.5802359599</x:v>
      </x:c>
      <x:c r="H1499" s="42" t="b">
        <x:v>1</x:v>
      </x:c>
      <x:c r="I1499" s="42" t="b">
        <x:v>0</x:v>
      </x:c>
      <x:c r="J1499" s="38" t="n">
        <x:v>0.2087213701</x:v>
      </x:c>
    </x:row>
    <x:row r="1500" ht="19" customHeight="1">
      <x:c r="A1500" s="29" t="str">
        <x:v>stagger_1</x:v>
      </x:c>
      <x:c r="B1500" s="38" t="str">
        <x:v>NFLX</x:v>
      </x:c>
      <x:c r="C1500" s="38" t="str">
        <x:v>Other sectors</x:v>
      </x:c>
      <x:c r="D1500" s="30" t="n">
        <x:v>3</x:v>
      </x:c>
      <x:c r="E1500" s="38" t="str">
        <x:v>XLRE</x:v>
      </x:c>
      <x:c r="F1500" s="38" t="n">
        <x:v>-0.6206483731</x:v>
      </x:c>
      <x:c r="G1500" s="38" t="n">
        <x:v>-1.5176627972</x:v>
      </x:c>
      <x:c r="H1500" s="42" t="b">
        <x:v>0</x:v>
      </x:c>
      <x:c r="I1500" s="42" t="b">
        <x:v>0</x:v>
      </x:c>
      <x:c r="J1500" s="38" t="n">
        <x:v>0.2087213701</x:v>
      </x:c>
    </x:row>
    <x:row r="1501" ht="19" customHeight="1">
      <x:c r="A1501" s="29" t="str">
        <x:v>stagger_1</x:v>
      </x:c>
      <x:c r="B1501" s="38" t="str">
        <x:v>NFLX</x:v>
      </x:c>
      <x:c r="C1501" s="38" t="str">
        <x:v>Other sectors</x:v>
      </x:c>
      <x:c r="D1501" s="30" t="n">
        <x:v>3</x:v>
      </x:c>
      <x:c r="E1501" s="38" t="str">
        <x:v>XLU</x:v>
      </x:c>
      <x:c r="F1501" s="38" t="n">
        <x:v>0.9669974736</x:v>
      </x:c>
      <x:c r="G1501" s="38" t="n">
        <x:v>2.9809286205</x:v>
      </x:c>
      <x:c r="H1501" s="42" t="b">
        <x:v>0</x:v>
      </x:c>
      <x:c r="I1501" s="42" t="b">
        <x:v>0</x:v>
      </x:c>
      <x:c r="J1501" s="38" t="n">
        <x:v>0.2087213701</x:v>
      </x:c>
    </x:row>
    <x:row r="1502" ht="19" customHeight="1">
      <x:c r="A1502" s="29" t="str">
        <x:v>stagger_1</x:v>
      </x:c>
      <x:c r="B1502" s="38" t="str">
        <x:v>NFLX</x:v>
      </x:c>
      <x:c r="C1502" s="38" t="str">
        <x:v>Other sectors</x:v>
      </x:c>
      <x:c r="D1502" s="30" t="n">
        <x:v>3</x:v>
      </x:c>
      <x:c r="E1502" s="38" t="str">
        <x:v>XLY</x:v>
      </x:c>
      <x:c r="F1502" s="38" t="n">
        <x:v>0.9549315455</x:v>
      </x:c>
      <x:c r="G1502" s="38" t="n">
        <x:v>2.2786261528</x:v>
      </x:c>
      <x:c r="H1502" s="42" t="b">
        <x:v>0</x:v>
      </x:c>
      <x:c r="I1502" s="42" t="b">
        <x:v>0</x:v>
      </x:c>
      <x:c r="J1502" s="38" t="n">
        <x:v>0.2087213701</x:v>
      </x:c>
    </x:row>
    <x:row r="1503" ht="19" customHeight="1">
      <x:c r="A1503" s="29" t="str">
        <x:v>stagger_1</x:v>
      </x:c>
      <x:c r="B1503" s="38" t="str">
        <x:v>NFLX</x:v>
      </x:c>
      <x:c r="C1503" s="38" t="str">
        <x:v>Other sectors</x:v>
      </x:c>
      <x:c r="D1503" s="30" t="n">
        <x:v>4</x:v>
      </x:c>
      <x:c r="E1503" s="38" t="str">
        <x:v>XLB</x:v>
      </x:c>
      <x:c r="F1503" s="38" t="n">
        <x:v>-0.4755858163</x:v>
      </x:c>
      <x:c r="G1503" s="38" t="n">
        <x:v>-0.9579559812</x:v>
      </x:c>
      <x:c r="H1503" s="42" t="b">
        <x:v>0</x:v>
      </x:c>
      <x:c r="I1503" s="42" t="b">
        <x:v>0</x:v>
      </x:c>
      <x:c r="J1503" s="38" t="n">
        <x:v>0.2049692186</x:v>
      </x:c>
    </x:row>
    <x:row r="1504" ht="19" customHeight="1">
      <x:c r="A1504" s="29" t="str">
        <x:v>stagger_1</x:v>
      </x:c>
      <x:c r="B1504" s="38" t="str">
        <x:v>NFLX</x:v>
      </x:c>
      <x:c r="C1504" s="38" t="str">
        <x:v>Other sectors</x:v>
      </x:c>
      <x:c r="D1504" s="30" t="n">
        <x:v>4</x:v>
      </x:c>
      <x:c r="E1504" s="38" t="str">
        <x:v>XLE</x:v>
      </x:c>
      <x:c r="F1504" s="38" t="n">
        <x:v>0.1900863849</x:v>
      </x:c>
      <x:c r="G1504" s="38" t="n">
        <x:v>1.0744210726</x:v>
      </x:c>
      <x:c r="H1504" s="42" t="b">
        <x:v>0</x:v>
      </x:c>
      <x:c r="I1504" s="42" t="b">
        <x:v>0</x:v>
      </x:c>
      <x:c r="J1504" s="38" t="n">
        <x:v>0.2049692186</x:v>
      </x:c>
    </x:row>
    <x:row r="1505" ht="19" customHeight="1">
      <x:c r="A1505" s="29" t="str">
        <x:v>stagger_1</x:v>
      </x:c>
      <x:c r="B1505" s="38" t="str">
        <x:v>NFLX</x:v>
      </x:c>
      <x:c r="C1505" s="38" t="str">
        <x:v>Other sectors</x:v>
      </x:c>
      <x:c r="D1505" s="30" t="n">
        <x:v>4</x:v>
      </x:c>
      <x:c r="E1505" s="38" t="str">
        <x:v>XLI</x:v>
      </x:c>
      <x:c r="F1505" s="38" t="n">
        <x:v>0.554536968</x:v>
      </x:c>
      <x:c r="G1505" s="38" t="n">
        <x:v>0.8935520965</x:v>
      </x:c>
      <x:c r="H1505" s="42" t="b">
        <x:v>1</x:v>
      </x:c>
      <x:c r="I1505" s="42" t="b">
        <x:v>0</x:v>
      </x:c>
      <x:c r="J1505" s="38" t="n">
        <x:v>0.2049692186</x:v>
      </x:c>
    </x:row>
    <x:row r="1506" ht="19" customHeight="1">
      <x:c r="A1506" s="29" t="str">
        <x:v>stagger_1</x:v>
      </x:c>
      <x:c r="B1506" s="38" t="str">
        <x:v>NFLX</x:v>
      </x:c>
      <x:c r="C1506" s="38" t="str">
        <x:v>Other sectors</x:v>
      </x:c>
      <x:c r="D1506" s="30" t="n">
        <x:v>4</x:v>
      </x:c>
      <x:c r="E1506" s="38" t="str">
        <x:v>XLK</x:v>
      </x:c>
      <x:c r="F1506" s="38" t="n">
        <x:v>1.0811592964</x:v>
      </x:c>
      <x:c r="G1506" s="38" t="n">
        <x:v>2.3958054933</x:v>
      </x:c>
      <x:c r="H1506" s="42" t="b">
        <x:v>0</x:v>
      </x:c>
      <x:c r="I1506" s="42" t="b">
        <x:v>0</x:v>
      </x:c>
      <x:c r="J1506" s="38" t="n">
        <x:v>0.2049692186</x:v>
      </x:c>
    </x:row>
    <x:row r="1507" ht="19" customHeight="1">
      <x:c r="A1507" s="29" t="str">
        <x:v>stagger_1</x:v>
      </x:c>
      <x:c r="B1507" s="38" t="str">
        <x:v>NFLX</x:v>
      </x:c>
      <x:c r="C1507" s="38" t="str">
        <x:v>Other sectors</x:v>
      </x:c>
      <x:c r="D1507" s="30" t="n">
        <x:v>4</x:v>
      </x:c>
      <x:c r="E1507" s="38" t="str">
        <x:v>XLRE</x:v>
      </x:c>
      <x:c r="F1507" s="38" t="n">
        <x:v>-0.5458084848</x:v>
      </x:c>
      <x:c r="G1507" s="38" t="n">
        <x:v>-1.4129669831</x:v>
      </x:c>
      <x:c r="H1507" s="42" t="b">
        <x:v>0</x:v>
      </x:c>
      <x:c r="I1507" s="42" t="b">
        <x:v>0</x:v>
      </x:c>
      <x:c r="J1507" s="38" t="n">
        <x:v>0.2049692186</x:v>
      </x:c>
    </x:row>
    <x:row r="1508" ht="19" customHeight="1">
      <x:c r="A1508" s="29" t="str">
        <x:v>stagger_1</x:v>
      </x:c>
      <x:c r="B1508" s="38" t="str">
        <x:v>NFLX</x:v>
      </x:c>
      <x:c r="C1508" s="38" t="str">
        <x:v>Other sectors</x:v>
      </x:c>
      <x:c r="D1508" s="30" t="n">
        <x:v>4</x:v>
      </x:c>
      <x:c r="E1508" s="38" t="str">
        <x:v>XLU</x:v>
      </x:c>
      <x:c r="F1508" s="38" t="n">
        <x:v>1.0011789769</x:v>
      </x:c>
      <x:c r="G1508" s="38" t="n">
        <x:v>3.1530410326</x:v>
      </x:c>
      <x:c r="H1508" s="42" t="b">
        <x:v>0</x:v>
      </x:c>
      <x:c r="I1508" s="42" t="b">
        <x:v>0</x:v>
      </x:c>
      <x:c r="J1508" s="38" t="n">
        <x:v>0.2049692186</x:v>
      </x:c>
    </x:row>
    <x:row r="1509" ht="19" customHeight="1">
      <x:c r="A1509" s="29" t="str">
        <x:v>stagger_1</x:v>
      </x:c>
      <x:c r="B1509" s="38" t="str">
        <x:v>NFLX</x:v>
      </x:c>
      <x:c r="C1509" s="38" t="str">
        <x:v>Other sectors</x:v>
      </x:c>
      <x:c r="D1509" s="30" t="n">
        <x:v>4</x:v>
      </x:c>
      <x:c r="E1509" s="38" t="str">
        <x:v>XLY</x:v>
      </x:c>
      <x:c r="F1509" s="38" t="n">
        <x:v>0.8923378423</x:v>
      </x:c>
      <x:c r="G1509" s="38" t="n">
        <x:v>2.2137423173</x:v>
      </x:c>
      <x:c r="H1509" s="42" t="b">
        <x:v>0</x:v>
      </x:c>
      <x:c r="I1509" s="42" t="b">
        <x:v>0</x:v>
      </x:c>
      <x:c r="J1509" s="38" t="n">
        <x:v>0.2049692186</x:v>
      </x:c>
    </x:row>
    <x:row r="1510" ht="19" customHeight="1">
      <x:c r="A1510" s="29" t="str">
        <x:v>stagger_1</x:v>
      </x:c>
      <x:c r="B1510" s="38" t="str">
        <x:v>NFLX</x:v>
      </x:c>
      <x:c r="C1510" s="38" t="str">
        <x:v>Other sectors</x:v>
      </x:c>
      <x:c r="D1510" s="30" t="n">
        <x:v>5</x:v>
      </x:c>
      <x:c r="E1510" s="38" t="str">
        <x:v>XLB</x:v>
      </x:c>
      <x:c r="F1510" s="38" t="n">
        <x:v>-0.1479056986</x:v>
      </x:c>
      <x:c r="G1510" s="38" t="n">
        <x:v>-0.4425827162</x:v>
      </x:c>
      <x:c r="H1510" s="42" t="b">
        <x:v>1</x:v>
      </x:c>
      <x:c r="I1510" s="42" t="b">
        <x:v>0</x:v>
      </x:c>
      <x:c r="J1510" s="38" t="n">
        <x:v>0.1961528203</x:v>
      </x:c>
    </x:row>
    <x:row r="1511" ht="19" customHeight="1">
      <x:c r="A1511" s="29" t="str">
        <x:v>stagger_1</x:v>
      </x:c>
      <x:c r="B1511" s="38" t="str">
        <x:v>NFLX</x:v>
      </x:c>
      <x:c r="C1511" s="38" t="str">
        <x:v>Other sectors</x:v>
      </x:c>
      <x:c r="D1511" s="30" t="n">
        <x:v>5</x:v>
      </x:c>
      <x:c r="E1511" s="38" t="str">
        <x:v>XLE</x:v>
      </x:c>
      <x:c r="F1511" s="38" t="n">
        <x:v>0.1661530687</x:v>
      </x:c>
      <x:c r="G1511" s="38" t="n">
        <x:v>0.9514088785</x:v>
      </x:c>
      <x:c r="H1511" s="42" t="b">
        <x:v>0</x:v>
      </x:c>
      <x:c r="I1511" s="42" t="b">
        <x:v>0</x:v>
      </x:c>
      <x:c r="J1511" s="38" t="n">
        <x:v>0.1961528203</x:v>
      </x:c>
    </x:row>
    <x:row r="1512" ht="19" customHeight="1">
      <x:c r="A1512" s="29" t="str">
        <x:v>stagger_1</x:v>
      </x:c>
      <x:c r="B1512" s="38" t="str">
        <x:v>NFLX</x:v>
      </x:c>
      <x:c r="C1512" s="38" t="str">
        <x:v>Other sectors</x:v>
      </x:c>
      <x:c r="D1512" s="30" t="n">
        <x:v>5</x:v>
      </x:c>
      <x:c r="E1512" s="38" t="str">
        <x:v>XLK</x:v>
      </x:c>
      <x:c r="F1512" s="38" t="n">
        <x:v>1.0598033392</x:v>
      </x:c>
      <x:c r="G1512" s="38" t="n">
        <x:v>2.3550357223</x:v>
      </x:c>
      <x:c r="H1512" s="42" t="b">
        <x:v>0</x:v>
      </x:c>
      <x:c r="I1512" s="42" t="b">
        <x:v>0</x:v>
      </x:c>
      <x:c r="J1512" s="38" t="n">
        <x:v>0.1961528203</x:v>
      </x:c>
    </x:row>
    <x:row r="1513" ht="19" customHeight="1">
      <x:c r="A1513" s="29" t="str">
        <x:v>stagger_1</x:v>
      </x:c>
      <x:c r="B1513" s="38" t="str">
        <x:v>NFLX</x:v>
      </x:c>
      <x:c r="C1513" s="38" t="str">
        <x:v>Other sectors</x:v>
      </x:c>
      <x:c r="D1513" s="30" t="n">
        <x:v>5</x:v>
      </x:c>
      <x:c r="E1513" s="38" t="str">
        <x:v>XLRE</x:v>
      </x:c>
      <x:c r="F1513" s="38" t="n">
        <x:v>-0.5896879886</x:v>
      </x:c>
      <x:c r="G1513" s="38" t="n">
        <x:v>-1.5411765561</x:v>
      </x:c>
      <x:c r="H1513" s="42" t="b">
        <x:v>0</x:v>
      </x:c>
      <x:c r="I1513" s="42" t="b">
        <x:v>0</x:v>
      </x:c>
      <x:c r="J1513" s="38" t="n">
        <x:v>0.1961528203</x:v>
      </x:c>
    </x:row>
    <x:row r="1514" ht="19" customHeight="1">
      <x:c r="A1514" s="29" t="str">
        <x:v>stagger_1</x:v>
      </x:c>
      <x:c r="B1514" s="38" t="str">
        <x:v>NFLX</x:v>
      </x:c>
      <x:c r="C1514" s="38" t="str">
        <x:v>Other sectors</x:v>
      </x:c>
      <x:c r="D1514" s="30" t="n">
        <x:v>5</x:v>
      </x:c>
      <x:c r="E1514" s="38" t="str">
        <x:v>XLU</x:v>
      </x:c>
      <x:c r="F1514" s="38" t="n">
        <x:v>1.0399747368</x:v>
      </x:c>
      <x:c r="G1514" s="38" t="n">
        <x:v>3.3108496902</x:v>
      </x:c>
      <x:c r="H1514" s="42" t="b">
        <x:v>0</x:v>
      </x:c>
      <x:c r="I1514" s="42" t="b">
        <x:v>0</x:v>
      </x:c>
      <x:c r="J1514" s="38" t="n">
        <x:v>0.1961528203</x:v>
      </x:c>
    </x:row>
    <x:row r="1515" ht="19" customHeight="1">
      <x:c r="A1515" s="29" t="str">
        <x:v>stagger_1</x:v>
      </x:c>
      <x:c r="B1515" s="38" t="str">
        <x:v>NFLX</x:v>
      </x:c>
      <x:c r="C1515" s="38" t="str">
        <x:v>Other sectors</x:v>
      </x:c>
      <x:c r="D1515" s="30" t="n">
        <x:v>5</x:v>
      </x:c>
      <x:c r="E1515" s="38" t="str">
        <x:v>XLY</x:v>
      </x:c>
      <x:c r="F1515" s="38" t="n">
        <x:v>0.8481750821</x:v>
      </x:c>
      <x:c r="G1515" s="38" t="n">
        <x:v>2.1231124877</x:v>
      </x:c>
      <x:c r="H1515" s="42" t="b">
        <x:v>0</x:v>
      </x:c>
      <x:c r="I1515" s="42" t="b">
        <x:v>0</x:v>
      </x:c>
      <x:c r="J1515" s="38" t="n">
        <x:v>0.1961528203</x:v>
      </x:c>
    </x:row>
    <x:row r="1516" ht="19" customHeight="1">
      <x:c r="A1516" s="29" t="str">
        <x:v>stagger_1</x:v>
      </x:c>
      <x:c r="B1516" s="38" t="str">
        <x:v>NFLX</x:v>
      </x:c>
      <x:c r="C1516" s="38" t="str">
        <x:v>Other sectors</x:v>
      </x:c>
      <x:c r="D1516" s="30" t="n">
        <x:v>6</x:v>
      </x:c>
      <x:c r="E1516" s="38" t="str">
        <x:v>XLE</x:v>
      </x:c>
      <x:c r="F1516" s="38" t="n">
        <x:v>0.1550383845</x:v>
      </x:c>
      <x:c r="G1516" s="38" t="n">
        <x:v>0.9020030547</x:v>
      </x:c>
      <x:c r="H1516" s="42" t="b">
        <x:v>1</x:v>
      </x:c>
      <x:c r="I1516" s="42" t="b">
        <x:v>0</x:v>
      </x:c>
      <x:c r="J1516" s="38" t="n">
        <x:v>0.193995873</x:v>
      </x:c>
    </x:row>
    <x:row r="1517" ht="19" customHeight="1">
      <x:c r="A1517" s="29" t="str">
        <x:v>stagger_1</x:v>
      </x:c>
      <x:c r="B1517" s="38" t="str">
        <x:v>NFLX</x:v>
      </x:c>
      <x:c r="C1517" s="38" t="str">
        <x:v>Other sectors</x:v>
      </x:c>
      <x:c r="D1517" s="30" t="n">
        <x:v>6</x:v>
      </x:c>
      <x:c r="E1517" s="38" t="str">
        <x:v>XLK</x:v>
      </x:c>
      <x:c r="F1517" s="38" t="n">
        <x:v>1.1137519485</x:v>
      </x:c>
      <x:c r="G1517" s="38" t="n">
        <x:v>2.5851155448</x:v>
      </x:c>
      <x:c r="H1517" s="42" t="b">
        <x:v>0</x:v>
      </x:c>
      <x:c r="I1517" s="42" t="b">
        <x:v>0</x:v>
      </x:c>
      <x:c r="J1517" s="38" t="n">
        <x:v>0.193995873</x:v>
      </x:c>
    </x:row>
    <x:row r="1518" ht="19" customHeight="1">
      <x:c r="A1518" s="29" t="str">
        <x:v>stagger_1</x:v>
      </x:c>
      <x:c r="B1518" s="38" t="str">
        <x:v>NFLX</x:v>
      </x:c>
      <x:c r="C1518" s="38" t="str">
        <x:v>Other sectors</x:v>
      </x:c>
      <x:c r="D1518" s="30" t="n">
        <x:v>6</x:v>
      </x:c>
      <x:c r="E1518" s="38" t="str">
        <x:v>XLRE</x:v>
      </x:c>
      <x:c r="F1518" s="38" t="n">
        <x:v>-0.6123463255</x:v>
      </x:c>
      <x:c r="G1518" s="38" t="n">
        <x:v>-1.6237628233</x:v>
      </x:c>
      <x:c r="H1518" s="42" t="b">
        <x:v>0</x:v>
      </x:c>
      <x:c r="I1518" s="42" t="b">
        <x:v>0</x:v>
      </x:c>
      <x:c r="J1518" s="38" t="n">
        <x:v>0.193995873</x:v>
      </x:c>
    </x:row>
    <x:row r="1519" ht="19" customHeight="1">
      <x:c r="A1519" s="29" t="str">
        <x:v>stagger_1</x:v>
      </x:c>
      <x:c r="B1519" s="38" t="str">
        <x:v>NFLX</x:v>
      </x:c>
      <x:c r="C1519" s="38" t="str">
        <x:v>Other sectors</x:v>
      </x:c>
      <x:c r="D1519" s="30" t="n">
        <x:v>6</x:v>
      </x:c>
      <x:c r="E1519" s="38" t="str">
        <x:v>XLU</x:v>
      </x:c>
      <x:c r="F1519" s="38" t="n">
        <x:v>1.0131219159</x:v>
      </x:c>
      <x:c r="G1519" s="38" t="n">
        <x:v>3.3052756138</x:v>
      </x:c>
      <x:c r="H1519" s="42" t="b">
        <x:v>0</x:v>
      </x:c>
      <x:c r="I1519" s="42" t="b">
        <x:v>0</x:v>
      </x:c>
      <x:c r="J1519" s="38" t="n">
        <x:v>0.193995873</x:v>
      </x:c>
    </x:row>
    <x:row r="1520" ht="19" customHeight="1">
      <x:c r="A1520" s="29" t="str">
        <x:v>stagger_1</x:v>
      </x:c>
      <x:c r="B1520" s="38" t="str">
        <x:v>NFLX</x:v>
      </x:c>
      <x:c r="C1520" s="38" t="str">
        <x:v>Other sectors</x:v>
      </x:c>
      <x:c r="D1520" s="30" t="n">
        <x:v>6</x:v>
      </x:c>
      <x:c r="E1520" s="38" t="str">
        <x:v>XLY</x:v>
      </x:c>
      <x:c r="F1520" s="38" t="n">
        <x:v>0.8676792914</x:v>
      </x:c>
      <x:c r="G1520" s="38" t="n">
        <x:v>2.1972418931</x:v>
      </x:c>
      <x:c r="H1520" s="42" t="b">
        <x:v>0</x:v>
      </x:c>
      <x:c r="I1520" s="42" t="b">
        <x:v>0</x:v>
      </x:c>
      <x:c r="J1520" s="38" t="n">
        <x:v>0.193995873</x:v>
      </x:c>
    </x:row>
    <x:row r="1521" ht="19" customHeight="1">
      <x:c r="A1521" s="29" t="str">
        <x:v>stagger_1</x:v>
      </x:c>
      <x:c r="B1521" s="38" t="str">
        <x:v>NFLX</x:v>
      </x:c>
      <x:c r="C1521" s="38" t="str">
        <x:v>Other sectors</x:v>
      </x:c>
      <x:c r="D1521" s="30" t="n">
        <x:v>7</x:v>
      </x:c>
      <x:c r="E1521" s="38" t="str">
        <x:v>XLK</x:v>
      </x:c>
      <x:c r="F1521" s="38" t="n">
        <x:v>0.9398682752</x:v>
      </x:c>
      <x:c r="G1521" s="38" t="n">
        <x:v>2.442365544</x:v>
      </x:c>
      <x:c r="H1521" s="42" t="b">
        <x:v>0</x:v>
      </x:c>
      <x:c r="I1521" s="42" t="b">
        <x:v>0</x:v>
      </x:c>
      <x:c r="J1521" s="38" t="n">
        <x:v>0.1851340808</x:v>
      </x:c>
    </x:row>
    <x:row r="1522" ht="19" customHeight="1">
      <x:c r="A1522" s="29" t="str">
        <x:v>stagger_1</x:v>
      </x:c>
      <x:c r="B1522" s="38" t="str">
        <x:v>NFLX</x:v>
      </x:c>
      <x:c r="C1522" s="38" t="str">
        <x:v>Other sectors</x:v>
      </x:c>
      <x:c r="D1522" s="30" t="n">
        <x:v>7</x:v>
      </x:c>
      <x:c r="E1522" s="38" t="str">
        <x:v>XLRE</x:v>
      </x:c>
      <x:c r="F1522" s="38" t="n">
        <x:v>-0.6136023304</x:v>
      </x:c>
      <x:c r="G1522" s="38" t="n">
        <x:v>-1.6291300933</x:v>
      </x:c>
      <x:c r="H1522" s="42" t="b">
        <x:v>1</x:v>
      </x:c>
      <x:c r="I1522" s="42" t="b">
        <x:v>0</x:v>
      </x:c>
      <x:c r="J1522" s="38" t="n">
        <x:v>0.1851340808</x:v>
      </x:c>
    </x:row>
    <x:row r="1523" ht="19" customHeight="1">
      <x:c r="A1523" s="29" t="str">
        <x:v>stagger_1</x:v>
      </x:c>
      <x:c r="B1523" s="38" t="str">
        <x:v>NFLX</x:v>
      </x:c>
      <x:c r="C1523" s="38" t="str">
        <x:v>Other sectors</x:v>
      </x:c>
      <x:c r="D1523" s="30" t="n">
        <x:v>7</x:v>
      </x:c>
      <x:c r="E1523" s="38" t="str">
        <x:v>XLU</x:v>
      </x:c>
      <x:c r="F1523" s="38" t="n">
        <x:v>0.9794215503</x:v>
      </x:c>
      <x:c r="G1523" s="38" t="n">
        <x:v>3.223342246</x:v>
      </x:c>
      <x:c r="H1523" s="42" t="b">
        <x:v>0</x:v>
      </x:c>
      <x:c r="I1523" s="42" t="b">
        <x:v>0</x:v>
      </x:c>
      <x:c r="J1523" s="38" t="n">
        <x:v>0.1851340808</x:v>
      </x:c>
    </x:row>
    <x:row r="1524" ht="19" customHeight="1">
      <x:c r="A1524" s="29" t="str">
        <x:v>stagger_1</x:v>
      </x:c>
      <x:c r="B1524" s="38" t="str">
        <x:v>NFLX</x:v>
      </x:c>
      <x:c r="C1524" s="38" t="str">
        <x:v>Other sectors</x:v>
      </x:c>
      <x:c r="D1524" s="30" t="n">
        <x:v>7</x:v>
      </x:c>
      <x:c r="E1524" s="38" t="str">
        <x:v>XLY</x:v>
      </x:c>
      <x:c r="F1524" s="38" t="n">
        <x:v>0.7392345017</x:v>
      </x:c>
      <x:c r="G1524" s="38" t="n">
        <x:v>2.0095085293</x:v>
      </x:c>
      <x:c r="H1524" s="42" t="b">
        <x:v>0</x:v>
      </x:c>
      <x:c r="I1524" s="42" t="b">
        <x:v>0</x:v>
      </x:c>
      <x:c r="J1524" s="38" t="n">
        <x:v>0.1851340808</x:v>
      </x:c>
    </x:row>
    <x:row r="1525" ht="19" customHeight="1">
      <x:c r="A1525" s="29" t="str">
        <x:v>stagger_1</x:v>
      </x:c>
      <x:c r="B1525" s="38" t="str">
        <x:v>NFLX</x:v>
      </x:c>
      <x:c r="C1525" s="38" t="str">
        <x:v>Other sectors</x:v>
      </x:c>
      <x:c r="D1525" s="30" t="n">
        <x:v>8</x:v>
      </x:c>
      <x:c r="E1525" s="38" t="str">
        <x:v>XLK</x:v>
      </x:c>
      <x:c r="F1525" s="38" t="n">
        <x:v>1.1603520296</x:v>
      </x:c>
      <x:c r="G1525" s="38" t="n">
        <x:v>3.1866096097</x:v>
      </x:c>
      <x:c r="H1525" s="42" t="b">
        <x:v>0</x:v>
      </x:c>
      <x:c r="I1525" s="42" t="b">
        <x:v>0</x:v>
      </x:c>
      <x:c r="J1525" s="38" t="n">
        <x:v>0.1562979874</x:v>
      </x:c>
    </x:row>
    <x:row r="1526" ht="19" customHeight="1">
      <x:c r="A1526" s="29" t="str">
        <x:v>stagger_1</x:v>
      </x:c>
      <x:c r="B1526" s="38" t="str">
        <x:v>NFLX</x:v>
      </x:c>
      <x:c r="C1526" s="38" t="str">
        <x:v>Other sectors</x:v>
      </x:c>
      <x:c r="D1526" s="30" t="n">
        <x:v>8</x:v>
      </x:c>
      <x:c r="E1526" s="38" t="str">
        <x:v>XLU</x:v>
      </x:c>
      <x:c r="F1526" s="38" t="n">
        <x:v>0.7720838853</x:v>
      </x:c>
      <x:c r="G1526" s="38" t="n">
        <x:v>2.7683037022</x:v>
      </x:c>
      <x:c r="H1526" s="42" t="b">
        <x:v>0</x:v>
      </x:c>
      <x:c r="I1526" s="42" t="b">
        <x:v>0</x:v>
      </x:c>
      <x:c r="J1526" s="38" t="n">
        <x:v>0.1562979874</x:v>
      </x:c>
    </x:row>
    <x:row r="1527" ht="19" customHeight="1">
      <x:c r="A1527" s="29" t="str">
        <x:v>stagger_1</x:v>
      </x:c>
      <x:c r="B1527" s="38" t="str">
        <x:v>NFLX</x:v>
      </x:c>
      <x:c r="C1527" s="38" t="str">
        <x:v>Other sectors</x:v>
      </x:c>
      <x:c r="D1527" s="30" t="n">
        <x:v>8</x:v>
      </x:c>
      <x:c r="E1527" s="38" t="str">
        <x:v>XLY</x:v>
      </x:c>
      <x:c r="F1527" s="38" t="n">
        <x:v>0.6847319237</x:v>
      </x:c>
      <x:c r="G1527" s="38" t="n">
        <x:v>1.8490825926</x:v>
      </x:c>
      <x:c r="H1527" s="42" t="b">
        <x:v>1</x:v>
      </x:c>
      <x:c r="I1527" s="42" t="b">
        <x:v>0</x:v>
      </x:c>
      <x:c r="J1527" s="38" t="n">
        <x:v>0.1562979874</x:v>
      </x:c>
    </x:row>
    <x:row r="1528" ht="19" customHeight="1">
      <x:c r="A1528" s="29" t="str">
        <x:v>stagger_1</x:v>
      </x:c>
      <x:c r="B1528" s="38" t="str">
        <x:v>NFLX</x:v>
      </x:c>
      <x:c r="C1528" s="38" t="str">
        <x:v>Other sectors</x:v>
      </x:c>
      <x:c r="D1528" s="30" t="n">
        <x:v>9</x:v>
      </x:c>
      <x:c r="E1528" s="38" t="str">
        <x:v>XLK</x:v>
      </x:c>
      <x:c r="F1528" s="38" t="n">
        <x:v>1.0130131857</x:v>
      </x:c>
      <x:c r="G1528" s="38" t="n">
        <x:v>2.807322906</x:v>
      </x:c>
      <x:c r="H1528" s="42" t="b">
        <x:v>0</x:v>
      </x:c>
      <x:c r="I1528" s="42" t="b">
        <x:v>1</x:v>
      </x:c>
      <x:c r="J1528" s="38" t="n">
        <x:v>0.1183413166</x:v>
      </x:c>
    </x:row>
    <x:row r="1529" ht="19" customHeight="1">
      <x:c r="A1529" s="29" t="str">
        <x:v>stagger_1</x:v>
      </x:c>
      <x:c r="B1529" s="38" t="str">
        <x:v>NFLX</x:v>
      </x:c>
      <x:c r="C1529" s="38" t="str">
        <x:v>Other sectors</x:v>
      </x:c>
      <x:c r="D1529" s="30" t="n">
        <x:v>9</x:v>
      </x:c>
      <x:c r="E1529" s="38" t="str">
        <x:v>XLU</x:v>
      </x:c>
      <x:c r="F1529" s="38" t="n">
        <x:v>0.7045190575</x:v>
      </x:c>
      <x:c r="G1529" s="38" t="n">
        <x:v>2.508906077</x:v>
      </x:c>
      <x:c r="H1529" s="42" t="b">
        <x:v>0</x:v>
      </x:c>
      <x:c r="I1529" s="42" t="b">
        <x:v>1</x:v>
      </x:c>
      <x:c r="J1529" s="38" t="n">
        <x:v>0.1183413166</x:v>
      </x:c>
    </x:row>
    <x:row r="1530" ht="19" customHeight="1">
      <x:c r="A1530" s="29" t="str">
        <x:v>stagger_1</x:v>
      </x:c>
      <x:c r="B1530" s="38" t="str">
        <x:v>CMCSA</x:v>
      </x:c>
      <x:c r="C1530" s="38" t="str">
        <x:v>Other FX</x:v>
      </x:c>
      <x:c r="D1530" s="30" t="n">
        <x:v>1</x:v>
      </x:c>
      <x:c r="E1530" s="38" t="str">
        <x:v>AUD/USD</x:v>
      </x:c>
      <x:c r="F1530" s="38" t="n">
        <x:v>0.4958751219</x:v>
      </x:c>
      <x:c r="G1530" s="38" t="n">
        <x:v>0.9421446069</x:v>
      </x:c>
      <x:c r="H1530" s="42" t="b">
        <x:v>0</x:v>
      </x:c>
      <x:c r="I1530" s="42" t="b">
        <x:v>0</x:v>
      </x:c>
      <x:c r="J1530" s="38" t="n">
        <x:v>0.2566307821</x:v>
      </x:c>
    </x:row>
    <x:row r="1531" ht="19" customHeight="1">
      <x:c r="A1531" s="29" t="str">
        <x:v>stagger_1</x:v>
      </x:c>
      <x:c r="B1531" s="38" t="str">
        <x:v>CMCSA</x:v>
      </x:c>
      <x:c r="C1531" s="38" t="str">
        <x:v>Other FX</x:v>
      </x:c>
      <x:c r="D1531" s="30" t="n">
        <x:v>1</x:v>
      </x:c>
      <x:c r="E1531" s="38" t="str">
        <x:v>CAD/USD</x:v>
      </x:c>
      <x:c r="F1531" s="38" t="n">
        <x:v>0.6832149501</x:v>
      </x:c>
      <x:c r="G1531" s="38" t="n">
        <x:v>1.0749768676</x:v>
      </x:c>
      <x:c r="H1531" s="42" t="b">
        <x:v>0</x:v>
      </x:c>
      <x:c r="I1531" s="42" t="b">
        <x:v>0</x:v>
      </x:c>
      <x:c r="J1531" s="38" t="n">
        <x:v>0.2566307821</x:v>
      </x:c>
    </x:row>
    <x:row r="1532" ht="19" customHeight="1">
      <x:c r="A1532" s="29" t="str">
        <x:v>stagger_1</x:v>
      </x:c>
      <x:c r="B1532" s="38" t="str">
        <x:v>CMCSA</x:v>
      </x:c>
      <x:c r="C1532" s="38" t="str">
        <x:v>Other FX</x:v>
      </x:c>
      <x:c r="D1532" s="30" t="n">
        <x:v>1</x:v>
      </x:c>
      <x:c r="E1532" s="38" t="str">
        <x:v>DKK/USD</x:v>
      </x:c>
      <x:c r="F1532" s="38" t="n">
        <x:v>-4.903678949</x:v>
      </x:c>
      <x:c r="G1532" s="38" t="n">
        <x:v>-1.1082630448</x:v>
      </x:c>
      <x:c r="H1532" s="42" t="b">
        <x:v>0</x:v>
      </x:c>
      <x:c r="I1532" s="42" t="b">
        <x:v>0</x:v>
      </x:c>
      <x:c r="J1532" s="38" t="n">
        <x:v>0.2566307821</x:v>
      </x:c>
    </x:row>
    <x:row r="1533" ht="19" customHeight="1">
      <x:c r="A1533" s="29" t="str">
        <x:v>stagger_1</x:v>
      </x:c>
      <x:c r="B1533" s="38" t="str">
        <x:v>CMCSA</x:v>
      </x:c>
      <x:c r="C1533" s="38" t="str">
        <x:v>Other FX</x:v>
      </x:c>
      <x:c r="D1533" s="30" t="n">
        <x:v>1</x:v>
      </x:c>
      <x:c r="E1533" s="38" t="str">
        <x:v>EUR/USD</x:v>
      </x:c>
      <x:c r="F1533" s="38" t="n">
        <x:v>4.5737236892</x:v>
      </x:c>
      <x:c r="G1533" s="38" t="n">
        <x:v>1.1300722671</x:v>
      </x:c>
      <x:c r="H1533" s="42" t="b">
        <x:v>0</x:v>
      </x:c>
      <x:c r="I1533" s="42" t="b">
        <x:v>0</x:v>
      </x:c>
      <x:c r="J1533" s="38" t="n">
        <x:v>0.2566307821</x:v>
      </x:c>
    </x:row>
    <x:row r="1534" ht="19" customHeight="1">
      <x:c r="A1534" s="29" t="str">
        <x:v>stagger_1</x:v>
      </x:c>
      <x:c r="B1534" s="38" t="str">
        <x:v>CMCSA</x:v>
      </x:c>
      <x:c r="C1534" s="38" t="str">
        <x:v>Other FX</x:v>
      </x:c>
      <x:c r="D1534" s="30" t="n">
        <x:v>1</x:v>
      </x:c>
      <x:c r="E1534" s="38" t="str">
        <x:v>MXN/USD</x:v>
      </x:c>
      <x:c r="F1534" s="38" t="n">
        <x:v>0.0092533738</x:v>
      </x:c>
      <x:c r="G1534" s="38" t="n">
        <x:v>0.02744267</x:v>
      </x:c>
      <x:c r="H1534" s="42" t="b">
        <x:v>1</x:v>
      </x:c>
      <x:c r="I1534" s="42" t="b">
        <x:v>0</x:v>
      </x:c>
      <x:c r="J1534" s="38" t="n">
        <x:v>0.2566307821</x:v>
      </x:c>
    </x:row>
    <x:row r="1535" ht="19" customHeight="1">
      <x:c r="A1535" s="29" t="str">
        <x:v>stagger_1</x:v>
      </x:c>
      <x:c r="B1535" s="38" t="str">
        <x:v>CMCSA</x:v>
      </x:c>
      <x:c r="C1535" s="38" t="str">
        <x:v>Other FX</x:v>
      </x:c>
      <x:c r="D1535" s="30" t="n">
        <x:v>1</x:v>
      </x:c>
      <x:c r="E1535" s="38" t="str">
        <x:v>SGD/USD</x:v>
      </x:c>
      <x:c r="F1535" s="38" t="n">
        <x:v>2.1817318439</x:v>
      </x:c>
      <x:c r="G1535" s="38" t="n">
        <x:v>1.7120525825</x:v>
      </x:c>
      <x:c r="H1535" s="42" t="b">
        <x:v>0</x:v>
      </x:c>
      <x:c r="I1535" s="42" t="b">
        <x:v>0</x:v>
      </x:c>
      <x:c r="J1535" s="38" t="n">
        <x:v>0.2566307821</x:v>
      </x:c>
    </x:row>
    <x:row r="1536" ht="19" customHeight="1">
      <x:c r="A1536" s="29" t="str">
        <x:v>stagger_1</x:v>
      </x:c>
      <x:c r="B1536" s="38" t="str">
        <x:v>CMCSA</x:v>
      </x:c>
      <x:c r="C1536" s="38" t="str">
        <x:v>Other FX</x:v>
      </x:c>
      <x:c r="D1536" s="30" t="n">
        <x:v>2</x:v>
      </x:c>
      <x:c r="E1536" s="38" t="str">
        <x:v>AUD/USD</x:v>
      </x:c>
      <x:c r="F1536" s="38" t="n">
        <x:v>0.4985834273</x:v>
      </x:c>
      <x:c r="G1536" s="38" t="n">
        <x:v>0.9709734079</x:v>
      </x:c>
      <x:c r="H1536" s="42" t="b">
        <x:v>1</x:v>
      </x:c>
      <x:c r="I1536" s="42" t="b">
        <x:v>0</x:v>
      </x:c>
      <x:c r="J1536" s="38" t="n">
        <x:v>0.2566231131</x:v>
      </x:c>
    </x:row>
    <x:row r="1537" ht="19" customHeight="1">
      <x:c r="A1537" s="29" t="str">
        <x:v>stagger_1</x:v>
      </x:c>
      <x:c r="B1537" s="38" t="str">
        <x:v>CMCSA</x:v>
      </x:c>
      <x:c r="C1537" s="38" t="str">
        <x:v>Other FX</x:v>
      </x:c>
      <x:c r="D1537" s="30" t="n">
        <x:v>2</x:v>
      </x:c>
      <x:c r="E1537" s="38" t="str">
        <x:v>CAD/USD</x:v>
      </x:c>
      <x:c r="F1537" s="38" t="n">
        <x:v>0.682865716</x:v>
      </x:c>
      <x:c r="G1537" s="38" t="n">
        <x:v>1.081972777</x:v>
      </x:c>
      <x:c r="H1537" s="42" t="b">
        <x:v>0</x:v>
      </x:c>
      <x:c r="I1537" s="42" t="b">
        <x:v>0</x:v>
      </x:c>
      <x:c r="J1537" s="38" t="n">
        <x:v>0.2566231131</x:v>
      </x:c>
    </x:row>
    <x:row r="1538" ht="19" customHeight="1">
      <x:c r="A1538" s="29" t="str">
        <x:v>stagger_1</x:v>
      </x:c>
      <x:c r="B1538" s="38" t="str">
        <x:v>CMCSA</x:v>
      </x:c>
      <x:c r="C1538" s="38" t="str">
        <x:v>Other FX</x:v>
      </x:c>
      <x:c r="D1538" s="30" t="n">
        <x:v>2</x:v>
      </x:c>
      <x:c r="E1538" s="38" t="str">
        <x:v>DKK/USD</x:v>
      </x:c>
      <x:c r="F1538" s="38" t="n">
        <x:v>-4.8669504107</x:v>
      </x:c>
      <x:c r="G1538" s="38" t="n">
        <x:v>-1.1618932142</x:v>
      </x:c>
      <x:c r="H1538" s="42" t="b">
        <x:v>0</x:v>
      </x:c>
      <x:c r="I1538" s="42" t="b">
        <x:v>0</x:v>
      </x:c>
      <x:c r="J1538" s="38" t="n">
        <x:v>0.2566231131</x:v>
      </x:c>
    </x:row>
    <x:row r="1539" ht="19" customHeight="1">
      <x:c r="A1539" s="29" t="str">
        <x:v>stagger_1</x:v>
      </x:c>
      <x:c r="B1539" s="38" t="str">
        <x:v>CMCSA</x:v>
      </x:c>
      <x:c r="C1539" s="38" t="str">
        <x:v>Other FX</x:v>
      </x:c>
      <x:c r="D1539" s="30" t="n">
        <x:v>2</x:v>
      </x:c>
      <x:c r="E1539" s="38" t="str">
        <x:v>EUR/USD</x:v>
      </x:c>
      <x:c r="F1539" s="38" t="n">
        <x:v>4.5445083264</x:v>
      </x:c>
      <x:c r="G1539" s="38" t="n">
        <x:v>1.1717766303</x:v>
      </x:c>
      <x:c r="H1539" s="42" t="b">
        <x:v>0</x:v>
      </x:c>
      <x:c r="I1539" s="42" t="b">
        <x:v>0</x:v>
      </x:c>
      <x:c r="J1539" s="38" t="n">
        <x:v>0.2566231131</x:v>
      </x:c>
    </x:row>
    <x:row r="1540" ht="19" customHeight="1">
      <x:c r="A1540" s="29" t="str">
        <x:v>stagger_1</x:v>
      </x:c>
      <x:c r="B1540" s="38" t="str">
        <x:v>CMCSA</x:v>
      </x:c>
      <x:c r="C1540" s="38" t="str">
        <x:v>Other FX</x:v>
      </x:c>
      <x:c r="D1540" s="30" t="n">
        <x:v>2</x:v>
      </x:c>
      <x:c r="E1540" s="38" t="str">
        <x:v>SGD/USD</x:v>
      </x:c>
      <x:c r="F1540" s="38" t="n">
        <x:v>2.1779703698</x:v>
      </x:c>
      <x:c r="G1540" s="38" t="n">
        <x:v>1.7307992607</x:v>
      </x:c>
      <x:c r="H1540" s="42" t="b">
        <x:v>0</x:v>
      </x:c>
      <x:c r="I1540" s="42" t="b">
        <x:v>0</x:v>
      </x:c>
      <x:c r="J1540" s="38" t="n">
        <x:v>0.2566231131</x:v>
      </x:c>
    </x:row>
    <x:row r="1541" ht="19" customHeight="1">
      <x:c r="A1541" s="29" t="str">
        <x:v>stagger_1</x:v>
      </x:c>
      <x:c r="B1541" s="38" t="str">
        <x:v>CMCSA</x:v>
      </x:c>
      <x:c r="C1541" s="38" t="str">
        <x:v>Other FX</x:v>
      </x:c>
      <x:c r="D1541" s="30" t="n">
        <x:v>3</x:v>
      </x:c>
      <x:c r="E1541" s="38" t="str">
        <x:v>CAD/USD</x:v>
      </x:c>
      <x:c r="F1541" s="38" t="n">
        <x:v>0.8323685377</x:v>
      </x:c>
      <x:c r="G1541" s="38" t="n">
        <x:v>1.3604640598</x:v>
      </x:c>
      <x:c r="H1541" s="42" t="b">
        <x:v>0</x:v>
      </x:c>
      <x:c r="I1541" s="42" t="b">
        <x:v>0</x:v>
      </x:c>
      <x:c r="J1541" s="38" t="n">
        <x:v>0.2471521967</x:v>
      </x:c>
    </x:row>
    <x:row r="1542" ht="19" customHeight="1">
      <x:c r="A1542" s="29" t="str">
        <x:v>stagger_1</x:v>
      </x:c>
      <x:c r="B1542" s="38" t="str">
        <x:v>CMCSA</x:v>
      </x:c>
      <x:c r="C1542" s="38" t="str">
        <x:v>Other FX</x:v>
      </x:c>
      <x:c r="D1542" s="30" t="n">
        <x:v>3</x:v>
      </x:c>
      <x:c r="E1542" s="38" t="str">
        <x:v>DKK/USD</x:v>
      </x:c>
      <x:c r="F1542" s="38" t="n">
        <x:v>-4.6407634562</x:v>
      </x:c>
      <x:c r="G1542" s="38" t="n">
        <x:v>-1.1100359532</x:v>
      </x:c>
      <x:c r="H1542" s="42" t="b">
        <x:v>1</x:v>
      </x:c>
      <x:c r="I1542" s="42" t="b">
        <x:v>0</x:v>
      </x:c>
      <x:c r="J1542" s="38" t="n">
        <x:v>0.2471521967</x:v>
      </x:c>
    </x:row>
    <x:row r="1543" ht="19" customHeight="1">
      <x:c r="A1543" s="29" t="str">
        <x:v>stagger_1</x:v>
      </x:c>
      <x:c r="B1543" s="38" t="str">
        <x:v>CMCSA</x:v>
      </x:c>
      <x:c r="C1543" s="38" t="str">
        <x:v>Other FX</x:v>
      </x:c>
      <x:c r="D1543" s="30" t="n">
        <x:v>3</x:v>
      </x:c>
      <x:c r="E1543" s="38" t="str">
        <x:v>EUR/USD</x:v>
      </x:c>
      <x:c r="F1543" s="38" t="n">
        <x:v>4.3581955705</x:v>
      </x:c>
      <x:c r="G1543" s="38" t="n">
        <x:v>1.1255441787</x:v>
      </x:c>
      <x:c r="H1543" s="42" t="b">
        <x:v>0</x:v>
      </x:c>
      <x:c r="I1543" s="42" t="b">
        <x:v>0</x:v>
      </x:c>
      <x:c r="J1543" s="38" t="n">
        <x:v>0.2471521967</x:v>
      </x:c>
    </x:row>
    <x:row r="1544" ht="19" customHeight="1">
      <x:c r="A1544" s="29" t="str">
        <x:v>stagger_1</x:v>
      </x:c>
      <x:c r="B1544" s="38" t="str">
        <x:v>CMCSA</x:v>
      </x:c>
      <x:c r="C1544" s="38" t="str">
        <x:v>Other FX</x:v>
      </x:c>
      <x:c r="D1544" s="30" t="n">
        <x:v>3</x:v>
      </x:c>
      <x:c r="E1544" s="38" t="str">
        <x:v>SGD/USD</x:v>
      </x:c>
      <x:c r="F1544" s="38" t="n">
        <x:v>2.732305774</x:v>
      </x:c>
      <x:c r="G1544" s="38" t="n">
        <x:v>2.4374430178</x:v>
      </x:c>
      <x:c r="H1544" s="42" t="b">
        <x:v>0</x:v>
      </x:c>
      <x:c r="I1544" s="42" t="b">
        <x:v>0</x:v>
      </x:c>
      <x:c r="J1544" s="38" t="n">
        <x:v>0.2471521967</x:v>
      </x:c>
    </x:row>
    <x:row r="1545" ht="19" customHeight="1">
      <x:c r="A1545" s="29" t="str">
        <x:v>stagger_1</x:v>
      </x:c>
      <x:c r="B1545" s="38" t="str">
        <x:v>CMCSA</x:v>
      </x:c>
      <x:c r="C1545" s="38" t="str">
        <x:v>Other FX</x:v>
      </x:c>
      <x:c r="D1545" s="30" t="n">
        <x:v>4</x:v>
      </x:c>
      <x:c r="E1545" s="38" t="str">
        <x:v>CAD/USD</x:v>
      </x:c>
      <x:c r="F1545" s="38" t="n">
        <x:v>0.7540737777</x:v>
      </x:c>
      <x:c r="G1545" s="38" t="n">
        <x:v>1.2388769699</x:v>
      </x:c>
      <x:c r="H1545" s="42" t="b">
        <x:v>0</x:v>
      </x:c>
      <x:c r="I1545" s="42" t="b">
        <x:v>0</x:v>
      </x:c>
      <x:c r="J1545" s="38" t="n">
        <x:v>0.2347836118</x:v>
      </x:c>
    </x:row>
    <x:row r="1546" ht="19" customHeight="1">
      <x:c r="A1546" s="29" t="str">
        <x:v>stagger_1</x:v>
      </x:c>
      <x:c r="B1546" s="38" t="str">
        <x:v>CMCSA</x:v>
      </x:c>
      <x:c r="C1546" s="38" t="str">
        <x:v>Other FX</x:v>
      </x:c>
      <x:c r="D1546" s="30" t="n">
        <x:v>4</x:v>
      </x:c>
      <x:c r="E1546" s="38" t="str">
        <x:v>EUR/USD</x:v>
      </x:c>
      <x:c r="F1546" s="38" t="n">
        <x:v>0.1159772988</x:v>
      </x:c>
      <x:c r="G1546" s="38" t="n">
        <x:v>0.1859918496</x:v>
      </x:c>
      <x:c r="H1546" s="42" t="b">
        <x:v>1</x:v>
      </x:c>
      <x:c r="I1546" s="42" t="b">
        <x:v>0</x:v>
      </x:c>
      <x:c r="J1546" s="38" t="n">
        <x:v>0.2347836118</x:v>
      </x:c>
    </x:row>
    <x:row r="1547" ht="19" customHeight="1">
      <x:c r="A1547" s="29" t="str">
        <x:v>stagger_1</x:v>
      </x:c>
      <x:c r="B1547" s="38" t="str">
        <x:v>CMCSA</x:v>
      </x:c>
      <x:c r="C1547" s="38" t="str">
        <x:v>Other FX</x:v>
      </x:c>
      <x:c r="D1547" s="30" t="n">
        <x:v>4</x:v>
      </x:c>
      <x:c r="E1547" s="38" t="str">
        <x:v>SGD/USD</x:v>
      </x:c>
      <x:c r="F1547" s="38" t="n">
        <x:v>2.1781872009</x:v>
      </x:c>
      <x:c r="G1547" s="38" t="n">
        <x:v>2.1668777128</x:v>
      </x:c>
      <x:c r="H1547" s="42" t="b">
        <x:v>0</x:v>
      </x:c>
      <x:c r="I1547" s="42" t="b">
        <x:v>0</x:v>
      </x:c>
      <x:c r="J1547" s="38" t="n">
        <x:v>0.2347836118</x:v>
      </x:c>
    </x:row>
    <x:row r="1548" ht="19" customHeight="1">
      <x:c r="A1548" s="29" t="str">
        <x:v>stagger_1</x:v>
      </x:c>
      <x:c r="B1548" s="38" t="str">
        <x:v>CMCSA</x:v>
      </x:c>
      <x:c r="C1548" s="38" t="str">
        <x:v>Other FX</x:v>
      </x:c>
      <x:c r="D1548" s="30" t="n">
        <x:v>5</x:v>
      </x:c>
      <x:c r="E1548" s="38" t="str">
        <x:v>CAD/USD</x:v>
      </x:c>
      <x:c r="F1548" s="38" t="n">
        <x:v>0.783815215</x:v>
      </x:c>
      <x:c r="G1548" s="38" t="n">
        <x:v>1.3430656037</x:v>
      </x:c>
      <x:c r="H1548" s="42" t="b">
        <x:v>1</x:v>
      </x:c>
      <x:c r="I1548" s="42" t="b">
        <x:v>0</x:v>
      </x:c>
      <x:c r="J1548" s="38" t="n">
        <x:v>0.2344353077</x:v>
      </x:c>
    </x:row>
    <x:row r="1549" ht="19" customHeight="1">
      <x:c r="A1549" s="29" t="str">
        <x:v>stagger_1</x:v>
      </x:c>
      <x:c r="B1549" s="38" t="str">
        <x:v>CMCSA</x:v>
      </x:c>
      <x:c r="C1549" s="38" t="str">
        <x:v>Other FX</x:v>
      </x:c>
      <x:c r="D1549" s="30" t="n">
        <x:v>5</x:v>
      </x:c>
      <x:c r="E1549" s="38" t="str">
        <x:v>SGD/USD</x:v>
      </x:c>
      <x:c r="F1549" s="38" t="n">
        <x:v>2.3059010806</x:v>
      </x:c>
      <x:c r="G1549" s="38" t="n">
        <x:v>3.1608417794</x:v>
      </x:c>
      <x:c r="H1549" s="42" t="b">
        <x:v>0</x:v>
      </x:c>
      <x:c r="I1549" s="42" t="b">
        <x:v>0</x:v>
      </x:c>
      <x:c r="J1549" s="38" t="n">
        <x:v>0.2344353077</x:v>
      </x:c>
    </x:row>
    <x:row r="1550" ht="19" customHeight="1">
      <x:c r="A1550" s="29" t="str">
        <x:v>stagger_1</x:v>
      </x:c>
      <x:c r="B1550" s="38" t="str">
        <x:v>CMCSA</x:v>
      </x:c>
      <x:c r="C1550" s="38" t="str">
        <x:v>Other FX</x:v>
      </x:c>
      <x:c r="D1550" s="30" t="n">
        <x:v>6</x:v>
      </x:c>
      <x:c r="E1550" s="38" t="str">
        <x:v>SGD/USD</x:v>
      </x:c>
      <x:c r="F1550" s="38" t="n">
        <x:v>2.8442789654</x:v>
      </x:c>
      <x:c r="G1550" s="38" t="n">
        <x:v>4.6425648422</x:v>
      </x:c>
      <x:c r="H1550" s="42" t="b">
        <x:v>0</x:v>
      </x:c>
      <x:c r="I1550" s="42" t="b">
        <x:v>1</x:v>
      </x:c>
      <x:c r="J1550" s="38" t="n">
        <x:v>0.2165009584</x:v>
      </x:c>
    </x:row>
    <x:row r="1551" ht="19" customHeight="1">
      <x:c r="A1551" s="29" t="str">
        <x:v>stagger_1</x:v>
      </x:c>
      <x:c r="B1551" s="38" t="str">
        <x:v>CMCSA</x:v>
      </x:c>
      <x:c r="C1551" s="38" t="str">
        <x:v>Other sectors</x:v>
      </x:c>
      <x:c r="D1551" s="30" t="n">
        <x:v>1</x:v>
      </x:c>
      <x:c r="E1551" s="38" t="str">
        <x:v>XLB</x:v>
      </x:c>
      <x:c r="F1551" s="38" t="n">
        <x:v>0.1011324737</x:v>
      </x:c>
      <x:c r="G1551" s="38" t="n">
        <x:v>0.3605863832</x:v>
      </x:c>
      <x:c r="H1551" s="42" t="b">
        <x:v>0</x:v>
      </x:c>
      <x:c r="I1551" s="42" t="b">
        <x:v>0</x:v>
      </x:c>
      <x:c r="J1551" s="38" t="n">
        <x:v>0.2373219131</x:v>
      </x:c>
    </x:row>
    <x:row r="1552" ht="19" customHeight="1">
      <x:c r="A1552" s="29" t="str">
        <x:v>stagger_1</x:v>
      </x:c>
      <x:c r="B1552" s="38" t="str">
        <x:v>CMCSA</x:v>
      </x:c>
      <x:c r="C1552" s="38" t="str">
        <x:v>Other sectors</x:v>
      </x:c>
      <x:c r="D1552" s="30" t="n">
        <x:v>1</x:v>
      </x:c>
      <x:c r="E1552" s="38" t="str">
        <x:v>XLE</x:v>
      </x:c>
      <x:c r="F1552" s="38" t="n">
        <x:v>0.2933595621</x:v>
      </x:c>
      <x:c r="G1552" s="38" t="n">
        <x:v>2.7912855796</x:v>
      </x:c>
      <x:c r="H1552" s="42" t="b">
        <x:v>0</x:v>
      </x:c>
      <x:c r="I1552" s="42" t="b">
        <x:v>0</x:v>
      </x:c>
      <x:c r="J1552" s="38" t="n">
        <x:v>0.2373219131</x:v>
      </x:c>
    </x:row>
    <x:row r="1553" ht="19" customHeight="1">
      <x:c r="A1553" s="29" t="str">
        <x:v>stagger_1</x:v>
      </x:c>
      <x:c r="B1553" s="38" t="str">
        <x:v>CMCSA</x:v>
      </x:c>
      <x:c r="C1553" s="38" t="str">
        <x:v>Other sectors</x:v>
      </x:c>
      <x:c r="D1553" s="30" t="n">
        <x:v>1</x:v>
      </x:c>
      <x:c r="E1553" s="38" t="str">
        <x:v>XLF</x:v>
      </x:c>
      <x:c r="F1553" s="38" t="n">
        <x:v>0.1933351832</x:v>
      </x:c>
      <x:c r="G1553" s="38" t="n">
        <x:v>0.6571800595</x:v>
      </x:c>
      <x:c r="H1553" s="42" t="b">
        <x:v>0</x:v>
      </x:c>
      <x:c r="I1553" s="42" t="b">
        <x:v>0</x:v>
      </x:c>
      <x:c r="J1553" s="38" t="n">
        <x:v>0.2373219131</x:v>
      </x:c>
    </x:row>
    <x:row r="1554" ht="19" customHeight="1">
      <x:c r="A1554" s="29" t="str">
        <x:v>stagger_1</x:v>
      </x:c>
      <x:c r="B1554" s="38" t="str">
        <x:v>CMCSA</x:v>
      </x:c>
      <x:c r="C1554" s="38" t="str">
        <x:v>Other sectors</x:v>
      </x:c>
      <x:c r="D1554" s="30" t="n">
        <x:v>1</x:v>
      </x:c>
      <x:c r="E1554" s="38" t="str">
        <x:v>XLI</x:v>
      </x:c>
      <x:c r="F1554" s="38" t="n">
        <x:v>0.0143839011</x:v>
      </x:c>
      <x:c r="G1554" s="38" t="n">
        <x:v>0.0401777455</x:v>
      </x:c>
      <x:c r="H1554" s="42" t="b">
        <x:v>1</x:v>
      </x:c>
      <x:c r="I1554" s="42" t="b">
        <x:v>0</x:v>
      </x:c>
      <x:c r="J1554" s="38" t="n">
        <x:v>0.2373219131</x:v>
      </x:c>
    </x:row>
    <x:row r="1555" ht="19" customHeight="1">
      <x:c r="A1555" s="29" t="str">
        <x:v>stagger_1</x:v>
      </x:c>
      <x:c r="B1555" s="38" t="str">
        <x:v>CMCSA</x:v>
      </x:c>
      <x:c r="C1555" s="38" t="str">
        <x:v>Other sectors</x:v>
      </x:c>
      <x:c r="D1555" s="30" t="n">
        <x:v>1</x:v>
      </x:c>
      <x:c r="E1555" s="38" t="str">
        <x:v>XLK</x:v>
      </x:c>
      <x:c r="F1555" s="38" t="n">
        <x:v>0.0537655058</x:v>
      </x:c>
      <x:c r="G1555" s="38" t="n">
        <x:v>0.1354375416</x:v>
      </x:c>
      <x:c r="H1555" s="42" t="b">
        <x:v>0</x:v>
      </x:c>
      <x:c r="I1555" s="42" t="b">
        <x:v>0</x:v>
      </x:c>
      <x:c r="J1555" s="38" t="n">
        <x:v>0.2373219131</x:v>
      </x:c>
    </x:row>
    <x:row r="1556" ht="19" customHeight="1">
      <x:c r="A1556" s="29" t="str">
        <x:v>stagger_1</x:v>
      </x:c>
      <x:c r="B1556" s="38" t="str">
        <x:v>CMCSA</x:v>
      </x:c>
      <x:c r="C1556" s="38" t="str">
        <x:v>Other sectors</x:v>
      </x:c>
      <x:c r="D1556" s="30" t="n">
        <x:v>1</x:v>
      </x:c>
      <x:c r="E1556" s="38" t="str">
        <x:v>XLP</x:v>
      </x:c>
      <x:c r="F1556" s="38" t="n">
        <x:v>0.1935744971</x:v>
      </x:c>
      <x:c r="G1556" s="38" t="n">
        <x:v>0.6429251088</x:v>
      </x:c>
      <x:c r="H1556" s="42" t="b">
        <x:v>0</x:v>
      </x:c>
      <x:c r="I1556" s="42" t="b">
        <x:v>0</x:v>
      </x:c>
      <x:c r="J1556" s="38" t="n">
        <x:v>0.2373219131</x:v>
      </x:c>
    </x:row>
    <x:row r="1557" ht="19" customHeight="1">
      <x:c r="A1557" s="29" t="str">
        <x:v>stagger_1</x:v>
      </x:c>
      <x:c r="B1557" s="38" t="str">
        <x:v>CMCSA</x:v>
      </x:c>
      <x:c r="C1557" s="38" t="str">
        <x:v>Other sectors</x:v>
      </x:c>
      <x:c r="D1557" s="30" t="n">
        <x:v>1</x:v>
      </x:c>
      <x:c r="E1557" s="38" t="str">
        <x:v>XLRE</x:v>
      </x:c>
      <x:c r="F1557" s="38" t="n">
        <x:v>0.0965007182</x:v>
      </x:c>
      <x:c r="G1557" s="38" t="n">
        <x:v>0.4065480419</x:v>
      </x:c>
      <x:c r="H1557" s="42" t="b">
        <x:v>0</x:v>
      </x:c>
      <x:c r="I1557" s="42" t="b">
        <x:v>0</x:v>
      </x:c>
      <x:c r="J1557" s="38" t="n">
        <x:v>0.2373219131</x:v>
      </x:c>
    </x:row>
    <x:row r="1558" ht="19" customHeight="1">
      <x:c r="A1558" s="29" t="str">
        <x:v>stagger_1</x:v>
      </x:c>
      <x:c r="B1558" s="38" t="str">
        <x:v>CMCSA</x:v>
      </x:c>
      <x:c r="C1558" s="38" t="str">
        <x:v>Other sectors</x:v>
      </x:c>
      <x:c r="D1558" s="30" t="n">
        <x:v>1</x:v>
      </x:c>
      <x:c r="E1558" s="38" t="str">
        <x:v>XLU</x:v>
      </x:c>
      <x:c r="F1558" s="38" t="n">
        <x:v>-0.0975382188</x:v>
      </x:c>
      <x:c r="G1558" s="38" t="n">
        <x:v>-0.5314753231</x:v>
      </x:c>
      <x:c r="H1558" s="42" t="b">
        <x:v>0</x:v>
      </x:c>
      <x:c r="I1558" s="42" t="b">
        <x:v>0</x:v>
      </x:c>
      <x:c r="J1558" s="38" t="n">
        <x:v>0.2373219131</x:v>
      </x:c>
    </x:row>
    <x:row r="1559" ht="19" customHeight="1">
      <x:c r="A1559" s="29" t="str">
        <x:v>stagger_1</x:v>
      </x:c>
      <x:c r="B1559" s="38" t="str">
        <x:v>CMCSA</x:v>
      </x:c>
      <x:c r="C1559" s="38" t="str">
        <x:v>Other sectors</x:v>
      </x:c>
      <x:c r="D1559" s="30" t="n">
        <x:v>1</x:v>
      </x:c>
      <x:c r="E1559" s="38" t="str">
        <x:v>XLV</x:v>
      </x:c>
      <x:c r="F1559" s="38" t="n">
        <x:v>0.0746821338</x:v>
      </x:c>
      <x:c r="G1559" s="38" t="n">
        <x:v>0.2995548132</x:v>
      </x:c>
      <x:c r="H1559" s="42" t="b">
        <x:v>0</x:v>
      </x:c>
      <x:c r="I1559" s="42" t="b">
        <x:v>0</x:v>
      </x:c>
      <x:c r="J1559" s="38" t="n">
        <x:v>0.2373219131</x:v>
      </x:c>
    </x:row>
    <x:row r="1560" ht="19" customHeight="1">
      <x:c r="A1560" s="29" t="str">
        <x:v>stagger_1</x:v>
      </x:c>
      <x:c r="B1560" s="38" t="str">
        <x:v>CMCSA</x:v>
      </x:c>
      <x:c r="C1560" s="38" t="str">
        <x:v>Other sectors</x:v>
      </x:c>
      <x:c r="D1560" s="30" t="n">
        <x:v>1</x:v>
      </x:c>
      <x:c r="E1560" s="38" t="str">
        <x:v>XLY</x:v>
      </x:c>
      <x:c r="F1560" s="38" t="n">
        <x:v>-0.0142532269</x:v>
      </x:c>
      <x:c r="G1560" s="38" t="n">
        <x:v>-0.0490581936</x:v>
      </x:c>
      <x:c r="H1560" s="42" t="b">
        <x:v>0</x:v>
      </x:c>
      <x:c r="I1560" s="42" t="b">
        <x:v>0</x:v>
      </x:c>
      <x:c r="J1560" s="38" t="n">
        <x:v>0.2373219131</x:v>
      </x:c>
    </x:row>
    <x:row r="1561" ht="19" customHeight="1">
      <x:c r="A1561" s="29" t="str">
        <x:v>stagger_1</x:v>
      </x:c>
      <x:c r="B1561" s="38" t="str">
        <x:v>CMCSA</x:v>
      </x:c>
      <x:c r="C1561" s="38" t="str">
        <x:v>Other sectors</x:v>
      </x:c>
      <x:c r="D1561" s="30" t="n">
        <x:v>2</x:v>
      </x:c>
      <x:c r="E1561" s="38" t="str">
        <x:v>XLB</x:v>
      </x:c>
      <x:c r="F1561" s="38" t="n">
        <x:v>0.1090898667</x:v>
      </x:c>
      <x:c r="G1561" s="38" t="n">
        <x:v>0.5532965715</x:v>
      </x:c>
      <x:c r="H1561" s="42" t="b">
        <x:v>0</x:v>
      </x:c>
      <x:c r="I1561" s="42" t="b">
        <x:v>0</x:v>
      </x:c>
      <x:c r="J1561" s="38" t="n">
        <x:v>0.2373040703</x:v>
      </x:c>
    </x:row>
    <x:row r="1562" ht="19" customHeight="1">
      <x:c r="A1562" s="29" t="str">
        <x:v>stagger_1</x:v>
      </x:c>
      <x:c r="B1562" s="38" t="str">
        <x:v>CMCSA</x:v>
      </x:c>
      <x:c r="C1562" s="38" t="str">
        <x:v>Other sectors</x:v>
      </x:c>
      <x:c r="D1562" s="30" t="n">
        <x:v>2</x:v>
      </x:c>
      <x:c r="E1562" s="38" t="str">
        <x:v>XLE</x:v>
      </x:c>
      <x:c r="F1562" s="38" t="n">
        <x:v>0.2927208868</x:v>
      </x:c>
      <x:c r="G1562" s="38" t="n">
        <x:v>2.8379352891</x:v>
      </x:c>
      <x:c r="H1562" s="42" t="b">
        <x:v>0</x:v>
      </x:c>
      <x:c r="I1562" s="42" t="b">
        <x:v>0</x:v>
      </x:c>
      <x:c r="J1562" s="38" t="n">
        <x:v>0.2373040703</x:v>
      </x:c>
    </x:row>
    <x:row r="1563" ht="19" customHeight="1">
      <x:c r="A1563" s="29" t="str">
        <x:v>stagger_1</x:v>
      </x:c>
      <x:c r="B1563" s="38" t="str">
        <x:v>CMCSA</x:v>
      </x:c>
      <x:c r="C1563" s="38" t="str">
        <x:v>Other sectors</x:v>
      </x:c>
      <x:c r="D1563" s="30" t="n">
        <x:v>2</x:v>
      </x:c>
      <x:c r="E1563" s="38" t="str">
        <x:v>XLF</x:v>
      </x:c>
      <x:c r="F1563" s="38" t="n">
        <x:v>0.194870521</x:v>
      </x:c>
      <x:c r="G1563" s="38" t="n">
        <x:v>0.672874606</x:v>
      </x:c>
      <x:c r="H1563" s="42" t="b">
        <x:v>0</x:v>
      </x:c>
      <x:c r="I1563" s="42" t="b">
        <x:v>0</x:v>
      </x:c>
      <x:c r="J1563" s="38" t="n">
        <x:v>0.2373040703</x:v>
      </x:c>
    </x:row>
    <x:row r="1564" ht="19" customHeight="1">
      <x:c r="A1564" s="29" t="str">
        <x:v>stagger_1</x:v>
      </x:c>
      <x:c r="B1564" s="38" t="str">
        <x:v>CMCSA</x:v>
      </x:c>
      <x:c r="C1564" s="38" t="str">
        <x:v>Other sectors</x:v>
      </x:c>
      <x:c r="D1564" s="30" t="n">
        <x:v>2</x:v>
      </x:c>
      <x:c r="E1564" s="38" t="str">
        <x:v>XLK</x:v>
      </x:c>
      <x:c r="F1564" s="38" t="n">
        <x:v>0.0534977564</x:v>
      </x:c>
      <x:c r="G1564" s="38" t="n">
        <x:v>0.1357536429</x:v>
      </x:c>
      <x:c r="H1564" s="42" t="b">
        <x:v>0</x:v>
      </x:c>
      <x:c r="I1564" s="42" t="b">
        <x:v>0</x:v>
      </x:c>
      <x:c r="J1564" s="38" t="n">
        <x:v>0.2373040703</x:v>
      </x:c>
    </x:row>
    <x:row r="1565" ht="19" customHeight="1">
      <x:c r="A1565" s="29" t="str">
        <x:v>stagger_1</x:v>
      </x:c>
      <x:c r="B1565" s="38" t="str">
        <x:v>CMCSA</x:v>
      </x:c>
      <x:c r="C1565" s="38" t="str">
        <x:v>Other sectors</x:v>
      </x:c>
      <x:c r="D1565" s="30" t="n">
        <x:v>2</x:v>
      </x:c>
      <x:c r="E1565" s="38" t="str">
        <x:v>XLP</x:v>
      </x:c>
      <x:c r="F1565" s="38" t="n">
        <x:v>0.1953555729</x:v>
      </x:c>
      <x:c r="G1565" s="38" t="n">
        <x:v>0.6607185885</x:v>
      </x:c>
      <x:c r="H1565" s="42" t="b">
        <x:v>0</x:v>
      </x:c>
      <x:c r="I1565" s="42" t="b">
        <x:v>0</x:v>
      </x:c>
      <x:c r="J1565" s="38" t="n">
        <x:v>0.2373040703</x:v>
      </x:c>
    </x:row>
    <x:row r="1566" ht="19" customHeight="1">
      <x:c r="A1566" s="29" t="str">
        <x:v>stagger_1</x:v>
      </x:c>
      <x:c r="B1566" s="38" t="str">
        <x:v>CMCSA</x:v>
      </x:c>
      <x:c r="C1566" s="38" t="str">
        <x:v>Other sectors</x:v>
      </x:c>
      <x:c r="D1566" s="30" t="n">
        <x:v>2</x:v>
      </x:c>
      <x:c r="E1566" s="38" t="str">
        <x:v>XLRE</x:v>
      </x:c>
      <x:c r="F1566" s="38" t="n">
        <x:v>0.0953247268</x:v>
      </x:c>
      <x:c r="G1566" s="38" t="n">
        <x:v>0.4075993454</x:v>
      </x:c>
      <x:c r="H1566" s="42" t="b">
        <x:v>0</x:v>
      </x:c>
      <x:c r="I1566" s="42" t="b">
        <x:v>0</x:v>
      </x:c>
      <x:c r="J1566" s="38" t="n">
        <x:v>0.2373040703</x:v>
      </x:c>
    </x:row>
    <x:row r="1567" ht="19" customHeight="1">
      <x:c r="A1567" s="29" t="str">
        <x:v>stagger_1</x:v>
      </x:c>
      <x:c r="B1567" s="38" t="str">
        <x:v>CMCSA</x:v>
      </x:c>
      <x:c r="C1567" s="38" t="str">
        <x:v>Other sectors</x:v>
      </x:c>
      <x:c r="D1567" s="30" t="n">
        <x:v>2</x:v>
      </x:c>
      <x:c r="E1567" s="38" t="str">
        <x:v>XLU</x:v>
      </x:c>
      <x:c r="F1567" s="38" t="n">
        <x:v>-0.0966441194</x:v>
      </x:c>
      <x:c r="G1567" s="38" t="n">
        <x:v>-0.5343423724</x:v>
      </x:c>
      <x:c r="H1567" s="42" t="b">
        <x:v>0</x:v>
      </x:c>
      <x:c r="I1567" s="42" t="b">
        <x:v>0</x:v>
      </x:c>
      <x:c r="J1567" s="38" t="n">
        <x:v>0.2373040703</x:v>
      </x:c>
    </x:row>
    <x:row r="1568" ht="19" customHeight="1">
      <x:c r="A1568" s="29" t="str">
        <x:v>stagger_1</x:v>
      </x:c>
      <x:c r="B1568" s="38" t="str">
        <x:v>CMCSA</x:v>
      </x:c>
      <x:c r="C1568" s="38" t="str">
        <x:v>Other sectors</x:v>
      </x:c>
      <x:c r="D1568" s="30" t="n">
        <x:v>2</x:v>
      </x:c>
      <x:c r="E1568" s="38" t="str">
        <x:v>XLV</x:v>
      </x:c>
      <x:c r="F1568" s="38" t="n">
        <x:v>0.0729957206</x:v>
      </x:c>
      <x:c r="G1568" s="38" t="n">
        <x:v>0.2991715749</x:v>
      </x:c>
      <x:c r="H1568" s="42" t="b">
        <x:v>0</x:v>
      </x:c>
      <x:c r="I1568" s="42" t="b">
        <x:v>0</x:v>
      </x:c>
      <x:c r="J1568" s="38" t="n">
        <x:v>0.2373040703</x:v>
      </x:c>
    </x:row>
    <x:row r="1569" ht="19" customHeight="1">
      <x:c r="A1569" s="29" t="str">
        <x:v>stagger_1</x:v>
      </x:c>
      <x:c r="B1569" s="38" t="str">
        <x:v>CMCSA</x:v>
      </x:c>
      <x:c r="C1569" s="38" t="str">
        <x:v>Other sectors</x:v>
      </x:c>
      <x:c r="D1569" s="30" t="n">
        <x:v>2</x:v>
      </x:c>
      <x:c r="E1569" s="38" t="str">
        <x:v>XLY</x:v>
      </x:c>
      <x:c r="F1569" s="38" t="n">
        <x:v>-0.0156976221</x:v>
      </x:c>
      <x:c r="G1569" s="38" t="n">
        <x:v>-0.0548405785</x:v>
      </x:c>
      <x:c r="H1569" s="42" t="b">
        <x:v>1</x:v>
      </x:c>
      <x:c r="I1569" s="42" t="b">
        <x:v>0</x:v>
      </x:c>
      <x:c r="J1569" s="38" t="n">
        <x:v>0.2373040703</x:v>
      </x:c>
    </x:row>
    <x:row r="1570" ht="19" customHeight="1">
      <x:c r="A1570" s="29" t="str">
        <x:v>stagger_1</x:v>
      </x:c>
      <x:c r="B1570" s="38" t="str">
        <x:v>CMCSA</x:v>
      </x:c>
      <x:c r="C1570" s="38" t="str">
        <x:v>Other sectors</x:v>
      </x:c>
      <x:c r="D1570" s="30" t="n">
        <x:v>3</x:v>
      </x:c>
      <x:c r="E1570" s="38" t="str">
        <x:v>XLB</x:v>
      </x:c>
      <x:c r="F1570" s="38" t="n">
        <x:v>0.1089425965</x:v>
      </x:c>
      <x:c r="G1570" s="38" t="n">
        <x:v>0.5565220831</x:v>
      </x:c>
      <x:c r="H1570" s="42" t="b">
        <x:v>0</x:v>
      </x:c>
      <x:c r="I1570" s="42" t="b">
        <x:v>0</x:v>
      </x:c>
      <x:c r="J1570" s="38" t="n">
        <x:v>0.2372713017</x:v>
      </x:c>
    </x:row>
    <x:row r="1571" ht="19" customHeight="1">
      <x:c r="A1571" s="29" t="str">
        <x:v>stagger_1</x:v>
      </x:c>
      <x:c r="B1571" s="38" t="str">
        <x:v>CMCSA</x:v>
      </x:c>
      <x:c r="C1571" s="38" t="str">
        <x:v>Other sectors</x:v>
      </x:c>
      <x:c r="D1571" s="30" t="n">
        <x:v>3</x:v>
      </x:c>
      <x:c r="E1571" s="38" t="str">
        <x:v>XLE</x:v>
      </x:c>
      <x:c r="F1571" s="38" t="n">
        <x:v>0.2953022942</x:v>
      </x:c>
      <x:c r="G1571" s="38" t="n">
        <x:v>3.2403746231</x:v>
      </x:c>
      <x:c r="H1571" s="42" t="b">
        <x:v>0</x:v>
      </x:c>
      <x:c r="I1571" s="42" t="b">
        <x:v>0</x:v>
      </x:c>
      <x:c r="J1571" s="38" t="n">
        <x:v>0.2372713017</x:v>
      </x:c>
    </x:row>
    <x:row r="1572" ht="19" customHeight="1">
      <x:c r="A1572" s="29" t="str">
        <x:v>stagger_1</x:v>
      </x:c>
      <x:c r="B1572" s="38" t="str">
        <x:v>CMCSA</x:v>
      </x:c>
      <x:c r="C1572" s="38" t="str">
        <x:v>Other sectors</x:v>
      </x:c>
      <x:c r="D1572" s="30" t="n">
        <x:v>3</x:v>
      </x:c>
      <x:c r="E1572" s="38" t="str">
        <x:v>XLF</x:v>
      </x:c>
      <x:c r="F1572" s="38" t="n">
        <x:v>0.2008799999</x:v>
      </x:c>
      <x:c r="G1572" s="38" t="n">
        <x:v>0.7546535945</x:v>
      </x:c>
      <x:c r="H1572" s="42" t="b">
        <x:v>0</x:v>
      </x:c>
      <x:c r="I1572" s="42" t="b">
        <x:v>0</x:v>
      </x:c>
      <x:c r="J1572" s="38" t="n">
        <x:v>0.2372713017</x:v>
      </x:c>
    </x:row>
    <x:row r="1573" ht="19" customHeight="1">
      <x:c r="A1573" s="29" t="str">
        <x:v>stagger_1</x:v>
      </x:c>
      <x:c r="B1573" s="38" t="str">
        <x:v>CMCSA</x:v>
      </x:c>
      <x:c r="C1573" s="38" t="str">
        <x:v>Other sectors</x:v>
      </x:c>
      <x:c r="D1573" s="30" t="n">
        <x:v>3</x:v>
      </x:c>
      <x:c r="E1573" s="38" t="str">
        <x:v>XLK</x:v>
      </x:c>
      <x:c r="F1573" s="38" t="n">
        <x:v>0.0669310223</x:v>
      </x:c>
      <x:c r="G1573" s="38" t="n">
        <x:v>0.2183519212</x:v>
      </x:c>
      <x:c r="H1573" s="42" t="b">
        <x:v>1</x:v>
      </x:c>
      <x:c r="I1573" s="42" t="b">
        <x:v>0</x:v>
      </x:c>
      <x:c r="J1573" s="38" t="n">
        <x:v>0.2372713017</x:v>
      </x:c>
    </x:row>
    <x:row r="1574" ht="19" customHeight="1">
      <x:c r="A1574" s="29" t="str">
        <x:v>stagger_1</x:v>
      </x:c>
      <x:c r="B1574" s="38" t="str">
        <x:v>CMCSA</x:v>
      </x:c>
      <x:c r="C1574" s="38" t="str">
        <x:v>Other sectors</x:v>
      </x:c>
      <x:c r="D1574" s="30" t="n">
        <x:v>3</x:v>
      </x:c>
      <x:c r="E1574" s="38" t="str">
        <x:v>XLP</x:v>
      </x:c>
      <x:c r="F1574" s="38" t="n">
        <x:v>0.2006262047</x:v>
      </x:c>
      <x:c r="G1574" s="38" t="n">
        <x:v>0.7225990912</x:v>
      </x:c>
      <x:c r="H1574" s="42" t="b">
        <x:v>0</x:v>
      </x:c>
      <x:c r="I1574" s="42" t="b">
        <x:v>0</x:v>
      </x:c>
      <x:c r="J1574" s="38" t="n">
        <x:v>0.2372713017</x:v>
      </x:c>
    </x:row>
    <x:row r="1575" ht="19" customHeight="1">
      <x:c r="A1575" s="29" t="str">
        <x:v>stagger_1</x:v>
      </x:c>
      <x:c r="B1575" s="38" t="str">
        <x:v>CMCSA</x:v>
      </x:c>
      <x:c r="C1575" s="38" t="str">
        <x:v>Other sectors</x:v>
      </x:c>
      <x:c r="D1575" s="30" t="n">
        <x:v>3</x:v>
      </x:c>
      <x:c r="E1575" s="38" t="str">
        <x:v>XLRE</x:v>
      </x:c>
      <x:c r="F1575" s="38" t="n">
        <x:v>0.091410026</x:v>
      </x:c>
      <x:c r="G1575" s="38" t="n">
        <x:v>0.4133597924</x:v>
      </x:c>
      <x:c r="H1575" s="42" t="b">
        <x:v>0</x:v>
      </x:c>
      <x:c r="I1575" s="42" t="b">
        <x:v>0</x:v>
      </x:c>
      <x:c r="J1575" s="38" t="n">
        <x:v>0.2372713017</x:v>
      </x:c>
    </x:row>
    <x:row r="1576" ht="19" customHeight="1">
      <x:c r="A1576" s="29" t="str">
        <x:v>stagger_1</x:v>
      </x:c>
      <x:c r="B1576" s="38" t="str">
        <x:v>CMCSA</x:v>
      </x:c>
      <x:c r="C1576" s="38" t="str">
        <x:v>Other sectors</x:v>
      </x:c>
      <x:c r="D1576" s="30" t="n">
        <x:v>3</x:v>
      </x:c>
      <x:c r="E1576" s="38" t="str">
        <x:v>XLU</x:v>
      </x:c>
      <x:c r="F1576" s="38" t="n">
        <x:v>-0.0948355577</x:v>
      </x:c>
      <x:c r="G1576" s="38" t="n">
        <x:v>-0.5370669392</x:v>
      </x:c>
      <x:c r="H1576" s="42" t="b">
        <x:v>0</x:v>
      </x:c>
      <x:c r="I1576" s="42" t="b">
        <x:v>0</x:v>
      </x:c>
      <x:c r="J1576" s="38" t="n">
        <x:v>0.2372713017</x:v>
      </x:c>
    </x:row>
    <x:row r="1577" ht="19" customHeight="1">
      <x:c r="A1577" s="29" t="str">
        <x:v>stagger_1</x:v>
      </x:c>
      <x:c r="B1577" s="38" t="str">
        <x:v>CMCSA</x:v>
      </x:c>
      <x:c r="C1577" s="38" t="str">
        <x:v>Other sectors</x:v>
      </x:c>
      <x:c r="D1577" s="30" t="n">
        <x:v>3</x:v>
      </x:c>
      <x:c r="E1577" s="38" t="str">
        <x:v>XLV</x:v>
      </x:c>
      <x:c r="F1577" s="38" t="n">
        <x:v>0.0800143666</x:v>
      </x:c>
      <x:c r="G1577" s="38" t="n">
        <x:v>0.3879123961</x:v>
      </x:c>
      <x:c r="H1577" s="42" t="b">
        <x:v>0</x:v>
      </x:c>
      <x:c r="I1577" s="42" t="b">
        <x:v>0</x:v>
      </x:c>
      <x:c r="J1577" s="38" t="n">
        <x:v>0.2372713017</x:v>
      </x:c>
    </x:row>
    <x:row r="1578" ht="19" customHeight="1">
      <x:c r="A1578" s="29" t="str">
        <x:v>stagger_1</x:v>
      </x:c>
      <x:c r="B1578" s="38" t="str">
        <x:v>CMCSA</x:v>
      </x:c>
      <x:c r="C1578" s="38" t="str">
        <x:v>Other sectors</x:v>
      </x:c>
      <x:c r="D1578" s="30" t="n">
        <x:v>4</x:v>
      </x:c>
      <x:c r="E1578" s="38" t="str">
        <x:v>XLB</x:v>
      </x:c>
      <x:c r="F1578" s="38" t="n">
        <x:v>0.1084097754</x:v>
      </x:c>
      <x:c r="G1578" s="38" t="n">
        <x:v>0.5575427525</x:v>
      </x:c>
      <x:c r="H1578" s="42" t="b">
        <x:v>0</x:v>
      </x:c>
      <x:c r="I1578" s="42" t="b">
        <x:v>0</x:v>
      </x:c>
      <x:c r="J1578" s="38" t="n">
        <x:v>0.236759118</x:v>
      </x:c>
    </x:row>
    <x:row r="1579" ht="19" customHeight="1">
      <x:c r="A1579" s="29" t="str">
        <x:v>stagger_1</x:v>
      </x:c>
      <x:c r="B1579" s="38" t="str">
        <x:v>CMCSA</x:v>
      </x:c>
      <x:c r="C1579" s="38" t="str">
        <x:v>Other sectors</x:v>
      </x:c>
      <x:c r="D1579" s="30" t="n">
        <x:v>4</x:v>
      </x:c>
      <x:c r="E1579" s="38" t="str">
        <x:v>XLE</x:v>
      </x:c>
      <x:c r="F1579" s="38" t="n">
        <x:v>0.2898658273</x:v>
      </x:c>
      <x:c r="G1579" s="38" t="n">
        <x:v>3.3285995542</x:v>
      </x:c>
      <x:c r="H1579" s="42" t="b">
        <x:v>0</x:v>
      </x:c>
      <x:c r="I1579" s="42" t="b">
        <x:v>0</x:v>
      </x:c>
      <x:c r="J1579" s="38" t="n">
        <x:v>0.236759118</x:v>
      </x:c>
    </x:row>
    <x:row r="1580" ht="19" customHeight="1">
      <x:c r="A1580" s="29" t="str">
        <x:v>stagger_1</x:v>
      </x:c>
      <x:c r="B1580" s="38" t="str">
        <x:v>CMCSA</x:v>
      </x:c>
      <x:c r="C1580" s="38" t="str">
        <x:v>Other sectors</x:v>
      </x:c>
      <x:c r="D1580" s="30" t="n">
        <x:v>4</x:v>
      </x:c>
      <x:c r="E1580" s="38" t="str">
        <x:v>XLF</x:v>
      </x:c>
      <x:c r="F1580" s="38" t="n">
        <x:v>0.1690295898</x:v>
      </x:c>
      <x:c r="G1580" s="38" t="n">
        <x:v>0.7641969734</x:v>
      </x:c>
      <x:c r="H1580" s="42" t="b">
        <x:v>0</x:v>
      </x:c>
      <x:c r="I1580" s="42" t="b">
        <x:v>0</x:v>
      </x:c>
      <x:c r="J1580" s="38" t="n">
        <x:v>0.236759118</x:v>
      </x:c>
    </x:row>
    <x:row r="1581" ht="19" customHeight="1">
      <x:c r="A1581" s="29" t="str">
        <x:v>stagger_1</x:v>
      </x:c>
      <x:c r="B1581" s="38" t="str">
        <x:v>CMCSA</x:v>
      </x:c>
      <x:c r="C1581" s="38" t="str">
        <x:v>Other sectors</x:v>
      </x:c>
      <x:c r="D1581" s="30" t="n">
        <x:v>4</x:v>
      </x:c>
      <x:c r="E1581" s="38" t="str">
        <x:v>XLP</x:v>
      </x:c>
      <x:c r="F1581" s="38" t="n">
        <x:v>0.1816612621</x:v>
      </x:c>
      <x:c r="G1581" s="38" t="n">
        <x:v>0.6934682732</x:v>
      </x:c>
      <x:c r="H1581" s="42" t="b">
        <x:v>0</x:v>
      </x:c>
      <x:c r="I1581" s="42" t="b">
        <x:v>0</x:v>
      </x:c>
      <x:c r="J1581" s="38" t="n">
        <x:v>0.236759118</x:v>
      </x:c>
    </x:row>
    <x:row r="1582" ht="19" customHeight="1">
      <x:c r="A1582" s="29" t="str">
        <x:v>stagger_1</x:v>
      </x:c>
      <x:c r="B1582" s="38" t="str">
        <x:v>CMCSA</x:v>
      </x:c>
      <x:c r="C1582" s="38" t="str">
        <x:v>Other sectors</x:v>
      </x:c>
      <x:c r="D1582" s="30" t="n">
        <x:v>4</x:v>
      </x:c>
      <x:c r="E1582" s="38" t="str">
        <x:v>XLRE</x:v>
      </x:c>
      <x:c r="F1582" s="38" t="n">
        <x:v>0.0865164468</x:v>
      </x:c>
      <x:c r="G1582" s="38" t="n">
        <x:v>0.3958824103</x:v>
      </x:c>
      <x:c r="H1582" s="42" t="b">
        <x:v>0</x:v>
      </x:c>
      <x:c r="I1582" s="42" t="b">
        <x:v>0</x:v>
      </x:c>
      <x:c r="J1582" s="38" t="n">
        <x:v>0.236759118</x:v>
      </x:c>
    </x:row>
    <x:row r="1583" ht="19" customHeight="1">
      <x:c r="A1583" s="29" t="str">
        <x:v>stagger_1</x:v>
      </x:c>
      <x:c r="B1583" s="38" t="str">
        <x:v>CMCSA</x:v>
      </x:c>
      <x:c r="C1583" s="38" t="str">
        <x:v>Other sectors</x:v>
      </x:c>
      <x:c r="D1583" s="30" t="n">
        <x:v>4</x:v>
      </x:c>
      <x:c r="E1583" s="38" t="str">
        <x:v>XLU</x:v>
      </x:c>
      <x:c r="F1583" s="38" t="n">
        <x:v>-0.0987340151</x:v>
      </x:c>
      <x:c r="G1583" s="38" t="n">
        <x:v>-0.5657788138</x:v>
      </x:c>
      <x:c r="H1583" s="42" t="b">
        <x:v>0</x:v>
      </x:c>
      <x:c r="I1583" s="42" t="b">
        <x:v>0</x:v>
      </x:c>
      <x:c r="J1583" s="38" t="n">
        <x:v>0.236759118</x:v>
      </x:c>
    </x:row>
    <x:row r="1584" ht="19" customHeight="1">
      <x:c r="A1584" s="29" t="str">
        <x:v>stagger_1</x:v>
      </x:c>
      <x:c r="B1584" s="38" t="str">
        <x:v>CMCSA</x:v>
      </x:c>
      <x:c r="C1584" s="38" t="str">
        <x:v>Other sectors</x:v>
      </x:c>
      <x:c r="D1584" s="30" t="n">
        <x:v>4</x:v>
      </x:c>
      <x:c r="E1584" s="38" t="str">
        <x:v>XLV</x:v>
      </x:c>
      <x:c r="F1584" s="38" t="n">
        <x:v>0.0669799194</x:v>
      </x:c>
      <x:c r="G1584" s="38" t="n">
        <x:v>0.341503713</x:v>
      </x:c>
      <x:c r="H1584" s="42" t="b">
        <x:v>1</x:v>
      </x:c>
      <x:c r="I1584" s="42" t="b">
        <x:v>0</x:v>
      </x:c>
      <x:c r="J1584" s="38" t="n">
        <x:v>0.236759118</x:v>
      </x:c>
    </x:row>
    <x:row r="1585" ht="19" customHeight="1">
      <x:c r="A1585" s="29" t="str">
        <x:v>stagger_1</x:v>
      </x:c>
      <x:c r="B1585" s="38" t="str">
        <x:v>CMCSA</x:v>
      </x:c>
      <x:c r="C1585" s="38" t="str">
        <x:v>Other sectors</x:v>
      </x:c>
      <x:c r="D1585" s="30" t="n">
        <x:v>5</x:v>
      </x:c>
      <x:c r="E1585" s="38" t="str">
        <x:v>XLB</x:v>
      </x:c>
      <x:c r="F1585" s="38" t="n">
        <x:v>0.1046713116</x:v>
      </x:c>
      <x:c r="G1585" s="38" t="n">
        <x:v>0.542463485</x:v>
      </x:c>
      <x:c r="H1585" s="42" t="b">
        <x:v>0</x:v>
      </x:c>
      <x:c r="I1585" s="42" t="b">
        <x:v>0</x:v>
      </x:c>
      <x:c r="J1585" s="38" t="n">
        <x:v>0.235522829</x:v>
      </x:c>
    </x:row>
    <x:row r="1586" ht="19" customHeight="1">
      <x:c r="A1586" s="29" t="str">
        <x:v>stagger_1</x:v>
      </x:c>
      <x:c r="B1586" s="38" t="str">
        <x:v>CMCSA</x:v>
      </x:c>
      <x:c r="C1586" s="38" t="str">
        <x:v>Other sectors</x:v>
      </x:c>
      <x:c r="D1586" s="30" t="n">
        <x:v>5</x:v>
      </x:c>
      <x:c r="E1586" s="38" t="str">
        <x:v>XLE</x:v>
      </x:c>
      <x:c r="F1586" s="38" t="n">
        <x:v>0.2919624287</x:v>
      </x:c>
      <x:c r="G1586" s="38" t="n">
        <x:v>3.3815606393</x:v>
      </x:c>
      <x:c r="H1586" s="42" t="b">
        <x:v>0</x:v>
      </x:c>
      <x:c r="I1586" s="42" t="b">
        <x:v>0</x:v>
      </x:c>
      <x:c r="J1586" s="38" t="n">
        <x:v>0.235522829</x:v>
      </x:c>
    </x:row>
    <x:row r="1587" ht="19" customHeight="1">
      <x:c r="A1587" s="29" t="str">
        <x:v>stagger_1</x:v>
      </x:c>
      <x:c r="B1587" s="38" t="str">
        <x:v>CMCSA</x:v>
      </x:c>
      <x:c r="C1587" s="38" t="str">
        <x:v>Other sectors</x:v>
      </x:c>
      <x:c r="D1587" s="30" t="n">
        <x:v>5</x:v>
      </x:c>
      <x:c r="E1587" s="38" t="str">
        <x:v>XLF</x:v>
      </x:c>
      <x:c r="F1587" s="38" t="n">
        <x:v>0.1831797187</x:v>
      </x:c>
      <x:c r="G1587" s="38" t="n">
        <x:v>0.848244145</x:v>
      </x:c>
      <x:c r="H1587" s="42" t="b">
        <x:v>0</x:v>
      </x:c>
      <x:c r="I1587" s="42" t="b">
        <x:v>0</x:v>
      </x:c>
      <x:c r="J1587" s="38" t="n">
        <x:v>0.235522829</x:v>
      </x:c>
    </x:row>
    <x:row r="1588" ht="19" customHeight="1">
      <x:c r="A1588" s="29" t="str">
        <x:v>stagger_1</x:v>
      </x:c>
      <x:c r="B1588" s="38" t="str">
        <x:v>CMCSA</x:v>
      </x:c>
      <x:c r="C1588" s="38" t="str">
        <x:v>Other sectors</x:v>
      </x:c>
      <x:c r="D1588" s="30" t="n">
        <x:v>5</x:v>
      </x:c>
      <x:c r="E1588" s="38" t="str">
        <x:v>XLP</x:v>
      </x:c>
      <x:c r="F1588" s="38" t="n">
        <x:v>0.2105101643</x:v>
      </x:c>
      <x:c r="G1588" s="38" t="n">
        <x:v>0.8541318499</x:v>
      </x:c>
      <x:c r="H1588" s="42" t="b">
        <x:v>0</x:v>
      </x:c>
      <x:c r="I1588" s="42" t="b">
        <x:v>0</x:v>
      </x:c>
      <x:c r="J1588" s="38" t="n">
        <x:v>0.235522829</x:v>
      </x:c>
    </x:row>
    <x:row r="1589" ht="19" customHeight="1">
      <x:c r="A1589" s="29" t="str">
        <x:v>stagger_1</x:v>
      </x:c>
      <x:c r="B1589" s="38" t="str">
        <x:v>CMCSA</x:v>
      </x:c>
      <x:c r="C1589" s="38" t="str">
        <x:v>Other sectors</x:v>
      </x:c>
      <x:c r="D1589" s="30" t="n">
        <x:v>5</x:v>
      </x:c>
      <x:c r="E1589" s="38" t="str">
        <x:v>XLRE</x:v>
      </x:c>
      <x:c r="F1589" s="38" t="n">
        <x:v>0.0979614562</x:v>
      </x:c>
      <x:c r="G1589" s="38" t="n">
        <x:v>0.4563878649</x:v>
      </x:c>
      <x:c r="H1589" s="42" t="b">
        <x:v>1</x:v>
      </x:c>
      <x:c r="I1589" s="42" t="b">
        <x:v>0</x:v>
      </x:c>
      <x:c r="J1589" s="38" t="n">
        <x:v>0.235522829</x:v>
      </x:c>
    </x:row>
    <x:row r="1590" ht="19" customHeight="1">
      <x:c r="A1590" s="29" t="str">
        <x:v>stagger_1</x:v>
      </x:c>
      <x:c r="B1590" s="38" t="str">
        <x:v>CMCSA</x:v>
      </x:c>
      <x:c r="C1590" s="38" t="str">
        <x:v>Other sectors</x:v>
      </x:c>
      <x:c r="D1590" s="30" t="n">
        <x:v>5</x:v>
      </x:c>
      <x:c r="E1590" s="38" t="str">
        <x:v>XLU</x:v>
      </x:c>
      <x:c r="F1590" s="38" t="n">
        <x:v>-0.0992300432</x:v>
      </x:c>
      <x:c r="G1590" s="38" t="n">
        <x:v>-0.5721130314</x:v>
      </x:c>
      <x:c r="H1590" s="42" t="b">
        <x:v>0</x:v>
      </x:c>
      <x:c r="I1590" s="42" t="b">
        <x:v>0</x:v>
      </x:c>
      <x:c r="J1590" s="38" t="n">
        <x:v>0.235522829</x:v>
      </x:c>
    </x:row>
    <x:row r="1591" ht="19" customHeight="1">
      <x:c r="A1591" s="29" t="str">
        <x:v>stagger_1</x:v>
      </x:c>
      <x:c r="B1591" s="38" t="str">
        <x:v>CMCSA</x:v>
      </x:c>
      <x:c r="C1591" s="38" t="str">
        <x:v>Other sectors</x:v>
      </x:c>
      <x:c r="D1591" s="30" t="n">
        <x:v>6</x:v>
      </x:c>
      <x:c r="E1591" s="38" t="str">
        <x:v>XLB</x:v>
      </x:c>
      <x:c r="F1591" s="38" t="n">
        <x:v>0.1071442842</x:v>
      </x:c>
      <x:c r="G1591" s="38" t="n">
        <x:v>0.5584944861</x:v>
      </x:c>
      <x:c r="H1591" s="42" t="b">
        <x:v>0</x:v>
      </x:c>
      <x:c r="I1591" s="42" t="b">
        <x:v>0</x:v>
      </x:c>
      <x:c r="J1591" s="38" t="n">
        <x:v>0.233341557</x:v>
      </x:c>
    </x:row>
    <x:row r="1592" ht="19" customHeight="1">
      <x:c r="A1592" s="29" t="str">
        <x:v>stagger_1</x:v>
      </x:c>
      <x:c r="B1592" s="38" t="str">
        <x:v>CMCSA</x:v>
      </x:c>
      <x:c r="C1592" s="38" t="str">
        <x:v>Other sectors</x:v>
      </x:c>
      <x:c r="D1592" s="30" t="n">
        <x:v>6</x:v>
      </x:c>
      <x:c r="E1592" s="38" t="str">
        <x:v>XLE</x:v>
      </x:c>
      <x:c r="F1592" s="38" t="n">
        <x:v>0.2924069871</x:v>
      </x:c>
      <x:c r="G1592" s="38" t="n">
        <x:v>3.4051898311</x:v>
      </x:c>
      <x:c r="H1592" s="42" t="b">
        <x:v>0</x:v>
      </x:c>
      <x:c r="I1592" s="42" t="b">
        <x:v>0</x:v>
      </x:c>
      <x:c r="J1592" s="38" t="n">
        <x:v>0.233341557</x:v>
      </x:c>
    </x:row>
    <x:row r="1593" ht="19" customHeight="1">
      <x:c r="A1593" s="29" t="str">
        <x:v>stagger_1</x:v>
      </x:c>
      <x:c r="B1593" s="38" t="str">
        <x:v>CMCSA</x:v>
      </x:c>
      <x:c r="C1593" s="38" t="str">
        <x:v>Other sectors</x:v>
      </x:c>
      <x:c r="D1593" s="30" t="n">
        <x:v>6</x:v>
      </x:c>
      <x:c r="E1593" s="38" t="str">
        <x:v>XLF</x:v>
      </x:c>
      <x:c r="F1593" s="38" t="n">
        <x:v>0.2035785383</x:v>
      </x:c>
      <x:c r="G1593" s="38" t="n">
        <x:v>0.9687650708</x:v>
      </x:c>
      <x:c r="H1593" s="42" t="b">
        <x:v>0</x:v>
      </x:c>
      <x:c r="I1593" s="42" t="b">
        <x:v>0</x:v>
      </x:c>
      <x:c r="J1593" s="38" t="n">
        <x:v>0.233341557</x:v>
      </x:c>
    </x:row>
    <x:row r="1594" ht="19" customHeight="1">
      <x:c r="A1594" s="29" t="str">
        <x:v>stagger_1</x:v>
      </x:c>
      <x:c r="B1594" s="38" t="str">
        <x:v>CMCSA</x:v>
      </x:c>
      <x:c r="C1594" s="38" t="str">
        <x:v>Other sectors</x:v>
      </x:c>
      <x:c r="D1594" s="30" t="n">
        <x:v>6</x:v>
      </x:c>
      <x:c r="E1594" s="38" t="str">
        <x:v>XLP</x:v>
      </x:c>
      <x:c r="F1594" s="38" t="n">
        <x:v>0.2530557461</x:v>
      </x:c>
      <x:c r="G1594" s="38" t="n">
        <x:v>1.115143508</x:v>
      </x:c>
      <x:c r="H1594" s="42" t="b">
        <x:v>0</x:v>
      </x:c>
      <x:c r="I1594" s="42" t="b">
        <x:v>0</x:v>
      </x:c>
      <x:c r="J1594" s="38" t="n">
        <x:v>0.233341557</x:v>
      </x:c>
    </x:row>
    <x:row r="1595" ht="19" customHeight="1">
      <x:c r="A1595" s="29" t="str">
        <x:v>stagger_1</x:v>
      </x:c>
      <x:c r="B1595" s="38" t="str">
        <x:v>CMCSA</x:v>
      </x:c>
      <x:c r="C1595" s="38" t="str">
        <x:v>Other sectors</x:v>
      </x:c>
      <x:c r="D1595" s="30" t="n">
        <x:v>6</x:v>
      </x:c>
      <x:c r="E1595" s="38" t="str">
        <x:v>XLU</x:v>
      </x:c>
      <x:c r="F1595" s="38" t="n">
        <x:v>-0.0751124462</x:v>
      </x:c>
      <x:c r="G1595" s="38" t="n">
        <x:v>-0.4571317486</x:v>
      </x:c>
      <x:c r="H1595" s="42" t="b">
        <x:v>1</x:v>
      </x:c>
      <x:c r="I1595" s="42" t="b">
        <x:v>0</x:v>
      </x:c>
      <x:c r="J1595" s="38" t="n">
        <x:v>0.233341557</x:v>
      </x:c>
    </x:row>
    <x:row r="1596" ht="19" customHeight="1">
      <x:c r="A1596" s="29" t="str">
        <x:v>stagger_1</x:v>
      </x:c>
      <x:c r="B1596" s="38" t="str">
        <x:v>CMCSA</x:v>
      </x:c>
      <x:c r="C1596" s="38" t="str">
        <x:v>Other sectors</x:v>
      </x:c>
      <x:c r="D1596" s="30" t="n">
        <x:v>7</x:v>
      </x:c>
      <x:c r="E1596" s="38" t="str">
        <x:v>XLB</x:v>
      </x:c>
      <x:c r="F1596" s="38" t="n">
        <x:v>0.0906988313</x:v>
      </x:c>
      <x:c r="G1596" s="38" t="n">
        <x:v>0.4838686048</x:v>
      </x:c>
      <x:c r="H1596" s="42" t="b">
        <x:v>1</x:v>
      </x:c>
      <x:c r="I1596" s="42" t="b">
        <x:v>0</x:v>
      </x:c>
      <x:c r="J1596" s="38" t="n">
        <x:v>0.2311765815</x:v>
      </x:c>
    </x:row>
    <x:row r="1597" ht="19" customHeight="1">
      <x:c r="A1597" s="29" t="str">
        <x:v>stagger_1</x:v>
      </x:c>
      <x:c r="B1597" s="38" t="str">
        <x:v>CMCSA</x:v>
      </x:c>
      <x:c r="C1597" s="38" t="str">
        <x:v>Other sectors</x:v>
      </x:c>
      <x:c r="D1597" s="30" t="n">
        <x:v>7</x:v>
      </x:c>
      <x:c r="E1597" s="38" t="str">
        <x:v>XLE</x:v>
      </x:c>
      <x:c r="F1597" s="38" t="n">
        <x:v>0.2944020296</x:v>
      </x:c>
      <x:c r="G1597" s="38" t="n">
        <x:v>3.4511070858</x:v>
      </x:c>
      <x:c r="H1597" s="42" t="b">
        <x:v>0</x:v>
      </x:c>
      <x:c r="I1597" s="42" t="b">
        <x:v>0</x:v>
      </x:c>
      <x:c r="J1597" s="38" t="n">
        <x:v>0.2311765815</x:v>
      </x:c>
    </x:row>
    <x:row r="1598" ht="19" customHeight="1">
      <x:c r="A1598" s="29" t="str">
        <x:v>stagger_1</x:v>
      </x:c>
      <x:c r="B1598" s="38" t="str">
        <x:v>CMCSA</x:v>
      </x:c>
      <x:c r="C1598" s="38" t="str">
        <x:v>Other sectors</x:v>
      </x:c>
      <x:c r="D1598" s="30" t="n">
        <x:v>7</x:v>
      </x:c>
      <x:c r="E1598" s="38" t="str">
        <x:v>XLF</x:v>
      </x:c>
      <x:c r="F1598" s="38" t="n">
        <x:v>0.2012352829</x:v>
      </x:c>
      <x:c r="G1598" s="38" t="n">
        <x:v>0.9629911257</x:v>
      </x:c>
      <x:c r="H1598" s="42" t="b">
        <x:v>0</x:v>
      </x:c>
      <x:c r="I1598" s="42" t="b">
        <x:v>0</x:v>
      </x:c>
      <x:c r="J1598" s="38" t="n">
        <x:v>0.2311765815</x:v>
      </x:c>
    </x:row>
    <x:row r="1599" ht="19" customHeight="1">
      <x:c r="A1599" s="29" t="str">
        <x:v>stagger_1</x:v>
      </x:c>
      <x:c r="B1599" s="38" t="str">
        <x:v>CMCSA</x:v>
      </x:c>
      <x:c r="C1599" s="38" t="str">
        <x:v>Other sectors</x:v>
      </x:c>
      <x:c r="D1599" s="30" t="n">
        <x:v>7</x:v>
      </x:c>
      <x:c r="E1599" s="38" t="str">
        <x:v>XLP</x:v>
      </x:c>
      <x:c r="F1599" s="38" t="n">
        <x:v>0.2123363204</x:v>
      </x:c>
      <x:c r="G1599" s="38" t="n">
        <x:v>1.0227675385</x:v>
      </x:c>
      <x:c r="H1599" s="42" t="b">
        <x:v>0</x:v>
      </x:c>
      <x:c r="I1599" s="42" t="b">
        <x:v>0</x:v>
      </x:c>
      <x:c r="J1599" s="38" t="n">
        <x:v>0.2311765815</x:v>
      </x:c>
    </x:row>
    <x:row r="1600" ht="19" customHeight="1">
      <x:c r="A1600" s="29" t="str">
        <x:v>stagger_1</x:v>
      </x:c>
      <x:c r="B1600" s="38" t="str">
        <x:v>CMCSA</x:v>
      </x:c>
      <x:c r="C1600" s="38" t="str">
        <x:v>Other sectors</x:v>
      </x:c>
      <x:c r="D1600" s="30" t="n">
        <x:v>8</x:v>
      </x:c>
      <x:c r="E1600" s="38" t="str">
        <x:v>XLE</x:v>
      </x:c>
      <x:c r="F1600" s="38" t="n">
        <x:v>0.3030848607</x:v>
      </x:c>
      <x:c r="G1600" s="38" t="n">
        <x:v>3.6526565484</x:v>
      </x:c>
      <x:c r="H1600" s="42" t="b">
        <x:v>0</x:v>
      </x:c>
      <x:c r="I1600" s="42" t="b">
        <x:v>0</x:v>
      </x:c>
      <x:c r="J1600" s="38" t="n">
        <x:v>0.2287765319</x:v>
      </x:c>
    </x:row>
    <x:row r="1601" ht="19" customHeight="1">
      <x:c r="A1601" s="29" t="str">
        <x:v>stagger_1</x:v>
      </x:c>
      <x:c r="B1601" s="38" t="str">
        <x:v>CMCSA</x:v>
      </x:c>
      <x:c r="C1601" s="38" t="str">
        <x:v>Other sectors</x:v>
      </x:c>
      <x:c r="D1601" s="30" t="n">
        <x:v>8</x:v>
      </x:c>
      <x:c r="E1601" s="38" t="str">
        <x:v>XLF</x:v>
      </x:c>
      <x:c r="F1601" s="38" t="n">
        <x:v>0.2365129286</x:v>
      </x:c>
      <x:c r="G1601" s="38" t="n">
        <x:v>1.2138280997</x:v>
      </x:c>
      <x:c r="H1601" s="42" t="b">
        <x:v>1</x:v>
      </x:c>
      <x:c r="I1601" s="42" t="b">
        <x:v>0</x:v>
      </x:c>
      <x:c r="J1601" s="38" t="n">
        <x:v>0.2287765319</x:v>
      </x:c>
    </x:row>
    <x:row r="1602" ht="19" customHeight="1">
      <x:c r="A1602" s="29" t="str">
        <x:v>stagger_1</x:v>
      </x:c>
      <x:c r="B1602" s="38" t="str">
        <x:v>CMCSA</x:v>
      </x:c>
      <x:c r="C1602" s="38" t="str">
        <x:v>Other sectors</x:v>
      </x:c>
      <x:c r="D1602" s="30" t="n">
        <x:v>8</x:v>
      </x:c>
      <x:c r="E1602" s="38" t="str">
        <x:v>XLP</x:v>
      </x:c>
      <x:c r="F1602" s="38" t="n">
        <x:v>0.2618609593</x:v>
      </x:c>
      <x:c r="G1602" s="38" t="n">
        <x:v>1.4570979252</x:v>
      </x:c>
      <x:c r="H1602" s="42" t="b">
        <x:v>0</x:v>
      </x:c>
      <x:c r="I1602" s="42" t="b">
        <x:v>0</x:v>
      </x:c>
      <x:c r="J1602" s="38" t="n">
        <x:v>0.2287765319</x:v>
      </x:c>
    </x:row>
    <x:row r="1603" ht="19" customHeight="1">
      <x:c r="A1603" s="29" t="str">
        <x:v>stagger_1</x:v>
      </x:c>
      <x:c r="B1603" s="38" t="str">
        <x:v>CMCSA</x:v>
      </x:c>
      <x:c r="C1603" s="38" t="str">
        <x:v>Other sectors</x:v>
      </x:c>
      <x:c r="D1603" s="30" t="n">
        <x:v>9</x:v>
      </x:c>
      <x:c r="E1603" s="38" t="str">
        <x:v>XLE</x:v>
      </x:c>
      <x:c r="F1603" s="38" t="n">
        <x:v>0.3302896801</x:v>
      </x:c>
      <x:c r="G1603" s="38" t="n">
        <x:v>4.1215327587</x:v>
      </x:c>
      <x:c r="H1603" s="42" t="b">
        <x:v>0</x:v>
      </x:c>
      <x:c r="I1603" s="42" t="b">
        <x:v>0</x:v>
      </x:c>
      <x:c r="J1603" s="38" t="n">
        <x:v>0.2138251608</x:v>
      </x:c>
    </x:row>
    <x:row r="1604" ht="19" customHeight="1">
      <x:c r="A1604" s="29" t="str">
        <x:v>stagger_1</x:v>
      </x:c>
      <x:c r="B1604" s="38" t="str">
        <x:v>CMCSA</x:v>
      </x:c>
      <x:c r="C1604" s="38" t="str">
        <x:v>Other sectors</x:v>
      </x:c>
      <x:c r="D1604" s="30" t="n">
        <x:v>9</x:v>
      </x:c>
      <x:c r="E1604" s="38" t="str">
        <x:v>XLP</x:v>
      </x:c>
      <x:c r="F1604" s="38" t="n">
        <x:v>0.2586462367</x:v>
      </x:c>
      <x:c r="G1604" s="38" t="n">
        <x:v>1.4349620891</x:v>
      </x:c>
      <x:c r="H1604" s="42" t="b">
        <x:v>1</x:v>
      </x:c>
      <x:c r="I1604" s="42" t="b">
        <x:v>0</x:v>
      </x:c>
      <x:c r="J1604" s="38" t="n">
        <x:v>0.2138251608</x:v>
      </x:c>
    </x:row>
    <x:row r="1605" ht="19" customHeight="1">
      <x:c r="A1605" s="29" t="str">
        <x:v>stagger_1</x:v>
      </x:c>
      <x:c r="B1605" s="38" t="str">
        <x:v>CMCSA</x:v>
      </x:c>
      <x:c r="C1605" s="38" t="str">
        <x:v>Other sectors</x:v>
      </x:c>
      <x:c r="D1605" s="30" t="n">
        <x:v>10</x:v>
      </x:c>
      <x:c r="E1605" s="38" t="str">
        <x:v>XLE</x:v>
      </x:c>
      <x:c r="F1605" s="38" t="n">
        <x:v>0.3452709527</x:v>
      </x:c>
      <x:c r="G1605" s="38" t="n">
        <x:v>4.3163064352</x:v>
      </x:c>
      <x:c r="H1605" s="42" t="b">
        <x:v>0</x:v>
      </x:c>
      <x:c r="I1605" s="42" t="b">
        <x:v>1</x:v>
      </x:c>
      <x:c r="J1605" s="38" t="n">
        <x:v>0.1928014551</x:v>
      </x:c>
    </x:row>
    <x:row r="1606" ht="19" customHeight="1">
      <x:c r="A1606" s="29" t="str">
        <x:v>stagger_1</x:v>
      </x:c>
      <x:c r="B1606" s="38" t="str">
        <x:v>MU</x:v>
      </x:c>
      <x:c r="C1606" s="38" t="str">
        <x:v>Other FX</x:v>
      </x:c>
      <x:c r="D1606" s="30" t="n">
        <x:v>1</x:v>
      </x:c>
      <x:c r="E1606" s="38" t="str">
        <x:v>AUD/USD</x:v>
      </x:c>
      <x:c r="F1606" s="38" t="n">
        <x:v>2.8063684535</x:v>
      </x:c>
      <x:c r="G1606" s="38" t="n">
        <x:v>1.9350286013</x:v>
      </x:c>
      <x:c r="H1606" s="42" t="b">
        <x:v>0</x:v>
      </x:c>
      <x:c r="I1606" s="42" t="b">
        <x:v>0</x:v>
      </x:c>
      <x:c r="J1606" s="38" t="n">
        <x:v>0.1575308475</x:v>
      </x:c>
    </x:row>
    <x:row r="1607" ht="19" customHeight="1">
      <x:c r="A1607" s="29" t="str">
        <x:v>stagger_1</x:v>
      </x:c>
      <x:c r="B1607" s="38" t="str">
        <x:v>MU</x:v>
      </x:c>
      <x:c r="C1607" s="38" t="str">
        <x:v>Other FX</x:v>
      </x:c>
      <x:c r="D1607" s="30" t="n">
        <x:v>1</x:v>
      </x:c>
      <x:c r="E1607" s="38" t="str">
        <x:v>CAD/USD</x:v>
      </x:c>
      <x:c r="F1607" s="38" t="n">
        <x:v>-0.8351850114</x:v>
      </x:c>
      <x:c r="G1607" s="38" t="n">
        <x:v>-0.4768940479</x:v>
      </x:c>
      <x:c r="H1607" s="42" t="b">
        <x:v>0</x:v>
      </x:c>
      <x:c r="I1607" s="42" t="b">
        <x:v>0</x:v>
      </x:c>
      <x:c r="J1607" s="38" t="n">
        <x:v>0.1575308475</x:v>
      </x:c>
    </x:row>
    <x:row r="1608" ht="19" customHeight="1">
      <x:c r="A1608" s="29" t="str">
        <x:v>stagger_1</x:v>
      </x:c>
      <x:c r="B1608" s="38" t="str">
        <x:v>MU</x:v>
      </x:c>
      <x:c r="C1608" s="38" t="str">
        <x:v>Other FX</x:v>
      </x:c>
      <x:c r="D1608" s="30" t="n">
        <x:v>1</x:v>
      </x:c>
      <x:c r="E1608" s="38" t="str">
        <x:v>DKK/USD</x:v>
      </x:c>
      <x:c r="F1608" s="38" t="n">
        <x:v>0.014823749</x:v>
      </x:c>
      <x:c r="G1608" s="38" t="n">
        <x:v>0.0012158397</x:v>
      </x:c>
      <x:c r="H1608" s="42" t="b">
        <x:v>1</x:v>
      </x:c>
      <x:c r="I1608" s="42" t="b">
        <x:v>0</x:v>
      </x:c>
      <x:c r="J1608" s="38" t="n">
        <x:v>0.1575308475</x:v>
      </x:c>
    </x:row>
    <x:row r="1609" ht="19" customHeight="1">
      <x:c r="A1609" s="29" t="str">
        <x:v>stagger_1</x:v>
      </x:c>
      <x:c r="B1609" s="38" t="str">
        <x:v>MU</x:v>
      </x:c>
      <x:c r="C1609" s="38" t="str">
        <x:v>Other FX</x:v>
      </x:c>
      <x:c r="D1609" s="30" t="n">
        <x:v>1</x:v>
      </x:c>
      <x:c r="E1609" s="38" t="str">
        <x:v>EUR/USD</x:v>
      </x:c>
      <x:c r="F1609" s="38" t="n">
        <x:v>-2.5730807801</x:v>
      </x:c>
      <x:c r="G1609" s="38" t="n">
        <x:v>-0.2307210218</x:v>
      </x:c>
      <x:c r="H1609" s="42" t="b">
        <x:v>0</x:v>
      </x:c>
      <x:c r="I1609" s="42" t="b">
        <x:v>0</x:v>
      </x:c>
      <x:c r="J1609" s="38" t="n">
        <x:v>0.1575308475</x:v>
      </x:c>
    </x:row>
    <x:row r="1610" ht="19" customHeight="1">
      <x:c r="A1610" s="29" t="str">
        <x:v>stagger_1</x:v>
      </x:c>
      <x:c r="B1610" s="38" t="str">
        <x:v>MU</x:v>
      </x:c>
      <x:c r="C1610" s="38" t="str">
        <x:v>Other FX</x:v>
      </x:c>
      <x:c r="D1610" s="30" t="n">
        <x:v>1</x:v>
      </x:c>
      <x:c r="E1610" s="38" t="str">
        <x:v>MXN/USD</x:v>
      </x:c>
      <x:c r="F1610" s="38" t="n">
        <x:v>2.1308868211</x:v>
      </x:c>
      <x:c r="G1610" s="38" t="n">
        <x:v>2.2934226187</x:v>
      </x:c>
      <x:c r="H1610" s="42" t="b">
        <x:v>0</x:v>
      </x:c>
      <x:c r="I1610" s="42" t="b">
        <x:v>0</x:v>
      </x:c>
      <x:c r="J1610" s="38" t="n">
        <x:v>0.1575308475</x:v>
      </x:c>
    </x:row>
    <x:row r="1611" ht="19" customHeight="1">
      <x:c r="A1611" s="29" t="str">
        <x:v>stagger_1</x:v>
      </x:c>
      <x:c r="B1611" s="38" t="str">
        <x:v>MU</x:v>
      </x:c>
      <x:c r="C1611" s="38" t="str">
        <x:v>Other FX</x:v>
      </x:c>
      <x:c r="D1611" s="30" t="n">
        <x:v>1</x:v>
      </x:c>
      <x:c r="E1611" s="38" t="str">
        <x:v>SGD/USD</x:v>
      </x:c>
      <x:c r="F1611" s="38" t="n">
        <x:v>-0.6903621871</x:v>
      </x:c>
      <x:c r="G1611" s="38" t="n">
        <x:v>-0.1966030166</x:v>
      </x:c>
      <x:c r="H1611" s="42" t="b">
        <x:v>0</x:v>
      </x:c>
      <x:c r="I1611" s="42" t="b">
        <x:v>0</x:v>
      </x:c>
      <x:c r="J1611" s="38" t="n">
        <x:v>0.1575308475</x:v>
      </x:c>
    </x:row>
    <x:row r="1612" ht="19" customHeight="1">
      <x:c r="A1612" s="29" t="str">
        <x:v>stagger_1</x:v>
      </x:c>
      <x:c r="B1612" s="38" t="str">
        <x:v>MU</x:v>
      </x:c>
      <x:c r="C1612" s="38" t="str">
        <x:v>Other FX</x:v>
      </x:c>
      <x:c r="D1612" s="30" t="n">
        <x:v>2</x:v>
      </x:c>
      <x:c r="E1612" s="38" t="str">
        <x:v>AUD/USD</x:v>
      </x:c>
      <x:c r="F1612" s="38" t="n">
        <x:v>2.8063602534</x:v>
      </x:c>
      <x:c r="G1612" s="38" t="n">
        <x:v>1.9482524948</x:v>
      </x:c>
      <x:c r="H1612" s="42" t="b">
        <x:v>0</x:v>
      </x:c>
      <x:c r="I1612" s="42" t="b">
        <x:v>0</x:v>
      </x:c>
      <x:c r="J1612" s="38" t="n">
        <x:v>0.1575308304</x:v>
      </x:c>
    </x:row>
    <x:row r="1613" ht="19" customHeight="1">
      <x:c r="A1613" s="29" t="str">
        <x:v>stagger_1</x:v>
      </x:c>
      <x:c r="B1613" s="38" t="str">
        <x:v>MU</x:v>
      </x:c>
      <x:c r="C1613" s="38" t="str">
        <x:v>Other FX</x:v>
      </x:c>
      <x:c r="D1613" s="30" t="n">
        <x:v>2</x:v>
      </x:c>
      <x:c r="E1613" s="38" t="str">
        <x:v>CAD/USD</x:v>
      </x:c>
      <x:c r="F1613" s="38" t="n">
        <x:v>-0.8349731371</x:v>
      </x:c>
      <x:c r="G1613" s="38" t="n">
        <x:v>-0.4824217121</x:v>
      </x:c>
      <x:c r="H1613" s="42" t="b">
        <x:v>0</x:v>
      </x:c>
      <x:c r="I1613" s="42" t="b">
        <x:v>0</x:v>
      </x:c>
      <x:c r="J1613" s="38" t="n">
        <x:v>0.1575308304</x:v>
      </x:c>
    </x:row>
    <x:row r="1614" ht="19" customHeight="1">
      <x:c r="A1614" s="29" t="str">
        <x:v>stagger_1</x:v>
      </x:c>
      <x:c r="B1614" s="38" t="str">
        <x:v>MU</x:v>
      </x:c>
      <x:c r="C1614" s="38" t="str">
        <x:v>Other FX</x:v>
      </x:c>
      <x:c r="D1614" s="30" t="n">
        <x:v>2</x:v>
      </x:c>
      <x:c r="E1614" s="38" t="str">
        <x:v>EUR/USD</x:v>
      </x:c>
      <x:c r="F1614" s="38" t="n">
        <x:v>-2.5596948145</x:v>
      </x:c>
      <x:c r="G1614" s="38" t="n">
        <x:v>-1.4491930699</x:v>
      </x:c>
      <x:c r="H1614" s="42" t="b">
        <x:v>0</x:v>
      </x:c>
      <x:c r="I1614" s="42" t="b">
        <x:v>0</x:v>
      </x:c>
      <x:c r="J1614" s="38" t="n">
        <x:v>0.1575308304</x:v>
      </x:c>
    </x:row>
    <x:row r="1615" ht="19" customHeight="1">
      <x:c r="A1615" s="29" t="str">
        <x:v>stagger_1</x:v>
      </x:c>
      <x:c r="B1615" s="38" t="str">
        <x:v>MU</x:v>
      </x:c>
      <x:c r="C1615" s="38" t="str">
        <x:v>Other FX</x:v>
      </x:c>
      <x:c r="D1615" s="30" t="n">
        <x:v>2</x:v>
      </x:c>
      <x:c r="E1615" s="38" t="str">
        <x:v>MXN/USD</x:v>
      </x:c>
      <x:c r="F1615" s="38" t="n">
        <x:v>2.1312285256</x:v>
      </x:c>
      <x:c r="G1615" s="38" t="n">
        <x:v>2.422949904</x:v>
      </x:c>
      <x:c r="H1615" s="42" t="b">
        <x:v>0</x:v>
      </x:c>
      <x:c r="I1615" s="42" t="b">
        <x:v>0</x:v>
      </x:c>
      <x:c r="J1615" s="38" t="n">
        <x:v>0.1575308304</x:v>
      </x:c>
    </x:row>
    <x:row r="1616" ht="19" customHeight="1">
      <x:c r="A1616" s="29" t="str">
        <x:v>stagger_1</x:v>
      </x:c>
      <x:c r="B1616" s="38" t="str">
        <x:v>MU</x:v>
      </x:c>
      <x:c r="C1616" s="38" t="str">
        <x:v>Other FX</x:v>
      </x:c>
      <x:c r="D1616" s="30" t="n">
        <x:v>2</x:v>
      </x:c>
      <x:c r="E1616" s="38" t="str">
        <x:v>SGD/USD</x:v>
      </x:c>
      <x:c r="F1616" s="38" t="n">
        <x:v>-0.6887222885</x:v>
      </x:c>
      <x:c r="G1616" s="38" t="n">
        <x:v>-0.2138821578</x:v>
      </x:c>
      <x:c r="H1616" s="42" t="b">
        <x:v>1</x:v>
      </x:c>
      <x:c r="I1616" s="42" t="b">
        <x:v>0</x:v>
      </x:c>
      <x:c r="J1616" s="38" t="n">
        <x:v>0.1575308304</x:v>
      </x:c>
    </x:row>
    <x:row r="1617" ht="19" customHeight="1">
      <x:c r="A1617" s="29" t="str">
        <x:v>stagger_1</x:v>
      </x:c>
      <x:c r="B1617" s="38" t="str">
        <x:v>MU</x:v>
      </x:c>
      <x:c r="C1617" s="38" t="str">
        <x:v>Other FX</x:v>
      </x:c>
      <x:c r="D1617" s="30" t="n">
        <x:v>3</x:v>
      </x:c>
      <x:c r="E1617" s="38" t="str">
        <x:v>AUD/USD</x:v>
      </x:c>
      <x:c r="F1617" s="38" t="n">
        <x:v>2.6523832573</x:v>
      </x:c>
      <x:c r="G1617" s="38" t="n">
        <x:v>2.13956645</x:v>
      </x:c>
      <x:c r="H1617" s="42" t="b">
        <x:v>0</x:v>
      </x:c>
      <x:c r="I1617" s="42" t="b">
        <x:v>0</x:v>
      </x:c>
      <x:c r="J1617" s="38" t="n">
        <x:v>0.1570100299</x:v>
      </x:c>
    </x:row>
    <x:row r="1618" ht="19" customHeight="1">
      <x:c r="A1618" s="29" t="str">
        <x:v>stagger_1</x:v>
      </x:c>
      <x:c r="B1618" s="38" t="str">
        <x:v>MU</x:v>
      </x:c>
      <x:c r="C1618" s="38" t="str">
        <x:v>Other FX</x:v>
      </x:c>
      <x:c r="D1618" s="30" t="n">
        <x:v>3</x:v>
      </x:c>
      <x:c r="E1618" s="38" t="str">
        <x:v>CAD/USD</x:v>
      </x:c>
      <x:c r="F1618" s="38" t="n">
        <x:v>-0.851360992</x:v>
      </x:c>
      <x:c r="G1618" s="38" t="n">
        <x:v>-0.4955353499</x:v>
      </x:c>
      <x:c r="H1618" s="42" t="b">
        <x:v>1</x:v>
      </x:c>
      <x:c r="I1618" s="42" t="b">
        <x:v>0</x:v>
      </x:c>
      <x:c r="J1618" s="38" t="n">
        <x:v>0.1570100299</x:v>
      </x:c>
    </x:row>
    <x:row r="1619" ht="19" customHeight="1">
      <x:c r="A1619" s="29" t="str">
        <x:v>stagger_1</x:v>
      </x:c>
      <x:c r="B1619" s="38" t="str">
        <x:v>MU</x:v>
      </x:c>
      <x:c r="C1619" s="38" t="str">
        <x:v>Other FX</x:v>
      </x:c>
      <x:c r="D1619" s="30" t="n">
        <x:v>3</x:v>
      </x:c>
      <x:c r="E1619" s="38" t="str">
        <x:v>EUR/USD</x:v>
      </x:c>
      <x:c r="F1619" s="38" t="n">
        <x:v>-2.7679331585</x:v>
      </x:c>
      <x:c r="G1619" s="38" t="n">
        <x:v>-1.8902552684</x:v>
      </x:c>
      <x:c r="H1619" s="42" t="b">
        <x:v>0</x:v>
      </x:c>
      <x:c r="I1619" s="42" t="b">
        <x:v>0</x:v>
      </x:c>
      <x:c r="J1619" s="38" t="n">
        <x:v>0.1570100299</x:v>
      </x:c>
    </x:row>
    <x:row r="1620" ht="19" customHeight="1">
      <x:c r="A1620" s="29" t="str">
        <x:v>stagger_1</x:v>
      </x:c>
      <x:c r="B1620" s="38" t="str">
        <x:v>MU</x:v>
      </x:c>
      <x:c r="C1620" s="38" t="str">
        <x:v>Other FX</x:v>
      </x:c>
      <x:c r="D1620" s="30" t="n">
        <x:v>3</x:v>
      </x:c>
      <x:c r="E1620" s="38" t="str">
        <x:v>MXN/USD</x:v>
      </x:c>
      <x:c r="F1620" s="38" t="n">
        <x:v>2.1293844217</x:v>
      </x:c>
      <x:c r="G1620" s="38" t="n">
        <x:v>2.4365197096</x:v>
      </x:c>
      <x:c r="H1620" s="42" t="b">
        <x:v>0</x:v>
      </x:c>
      <x:c r="I1620" s="42" t="b">
        <x:v>0</x:v>
      </x:c>
      <x:c r="J1620" s="38" t="n">
        <x:v>0.1570100299</x:v>
      </x:c>
    </x:row>
    <x:row r="1621" ht="19" customHeight="1">
      <x:c r="A1621" s="29" t="str">
        <x:v>stagger_1</x:v>
      </x:c>
      <x:c r="B1621" s="38" t="str">
        <x:v>MU</x:v>
      </x:c>
      <x:c r="C1621" s="38" t="str">
        <x:v>Other FX</x:v>
      </x:c>
      <x:c r="D1621" s="30" t="n">
        <x:v>4</x:v>
      </x:c>
      <x:c r="E1621" s="38" t="str">
        <x:v>AUD/USD</x:v>
      </x:c>
      <x:c r="F1621" s="38" t="n">
        <x:v>2.4633857752</x:v>
      </x:c>
      <x:c r="G1621" s="38" t="n">
        <x:v>2.0988487988</x:v>
      </x:c>
      <x:c r="H1621" s="42" t="b">
        <x:v>0</x:v>
      </x:c>
      <x:c r="I1621" s="42" t="b">
        <x:v>1</x:v>
      </x:c>
      <x:c r="J1621" s="38" t="n">
        <x:v>0.1542500214</x:v>
      </x:c>
    </x:row>
    <x:row r="1622" ht="19" customHeight="1">
      <x:c r="A1622" s="29" t="str">
        <x:v>stagger_1</x:v>
      </x:c>
      <x:c r="B1622" s="38" t="str">
        <x:v>MU</x:v>
      </x:c>
      <x:c r="C1622" s="38" t="str">
        <x:v>Other FX</x:v>
      </x:c>
      <x:c r="D1622" s="30" t="n">
        <x:v>4</x:v>
      </x:c>
      <x:c r="E1622" s="38" t="str">
        <x:v>EUR/USD</x:v>
      </x:c>
      <x:c r="F1622" s="38" t="n">
        <x:v>-2.9949378817</x:v>
      </x:c>
      <x:c r="G1622" s="38" t="n">
        <x:v>-2.1641358531</x:v>
      </x:c>
      <x:c r="H1622" s="42" t="b">
        <x:v>0</x:v>
      </x:c>
      <x:c r="I1622" s="42" t="b">
        <x:v>1</x:v>
      </x:c>
      <x:c r="J1622" s="38" t="n">
        <x:v>0.1542500214</x:v>
      </x:c>
    </x:row>
    <x:row r="1623" ht="19" customHeight="1">
      <x:c r="A1623" s="29" t="str">
        <x:v>stagger_1</x:v>
      </x:c>
      <x:c r="B1623" s="38" t="str">
        <x:v>MU</x:v>
      </x:c>
      <x:c r="C1623" s="38" t="str">
        <x:v>Other FX</x:v>
      </x:c>
      <x:c r="D1623" s="30" t="n">
        <x:v>4</x:v>
      </x:c>
      <x:c r="E1623" s="38" t="str">
        <x:v>MXN/USD</x:v>
      </x:c>
      <x:c r="F1623" s="38" t="n">
        <x:v>2.1245911193</x:v>
      </x:c>
      <x:c r="G1623" s="38" t="n">
        <x:v>2.4433416136</x:v>
      </x:c>
      <x:c r="H1623" s="42" t="b">
        <x:v>0</x:v>
      </x:c>
      <x:c r="I1623" s="42" t="b">
        <x:v>1</x:v>
      </x:c>
      <x:c r="J1623" s="38" t="n">
        <x:v>0.1542500214</x:v>
      </x:c>
    </x:row>
    <x:row r="1624" ht="19" customHeight="1">
      <x:c r="A1624" s="29" t="str">
        <x:v>stagger_1</x:v>
      </x:c>
      <x:c r="B1624" s="38" t="str">
        <x:v>MU</x:v>
      </x:c>
      <x:c r="C1624" s="38" t="str">
        <x:v>Other sectors</x:v>
      </x:c>
      <x:c r="D1624" s="30" t="n">
        <x:v>1</x:v>
      </x:c>
      <x:c r="E1624" s="38" t="str">
        <x:v>XLB</x:v>
      </x:c>
      <x:c r="F1624" s="38" t="n">
        <x:v>0.4157673965</x:v>
      </x:c>
      <x:c r="G1624" s="38" t="n">
        <x:v>0.573192425</x:v>
      </x:c>
      <x:c r="H1624" s="42" t="b">
        <x:v>0</x:v>
      </x:c>
      <x:c r="I1624" s="42" t="b">
        <x:v>0</x:v>
      </x:c>
      <x:c r="J1624" s="38" t="n">
        <x:v>0.1779530203</x:v>
      </x:c>
    </x:row>
    <x:row r="1625" ht="19" customHeight="1">
      <x:c r="A1625" s="29" t="str">
        <x:v>stagger_1</x:v>
      </x:c>
      <x:c r="B1625" s="38" t="str">
        <x:v>MU</x:v>
      </x:c>
      <x:c r="C1625" s="38" t="str">
        <x:v>Other sectors</x:v>
      </x:c>
      <x:c r="D1625" s="30" t="n">
        <x:v>1</x:v>
      </x:c>
      <x:c r="E1625" s="38" t="str">
        <x:v>XLC</x:v>
      </x:c>
      <x:c r="F1625" s="38" t="n">
        <x:v>-0.0085529013</x:v>
      </x:c>
      <x:c r="G1625" s="38" t="n">
        <x:v>-0.0140748071</x:v>
      </x:c>
      <x:c r="H1625" s="42" t="b">
        <x:v>1</x:v>
      </x:c>
      <x:c r="I1625" s="42" t="b">
        <x:v>0</x:v>
      </x:c>
      <x:c r="J1625" s="38" t="n">
        <x:v>0.1779530203</x:v>
      </x:c>
    </x:row>
    <x:row r="1626" ht="19" customHeight="1">
      <x:c r="A1626" s="29" t="str">
        <x:v>stagger_1</x:v>
      </x:c>
      <x:c r="B1626" s="38" t="str">
        <x:v>MU</x:v>
      </x:c>
      <x:c r="C1626" s="38" t="str">
        <x:v>Other sectors</x:v>
      </x:c>
      <x:c r="D1626" s="30" t="n">
        <x:v>1</x:v>
      </x:c>
      <x:c r="E1626" s="38" t="str">
        <x:v>XLE</x:v>
      </x:c>
      <x:c r="F1626" s="38" t="n">
        <x:v>0.2137416284</x:v>
      </x:c>
      <x:c r="G1626" s="38" t="n">
        <x:v>0.8809705769</x:v>
      </x:c>
      <x:c r="H1626" s="42" t="b">
        <x:v>0</x:v>
      </x:c>
      <x:c r="I1626" s="42" t="b">
        <x:v>0</x:v>
      </x:c>
      <x:c r="J1626" s="38" t="n">
        <x:v>0.1779530203</x:v>
      </x:c>
    </x:row>
    <x:row r="1627" ht="19" customHeight="1">
      <x:c r="A1627" s="29" t="str">
        <x:v>stagger_1</x:v>
      </x:c>
      <x:c r="B1627" s="38" t="str">
        <x:v>MU</x:v>
      </x:c>
      <x:c r="C1627" s="38" t="str">
        <x:v>Other sectors</x:v>
      </x:c>
      <x:c r="D1627" s="30" t="n">
        <x:v>1</x:v>
      </x:c>
      <x:c r="E1627" s="38" t="str">
        <x:v>XLF</x:v>
      </x:c>
      <x:c r="F1627" s="38" t="n">
        <x:v>0.1995275759</x:v>
      </x:c>
      <x:c r="G1627" s="38" t="n">
        <x:v>0.3334853168</x:v>
      </x:c>
      <x:c r="H1627" s="42" t="b">
        <x:v>0</x:v>
      </x:c>
      <x:c r="I1627" s="42" t="b">
        <x:v>0</x:v>
      </x:c>
      <x:c r="J1627" s="38" t="n">
        <x:v>0.1779530203</x:v>
      </x:c>
    </x:row>
    <x:row r="1628" ht="19" customHeight="1">
      <x:c r="A1628" s="29" t="str">
        <x:v>stagger_1</x:v>
      </x:c>
      <x:c r="B1628" s="38" t="str">
        <x:v>MU</x:v>
      </x:c>
      <x:c r="C1628" s="38" t="str">
        <x:v>Other sectors</x:v>
      </x:c>
      <x:c r="D1628" s="30" t="n">
        <x:v>1</x:v>
      </x:c>
      <x:c r="E1628" s="38" t="str">
        <x:v>XLI</x:v>
      </x:c>
      <x:c r="F1628" s="38" t="n">
        <x:v>0.5098133731</x:v>
      </x:c>
      <x:c r="G1628" s="38" t="n">
        <x:v>0.5463055474</x:v>
      </x:c>
      <x:c r="H1628" s="42" t="b">
        <x:v>0</x:v>
      </x:c>
      <x:c r="I1628" s="42" t="b">
        <x:v>0</x:v>
      </x:c>
      <x:c r="J1628" s="38" t="n">
        <x:v>0.1779530203</x:v>
      </x:c>
    </x:row>
    <x:row r="1629" ht="19" customHeight="1">
      <x:c r="A1629" s="29" t="str">
        <x:v>stagger_1</x:v>
      </x:c>
      <x:c r="B1629" s="38" t="str">
        <x:v>MU</x:v>
      </x:c>
      <x:c r="C1629" s="38" t="str">
        <x:v>Other sectors</x:v>
      </x:c>
      <x:c r="D1629" s="30" t="n">
        <x:v>1</x:v>
      </x:c>
      <x:c r="E1629" s="38" t="str">
        <x:v>XLP</x:v>
      </x:c>
      <x:c r="F1629" s="38" t="n">
        <x:v>-0.6259618728</x:v>
      </x:c>
      <x:c r="G1629" s="38" t="n">
        <x:v>-0.8634908268</x:v>
      </x:c>
      <x:c r="H1629" s="42" t="b">
        <x:v>0</x:v>
      </x:c>
      <x:c r="I1629" s="42" t="b">
        <x:v>0</x:v>
      </x:c>
      <x:c r="J1629" s="38" t="n">
        <x:v>0.1779530203</x:v>
      </x:c>
    </x:row>
    <x:row r="1630" ht="19" customHeight="1">
      <x:c r="A1630" s="29" t="str">
        <x:v>stagger_1</x:v>
      </x:c>
      <x:c r="B1630" s="38" t="str">
        <x:v>MU</x:v>
      </x:c>
      <x:c r="C1630" s="38" t="str">
        <x:v>Other sectors</x:v>
      </x:c>
      <x:c r="D1630" s="30" t="n">
        <x:v>1</x:v>
      </x:c>
      <x:c r="E1630" s="38" t="str">
        <x:v>XLRE</x:v>
      </x:c>
      <x:c r="F1630" s="38" t="n">
        <x:v>-0.0409701655</x:v>
      </x:c>
      <x:c r="G1630" s="38" t="n">
        <x:v>-0.0663716897</x:v>
      </x:c>
      <x:c r="H1630" s="42" t="b">
        <x:v>0</x:v>
      </x:c>
      <x:c r="I1630" s="42" t="b">
        <x:v>0</x:v>
      </x:c>
      <x:c r="J1630" s="38" t="n">
        <x:v>0.1779530203</x:v>
      </x:c>
    </x:row>
    <x:row r="1631" ht="19" customHeight="1">
      <x:c r="A1631" s="29" t="str">
        <x:v>stagger_1</x:v>
      </x:c>
      <x:c r="B1631" s="38" t="str">
        <x:v>MU</x:v>
      </x:c>
      <x:c r="C1631" s="38" t="str">
        <x:v>Other sectors</x:v>
      </x:c>
      <x:c r="D1631" s="30" t="n">
        <x:v>1</x:v>
      </x:c>
      <x:c r="E1631" s="38" t="str">
        <x:v>XLU</x:v>
      </x:c>
      <x:c r="F1631" s="38" t="n">
        <x:v>-0.5640398685</x:v>
      </x:c>
      <x:c r="G1631" s="38" t="n">
        <x:v>-1.2030045514</x:v>
      </x:c>
      <x:c r="H1631" s="42" t="b">
        <x:v>0</x:v>
      </x:c>
      <x:c r="I1631" s="42" t="b">
        <x:v>0</x:v>
      </x:c>
      <x:c r="J1631" s="38" t="n">
        <x:v>0.1779530203</x:v>
      </x:c>
    </x:row>
    <x:row r="1632" ht="19" customHeight="1">
      <x:c r="A1632" s="29" t="str">
        <x:v>stagger_1</x:v>
      </x:c>
      <x:c r="B1632" s="38" t="str">
        <x:v>MU</x:v>
      </x:c>
      <x:c r="C1632" s="38" t="str">
        <x:v>Other sectors</x:v>
      </x:c>
      <x:c r="D1632" s="30" t="n">
        <x:v>1</x:v>
      </x:c>
      <x:c r="E1632" s="38" t="str">
        <x:v>XLV</x:v>
      </x:c>
      <x:c r="F1632" s="38" t="n">
        <x:v>0.5546735316</x:v>
      </x:c>
      <x:c r="G1632" s="38" t="n">
        <x:v>1.001928438</x:v>
      </x:c>
      <x:c r="H1632" s="42" t="b">
        <x:v>0</x:v>
      </x:c>
      <x:c r="I1632" s="42" t="b">
        <x:v>0</x:v>
      </x:c>
      <x:c r="J1632" s="38" t="n">
        <x:v>0.1779530203</x:v>
      </x:c>
    </x:row>
    <x:row r="1633" ht="19" customHeight="1">
      <x:c r="A1633" s="29" t="str">
        <x:v>stagger_1</x:v>
      </x:c>
      <x:c r="B1633" s="38" t="str">
        <x:v>MU</x:v>
      </x:c>
      <x:c r="C1633" s="38" t="str">
        <x:v>Other sectors</x:v>
      </x:c>
      <x:c r="D1633" s="30" t="n">
        <x:v>1</x:v>
      </x:c>
      <x:c r="E1633" s="38" t="str">
        <x:v>XLY</x:v>
      </x:c>
      <x:c r="F1633" s="38" t="n">
        <x:v>-1.1085445568</x:v>
      </x:c>
      <x:c r="G1633" s="38" t="n">
        <x:v>-1.7469175831</x:v>
      </x:c>
      <x:c r="H1633" s="42" t="b">
        <x:v>0</x:v>
      </x:c>
      <x:c r="I1633" s="42" t="b">
        <x:v>0</x:v>
      </x:c>
      <x:c r="J1633" s="38" t="n">
        <x:v>0.1779530203</x:v>
      </x:c>
    </x:row>
    <x:row r="1634" ht="19" customHeight="1">
      <x:c r="A1634" s="29" t="str">
        <x:v>stagger_1</x:v>
      </x:c>
      <x:c r="B1634" s="38" t="str">
        <x:v>MU</x:v>
      </x:c>
      <x:c r="C1634" s="38" t="str">
        <x:v>Other sectors</x:v>
      </x:c>
      <x:c r="D1634" s="30" t="n">
        <x:v>2</x:v>
      </x:c>
      <x:c r="E1634" s="38" t="str">
        <x:v>XLB</x:v>
      </x:c>
      <x:c r="F1634" s="38" t="n">
        <x:v>0.4158638409</x:v>
      </x:c>
      <x:c r="G1634" s="38" t="n">
        <x:v>0.5774899138</x:v>
      </x:c>
      <x:c r="H1634" s="42" t="b">
        <x:v>0</x:v>
      </x:c>
      <x:c r="I1634" s="42" t="b">
        <x:v>0</x:v>
      </x:c>
      <x:c r="J1634" s="38" t="n">
        <x:v>0.1779506602</x:v>
      </x:c>
    </x:row>
    <x:row r="1635" ht="19" customHeight="1">
      <x:c r="A1635" s="29" t="str">
        <x:v>stagger_1</x:v>
      </x:c>
      <x:c r="B1635" s="38" t="str">
        <x:v>MU</x:v>
      </x:c>
      <x:c r="C1635" s="38" t="str">
        <x:v>Other sectors</x:v>
      </x:c>
      <x:c r="D1635" s="30" t="n">
        <x:v>2</x:v>
      </x:c>
      <x:c r="E1635" s="38" t="str">
        <x:v>XLE</x:v>
      </x:c>
      <x:c r="F1635" s="38" t="n">
        <x:v>0.2132187814</x:v>
      </x:c>
      <x:c r="G1635" s="38" t="n">
        <x:v>0.8957209833</x:v>
      </x:c>
      <x:c r="H1635" s="42" t="b">
        <x:v>0</x:v>
      </x:c>
      <x:c r="I1635" s="42" t="b">
        <x:v>0</x:v>
      </x:c>
      <x:c r="J1635" s="38" t="n">
        <x:v>0.1779506602</x:v>
      </x:c>
    </x:row>
    <x:row r="1636" ht="19" customHeight="1">
      <x:c r="A1636" s="29" t="str">
        <x:v>stagger_1</x:v>
      </x:c>
      <x:c r="B1636" s="38" t="str">
        <x:v>MU</x:v>
      </x:c>
      <x:c r="C1636" s="38" t="str">
        <x:v>Other sectors</x:v>
      </x:c>
      <x:c r="D1636" s="30" t="n">
        <x:v>2</x:v>
      </x:c>
      <x:c r="E1636" s="38" t="str">
        <x:v>XLF</x:v>
      </x:c>
      <x:c r="F1636" s="38" t="n">
        <x:v>0.1985180857</x:v>
      </x:c>
      <x:c r="G1636" s="38" t="n">
        <x:v>0.3366207146</x:v>
      </x:c>
      <x:c r="H1636" s="42" t="b">
        <x:v>0</x:v>
      </x:c>
      <x:c r="I1636" s="42" t="b">
        <x:v>0</x:v>
      </x:c>
      <x:c r="J1636" s="38" t="n">
        <x:v>0.1779506602</x:v>
      </x:c>
    </x:row>
    <x:row r="1637" ht="19" customHeight="1">
      <x:c r="A1637" s="29" t="str">
        <x:v>stagger_1</x:v>
      </x:c>
      <x:c r="B1637" s="38" t="str">
        <x:v>MU</x:v>
      </x:c>
      <x:c r="C1637" s="38" t="str">
        <x:v>Other sectors</x:v>
      </x:c>
      <x:c r="D1637" s="30" t="n">
        <x:v>2</x:v>
      </x:c>
      <x:c r="E1637" s="38" t="str">
        <x:v>XLI</x:v>
      </x:c>
      <x:c r="F1637" s="38" t="n">
        <x:v>0.5114672342</x:v>
      </x:c>
      <x:c r="G1637" s="38" t="n">
        <x:v>0.5564632339</x:v>
      </x:c>
      <x:c r="H1637" s="42" t="b">
        <x:v>0</x:v>
      </x:c>
      <x:c r="I1637" s="42" t="b">
        <x:v>0</x:v>
      </x:c>
      <x:c r="J1637" s="38" t="n">
        <x:v>0.1779506602</x:v>
      </x:c>
    </x:row>
    <x:row r="1638" ht="19" customHeight="1">
      <x:c r="A1638" s="29" t="str">
        <x:v>stagger_1</x:v>
      </x:c>
      <x:c r="B1638" s="38" t="str">
        <x:v>MU</x:v>
      </x:c>
      <x:c r="C1638" s="38" t="str">
        <x:v>Other sectors</x:v>
      </x:c>
      <x:c r="D1638" s="30" t="n">
        <x:v>2</x:v>
      </x:c>
      <x:c r="E1638" s="38" t="str">
        <x:v>XLP</x:v>
      </x:c>
      <x:c r="F1638" s="38" t="n">
        <x:v>-0.6283780185</x:v>
      </x:c>
      <x:c r="G1638" s="38" t="n">
        <x:v>-0.8986411204</x:v>
      </x:c>
      <x:c r="H1638" s="42" t="b">
        <x:v>0</x:v>
      </x:c>
      <x:c r="I1638" s="42" t="b">
        <x:v>0</x:v>
      </x:c>
      <x:c r="J1638" s="38" t="n">
        <x:v>0.1779506602</x:v>
      </x:c>
    </x:row>
    <x:row r="1639" ht="19" customHeight="1">
      <x:c r="A1639" s="29" t="str">
        <x:v>stagger_1</x:v>
      </x:c>
      <x:c r="B1639" s="38" t="str">
        <x:v>MU</x:v>
      </x:c>
      <x:c r="C1639" s="38" t="str">
        <x:v>Other sectors</x:v>
      </x:c>
      <x:c r="D1639" s="30" t="n">
        <x:v>2</x:v>
      </x:c>
      <x:c r="E1639" s="38" t="str">
        <x:v>XLRE</x:v>
      </x:c>
      <x:c r="F1639" s="38" t="n">
        <x:v>-0.0396476093</x:v>
      </x:c>
      <x:c r="G1639" s="38" t="n">
        <x:v>-0.0654556413</x:v>
      </x:c>
      <x:c r="H1639" s="42" t="b">
        <x:v>1</x:v>
      </x:c>
      <x:c r="I1639" s="42" t="b">
        <x:v>0</x:v>
      </x:c>
      <x:c r="J1639" s="38" t="n">
        <x:v>0.1779506602</x:v>
      </x:c>
    </x:row>
    <x:row r="1640" ht="19" customHeight="1">
      <x:c r="A1640" s="29" t="str">
        <x:v>stagger_1</x:v>
      </x:c>
      <x:c r="B1640" s="38" t="str">
        <x:v>MU</x:v>
      </x:c>
      <x:c r="C1640" s="38" t="str">
        <x:v>Other sectors</x:v>
      </x:c>
      <x:c r="D1640" s="30" t="n">
        <x:v>2</x:v>
      </x:c>
      <x:c r="E1640" s="38" t="str">
        <x:v>XLU</x:v>
      </x:c>
      <x:c r="F1640" s="38" t="n">
        <x:v>-0.5633384283</x:v>
      </x:c>
      <x:c r="G1640" s="38" t="n">
        <x:v>-1.2170769746</x:v>
      </x:c>
      <x:c r="H1640" s="42" t="b">
        <x:v>0</x:v>
      </x:c>
      <x:c r="I1640" s="42" t="b">
        <x:v>0</x:v>
      </x:c>
      <x:c r="J1640" s="38" t="n">
        <x:v>0.1779506602</x:v>
      </x:c>
    </x:row>
    <x:row r="1641" ht="19" customHeight="1">
      <x:c r="A1641" s="29" t="str">
        <x:v>stagger_1</x:v>
      </x:c>
      <x:c r="B1641" s="38" t="str">
        <x:v>MU</x:v>
      </x:c>
      <x:c r="C1641" s="38" t="str">
        <x:v>Other sectors</x:v>
      </x:c>
      <x:c r="D1641" s="30" t="n">
        <x:v>2</x:v>
      </x:c>
      <x:c r="E1641" s="38" t="str">
        <x:v>XLV</x:v>
      </x:c>
      <x:c r="F1641" s="38" t="n">
        <x:v>0.5542907944</x:v>
      </x:c>
      <x:c r="G1641" s="38" t="n">
        <x:v>1.0096836799</x:v>
      </x:c>
      <x:c r="H1641" s="42" t="b">
        <x:v>0</x:v>
      </x:c>
      <x:c r="I1641" s="42" t="b">
        <x:v>0</x:v>
      </x:c>
      <x:c r="J1641" s="38" t="n">
        <x:v>0.1779506602</x:v>
      </x:c>
    </x:row>
    <x:row r="1642" ht="19" customHeight="1">
      <x:c r="A1642" s="29" t="str">
        <x:v>stagger_1</x:v>
      </x:c>
      <x:c r="B1642" s="38" t="str">
        <x:v>MU</x:v>
      </x:c>
      <x:c r="C1642" s="38" t="str">
        <x:v>Other sectors</x:v>
      </x:c>
      <x:c r="D1642" s="30" t="n">
        <x:v>2</x:v>
      </x:c>
      <x:c r="E1642" s="38" t="str">
        <x:v>XLY</x:v>
      </x:c>
      <x:c r="F1642" s="38" t="n">
        <x:v>-1.1118230436</x:v>
      </x:c>
      <x:c r="G1642" s="38" t="n">
        <x:v>-1.8971679548</x:v>
      </x:c>
      <x:c r="H1642" s="42" t="b">
        <x:v>0</x:v>
      </x:c>
      <x:c r="I1642" s="42" t="b">
        <x:v>0</x:v>
      </x:c>
      <x:c r="J1642" s="38" t="n">
        <x:v>0.1779506602</x:v>
      </x:c>
    </x:row>
    <x:row r="1643" ht="19" customHeight="1">
      <x:c r="A1643" s="29" t="str">
        <x:v>stagger_1</x:v>
      </x:c>
      <x:c r="B1643" s="38" t="str">
        <x:v>MU</x:v>
      </x:c>
      <x:c r="C1643" s="38" t="str">
        <x:v>Other sectors</x:v>
      </x:c>
      <x:c r="D1643" s="30" t="n">
        <x:v>3</x:v>
      </x:c>
      <x:c r="E1643" s="38" t="str">
        <x:v>XLB</x:v>
      </x:c>
      <x:c r="F1643" s="38" t="n">
        <x:v>0.4107072913</x:v>
      </x:c>
      <x:c r="G1643" s="38" t="n">
        <x:v>0.5778391313</x:v>
      </x:c>
      <x:c r="H1643" s="42" t="b">
        <x:v>0</x:v>
      </x:c>
      <x:c r="I1643" s="42" t="b">
        <x:v>0</x:v>
      </x:c>
      <x:c r="J1643" s="38" t="n">
        <x:v>0.1779003456</x:v>
      </x:c>
    </x:row>
    <x:row r="1644" ht="19" customHeight="1">
      <x:c r="A1644" s="29" t="str">
        <x:v>stagger_1</x:v>
      </x:c>
      <x:c r="B1644" s="38" t="str">
        <x:v>MU</x:v>
      </x:c>
      <x:c r="C1644" s="38" t="str">
        <x:v>Other sectors</x:v>
      </x:c>
      <x:c r="D1644" s="30" t="n">
        <x:v>3</x:v>
      </x:c>
      <x:c r="E1644" s="38" t="str">
        <x:v>XLE</x:v>
      </x:c>
      <x:c r="F1644" s="38" t="n">
        <x:v>0.2124571605</x:v>
      </x:c>
      <x:c r="G1644" s="38" t="n">
        <x:v>0.8999222461</x:v>
      </x:c>
      <x:c r="H1644" s="42" t="b">
        <x:v>0</x:v>
      </x:c>
      <x:c r="I1644" s="42" t="b">
        <x:v>0</x:v>
      </x:c>
      <x:c r="J1644" s="38" t="n">
        <x:v>0.1779003456</x:v>
      </x:c>
    </x:row>
    <x:row r="1645" ht="19" customHeight="1">
      <x:c r="A1645" s="29" t="str">
        <x:v>stagger_1</x:v>
      </x:c>
      <x:c r="B1645" s="38" t="str">
        <x:v>MU</x:v>
      </x:c>
      <x:c r="C1645" s="38" t="str">
        <x:v>Other sectors</x:v>
      </x:c>
      <x:c r="D1645" s="30" t="n">
        <x:v>3</x:v>
      </x:c>
      <x:c r="E1645" s="38" t="str">
        <x:v>XLF</x:v>
      </x:c>
      <x:c r="F1645" s="38" t="n">
        <x:v>0.1917369835</x:v>
      </x:c>
      <x:c r="G1645" s="38" t="n">
        <x:v>0.3325983779</x:v>
      </x:c>
      <x:c r="H1645" s="42" t="b">
        <x:v>1</x:v>
      </x:c>
      <x:c r="I1645" s="42" t="b">
        <x:v>0</x:v>
      </x:c>
      <x:c r="J1645" s="38" t="n">
        <x:v>0.1779003456</x:v>
      </x:c>
    </x:row>
    <x:row r="1646" ht="19" customHeight="1">
      <x:c r="A1646" s="29" t="str">
        <x:v>stagger_1</x:v>
      </x:c>
      <x:c r="B1646" s="38" t="str">
        <x:v>MU</x:v>
      </x:c>
      <x:c r="C1646" s="38" t="str">
        <x:v>Other sectors</x:v>
      </x:c>
      <x:c r="D1646" s="30" t="n">
        <x:v>3</x:v>
      </x:c>
      <x:c r="E1646" s="38" t="str">
        <x:v>XLI</x:v>
      </x:c>
      <x:c r="F1646" s="38" t="n">
        <x:v>0.5190462527</x:v>
      </x:c>
      <x:c r="G1646" s="38" t="n">
        <x:v>0.5732780105</x:v>
      </x:c>
      <x:c r="H1646" s="42" t="b">
        <x:v>0</x:v>
      </x:c>
      <x:c r="I1646" s="42" t="b">
        <x:v>0</x:v>
      </x:c>
      <x:c r="J1646" s="38" t="n">
        <x:v>0.1779003456</x:v>
      </x:c>
    </x:row>
    <x:row r="1647" ht="19" customHeight="1">
      <x:c r="A1647" s="29" t="str">
        <x:v>stagger_1</x:v>
      </x:c>
      <x:c r="B1647" s="38" t="str">
        <x:v>MU</x:v>
      </x:c>
      <x:c r="C1647" s="38" t="str">
        <x:v>Other sectors</x:v>
      </x:c>
      <x:c r="D1647" s="30" t="n">
        <x:v>3</x:v>
      </x:c>
      <x:c r="E1647" s="38" t="str">
        <x:v>XLP</x:v>
      </x:c>
      <x:c r="F1647" s="38" t="n">
        <x:v>-0.6433643821</x:v>
      </x:c>
      <x:c r="G1647" s="38" t="n">
        <x:v>-0.9806502483</x:v>
      </x:c>
      <x:c r="H1647" s="42" t="b">
        <x:v>0</x:v>
      </x:c>
      <x:c r="I1647" s="42" t="b">
        <x:v>0</x:v>
      </x:c>
      <x:c r="J1647" s="38" t="n">
        <x:v>0.1779003456</x:v>
      </x:c>
    </x:row>
    <x:row r="1648" ht="19" customHeight="1">
      <x:c r="A1648" s="29" t="str">
        <x:v>stagger_1</x:v>
      </x:c>
      <x:c r="B1648" s="38" t="str">
        <x:v>MU</x:v>
      </x:c>
      <x:c r="C1648" s="38" t="str">
        <x:v>Other sectors</x:v>
      </x:c>
      <x:c r="D1648" s="30" t="n">
        <x:v>3</x:v>
      </x:c>
      <x:c r="E1648" s="38" t="str">
        <x:v>XLU</x:v>
      </x:c>
      <x:c r="F1648" s="38" t="n">
        <x:v>-0.5731291852</x:v>
      </x:c>
      <x:c r="G1648" s="38" t="n">
        <x:v>-1.3177071318</x:v>
      </x:c>
      <x:c r="H1648" s="42" t="b">
        <x:v>0</x:v>
      </x:c>
      <x:c r="I1648" s="42" t="b">
        <x:v>0</x:v>
      </x:c>
      <x:c r="J1648" s="38" t="n">
        <x:v>0.1779003456</x:v>
      </x:c>
    </x:row>
    <x:row r="1649" ht="19" customHeight="1">
      <x:c r="A1649" s="29" t="str">
        <x:v>stagger_1</x:v>
      </x:c>
      <x:c r="B1649" s="38" t="str">
        <x:v>MU</x:v>
      </x:c>
      <x:c r="C1649" s="38" t="str">
        <x:v>Other sectors</x:v>
      </x:c>
      <x:c r="D1649" s="30" t="n">
        <x:v>3</x:v>
      </x:c>
      <x:c r="E1649" s="38" t="str">
        <x:v>XLV</x:v>
      </x:c>
      <x:c r="F1649" s="38" t="n">
        <x:v>0.5470712766</x:v>
      </x:c>
      <x:c r="G1649" s="38" t="n">
        <x:v>1.0244851632</x:v>
      </x:c>
      <x:c r="H1649" s="42" t="b">
        <x:v>0</x:v>
      </x:c>
      <x:c r="I1649" s="42" t="b">
        <x:v>0</x:v>
      </x:c>
      <x:c r="J1649" s="38" t="n">
        <x:v>0.1779003456</x:v>
      </x:c>
    </x:row>
    <x:row r="1650" ht="19" customHeight="1">
      <x:c r="A1650" s="29" t="str">
        <x:v>stagger_1</x:v>
      </x:c>
      <x:c r="B1650" s="38" t="str">
        <x:v>MU</x:v>
      </x:c>
      <x:c r="C1650" s="38" t="str">
        <x:v>Other sectors</x:v>
      </x:c>
      <x:c r="D1650" s="30" t="n">
        <x:v>3</x:v>
      </x:c>
      <x:c r="E1650" s="38" t="str">
        <x:v>XLY</x:v>
      </x:c>
      <x:c r="F1650" s="38" t="n">
        <x:v>-1.1224622111</x:v>
      </x:c>
      <x:c r="G1650" s="38" t="n">
        <x:v>-2.0076590051</x:v>
      </x:c>
      <x:c r="H1650" s="42" t="b">
        <x:v>0</x:v>
      </x:c>
      <x:c r="I1650" s="42" t="b">
        <x:v>0</x:v>
      </x:c>
      <x:c r="J1650" s="38" t="n">
        <x:v>0.1779003456</x:v>
      </x:c>
    </x:row>
    <x:row r="1651" ht="19" customHeight="1">
      <x:c r="A1651" s="29" t="str">
        <x:v>stagger_1</x:v>
      </x:c>
      <x:c r="B1651" s="38" t="str">
        <x:v>MU</x:v>
      </x:c>
      <x:c r="C1651" s="38" t="str">
        <x:v>Other sectors</x:v>
      </x:c>
      <x:c r="D1651" s="30" t="n">
        <x:v>4</x:v>
      </x:c>
      <x:c r="E1651" s="38" t="str">
        <x:v>XLB</x:v>
      </x:c>
      <x:c r="F1651" s="38" t="n">
        <x:v>0.4399405766</x:v>
      </x:c>
      <x:c r="G1651" s="38" t="n">
        <x:v>0.62764465</x:v>
      </x:c>
      <x:c r="H1651" s="42" t="b">
        <x:v>1</x:v>
      </x:c>
      <x:c r="I1651" s="42" t="b">
        <x:v>0</x:v>
      </x:c>
      <x:c r="J1651" s="38" t="n">
        <x:v>0.1766194717</x:v>
      </x:c>
    </x:row>
    <x:row r="1652" ht="19" customHeight="1">
      <x:c r="A1652" s="29" t="str">
        <x:v>stagger_1</x:v>
      </x:c>
      <x:c r="B1652" s="38" t="str">
        <x:v>MU</x:v>
      </x:c>
      <x:c r="C1652" s="38" t="str">
        <x:v>Other sectors</x:v>
      </x:c>
      <x:c r="D1652" s="30" t="n">
        <x:v>4</x:v>
      </x:c>
      <x:c r="E1652" s="38" t="str">
        <x:v>XLE</x:v>
      </x:c>
      <x:c r="F1652" s="38" t="n">
        <x:v>0.2273924237</x:v>
      </x:c>
      <x:c r="G1652" s="38" t="n">
        <x:v>0.9872118323</x:v>
      </x:c>
      <x:c r="H1652" s="42" t="b">
        <x:v>0</x:v>
      </x:c>
      <x:c r="I1652" s="42" t="b">
        <x:v>0</x:v>
      </x:c>
      <x:c r="J1652" s="38" t="n">
        <x:v>0.1766194717</x:v>
      </x:c>
    </x:row>
    <x:row r="1653" ht="19" customHeight="1">
      <x:c r="A1653" s="29" t="str">
        <x:v>stagger_1</x:v>
      </x:c>
      <x:c r="B1653" s="38" t="str">
        <x:v>MU</x:v>
      </x:c>
      <x:c r="C1653" s="38" t="str">
        <x:v>Other sectors</x:v>
      </x:c>
      <x:c r="D1653" s="30" t="n">
        <x:v>4</x:v>
      </x:c>
      <x:c r="E1653" s="38" t="str">
        <x:v>XLI</x:v>
      </x:c>
      <x:c r="F1653" s="38" t="n">
        <x:v>0.5676778399</x:v>
      </x:c>
      <x:c r="G1653" s="38" t="n">
        <x:v>0.6392910635</x:v>
      </x:c>
      <x:c r="H1653" s="42" t="b">
        <x:v>0</x:v>
      </x:c>
      <x:c r="I1653" s="42" t="b">
        <x:v>0</x:v>
      </x:c>
      <x:c r="J1653" s="38" t="n">
        <x:v>0.1766194717</x:v>
      </x:c>
    </x:row>
    <x:row r="1654" ht="19" customHeight="1">
      <x:c r="A1654" s="29" t="str">
        <x:v>stagger_1</x:v>
      </x:c>
      <x:c r="B1654" s="38" t="str">
        <x:v>MU</x:v>
      </x:c>
      <x:c r="C1654" s="38" t="str">
        <x:v>Other sectors</x:v>
      </x:c>
      <x:c r="D1654" s="30" t="n">
        <x:v>4</x:v>
      </x:c>
      <x:c r="E1654" s="38" t="str">
        <x:v>XLP</x:v>
      </x:c>
      <x:c r="F1654" s="38" t="n">
        <x:v>-0.7009360928</x:v>
      </x:c>
      <x:c r="G1654" s="38" t="n">
        <x:v>-1.1145583703</x:v>
      </x:c>
      <x:c r="H1654" s="42" t="b">
        <x:v>0</x:v>
      </x:c>
      <x:c r="I1654" s="42" t="b">
        <x:v>0</x:v>
      </x:c>
      <x:c r="J1654" s="38" t="n">
        <x:v>0.1766194717</x:v>
      </x:c>
    </x:row>
    <x:row r="1655" ht="19" customHeight="1">
      <x:c r="A1655" s="29" t="str">
        <x:v>stagger_1</x:v>
      </x:c>
      <x:c r="B1655" s="38" t="str">
        <x:v>MU</x:v>
      </x:c>
      <x:c r="C1655" s="38" t="str">
        <x:v>Other sectors</x:v>
      </x:c>
      <x:c r="D1655" s="30" t="n">
        <x:v>4</x:v>
      </x:c>
      <x:c r="E1655" s="38" t="str">
        <x:v>XLU</x:v>
      </x:c>
      <x:c r="F1655" s="38" t="n">
        <x:v>-0.5732913173</x:v>
      </x:c>
      <x:c r="G1655" s="38" t="n">
        <x:v>-1.3262977095</x:v>
      </x:c>
      <x:c r="H1655" s="42" t="b">
        <x:v>0</x:v>
      </x:c>
      <x:c r="I1655" s="42" t="b">
        <x:v>0</x:v>
      </x:c>
      <x:c r="J1655" s="38" t="n">
        <x:v>0.1766194717</x:v>
      </x:c>
    </x:row>
    <x:row r="1656" ht="19" customHeight="1">
      <x:c r="A1656" s="29" t="str">
        <x:v>stagger_1</x:v>
      </x:c>
      <x:c r="B1656" s="38" t="str">
        <x:v>MU</x:v>
      </x:c>
      <x:c r="C1656" s="38" t="str">
        <x:v>Other sectors</x:v>
      </x:c>
      <x:c r="D1656" s="30" t="n">
        <x:v>4</x:v>
      </x:c>
      <x:c r="E1656" s="38" t="str">
        <x:v>XLV</x:v>
      </x:c>
      <x:c r="F1656" s="38" t="n">
        <x:v>0.5928323241</x:v>
      </x:c>
      <x:c r="G1656" s="38" t="n">
        <x:v>1.1561359913</x:v>
      </x:c>
      <x:c r="H1656" s="42" t="b">
        <x:v>0</x:v>
      </x:c>
      <x:c r="I1656" s="42" t="b">
        <x:v>0</x:v>
      </x:c>
      <x:c r="J1656" s="38" t="n">
        <x:v>0.1766194717</x:v>
      </x:c>
    </x:row>
    <x:row r="1657" ht="19" customHeight="1">
      <x:c r="A1657" s="29" t="str">
        <x:v>stagger_1</x:v>
      </x:c>
      <x:c r="B1657" s="38" t="str">
        <x:v>MU</x:v>
      </x:c>
      <x:c r="C1657" s="38" t="str">
        <x:v>Other sectors</x:v>
      </x:c>
      <x:c r="D1657" s="30" t="n">
        <x:v>4</x:v>
      </x:c>
      <x:c r="E1657" s="38" t="str">
        <x:v>XLY</x:v>
      </x:c>
      <x:c r="F1657" s="38" t="n">
        <x:v>-1.1031132265</x:v>
      </x:c>
      <x:c r="G1657" s="38" t="n">
        <x:v>-1.9961869952</x:v>
      </x:c>
      <x:c r="H1657" s="42" t="b">
        <x:v>0</x:v>
      </x:c>
      <x:c r="I1657" s="42" t="b">
        <x:v>0</x:v>
      </x:c>
      <x:c r="J1657" s="38" t="n">
        <x:v>0.1766194717</x:v>
      </x:c>
    </x:row>
    <x:row r="1658" ht="19" customHeight="1">
      <x:c r="A1658" s="29" t="str">
        <x:v>stagger_1</x:v>
      </x:c>
      <x:c r="B1658" s="38" t="str">
        <x:v>MU</x:v>
      </x:c>
      <x:c r="C1658" s="38" t="str">
        <x:v>Other sectors</x:v>
      </x:c>
      <x:c r="D1658" s="30" t="n">
        <x:v>5</x:v>
      </x:c>
      <x:c r="E1658" s="38" t="str">
        <x:v>XLE</x:v>
      </x:c>
      <x:c r="F1658" s="38" t="n">
        <x:v>0.2714727431</x:v>
      </x:c>
      <x:c r="G1658" s="38" t="n">
        <x:v>1.2426804501</x:v>
      </x:c>
      <x:c r="H1658" s="42" t="b">
        <x:v>0</x:v>
      </x:c>
      <x:c r="I1658" s="42" t="b">
        <x:v>0</x:v>
      </x:c>
      <x:c r="J1658" s="38" t="n">
        <x:v>0.1721144617</x:v>
      </x:c>
    </x:row>
    <x:row r="1659" ht="19" customHeight="1">
      <x:c r="A1659" s="29" t="str">
        <x:v>stagger_1</x:v>
      </x:c>
      <x:c r="B1659" s="38" t="str">
        <x:v>MU</x:v>
      </x:c>
      <x:c r="C1659" s="38" t="str">
        <x:v>Other sectors</x:v>
      </x:c>
      <x:c r="D1659" s="30" t="n">
        <x:v>5</x:v>
      </x:c>
      <x:c r="E1659" s="38" t="str">
        <x:v>XLI</x:v>
      </x:c>
      <x:c r="F1659" s="38" t="n">
        <x:v>0.9786275887</x:v>
      </x:c>
      <x:c r="G1659" s="38" t="n">
        <x:v>1.6382855776</x:v>
      </x:c>
      <x:c r="H1659" s="42" t="b">
        <x:v>0</x:v>
      </x:c>
      <x:c r="I1659" s="42" t="b">
        <x:v>0</x:v>
      </x:c>
      <x:c r="J1659" s="38" t="n">
        <x:v>0.1721144617</x:v>
      </x:c>
    </x:row>
    <x:row r="1660" ht="19" customHeight="1">
      <x:c r="A1660" s="29" t="str">
        <x:v>stagger_1</x:v>
      </x:c>
      <x:c r="B1660" s="38" t="str">
        <x:v>MU</x:v>
      </x:c>
      <x:c r="C1660" s="38" t="str">
        <x:v>Other sectors</x:v>
      </x:c>
      <x:c r="D1660" s="30" t="n">
        <x:v>5</x:v>
      </x:c>
      <x:c r="E1660" s="38" t="str">
        <x:v>XLP</x:v>
      </x:c>
      <x:c r="F1660" s="38" t="n">
        <x:v>-0.6493976517</x:v>
      </x:c>
      <x:c r="G1660" s="38" t="n">
        <x:v>-1.0458740117</x:v>
      </x:c>
      <x:c r="H1660" s="42" t="b">
        <x:v>1</x:v>
      </x:c>
      <x:c r="I1660" s="42" t="b">
        <x:v>0</x:v>
      </x:c>
      <x:c r="J1660" s="38" t="n">
        <x:v>0.1721144617</x:v>
      </x:c>
    </x:row>
    <x:row r="1661" ht="19" customHeight="1">
      <x:c r="A1661" s="29" t="str">
        <x:v>stagger_1</x:v>
      </x:c>
      <x:c r="B1661" s="38" t="str">
        <x:v>MU</x:v>
      </x:c>
      <x:c r="C1661" s="38" t="str">
        <x:v>Other sectors</x:v>
      </x:c>
      <x:c r="D1661" s="30" t="n">
        <x:v>5</x:v>
      </x:c>
      <x:c r="E1661" s="38" t="str">
        <x:v>XLU</x:v>
      </x:c>
      <x:c r="F1661" s="38" t="n">
        <x:v>-0.554317023</x:v>
      </x:c>
      <x:c r="G1661" s="38" t="n">
        <x:v>-1.290918919</x:v>
      </x:c>
      <x:c r="H1661" s="42" t="b">
        <x:v>0</x:v>
      </x:c>
      <x:c r="I1661" s="42" t="b">
        <x:v>0</x:v>
      </x:c>
      <x:c r="J1661" s="38" t="n">
        <x:v>0.1721144617</x:v>
      </x:c>
    </x:row>
    <x:row r="1662" ht="19" customHeight="1">
      <x:c r="A1662" s="29" t="str">
        <x:v>stagger_1</x:v>
      </x:c>
      <x:c r="B1662" s="38" t="str">
        <x:v>MU</x:v>
      </x:c>
      <x:c r="C1662" s="38" t="str">
        <x:v>Other sectors</x:v>
      </x:c>
      <x:c r="D1662" s="30" t="n">
        <x:v>5</x:v>
      </x:c>
      <x:c r="E1662" s="38" t="str">
        <x:v>XLV</x:v>
      </x:c>
      <x:c r="F1662" s="38" t="n">
        <x:v>0.6449074997</x:v>
      </x:c>
      <x:c r="G1662" s="38" t="n">
        <x:v>1.2798106032</x:v>
      </x:c>
      <x:c r="H1662" s="42" t="b">
        <x:v>0</x:v>
      </x:c>
      <x:c r="I1662" s="42" t="b">
        <x:v>0</x:v>
      </x:c>
      <x:c r="J1662" s="38" t="n">
        <x:v>0.1721144617</x:v>
      </x:c>
    </x:row>
    <x:row r="1663" ht="19" customHeight="1">
      <x:c r="A1663" s="29" t="str">
        <x:v>stagger_1</x:v>
      </x:c>
      <x:c r="B1663" s="38" t="str">
        <x:v>MU</x:v>
      </x:c>
      <x:c r="C1663" s="38" t="str">
        <x:v>Other sectors</x:v>
      </x:c>
      <x:c r="D1663" s="30" t="n">
        <x:v>5</x:v>
      </x:c>
      <x:c r="E1663" s="38" t="str">
        <x:v>XLY</x:v>
      </x:c>
      <x:c r="F1663" s="38" t="n">
        <x:v>-1.0451781429</x:v>
      </x:c>
      <x:c r="G1663" s="38" t="n">
        <x:v>-1.9263114388</x:v>
      </x:c>
      <x:c r="H1663" s="42" t="b">
        <x:v>0</x:v>
      </x:c>
      <x:c r="I1663" s="42" t="b">
        <x:v>0</x:v>
      </x:c>
      <x:c r="J1663" s="38" t="n">
        <x:v>0.1721144617</x:v>
      </x:c>
    </x:row>
    <x:row r="1664" ht="19" customHeight="1">
      <x:c r="A1664" s="29" t="str">
        <x:v>stagger_1</x:v>
      </x:c>
      <x:c r="B1664" s="38" t="str">
        <x:v>MU</x:v>
      </x:c>
      <x:c r="C1664" s="38" t="str">
        <x:v>Other sectors</x:v>
      </x:c>
      <x:c r="D1664" s="30" t="n">
        <x:v>6</x:v>
      </x:c>
      <x:c r="E1664" s="38" t="str">
        <x:v>XLE</x:v>
      </x:c>
      <x:c r="F1664" s="38" t="n">
        <x:v>0.2687379091</x:v>
      </x:c>
      <x:c r="G1664" s="38" t="n">
        <x:v>1.2294703348</x:v>
      </x:c>
      <x:c r="H1664" s="42" t="b">
        <x:v>0</x:v>
      </x:c>
      <x:c r="I1664" s="42" t="b">
        <x:v>0</x:v>
      </x:c>
      <x:c r="J1664" s="38" t="n">
        <x:v>0.1597091929</x:v>
      </x:c>
    </x:row>
    <x:row r="1665" ht="19" customHeight="1">
      <x:c r="A1665" s="29" t="str">
        <x:v>stagger_1</x:v>
      </x:c>
      <x:c r="B1665" s="38" t="str">
        <x:v>MU</x:v>
      </x:c>
      <x:c r="C1665" s="38" t="str">
        <x:v>Other sectors</x:v>
      </x:c>
      <x:c r="D1665" s="30" t="n">
        <x:v>6</x:v>
      </x:c>
      <x:c r="E1665" s="38" t="str">
        <x:v>XLI</x:v>
      </x:c>
      <x:c r="F1665" s="38" t="n">
        <x:v>0.7952094112</x:v>
      </x:c>
      <x:c r="G1665" s="38" t="n">
        <x:v>1.3917175901</x:v>
      </x:c>
      <x:c r="H1665" s="42" t="b">
        <x:v>0</x:v>
      </x:c>
      <x:c r="I1665" s="42" t="b">
        <x:v>0</x:v>
      </x:c>
      <x:c r="J1665" s="38" t="n">
        <x:v>0.1597091929</x:v>
      </x:c>
    </x:row>
    <x:row r="1666" ht="19" customHeight="1">
      <x:c r="A1666" s="29" t="str">
        <x:v>stagger_1</x:v>
      </x:c>
      <x:c r="B1666" s="38" t="str">
        <x:v>MU</x:v>
      </x:c>
      <x:c r="C1666" s="38" t="str">
        <x:v>Other sectors</x:v>
      </x:c>
      <x:c r="D1666" s="30" t="n">
        <x:v>6</x:v>
      </x:c>
      <x:c r="E1666" s="38" t="str">
        <x:v>XLU</x:v>
      </x:c>
      <x:c r="F1666" s="38" t="n">
        <x:v>-0.7126700648</x:v>
      </x:c>
      <x:c r="G1666" s="38" t="n">
        <x:v>-1.7724899336</x:v>
      </x:c>
      <x:c r="H1666" s="42" t="b">
        <x:v>0</x:v>
      </x:c>
      <x:c r="I1666" s="42" t="b">
        <x:v>0</x:v>
      </x:c>
      <x:c r="J1666" s="38" t="n">
        <x:v>0.1597091929</x:v>
      </x:c>
    </x:row>
    <x:row r="1667" ht="19" customHeight="1">
      <x:c r="A1667" s="29" t="str">
        <x:v>stagger_1</x:v>
      </x:c>
      <x:c r="B1667" s="38" t="str">
        <x:v>MU</x:v>
      </x:c>
      <x:c r="C1667" s="38" t="str">
        <x:v>Other sectors</x:v>
      </x:c>
      <x:c r="D1667" s="30" t="n">
        <x:v>6</x:v>
      </x:c>
      <x:c r="E1667" s="38" t="str">
        <x:v>XLV</x:v>
      </x:c>
      <x:c r="F1667" s="38" t="n">
        <x:v>0.440906419</x:v>
      </x:c>
      <x:c r="G1667" s="38" t="n">
        <x:v>0.9483462506</x:v>
      </x:c>
      <x:c r="H1667" s="42" t="b">
        <x:v>1</x:v>
      </x:c>
      <x:c r="I1667" s="42" t="b">
        <x:v>0</x:v>
      </x:c>
      <x:c r="J1667" s="38" t="n">
        <x:v>0.1597091929</x:v>
      </x:c>
    </x:row>
    <x:row r="1668" ht="19" customHeight="1">
      <x:c r="A1668" s="29" t="str">
        <x:v>stagger_1</x:v>
      </x:c>
      <x:c r="B1668" s="38" t="str">
        <x:v>MU</x:v>
      </x:c>
      <x:c r="C1668" s="38" t="str">
        <x:v>Other sectors</x:v>
      </x:c>
      <x:c r="D1668" s="30" t="n">
        <x:v>6</x:v>
      </x:c>
      <x:c r="E1668" s="38" t="str">
        <x:v>XLY</x:v>
      </x:c>
      <x:c r="F1668" s="38" t="n">
        <x:v>-1.06715544</x:v>
      </x:c>
      <x:c r="G1668" s="38" t="n">
        <x:v>-1.9670463005</x:v>
      </x:c>
      <x:c r="H1668" s="42" t="b">
        <x:v>0</x:v>
      </x:c>
      <x:c r="I1668" s="42" t="b">
        <x:v>0</x:v>
      </x:c>
      <x:c r="J1668" s="38" t="n">
        <x:v>0.1597091929</x:v>
      </x:c>
    </x:row>
    <x:row r="1669" ht="19" customHeight="1">
      <x:c r="A1669" s="29" t="str">
        <x:v>stagger_1</x:v>
      </x:c>
      <x:c r="B1669" s="38" t="str">
        <x:v>MU</x:v>
      </x:c>
      <x:c r="C1669" s="38" t="str">
        <x:v>Other sectors</x:v>
      </x:c>
      <x:c r="D1669" s="30" t="n">
        <x:v>7</x:v>
      </x:c>
      <x:c r="E1669" s="38" t="str">
        <x:v>XLE</x:v>
      </x:c>
      <x:c r="F1669" s="38" t="n">
        <x:v>0.2873351728</x:v>
      </x:c>
      <x:c r="G1669" s="38" t="n">
        <x:v>1.3207614394</x:v>
      </x:c>
      <x:c r="H1669" s="42" t="b">
        <x:v>1</x:v>
      </x:c>
      <x:c r="I1669" s="42" t="b">
        <x:v>0</x:v>
      </x:c>
      <x:c r="J1669" s="38" t="n">
        <x:v>0.1494967003</x:v>
      </x:c>
    </x:row>
    <x:row r="1670" ht="19" customHeight="1">
      <x:c r="A1670" s="29" t="str">
        <x:v>stagger_1</x:v>
      </x:c>
      <x:c r="B1670" s="38" t="str">
        <x:v>MU</x:v>
      </x:c>
      <x:c r="C1670" s="38" t="str">
        <x:v>Other sectors</x:v>
      </x:c>
      <x:c r="D1670" s="30" t="n">
        <x:v>7</x:v>
      </x:c>
      <x:c r="E1670" s="38" t="str">
        <x:v>XLI</x:v>
      </x:c>
      <x:c r="F1670" s="38" t="n">
        <x:v>0.8047651473</x:v>
      </x:c>
      <x:c r="G1670" s="38" t="n">
        <x:v>1.4096064573</x:v>
      </x:c>
      <x:c r="H1670" s="42" t="b">
        <x:v>0</x:v>
      </x:c>
      <x:c r="I1670" s="42" t="b">
        <x:v>0</x:v>
      </x:c>
      <x:c r="J1670" s="38" t="n">
        <x:v>0.1494967003</x:v>
      </x:c>
    </x:row>
    <x:row r="1671" ht="19" customHeight="1">
      <x:c r="A1671" s="29" t="str">
        <x:v>stagger_1</x:v>
      </x:c>
      <x:c r="B1671" s="38" t="str">
        <x:v>MU</x:v>
      </x:c>
      <x:c r="C1671" s="38" t="str">
        <x:v>Other sectors</x:v>
      </x:c>
      <x:c r="D1671" s="30" t="n">
        <x:v>7</x:v>
      </x:c>
      <x:c r="E1671" s="38" t="str">
        <x:v>XLU</x:v>
      </x:c>
      <x:c r="F1671" s="38" t="n">
        <x:v>-0.6190638501</x:v>
      </x:c>
      <x:c r="G1671" s="38" t="n">
        <x:v>-1.5893502257</x:v>
      </x:c>
      <x:c r="H1671" s="42" t="b">
        <x:v>0</x:v>
      </x:c>
      <x:c r="I1671" s="42" t="b">
        <x:v>0</x:v>
      </x:c>
      <x:c r="J1671" s="38" t="n">
        <x:v>0.1494967003</x:v>
      </x:c>
    </x:row>
    <x:row r="1672" ht="19" customHeight="1">
      <x:c r="A1672" s="29" t="str">
        <x:v>stagger_1</x:v>
      </x:c>
      <x:c r="B1672" s="38" t="str">
        <x:v>MU</x:v>
      </x:c>
      <x:c r="C1672" s="38" t="str">
        <x:v>Other sectors</x:v>
      </x:c>
      <x:c r="D1672" s="30" t="n">
        <x:v>7</x:v>
      </x:c>
      <x:c r="E1672" s="38" t="str">
        <x:v>XLY</x:v>
      </x:c>
      <x:c r="F1672" s="38" t="n">
        <x:v>-1.1949884864</x:v>
      </x:c>
      <x:c r="G1672" s="38" t="n">
        <x:v>-2.2755127167</x:v>
      </x:c>
      <x:c r="H1672" s="42" t="b">
        <x:v>0</x:v>
      </x:c>
      <x:c r="I1672" s="42" t="b">
        <x:v>0</x:v>
      </x:c>
      <x:c r="J1672" s="38" t="n">
        <x:v>0.1494967003</x:v>
      </x:c>
    </x:row>
    <x:row r="1673" ht="19" customHeight="1">
      <x:c r="A1673" s="29" t="str">
        <x:v>stagger_1</x:v>
      </x:c>
      <x:c r="B1673" s="38" t="str">
        <x:v>MU</x:v>
      </x:c>
      <x:c r="C1673" s="38" t="str">
        <x:v>Other sectors</x:v>
      </x:c>
      <x:c r="D1673" s="30" t="n">
        <x:v>8</x:v>
      </x:c>
      <x:c r="E1673" s="38" t="str">
        <x:v>XLI</x:v>
      </x:c>
      <x:c r="F1673" s="38" t="n">
        <x:v>0.908249148</x:v>
      </x:c>
      <x:c r="G1673" s="38" t="n">
        <x:v>1.5982547845</x:v>
      </x:c>
      <x:c r="H1673" s="42" t="b">
        <x:v>0</x:v>
      </x:c>
      <x:c r="I1673" s="42" t="b">
        <x:v>0</x:v>
      </x:c>
      <x:c r="J1673" s="38" t="n">
        <x:v>0.1297150053</x:v>
      </x:c>
    </x:row>
    <x:row r="1674" ht="19" customHeight="1">
      <x:c r="A1674" s="29" t="str">
        <x:v>stagger_1</x:v>
      </x:c>
      <x:c r="B1674" s="38" t="str">
        <x:v>MU</x:v>
      </x:c>
      <x:c r="C1674" s="38" t="str">
        <x:v>Other sectors</x:v>
      </x:c>
      <x:c r="D1674" s="30" t="n">
        <x:v>8</x:v>
      </x:c>
      <x:c r="E1674" s="38" t="str">
        <x:v>XLU</x:v>
      </x:c>
      <x:c r="F1674" s="38" t="n">
        <x:v>-0.612318984</x:v>
      </x:c>
      <x:c r="G1674" s="38" t="n">
        <x:v>-1.5645254637</x:v>
      </x:c>
      <x:c r="H1674" s="42" t="b">
        <x:v>1</x:v>
      </x:c>
      <x:c r="I1674" s="42" t="b">
        <x:v>0</x:v>
      </x:c>
      <x:c r="J1674" s="38" t="n">
        <x:v>0.1297150053</x:v>
      </x:c>
    </x:row>
    <x:row r="1675" ht="19" customHeight="1">
      <x:c r="A1675" s="29" t="str">
        <x:v>stagger_1</x:v>
      </x:c>
      <x:c r="B1675" s="38" t="str">
        <x:v>MU</x:v>
      </x:c>
      <x:c r="C1675" s="38" t="str">
        <x:v>Other sectors</x:v>
      </x:c>
      <x:c r="D1675" s="30" t="n">
        <x:v>8</x:v>
      </x:c>
      <x:c r="E1675" s="38" t="str">
        <x:v>XLY</x:v>
      </x:c>
      <x:c r="F1675" s="38" t="n">
        <x:v>-1.3513844819</x:v>
      </x:c>
      <x:c r="G1675" s="38" t="n">
        <x:v>-2.6285057356</x:v>
      </x:c>
      <x:c r="H1675" s="42" t="b">
        <x:v>0</x:v>
      </x:c>
      <x:c r="I1675" s="42" t="b">
        <x:v>0</x:v>
      </x:c>
      <x:c r="J1675" s="38" t="n">
        <x:v>0.1297150053</x:v>
      </x:c>
    </x:row>
    <x:row r="1676" ht="19" customHeight="1">
      <x:c r="A1676" s="29" t="str">
        <x:v>stagger_1</x:v>
      </x:c>
      <x:c r="B1676" s="38" t="str">
        <x:v>MU</x:v>
      </x:c>
      <x:c r="C1676" s="38" t="str">
        <x:v>Other sectors</x:v>
      </x:c>
      <x:c r="D1676" s="30" t="n">
        <x:v>9</x:v>
      </x:c>
      <x:c r="E1676" s="38" t="str">
        <x:v>XLI</x:v>
      </x:c>
      <x:c r="F1676" s="38" t="n">
        <x:v>0.5739353493</x:v>
      </x:c>
      <x:c r="G1676" s="38" t="n">
        <x:v>1.0798457183</x:v>
      </x:c>
      <x:c r="H1676" s="42" t="b">
        <x:v>1</x:v>
      </x:c>
      <x:c r="I1676" s="42" t="b">
        <x:v>0</x:v>
      </x:c>
      <x:c r="J1676" s="38" t="n">
        <x:v>0.1016856457</x:v>
      </x:c>
    </x:row>
    <x:row r="1677" ht="19" customHeight="1">
      <x:c r="A1677" s="29" t="str">
        <x:v>stagger_1</x:v>
      </x:c>
      <x:c r="B1677" s="38" t="str">
        <x:v>MU</x:v>
      </x:c>
      <x:c r="C1677" s="38" t="str">
        <x:v>Other sectors</x:v>
      </x:c>
      <x:c r="D1677" s="30" t="n">
        <x:v>9</x:v>
      </x:c>
      <x:c r="E1677" s="38" t="str">
        <x:v>XLY</x:v>
      </x:c>
      <x:c r="F1677" s="38" t="n">
        <x:v>-1.347617482</x:v>
      </x:c>
      <x:c r="G1677" s="38" t="n">
        <x:v>-2.5969078838</x:v>
      </x:c>
      <x:c r="H1677" s="42" t="b">
        <x:v>0</x:v>
      </x:c>
      <x:c r="I1677" s="42" t="b">
        <x:v>0</x:v>
      </x:c>
      <x:c r="J1677" s="38" t="n">
        <x:v>0.1016856457</x:v>
      </x:c>
    </x:row>
    <x:row r="1678" ht="19" customHeight="1">
      <x:c r="A1678" s="29" t="str">
        <x:v>stagger_1</x:v>
      </x:c>
      <x:c r="B1678" s="38" t="str">
        <x:v>MU</x:v>
      </x:c>
      <x:c r="C1678" s="38" t="str">
        <x:v>Other sectors</x:v>
      </x:c>
      <x:c r="D1678" s="30" t="n">
        <x:v>10</x:v>
      </x:c>
      <x:c r="E1678" s="38" t="str">
        <x:v>XLY</x:v>
      </x:c>
      <x:c r="F1678" s="38" t="n">
        <x:v>-1.4154113196</x:v>
      </x:c>
      <x:c r="G1678" s="38" t="n">
        <x:v>-2.744811384</x:v>
      </x:c>
      <x:c r="H1678" s="42" t="b">
        <x:v>0</x:v>
      </x:c>
      <x:c r="I1678" s="42" t="b">
        <x:v>1</x:v>
      </x:c>
      <x:c r="J1678" s="38" t="n">
        <x:v>0.0880818207</x:v>
      </x:c>
    </x:row>
    <x:row r="1679" ht="19" customHeight="1">
      <x:c r="A1679" s="29" t="str">
        <x:v>stagger_1</x:v>
      </x:c>
      <x:c r="B1679" s="38" t="str">
        <x:v>NEM</x:v>
      </x:c>
      <x:c r="C1679" s="38" t="str">
        <x:v>Other FX</x:v>
      </x:c>
      <x:c r="D1679" s="30" t="n">
        <x:v>1</x:v>
      </x:c>
      <x:c r="E1679" s="38" t="str">
        <x:v>AUD/USD</x:v>
      </x:c>
      <x:c r="F1679" s="38" t="n">
        <x:v>1.9524321665</x:v>
      </x:c>
      <x:c r="G1679" s="38" t="n">
        <x:v>2.4017288334</x:v>
      </x:c>
      <x:c r="H1679" s="42" t="b">
        <x:v>0</x:v>
      </x:c>
      <x:c r="I1679" s="42" t="b">
        <x:v>0</x:v>
      </x:c>
      <x:c r="J1679" s="38" t="n">
        <x:v>0.4249373435</x:v>
      </x:c>
    </x:row>
    <x:row r="1680" ht="19" customHeight="1">
      <x:c r="A1680" s="29" t="str">
        <x:v>stagger_1</x:v>
      </x:c>
      <x:c r="B1680" s="38" t="str">
        <x:v>NEM</x:v>
      </x:c>
      <x:c r="C1680" s="38" t="str">
        <x:v>Other FX</x:v>
      </x:c>
      <x:c r="D1680" s="30" t="n">
        <x:v>1</x:v>
      </x:c>
      <x:c r="E1680" s="38" t="str">
        <x:v>CAD/USD</x:v>
      </x:c>
      <x:c r="F1680" s="38" t="n">
        <x:v>0.7122483763</x:v>
      </x:c>
      <x:c r="G1680" s="38" t="n">
        <x:v>0.7255644526</x:v>
      </x:c>
      <x:c r="H1680" s="42" t="b">
        <x:v>0</x:v>
      </x:c>
      <x:c r="I1680" s="42" t="b">
        <x:v>0</x:v>
      </x:c>
      <x:c r="J1680" s="38" t="n">
        <x:v>0.4249373435</x:v>
      </x:c>
    </x:row>
    <x:row r="1681" ht="19" customHeight="1">
      <x:c r="A1681" s="29" t="str">
        <x:v>stagger_1</x:v>
      </x:c>
      <x:c r="B1681" s="38" t="str">
        <x:v>NEM</x:v>
      </x:c>
      <x:c r="C1681" s="38" t="str">
        <x:v>Other FX</x:v>
      </x:c>
      <x:c r="D1681" s="30" t="n">
        <x:v>1</x:v>
      </x:c>
      <x:c r="E1681" s="38" t="str">
        <x:v>DKK/USD</x:v>
      </x:c>
      <x:c r="F1681" s="38" t="n">
        <x:v>0.9135335385</x:v>
      </x:c>
      <x:c r="G1681" s="38" t="n">
        <x:v>0.1336743531</x:v>
      </x:c>
      <x:c r="H1681" s="42" t="b">
        <x:v>0</x:v>
      </x:c>
      <x:c r="I1681" s="42" t="b">
        <x:v>0</x:v>
      </x:c>
      <x:c r="J1681" s="38" t="n">
        <x:v>0.4249373435</x:v>
      </x:c>
    </x:row>
    <x:row r="1682" ht="19" customHeight="1">
      <x:c r="A1682" s="29" t="str">
        <x:v>stagger_1</x:v>
      </x:c>
      <x:c r="B1682" s="38" t="str">
        <x:v>NEM</x:v>
      </x:c>
      <x:c r="C1682" s="38" t="str">
        <x:v>Other FX</x:v>
      </x:c>
      <x:c r="D1682" s="30" t="n">
        <x:v>1</x:v>
      </x:c>
      <x:c r="E1682" s="38" t="str">
        <x:v>EUR/USD</x:v>
      </x:c>
      <x:c r="F1682" s="38" t="n">
        <x:v>-0.2582710963</x:v>
      </x:c>
      <x:c r="G1682" s="38" t="n">
        <x:v>-0.0413156767</x:v>
      </x:c>
      <x:c r="H1682" s="42" t="b">
        <x:v>1</x:v>
      </x:c>
      <x:c r="I1682" s="42" t="b">
        <x:v>0</x:v>
      </x:c>
      <x:c r="J1682" s="38" t="n">
        <x:v>0.4249373435</x:v>
      </x:c>
    </x:row>
    <x:row r="1683" ht="19" customHeight="1">
      <x:c r="A1683" s="29" t="str">
        <x:v>stagger_1</x:v>
      </x:c>
      <x:c r="B1683" s="38" t="str">
        <x:v>NEM</x:v>
      </x:c>
      <x:c r="C1683" s="38" t="str">
        <x:v>Other FX</x:v>
      </x:c>
      <x:c r="D1683" s="30" t="n">
        <x:v>1</x:v>
      </x:c>
      <x:c r="E1683" s="38" t="str">
        <x:v>MXN/USD</x:v>
      </x:c>
      <x:c r="F1683" s="38" t="n">
        <x:v>0.5641658364</x:v>
      </x:c>
      <x:c r="G1683" s="38" t="n">
        <x:v>1.0832677413</x:v>
      </x:c>
      <x:c r="H1683" s="42" t="b">
        <x:v>0</x:v>
      </x:c>
      <x:c r="I1683" s="42" t="b">
        <x:v>0</x:v>
      </x:c>
      <x:c r="J1683" s="38" t="n">
        <x:v>0.4249373435</x:v>
      </x:c>
    </x:row>
    <x:row r="1684" ht="19" customHeight="1">
      <x:c r="A1684" s="29" t="str">
        <x:v>stagger_1</x:v>
      </x:c>
      <x:c r="B1684" s="38" t="str">
        <x:v>NEM</x:v>
      </x:c>
      <x:c r="C1684" s="38" t="str">
        <x:v>Other FX</x:v>
      </x:c>
      <x:c r="D1684" s="30" t="n">
        <x:v>1</x:v>
      </x:c>
      <x:c r="E1684" s="38" t="str">
        <x:v>SGD/USD</x:v>
      </x:c>
      <x:c r="F1684" s="38" t="n">
        <x:v>1.3543681028</x:v>
      </x:c>
      <x:c r="G1684" s="38" t="n">
        <x:v>0.6881057979</x:v>
      </x:c>
      <x:c r="H1684" s="42" t="b">
        <x:v>0</x:v>
      </x:c>
      <x:c r="I1684" s="42" t="b">
        <x:v>0</x:v>
      </x:c>
      <x:c r="J1684" s="38" t="n">
        <x:v>0.4249373435</x:v>
      </x:c>
    </x:row>
    <x:row r="1685" ht="19" customHeight="1">
      <x:c r="A1685" s="29" t="str">
        <x:v>stagger_1</x:v>
      </x:c>
      <x:c r="B1685" s="38" t="str">
        <x:v>NEM</x:v>
      </x:c>
      <x:c r="C1685" s="38" t="str">
        <x:v>Other FX</x:v>
      </x:c>
      <x:c r="D1685" s="30" t="n">
        <x:v>2</x:v>
      </x:c>
      <x:c r="E1685" s="38" t="str">
        <x:v>AUD/USD</x:v>
      </x:c>
      <x:c r="F1685" s="38" t="n">
        <x:v>1.9523503914</x:v>
      </x:c>
      <x:c r="G1685" s="38" t="n">
        <x:v>2.418000694</x:v>
      </x:c>
      <x:c r="H1685" s="42" t="b">
        <x:v>0</x:v>
      </x:c>
      <x:c r="I1685" s="42" t="b">
        <x:v>0</x:v>
      </x:c>
      <x:c r="J1685" s="38" t="n">
        <x:v>0.4249238966</x:v>
      </x:c>
    </x:row>
    <x:row r="1686" ht="19" customHeight="1">
      <x:c r="A1686" s="29" t="str">
        <x:v>stagger_1</x:v>
      </x:c>
      <x:c r="B1686" s="38" t="str">
        <x:v>NEM</x:v>
      </x:c>
      <x:c r="C1686" s="38" t="str">
        <x:v>Other FX</x:v>
      </x:c>
      <x:c r="D1686" s="30" t="n">
        <x:v>2</x:v>
      </x:c>
      <x:c r="E1686" s="38" t="str">
        <x:v>CAD/USD</x:v>
      </x:c>
      <x:c r="F1686" s="38" t="n">
        <x:v>0.7147113219</x:v>
      </x:c>
      <x:c r="G1686" s="38" t="n">
        <x:v>0.7343901146</x:v>
      </x:c>
      <x:c r="H1686" s="42" t="b">
        <x:v>0</x:v>
      </x:c>
      <x:c r="I1686" s="42" t="b">
        <x:v>0</x:v>
      </x:c>
      <x:c r="J1686" s="38" t="n">
        <x:v>0.4249238966</x:v>
      </x:c>
    </x:row>
    <x:row r="1687" ht="19" customHeight="1">
      <x:c r="A1687" s="29" t="str">
        <x:v>stagger_1</x:v>
      </x:c>
      <x:c r="B1687" s="38" t="str">
        <x:v>NEM</x:v>
      </x:c>
      <x:c r="C1687" s="38" t="str">
        <x:v>Other FX</x:v>
      </x:c>
      <x:c r="D1687" s="30" t="n">
        <x:v>2</x:v>
      </x:c>
      <x:c r="E1687" s="38" t="str">
        <x:v>DKK/USD</x:v>
      </x:c>
      <x:c r="F1687" s="38" t="n">
        <x:v>0.6347941155</x:v>
      </x:c>
      <x:c r="G1687" s="38" t="n">
        <x:v>0.5864834055</x:v>
      </x:c>
      <x:c r="H1687" s="42" t="b">
        <x:v>1</x:v>
      </x:c>
      <x:c r="I1687" s="42" t="b">
        <x:v>0</x:v>
      </x:c>
      <x:c r="J1687" s="38" t="n">
        <x:v>0.4249238966</x:v>
      </x:c>
    </x:row>
    <x:row r="1688" ht="19" customHeight="1">
      <x:c r="A1688" s="29" t="str">
        <x:v>stagger_1</x:v>
      </x:c>
      <x:c r="B1688" s="38" t="str">
        <x:v>NEM</x:v>
      </x:c>
      <x:c r="C1688" s="38" t="str">
        <x:v>Other FX</x:v>
      </x:c>
      <x:c r="D1688" s="30" t="n">
        <x:v>2</x:v>
      </x:c>
      <x:c r="E1688" s="38" t="str">
        <x:v>MXN/USD</x:v>
      </x:c>
      <x:c r="F1688" s="38" t="n">
        <x:v>0.5698257142</x:v>
      </x:c>
      <x:c r="G1688" s="38" t="n">
        <x:v>1.1417995537</x:v>
      </x:c>
      <x:c r="H1688" s="42" t="b">
        <x:v>0</x:v>
      </x:c>
      <x:c r="I1688" s="42" t="b">
        <x:v>0</x:v>
      </x:c>
      <x:c r="J1688" s="38" t="n">
        <x:v>0.4249238966</x:v>
      </x:c>
    </x:row>
    <x:row r="1689" ht="19" customHeight="1">
      <x:c r="A1689" s="29" t="str">
        <x:v>stagger_1</x:v>
      </x:c>
      <x:c r="B1689" s="38" t="str">
        <x:v>NEM</x:v>
      </x:c>
      <x:c r="C1689" s="38" t="str">
        <x:v>Other FX</x:v>
      </x:c>
      <x:c r="D1689" s="30" t="n">
        <x:v>2</x:v>
      </x:c>
      <x:c r="E1689" s="38" t="str">
        <x:v>SGD/USD</x:v>
      </x:c>
      <x:c r="F1689" s="38" t="n">
        <x:v>1.3786046002</x:v>
      </x:c>
      <x:c r="G1689" s="38" t="n">
        <x:v>0.7387665977</x:v>
      </x:c>
      <x:c r="H1689" s="42" t="b">
        <x:v>0</x:v>
      </x:c>
      <x:c r="I1689" s="42" t="b">
        <x:v>0</x:v>
      </x:c>
      <x:c r="J1689" s="38" t="n">
        <x:v>0.4249238966</x:v>
      </x:c>
    </x:row>
    <x:row r="1690" ht="19" customHeight="1">
      <x:c r="A1690" s="29" t="str">
        <x:v>stagger_1</x:v>
      </x:c>
      <x:c r="B1690" s="38" t="str">
        <x:v>NEM</x:v>
      </x:c>
      <x:c r="C1690" s="38" t="str">
        <x:v>Other FX</x:v>
      </x:c>
      <x:c r="D1690" s="30" t="n">
        <x:v>3</x:v>
      </x:c>
      <x:c r="E1690" s="38" t="str">
        <x:v>AUD/USD</x:v>
      </x:c>
      <x:c r="F1690" s="38" t="n">
        <x:v>1.945678282</x:v>
      </x:c>
      <x:c r="G1690" s="38" t="n">
        <x:v>2.4205863508</x:v>
      </x:c>
      <x:c r="H1690" s="42" t="b">
        <x:v>0</x:v>
      </x:c>
      <x:c r="I1690" s="42" t="b">
        <x:v>0</x:v>
      </x:c>
      <x:c r="J1690" s="38" t="n">
        <x:v>0.4222508591</x:v>
      </x:c>
    </x:row>
    <x:row r="1691" ht="19" customHeight="1">
      <x:c r="A1691" s="29" t="str">
        <x:v>stagger_1</x:v>
      </x:c>
      <x:c r="B1691" s="38" t="str">
        <x:v>NEM</x:v>
      </x:c>
      <x:c r="C1691" s="38" t="str">
        <x:v>Other FX</x:v>
      </x:c>
      <x:c r="D1691" s="30" t="n">
        <x:v>3</x:v>
      </x:c>
      <x:c r="E1691" s="38" t="str">
        <x:v>CAD/USD</x:v>
      </x:c>
      <x:c r="F1691" s="38" t="n">
        <x:v>0.8565518379</x:v>
      </x:c>
      <x:c r="G1691" s="38" t="n">
        <x:v>0.9126405645</x:v>
      </x:c>
      <x:c r="H1691" s="42" t="b">
        <x:v>1</x:v>
      </x:c>
      <x:c r="I1691" s="42" t="b">
        <x:v>0</x:v>
      </x:c>
      <x:c r="J1691" s="38" t="n">
        <x:v>0.4222508591</x:v>
      </x:c>
    </x:row>
    <x:row r="1692" ht="19" customHeight="1">
      <x:c r="A1692" s="29" t="str">
        <x:v>stagger_1</x:v>
      </x:c>
      <x:c r="B1692" s="38" t="str">
        <x:v>NEM</x:v>
      </x:c>
      <x:c r="C1692" s="38" t="str">
        <x:v>Other FX</x:v>
      </x:c>
      <x:c r="D1692" s="30" t="n">
        <x:v>3</x:v>
      </x:c>
      <x:c r="E1692" s="38" t="str">
        <x:v>MXN/USD</x:v>
      </x:c>
      <x:c r="F1692" s="38" t="n">
        <x:v>0.6512666728</x:v>
      </x:c>
      <x:c r="G1692" s="38" t="n">
        <x:v>1.364624439</x:v>
      </x:c>
      <x:c r="H1692" s="42" t="b">
        <x:v>0</x:v>
      </x:c>
      <x:c r="I1692" s="42" t="b">
        <x:v>0</x:v>
      </x:c>
      <x:c r="J1692" s="38" t="n">
        <x:v>0.4222508591</x:v>
      </x:c>
    </x:row>
    <x:row r="1693" ht="19" customHeight="1">
      <x:c r="A1693" s="29" t="str">
        <x:v>stagger_1</x:v>
      </x:c>
      <x:c r="B1693" s="38" t="str">
        <x:v>NEM</x:v>
      </x:c>
      <x:c r="C1693" s="38" t="str">
        <x:v>Other FX</x:v>
      </x:c>
      <x:c r="D1693" s="30" t="n">
        <x:v>3</x:v>
      </x:c>
      <x:c r="E1693" s="38" t="str">
        <x:v>SGD/USD</x:v>
      </x:c>
      <x:c r="F1693" s="38" t="n">
        <x:v>2.0248745826</x:v>
      </x:c>
      <x:c r="G1693" s="38" t="n">
        <x:v>1.3504633252</x:v>
      </x:c>
      <x:c r="H1693" s="42" t="b">
        <x:v>0</x:v>
      </x:c>
      <x:c r="I1693" s="42" t="b">
        <x:v>0</x:v>
      </x:c>
      <x:c r="J1693" s="38" t="n">
        <x:v>0.4222508591</x:v>
      </x:c>
    </x:row>
    <x:row r="1694" ht="19" customHeight="1">
      <x:c r="A1694" s="29" t="str">
        <x:v>stagger_1</x:v>
      </x:c>
      <x:c r="B1694" s="38" t="str">
        <x:v>NEM</x:v>
      </x:c>
      <x:c r="C1694" s="38" t="str">
        <x:v>Other FX</x:v>
      </x:c>
      <x:c r="D1694" s="30" t="n">
        <x:v>4</x:v>
      </x:c>
      <x:c r="E1694" s="38" t="str">
        <x:v>AUD/USD</x:v>
      </x:c>
      <x:c r="F1694" s="38" t="n">
        <x:v>2.127566826</x:v>
      </x:c>
      <x:c r="G1694" s="38" t="n">
        <x:v>2.7351940743</x:v>
      </x:c>
      <x:c r="H1694" s="42" t="b">
        <x:v>0</x:v>
      </x:c>
      <x:c r="I1694" s="42" t="b">
        <x:v>0</x:v>
      </x:c>
      <x:c r="J1694" s="38" t="n">
        <x:v>0.4158346637</x:v>
      </x:c>
    </x:row>
    <x:row r="1695" ht="19" customHeight="1">
      <x:c r="A1695" s="29" t="str">
        <x:v>stagger_1</x:v>
      </x:c>
      <x:c r="B1695" s="38" t="str">
        <x:v>NEM</x:v>
      </x:c>
      <x:c r="C1695" s="38" t="str">
        <x:v>Other FX</x:v>
      </x:c>
      <x:c r="D1695" s="30" t="n">
        <x:v>4</x:v>
      </x:c>
      <x:c r="E1695" s="38" t="str">
        <x:v>MXN/USD</x:v>
      </x:c>
      <x:c r="F1695" s="38" t="n">
        <x:v>0.6816695399</x:v>
      </x:c>
      <x:c r="G1695" s="38" t="n">
        <x:v>1.4333977153</x:v>
      </x:c>
      <x:c r="H1695" s="42" t="b">
        <x:v>1</x:v>
      </x:c>
      <x:c r="I1695" s="42" t="b">
        <x:v>0</x:v>
      </x:c>
      <x:c r="J1695" s="38" t="n">
        <x:v>0.4158346637</x:v>
      </x:c>
    </x:row>
    <x:row r="1696" ht="19" customHeight="1">
      <x:c r="A1696" s="29" t="str">
        <x:v>stagger_1</x:v>
      </x:c>
      <x:c r="B1696" s="38" t="str">
        <x:v>NEM</x:v>
      </x:c>
      <x:c r="C1696" s="38" t="str">
        <x:v>Other FX</x:v>
      </x:c>
      <x:c r="D1696" s="30" t="n">
        <x:v>4</x:v>
      </x:c>
      <x:c r="E1696" s="38" t="str">
        <x:v>SGD/USD</x:v>
      </x:c>
      <x:c r="F1696" s="38" t="n">
        <x:v>2.3195102269</x:v>
      </x:c>
      <x:c r="G1696" s="38" t="n">
        <x:v>1.5858663371</x:v>
      </x:c>
      <x:c r="H1696" s="42" t="b">
        <x:v>0</x:v>
      </x:c>
      <x:c r="I1696" s="42" t="b">
        <x:v>0</x:v>
      </x:c>
      <x:c r="J1696" s="38" t="n">
        <x:v>0.4158346637</x:v>
      </x:c>
    </x:row>
    <x:row r="1697" ht="19" customHeight="1">
      <x:c r="A1697" s="29" t="str">
        <x:v>stagger_1</x:v>
      </x:c>
      <x:c r="B1697" s="38" t="str">
        <x:v>NEM</x:v>
      </x:c>
      <x:c r="C1697" s="38" t="str">
        <x:v>Other FX</x:v>
      </x:c>
      <x:c r="D1697" s="30" t="n">
        <x:v>5</x:v>
      </x:c>
      <x:c r="E1697" s="38" t="str">
        <x:v>AUD/USD</x:v>
      </x:c>
      <x:c r="F1697" s="38" t="n">
        <x:v>2.3754961524</x:v>
      </x:c>
      <x:c r="G1697" s="38" t="n">
        <x:v>3.1111212017</x:v>
      </x:c>
      <x:c r="H1697" s="42" t="b">
        <x:v>0</x:v>
      </x:c>
      <x:c r="I1697" s="42" t="b">
        <x:v>0</x:v>
      </x:c>
      <x:c r="J1697" s="38" t="n">
        <x:v>0.400041992</x:v>
      </x:c>
    </x:row>
    <x:row r="1698" ht="19" customHeight="1">
      <x:c r="A1698" s="29" t="str">
        <x:v>stagger_1</x:v>
      </x:c>
      <x:c r="B1698" s="38" t="str">
        <x:v>NEM</x:v>
      </x:c>
      <x:c r="C1698" s="38" t="str">
        <x:v>Other FX</x:v>
      </x:c>
      <x:c r="D1698" s="30" t="n">
        <x:v>5</x:v>
      </x:c>
      <x:c r="E1698" s="38" t="str">
        <x:v>SGD/USD</x:v>
      </x:c>
      <x:c r="F1698" s="38" t="n">
        <x:v>2.720114806</x:v>
      </x:c>
      <x:c r="G1698" s="38" t="n">
        <x:v>1.8818303238</x:v>
      </x:c>
      <x:c r="H1698" s="42" t="b">
        <x:v>1</x:v>
      </x:c>
      <x:c r="I1698" s="42" t="b">
        <x:v>0</x:v>
      </x:c>
      <x:c r="J1698" s="38" t="n">
        <x:v>0.400041992</x:v>
      </x:c>
    </x:row>
    <x:row r="1699" ht="19" customHeight="1">
      <x:c r="A1699" s="29" t="str">
        <x:v>stagger_1</x:v>
      </x:c>
      <x:c r="B1699" s="38" t="str">
        <x:v>NEM</x:v>
      </x:c>
      <x:c r="C1699" s="38" t="str">
        <x:v>Other FX</x:v>
      </x:c>
      <x:c r="D1699" s="30" t="n">
        <x:v>6</x:v>
      </x:c>
      <x:c r="E1699" s="38" t="str">
        <x:v>AUD/USD</x:v>
      </x:c>
      <x:c r="F1699" s="38" t="n">
        <x:v>3.4605771185</x:v>
      </x:c>
      <x:c r="G1699" s="38" t="n">
        <x:v>6.8038800975</x:v>
      </x:c>
      <x:c r="H1699" s="42" t="b">
        <x:v>0</x:v>
      </x:c>
      <x:c r="I1699" s="42" t="b">
        <x:v>1</x:v>
      </x:c>
      <x:c r="J1699" s="38" t="n">
        <x:v>0.3724494918</x:v>
      </x:c>
    </x:row>
    <x:row r="1700" ht="19" customHeight="1">
      <x:c r="A1700" s="29" t="str">
        <x:v>stagger_1</x:v>
      </x:c>
      <x:c r="B1700" s="38" t="str">
        <x:v>NEM</x:v>
      </x:c>
      <x:c r="C1700" s="38" t="str">
        <x:v>Other sectors</x:v>
      </x:c>
      <x:c r="D1700" s="30" t="n">
        <x:v>1</x:v>
      </x:c>
      <x:c r="E1700" s="38" t="str">
        <x:v>XLC</x:v>
      </x:c>
      <x:c r="F1700" s="38" t="n">
        <x:v>-0.1080876488</x:v>
      </x:c>
      <x:c r="G1700" s="38" t="n">
        <x:v>-0.2290466298</x:v>
      </x:c>
      <x:c r="H1700" s="42" t="b">
        <x:v>1</x:v>
      </x:c>
      <x:c r="I1700" s="42" t="b">
        <x:v>0</x:v>
      </x:c>
      <x:c r="J1700" s="38" t="n">
        <x:v>0.1968353333</x:v>
      </x:c>
    </x:row>
    <x:row r="1701" ht="19" customHeight="1">
      <x:c r="A1701" s="29" t="str">
        <x:v>stagger_1</x:v>
      </x:c>
      <x:c r="B1701" s="38" t="str">
        <x:v>NEM</x:v>
      </x:c>
      <x:c r="C1701" s="38" t="str">
        <x:v>Other sectors</x:v>
      </x:c>
      <x:c r="D1701" s="30" t="n">
        <x:v>1</x:v>
      </x:c>
      <x:c r="E1701" s="38" t="str">
        <x:v>XLE</x:v>
      </x:c>
      <x:c r="F1701" s="38" t="n">
        <x:v>-0.3911662599</x:v>
      </x:c>
      <x:c r="G1701" s="38" t="n">
        <x:v>-2.161693506</x:v>
      </x:c>
      <x:c r="H1701" s="42" t="b">
        <x:v>0</x:v>
      </x:c>
      <x:c r="I1701" s="42" t="b">
        <x:v>0</x:v>
      </x:c>
      <x:c r="J1701" s="38" t="n">
        <x:v>0.1968353333</x:v>
      </x:c>
    </x:row>
    <x:row r="1702" ht="19" customHeight="1">
      <x:c r="A1702" s="29" t="str">
        <x:v>stagger_1</x:v>
      </x:c>
      <x:c r="B1702" s="38" t="str">
        <x:v>NEM</x:v>
      </x:c>
      <x:c r="C1702" s="38" t="str">
        <x:v>Other sectors</x:v>
      </x:c>
      <x:c r="D1702" s="30" t="n">
        <x:v>1</x:v>
      </x:c>
      <x:c r="E1702" s="38" t="str">
        <x:v>XLF</x:v>
      </x:c>
      <x:c r="F1702" s="38" t="n">
        <x:v>-1.3660824677</x:v>
      </x:c>
      <x:c r="G1702" s="38" t="n">
        <x:v>-2.5728317148</x:v>
      </x:c>
      <x:c r="H1702" s="42" t="b">
        <x:v>0</x:v>
      </x:c>
      <x:c r="I1702" s="42" t="b">
        <x:v>0</x:v>
      </x:c>
      <x:c r="J1702" s="38" t="n">
        <x:v>0.1968353333</x:v>
      </x:c>
    </x:row>
    <x:row r="1703" ht="19" customHeight="1">
      <x:c r="A1703" s="29" t="str">
        <x:v>stagger_1</x:v>
      </x:c>
      <x:c r="B1703" s="38" t="str">
        <x:v>NEM</x:v>
      </x:c>
      <x:c r="C1703" s="38" t="str">
        <x:v>Other sectors</x:v>
      </x:c>
      <x:c r="D1703" s="30" t="n">
        <x:v>1</x:v>
      </x:c>
      <x:c r="E1703" s="38" t="str">
        <x:v>XLI</x:v>
      </x:c>
      <x:c r="F1703" s="38" t="n">
        <x:v>0.1936918938</x:v>
      </x:c>
      <x:c r="G1703" s="38" t="n">
        <x:v>0.4229304304</x:v>
      </x:c>
      <x:c r="H1703" s="42" t="b">
        <x:v>0</x:v>
      </x:c>
      <x:c r="I1703" s="42" t="b">
        <x:v>0</x:v>
      </x:c>
      <x:c r="J1703" s="38" t="n">
        <x:v>0.1968353333</x:v>
      </x:c>
    </x:row>
    <x:row r="1704" ht="19" customHeight="1">
      <x:c r="A1704" s="29" t="str">
        <x:v>stagger_1</x:v>
      </x:c>
      <x:c r="B1704" s="38" t="str">
        <x:v>NEM</x:v>
      </x:c>
      <x:c r="C1704" s="38" t="str">
        <x:v>Other sectors</x:v>
      </x:c>
      <x:c r="D1704" s="30" t="n">
        <x:v>1</x:v>
      </x:c>
      <x:c r="E1704" s="38" t="str">
        <x:v>XLK</x:v>
      </x:c>
      <x:c r="F1704" s="38" t="n">
        <x:v>-1.4313912528</x:v>
      </x:c>
      <x:c r="G1704" s="38" t="n">
        <x:v>-1.7953281927</x:v>
      </x:c>
      <x:c r="H1704" s="42" t="b">
        <x:v>0</x:v>
      </x:c>
      <x:c r="I1704" s="42" t="b">
        <x:v>0</x:v>
      </x:c>
      <x:c r="J1704" s="38" t="n">
        <x:v>0.1968353333</x:v>
      </x:c>
    </x:row>
    <x:row r="1705" ht="19" customHeight="1">
      <x:c r="A1705" s="29" t="str">
        <x:v>stagger_1</x:v>
      </x:c>
      <x:c r="B1705" s="38" t="str">
        <x:v>NEM</x:v>
      </x:c>
      <x:c r="C1705" s="38" t="str">
        <x:v>Other sectors</x:v>
      </x:c>
      <x:c r="D1705" s="30" t="n">
        <x:v>1</x:v>
      </x:c>
      <x:c r="E1705" s="38" t="str">
        <x:v>XLP</x:v>
      </x:c>
      <x:c r="F1705" s="38" t="n">
        <x:v>-0.7938051353</x:v>
      </x:c>
      <x:c r="G1705" s="38" t="n">
        <x:v>-1.5029825216</x:v>
      </x:c>
      <x:c r="H1705" s="42" t="b">
        <x:v>0</x:v>
      </x:c>
      <x:c r="I1705" s="42" t="b">
        <x:v>0</x:v>
      </x:c>
      <x:c r="J1705" s="38" t="n">
        <x:v>0.1968353333</x:v>
      </x:c>
    </x:row>
    <x:row r="1706" ht="19" customHeight="1">
      <x:c r="A1706" s="29" t="str">
        <x:v>stagger_1</x:v>
      </x:c>
      <x:c r="B1706" s="38" t="str">
        <x:v>NEM</x:v>
      </x:c>
      <x:c r="C1706" s="38" t="str">
        <x:v>Other sectors</x:v>
      </x:c>
      <x:c r="D1706" s="30" t="n">
        <x:v>1</x:v>
      </x:c>
      <x:c r="E1706" s="38" t="str">
        <x:v>XLRE</x:v>
      </x:c>
      <x:c r="F1706" s="38" t="n">
        <x:v>-0.4341043002</x:v>
      </x:c>
      <x:c r="G1706" s="38" t="n">
        <x:v>-1.0360723302</x:v>
      </x:c>
      <x:c r="H1706" s="42" t="b">
        <x:v>0</x:v>
      </x:c>
      <x:c r="I1706" s="42" t="b">
        <x:v>0</x:v>
      </x:c>
      <x:c r="J1706" s="38" t="n">
        <x:v>0.1968353333</x:v>
      </x:c>
    </x:row>
    <x:row r="1707" ht="19" customHeight="1">
      <x:c r="A1707" s="29" t="str">
        <x:v>stagger_1</x:v>
      </x:c>
      <x:c r="B1707" s="38" t="str">
        <x:v>NEM</x:v>
      </x:c>
      <x:c r="C1707" s="38" t="str">
        <x:v>Other sectors</x:v>
      </x:c>
      <x:c r="D1707" s="30" t="n">
        <x:v>1</x:v>
      </x:c>
      <x:c r="E1707" s="38" t="str">
        <x:v>XLU</x:v>
      </x:c>
      <x:c r="F1707" s="38" t="n">
        <x:v>0.1311625006</x:v>
      </x:c>
      <x:c r="G1707" s="38" t="n">
        <x:v>0.3957516296</x:v>
      </x:c>
      <x:c r="H1707" s="42" t="b">
        <x:v>0</x:v>
      </x:c>
      <x:c r="I1707" s="42" t="b">
        <x:v>0</x:v>
      </x:c>
      <x:c r="J1707" s="38" t="n">
        <x:v>0.1968353333</x:v>
      </x:c>
    </x:row>
    <x:row r="1708" ht="19" customHeight="1">
      <x:c r="A1708" s="29" t="str">
        <x:v>stagger_1</x:v>
      </x:c>
      <x:c r="B1708" s="38" t="str">
        <x:v>NEM</x:v>
      </x:c>
      <x:c r="C1708" s="38" t="str">
        <x:v>Other sectors</x:v>
      </x:c>
      <x:c r="D1708" s="30" t="n">
        <x:v>1</x:v>
      </x:c>
      <x:c r="E1708" s="38" t="str">
        <x:v>XLV</x:v>
      </x:c>
      <x:c r="F1708" s="38" t="n">
        <x:v>0.3256514287</x:v>
      </x:c>
      <x:c r="G1708" s="38" t="n">
        <x:v>0.7240706184</x:v>
      </x:c>
      <x:c r="H1708" s="42" t="b">
        <x:v>0</x:v>
      </x:c>
      <x:c r="I1708" s="42" t="b">
        <x:v>0</x:v>
      </x:c>
      <x:c r="J1708" s="38" t="n">
        <x:v>0.1968353333</x:v>
      </x:c>
    </x:row>
    <x:row r="1709" ht="19" customHeight="1">
      <x:c r="A1709" s="29" t="str">
        <x:v>stagger_1</x:v>
      </x:c>
      <x:c r="B1709" s="38" t="str">
        <x:v>NEM</x:v>
      </x:c>
      <x:c r="C1709" s="38" t="str">
        <x:v>Other sectors</x:v>
      </x:c>
      <x:c r="D1709" s="30" t="n">
        <x:v>1</x:v>
      </x:c>
      <x:c r="E1709" s="38" t="str">
        <x:v>XLY</x:v>
      </x:c>
      <x:c r="F1709" s="38" t="n">
        <x:v>-0.8260183741</x:v>
      </x:c>
      <x:c r="G1709" s="38" t="n">
        <x:v>-1.6192960552</x:v>
      </x:c>
      <x:c r="H1709" s="42" t="b">
        <x:v>0</x:v>
      </x:c>
      <x:c r="I1709" s="42" t="b">
        <x:v>0</x:v>
      </x:c>
      <x:c r="J1709" s="38" t="n">
        <x:v>0.1968353333</x:v>
      </x:c>
    </x:row>
    <x:row r="1710" ht="19" customHeight="1">
      <x:c r="A1710" s="29" t="str">
        <x:v>stagger_1</x:v>
      </x:c>
      <x:c r="B1710" s="38" t="str">
        <x:v>NEM</x:v>
      </x:c>
      <x:c r="C1710" s="38" t="str">
        <x:v>Other sectors</x:v>
      </x:c>
      <x:c r="D1710" s="30" t="n">
        <x:v>2</x:v>
      </x:c>
      <x:c r="E1710" s="38" t="str">
        <x:v>XLE</x:v>
      </x:c>
      <x:c r="F1710" s="38" t="n">
        <x:v>-0.3868311042</x:v>
      </x:c>
      <x:c r="G1710" s="38" t="n">
        <x:v>-2.1642243921</x:v>
      </x:c>
      <x:c r="H1710" s="42" t="b">
        <x:v>0</x:v>
      </x:c>
      <x:c r="I1710" s="42" t="b">
        <x:v>0</x:v>
      </x:c>
      <x:c r="J1710" s="38" t="n">
        <x:v>0.1962246679</x:v>
      </x:c>
    </x:row>
    <x:row r="1711" ht="19" customHeight="1">
      <x:c r="A1711" s="29" t="str">
        <x:v>stagger_1</x:v>
      </x:c>
      <x:c r="B1711" s="38" t="str">
        <x:v>NEM</x:v>
      </x:c>
      <x:c r="C1711" s="38" t="str">
        <x:v>Other sectors</x:v>
      </x:c>
      <x:c r="D1711" s="30" t="n">
        <x:v>2</x:v>
      </x:c>
      <x:c r="E1711" s="38" t="str">
        <x:v>XLF</x:v>
      </x:c>
      <x:c r="F1711" s="38" t="n">
        <x:v>-1.3383419903</x:v>
      </x:c>
      <x:c r="G1711" s="38" t="n">
        <x:v>-2.6065350677</x:v>
      </x:c>
      <x:c r="H1711" s="42" t="b">
        <x:v>0</x:v>
      </x:c>
      <x:c r="I1711" s="42" t="b">
        <x:v>0</x:v>
      </x:c>
      <x:c r="J1711" s="38" t="n">
        <x:v>0.1962246679</x:v>
      </x:c>
    </x:row>
    <x:row r="1712" ht="19" customHeight="1">
      <x:c r="A1712" s="29" t="str">
        <x:v>stagger_1</x:v>
      </x:c>
      <x:c r="B1712" s="38" t="str">
        <x:v>NEM</x:v>
      </x:c>
      <x:c r="C1712" s="38" t="str">
        <x:v>Other sectors</x:v>
      </x:c>
      <x:c r="D1712" s="30" t="n">
        <x:v>2</x:v>
      </x:c>
      <x:c r="E1712" s="38" t="str">
        <x:v>XLI</x:v>
      </x:c>
      <x:c r="F1712" s="38" t="n">
        <x:v>0.2164052903</x:v>
      </x:c>
      <x:c r="G1712" s="38" t="n">
        <x:v>0.4873175828</x:v>
      </x:c>
      <x:c r="H1712" s="42" t="b">
        <x:v>0</x:v>
      </x:c>
      <x:c r="I1712" s="42" t="b">
        <x:v>0</x:v>
      </x:c>
      <x:c r="J1712" s="38" t="n">
        <x:v>0.1962246679</x:v>
      </x:c>
    </x:row>
    <x:row r="1713" ht="19" customHeight="1">
      <x:c r="A1713" s="29" t="str">
        <x:v>stagger_1</x:v>
      </x:c>
      <x:c r="B1713" s="38" t="str">
        <x:v>NEM</x:v>
      </x:c>
      <x:c r="C1713" s="38" t="str">
        <x:v>Other sectors</x:v>
      </x:c>
      <x:c r="D1713" s="30" t="n">
        <x:v>2</x:v>
      </x:c>
      <x:c r="E1713" s="38" t="str">
        <x:v>XLK</x:v>
      </x:c>
      <x:c r="F1713" s="38" t="n">
        <x:v>-1.3440407275</x:v>
      </x:c>
      <x:c r="G1713" s="38" t="n">
        <x:v>-1.9327406352</x:v>
      </x:c>
      <x:c r="H1713" s="42" t="b">
        <x:v>0</x:v>
      </x:c>
      <x:c r="I1713" s="42" t="b">
        <x:v>0</x:v>
      </x:c>
      <x:c r="J1713" s="38" t="n">
        <x:v>0.1962246679</x:v>
      </x:c>
    </x:row>
    <x:row r="1714" ht="19" customHeight="1">
      <x:c r="A1714" s="29" t="str">
        <x:v>stagger_1</x:v>
      </x:c>
      <x:c r="B1714" s="38" t="str">
        <x:v>NEM</x:v>
      </x:c>
      <x:c r="C1714" s="38" t="str">
        <x:v>Other sectors</x:v>
      </x:c>
      <x:c r="D1714" s="30" t="n">
        <x:v>2</x:v>
      </x:c>
      <x:c r="E1714" s="38" t="str">
        <x:v>XLP</x:v>
      </x:c>
      <x:c r="F1714" s="38" t="n">
        <x:v>-0.7960221437</x:v>
      </x:c>
      <x:c r="G1714" s="38" t="n">
        <x:v>-1.5177406112</x:v>
      </x:c>
      <x:c r="H1714" s="42" t="b">
        <x:v>0</x:v>
      </x:c>
      <x:c r="I1714" s="42" t="b">
        <x:v>0</x:v>
      </x:c>
      <x:c r="J1714" s="38" t="n">
        <x:v>0.1962246679</x:v>
      </x:c>
    </x:row>
    <x:row r="1715" ht="19" customHeight="1">
      <x:c r="A1715" s="29" t="str">
        <x:v>stagger_1</x:v>
      </x:c>
      <x:c r="B1715" s="38" t="str">
        <x:v>NEM</x:v>
      </x:c>
      <x:c r="C1715" s="38" t="str">
        <x:v>Other sectors</x:v>
      </x:c>
      <x:c r="D1715" s="30" t="n">
        <x:v>2</x:v>
      </x:c>
      <x:c r="E1715" s="38" t="str">
        <x:v>XLRE</x:v>
      </x:c>
      <x:c r="F1715" s="38" t="n">
        <x:v>-0.4231465493</x:v>
      </x:c>
      <x:c r="G1715" s="38" t="n">
        <x:v>-1.0235188655</x:v>
      </x:c>
      <x:c r="H1715" s="42" t="b">
        <x:v>0</x:v>
      </x:c>
      <x:c r="I1715" s="42" t="b">
        <x:v>0</x:v>
      </x:c>
      <x:c r="J1715" s="38" t="n">
        <x:v>0.1962246679</x:v>
      </x:c>
    </x:row>
    <x:row r="1716" ht="19" customHeight="1">
      <x:c r="A1716" s="29" t="str">
        <x:v>stagger_1</x:v>
      </x:c>
      <x:c r="B1716" s="38" t="str">
        <x:v>NEM</x:v>
      </x:c>
      <x:c r="C1716" s="38" t="str">
        <x:v>Other sectors</x:v>
      </x:c>
      <x:c r="D1716" s="30" t="n">
        <x:v>2</x:v>
      </x:c>
      <x:c r="E1716" s="38" t="str">
        <x:v>XLU</x:v>
      </x:c>
      <x:c r="F1716" s="38" t="n">
        <x:v>0.1476189033</x:v>
      </x:c>
      <x:c r="G1716" s="38" t="n">
        <x:v>0.4593743639</x:v>
      </x:c>
      <x:c r="H1716" s="42" t="b">
        <x:v>1</x:v>
      </x:c>
      <x:c r="I1716" s="42" t="b">
        <x:v>0</x:v>
      </x:c>
      <x:c r="J1716" s="38" t="n">
        <x:v>0.1962246679</x:v>
      </x:c>
    </x:row>
    <x:row r="1717" ht="19" customHeight="1">
      <x:c r="A1717" s="29" t="str">
        <x:v>stagger_1</x:v>
      </x:c>
      <x:c r="B1717" s="38" t="str">
        <x:v>NEM</x:v>
      </x:c>
      <x:c r="C1717" s="38" t="str">
        <x:v>Other sectors</x:v>
      </x:c>
      <x:c r="D1717" s="30" t="n">
        <x:v>2</x:v>
      </x:c>
      <x:c r="E1717" s="38" t="str">
        <x:v>XLV</x:v>
      </x:c>
      <x:c r="F1717" s="38" t="n">
        <x:v>0.3490741195</x:v>
      </x:c>
      <x:c r="G1717" s="38" t="n">
        <x:v>0.8024757276</x:v>
      </x:c>
      <x:c r="H1717" s="42" t="b">
        <x:v>0</x:v>
      </x:c>
      <x:c r="I1717" s="42" t="b">
        <x:v>0</x:v>
      </x:c>
      <x:c r="J1717" s="38" t="n">
        <x:v>0.1962246679</x:v>
      </x:c>
    </x:row>
    <x:row r="1718" ht="19" customHeight="1">
      <x:c r="A1718" s="29" t="str">
        <x:v>stagger_1</x:v>
      </x:c>
      <x:c r="B1718" s="38" t="str">
        <x:v>NEM</x:v>
      </x:c>
      <x:c r="C1718" s="38" t="str">
        <x:v>Other sectors</x:v>
      </x:c>
      <x:c r="D1718" s="30" t="n">
        <x:v>2</x:v>
      </x:c>
      <x:c r="E1718" s="38" t="str">
        <x:v>XLY</x:v>
      </x:c>
      <x:c r="F1718" s="38" t="n">
        <x:v>-0.8278404411</x:v>
      </x:c>
      <x:c r="G1718" s="38" t="n">
        <x:v>-1.6341632475</x:v>
      </x:c>
      <x:c r="H1718" s="42" t="b">
        <x:v>0</x:v>
      </x:c>
      <x:c r="I1718" s="42" t="b">
        <x:v>0</x:v>
      </x:c>
      <x:c r="J1718" s="38" t="n">
        <x:v>0.1962246679</x:v>
      </x:c>
    </x:row>
    <x:row r="1719" ht="19" customHeight="1">
      <x:c r="A1719" s="29" t="str">
        <x:v>stagger_1</x:v>
      </x:c>
      <x:c r="B1719" s="38" t="str">
        <x:v>NEM</x:v>
      </x:c>
      <x:c r="C1719" s="38" t="str">
        <x:v>Other sectors</x:v>
      </x:c>
      <x:c r="D1719" s="30" t="n">
        <x:v>3</x:v>
      </x:c>
      <x:c r="E1719" s="38" t="str">
        <x:v>XLE</x:v>
      </x:c>
      <x:c r="F1719" s="38" t="n">
        <x:v>-0.3971077127</x:v>
      </x:c>
      <x:c r="G1719" s="38" t="n">
        <x:v>-2.2518748829</x:v>
      </x:c>
      <x:c r="H1719" s="42" t="b">
        <x:v>0</x:v>
      </x:c>
      <x:c r="I1719" s="42" t="b">
        <x:v>0</x:v>
      </x:c>
      <x:c r="J1719" s="38" t="n">
        <x:v>0.1938015746</x:v>
      </x:c>
    </x:row>
    <x:row r="1720" ht="19" customHeight="1">
      <x:c r="A1720" s="29" t="str">
        <x:v>stagger_1</x:v>
      </x:c>
      <x:c r="B1720" s="38" t="str">
        <x:v>NEM</x:v>
      </x:c>
      <x:c r="C1720" s="38" t="str">
        <x:v>Other sectors</x:v>
      </x:c>
      <x:c r="D1720" s="30" t="n">
        <x:v>3</x:v>
      </x:c>
      <x:c r="E1720" s="38" t="str">
        <x:v>XLF</x:v>
      </x:c>
      <x:c r="F1720" s="38" t="n">
        <x:v>-1.3759872976</x:v>
      </x:c>
      <x:c r="G1720" s="38" t="n">
        <x:v>-2.7298607011</x:v>
      </x:c>
      <x:c r="H1720" s="42" t="b">
        <x:v>0</x:v>
      </x:c>
      <x:c r="I1720" s="42" t="b">
        <x:v>0</x:v>
      </x:c>
      <x:c r="J1720" s="38" t="n">
        <x:v>0.1938015746</x:v>
      </x:c>
    </x:row>
    <x:row r="1721" ht="19" customHeight="1">
      <x:c r="A1721" s="29" t="str">
        <x:v>stagger_1</x:v>
      </x:c>
      <x:c r="B1721" s="38" t="str">
        <x:v>NEM</x:v>
      </x:c>
      <x:c r="C1721" s="38" t="str">
        <x:v>Other sectors</x:v>
      </x:c>
      <x:c r="D1721" s="30" t="n">
        <x:v>3</x:v>
      </x:c>
      <x:c r="E1721" s="38" t="str">
        <x:v>XLI</x:v>
      </x:c>
      <x:c r="F1721" s="38" t="n">
        <x:v>0.257786043</x:v>
      </x:c>
      <x:c r="G1721" s="38" t="n">
        <x:v>0.5961484243</x:v>
      </x:c>
      <x:c r="H1721" s="42" t="b">
        <x:v>1</x:v>
      </x:c>
      <x:c r="I1721" s="42" t="b">
        <x:v>0</x:v>
      </x:c>
      <x:c r="J1721" s="38" t="n">
        <x:v>0.1938015746</x:v>
      </x:c>
    </x:row>
    <x:row r="1722" ht="19" customHeight="1">
      <x:c r="A1722" s="29" t="str">
        <x:v>stagger_1</x:v>
      </x:c>
      <x:c r="B1722" s="38" t="str">
        <x:v>NEM</x:v>
      </x:c>
      <x:c r="C1722" s="38" t="str">
        <x:v>Other sectors</x:v>
      </x:c>
      <x:c r="D1722" s="30" t="n">
        <x:v>3</x:v>
      </x:c>
      <x:c r="E1722" s="38" t="str">
        <x:v>XLK</x:v>
      </x:c>
      <x:c r="F1722" s="38" t="n">
        <x:v>-1.4039378856</x:v>
      </x:c>
      <x:c r="G1722" s="38" t="n">
        <x:v>-2.0668408785</x:v>
      </x:c>
      <x:c r="H1722" s="42" t="b">
        <x:v>0</x:v>
      </x:c>
      <x:c r="I1722" s="42" t="b">
        <x:v>0</x:v>
      </x:c>
      <x:c r="J1722" s="38" t="n">
        <x:v>0.1938015746</x:v>
      </x:c>
    </x:row>
    <x:row r="1723" ht="19" customHeight="1">
      <x:c r="A1723" s="29" t="str">
        <x:v>stagger_1</x:v>
      </x:c>
      <x:c r="B1723" s="38" t="str">
        <x:v>NEM</x:v>
      </x:c>
      <x:c r="C1723" s="38" t="str">
        <x:v>Other sectors</x:v>
      </x:c>
      <x:c r="D1723" s="30" t="n">
        <x:v>3</x:v>
      </x:c>
      <x:c r="E1723" s="38" t="str">
        <x:v>XLP</x:v>
      </x:c>
      <x:c r="F1723" s="38" t="n">
        <x:v>-0.7743864334</x:v>
      </x:c>
      <x:c r="G1723" s="38" t="n">
        <x:v>-1.4907844243</x:v>
      </x:c>
      <x:c r="H1723" s="42" t="b">
        <x:v>0</x:v>
      </x:c>
      <x:c r="I1723" s="42" t="b">
        <x:v>0</x:v>
      </x:c>
      <x:c r="J1723" s="38" t="n">
        <x:v>0.1938015746</x:v>
      </x:c>
    </x:row>
    <x:row r="1724" ht="19" customHeight="1">
      <x:c r="A1724" s="29" t="str">
        <x:v>stagger_1</x:v>
      </x:c>
      <x:c r="B1724" s="38" t="str">
        <x:v>NEM</x:v>
      </x:c>
      <x:c r="C1724" s="38" t="str">
        <x:v>Other sectors</x:v>
      </x:c>
      <x:c r="D1724" s="30" t="n">
        <x:v>3</x:v>
      </x:c>
      <x:c r="E1724" s="38" t="str">
        <x:v>XLRE</x:v>
      </x:c>
      <x:c r="F1724" s="38" t="n">
        <x:v>-0.3582214914</x:v>
      </x:c>
      <x:c r="G1724" s="38" t="n">
        <x:v>-0.9271943328</x:v>
      </x:c>
      <x:c r="H1724" s="42" t="b">
        <x:v>0</x:v>
      </x:c>
      <x:c r="I1724" s="42" t="b">
        <x:v>0</x:v>
      </x:c>
      <x:c r="J1724" s="38" t="n">
        <x:v>0.1938015746</x:v>
      </x:c>
    </x:row>
    <x:row r="1725" ht="19" customHeight="1">
      <x:c r="A1725" s="29" t="str">
        <x:v>stagger_1</x:v>
      </x:c>
      <x:c r="B1725" s="38" t="str">
        <x:v>NEM</x:v>
      </x:c>
      <x:c r="C1725" s="38" t="str">
        <x:v>Other sectors</x:v>
      </x:c>
      <x:c r="D1725" s="30" t="n">
        <x:v>3</x:v>
      </x:c>
      <x:c r="E1725" s="38" t="str">
        <x:v>XLV</x:v>
      </x:c>
      <x:c r="F1725" s="38" t="n">
        <x:v>0.3288414009</x:v>
      </x:c>
      <x:c r="G1725" s="38" t="n">
        <x:v>0.7641258978</x:v>
      </x:c>
      <x:c r="H1725" s="42" t="b">
        <x:v>0</x:v>
      </x:c>
      <x:c r="I1725" s="42" t="b">
        <x:v>0</x:v>
      </x:c>
      <x:c r="J1725" s="38" t="n">
        <x:v>0.1938015746</x:v>
      </x:c>
    </x:row>
    <x:row r="1726" ht="19" customHeight="1">
      <x:c r="A1726" s="29" t="str">
        <x:v>stagger_1</x:v>
      </x:c>
      <x:c r="B1726" s="38" t="str">
        <x:v>NEM</x:v>
      </x:c>
      <x:c r="C1726" s="38" t="str">
        <x:v>Other sectors</x:v>
      </x:c>
      <x:c r="D1726" s="30" t="n">
        <x:v>3</x:v>
      </x:c>
      <x:c r="E1726" s="38" t="str">
        <x:v>XLY</x:v>
      </x:c>
      <x:c r="F1726" s="38" t="n">
        <x:v>-0.8656283732</x:v>
      </x:c>
      <x:c r="G1726" s="38" t="n">
        <x:v>-1.741443103</x:v>
      </x:c>
      <x:c r="H1726" s="42" t="b">
        <x:v>0</x:v>
      </x:c>
      <x:c r="I1726" s="42" t="b">
        <x:v>0</x:v>
      </x:c>
      <x:c r="J1726" s="38" t="n">
        <x:v>0.1938015746</x:v>
      </x:c>
    </x:row>
    <x:row r="1727" ht="19" customHeight="1">
      <x:c r="A1727" s="29" t="str">
        <x:v>stagger_1</x:v>
      </x:c>
      <x:c r="B1727" s="38" t="str">
        <x:v>NEM</x:v>
      </x:c>
      <x:c r="C1727" s="38" t="str">
        <x:v>Other sectors</x:v>
      </x:c>
      <x:c r="D1727" s="30" t="n">
        <x:v>4</x:v>
      </x:c>
      <x:c r="E1727" s="38" t="str">
        <x:v>XLE</x:v>
      </x:c>
      <x:c r="F1727" s="38" t="n">
        <x:v>-0.3969908586</x:v>
      </x:c>
      <x:c r="G1727" s="38" t="n">
        <x:v>-2.2613592234</x:v>
      </x:c>
      <x:c r="H1727" s="42" t="b">
        <x:v>0</x:v>
      </x:c>
      <x:c r="I1727" s="42" t="b">
        <x:v>0</x:v>
      </x:c>
      <x:c r="J1727" s="38" t="n">
        <x:v>0.1897661206</x:v>
      </x:c>
    </x:row>
    <x:row r="1728" ht="19" customHeight="1">
      <x:c r="A1728" s="29" t="str">
        <x:v>stagger_1</x:v>
      </x:c>
      <x:c r="B1728" s="38" t="str">
        <x:v>NEM</x:v>
      </x:c>
      <x:c r="C1728" s="38" t="str">
        <x:v>Other sectors</x:v>
      </x:c>
      <x:c r="D1728" s="30" t="n">
        <x:v>4</x:v>
      </x:c>
      <x:c r="E1728" s="38" t="str">
        <x:v>XLF</x:v>
      </x:c>
      <x:c r="F1728" s="38" t="n">
        <x:v>-1.3019565924</x:v>
      </x:c>
      <x:c r="G1728" s="38" t="n">
        <x:v>-2.6771490736</x:v>
      </x:c>
      <x:c r="H1728" s="42" t="b">
        <x:v>0</x:v>
      </x:c>
      <x:c r="I1728" s="42" t="b">
        <x:v>0</x:v>
      </x:c>
      <x:c r="J1728" s="38" t="n">
        <x:v>0.1897661206</x:v>
      </x:c>
    </x:row>
    <x:row r="1729" ht="19" customHeight="1">
      <x:c r="A1729" s="29" t="str">
        <x:v>stagger_1</x:v>
      </x:c>
      <x:c r="B1729" s="38" t="str">
        <x:v>NEM</x:v>
      </x:c>
      <x:c r="C1729" s="38" t="str">
        <x:v>Other sectors</x:v>
      </x:c>
      <x:c r="D1729" s="30" t="n">
        <x:v>4</x:v>
      </x:c>
      <x:c r="E1729" s="38" t="str">
        <x:v>XLK</x:v>
      </x:c>
      <x:c r="F1729" s="38" t="n">
        <x:v>-1.4253410121</x:v>
      </x:c>
      <x:c r="G1729" s="38" t="n">
        <x:v>-2.1107570502</x:v>
      </x:c>
      <x:c r="H1729" s="42" t="b">
        <x:v>0</x:v>
      </x:c>
      <x:c r="I1729" s="42" t="b">
        <x:v>0</x:v>
      </x:c>
      <x:c r="J1729" s="38" t="n">
        <x:v>0.1897661206</x:v>
      </x:c>
    </x:row>
    <x:row r="1730" ht="19" customHeight="1">
      <x:c r="A1730" s="29" t="str">
        <x:v>stagger_1</x:v>
      </x:c>
      <x:c r="B1730" s="38" t="str">
        <x:v>NEM</x:v>
      </x:c>
      <x:c r="C1730" s="38" t="str">
        <x:v>Other sectors</x:v>
      </x:c>
      <x:c r="D1730" s="30" t="n">
        <x:v>4</x:v>
      </x:c>
      <x:c r="E1730" s="38" t="str">
        <x:v>XLP</x:v>
      </x:c>
      <x:c r="F1730" s="38" t="n">
        <x:v>-0.6683958648</x:v>
      </x:c>
      <x:c r="G1730" s="38" t="n">
        <x:v>-1.3756250968</x:v>
      </x:c>
      <x:c r="H1730" s="42" t="b">
        <x:v>0</x:v>
      </x:c>
      <x:c r="I1730" s="42" t="b">
        <x:v>0</x:v>
      </x:c>
      <x:c r="J1730" s="38" t="n">
        <x:v>0.1897661206</x:v>
      </x:c>
    </x:row>
    <x:row r="1731" ht="19" customHeight="1">
      <x:c r="A1731" s="29" t="str">
        <x:v>stagger_1</x:v>
      </x:c>
      <x:c r="B1731" s="38" t="str">
        <x:v>NEM</x:v>
      </x:c>
      <x:c r="C1731" s="38" t="str">
        <x:v>Other sectors</x:v>
      </x:c>
      <x:c r="D1731" s="30" t="n">
        <x:v>4</x:v>
      </x:c>
      <x:c r="E1731" s="38" t="str">
        <x:v>XLRE</x:v>
      </x:c>
      <x:c r="F1731" s="38" t="n">
        <x:v>-0.3577179663</x:v>
      </x:c>
      <x:c r="G1731" s="38" t="n">
        <x:v>-0.9300660012</x:v>
      </x:c>
      <x:c r="H1731" s="42" t="b">
        <x:v>0</x:v>
      </x:c>
      <x:c r="I1731" s="42" t="b">
        <x:v>0</x:v>
      </x:c>
      <x:c r="J1731" s="38" t="n">
        <x:v>0.1897661206</x:v>
      </x:c>
    </x:row>
    <x:row r="1732" ht="19" customHeight="1">
      <x:c r="A1732" s="29" t="str">
        <x:v>stagger_1</x:v>
      </x:c>
      <x:c r="B1732" s="38" t="str">
        <x:v>NEM</x:v>
      </x:c>
      <x:c r="C1732" s="38" t="str">
        <x:v>Other sectors</x:v>
      </x:c>
      <x:c r="D1732" s="30" t="n">
        <x:v>4</x:v>
      </x:c>
      <x:c r="E1732" s="38" t="str">
        <x:v>XLV</x:v>
      </x:c>
      <x:c r="F1732" s="38" t="n">
        <x:v>0.2842180036</x:v>
      </x:c>
      <x:c r="G1732" s="38" t="n">
        <x:v>0.6736800936</x:v>
      </x:c>
      <x:c r="H1732" s="42" t="b">
        <x:v>1</x:v>
      </x:c>
      <x:c r="I1732" s="42" t="b">
        <x:v>0</x:v>
      </x:c>
      <x:c r="J1732" s="38" t="n">
        <x:v>0.1897661206</x:v>
      </x:c>
    </x:row>
    <x:row r="1733" ht="19" customHeight="1">
      <x:c r="A1733" s="29" t="str">
        <x:v>stagger_1</x:v>
      </x:c>
      <x:c r="B1733" s="38" t="str">
        <x:v>NEM</x:v>
      </x:c>
      <x:c r="C1733" s="38" t="str">
        <x:v>Other sectors</x:v>
      </x:c>
      <x:c r="D1733" s="30" t="n">
        <x:v>4</x:v>
      </x:c>
      <x:c r="E1733" s="38" t="str">
        <x:v>XLY</x:v>
      </x:c>
      <x:c r="F1733" s="38" t="n">
        <x:v>-0.8997866533</x:v>
      </x:c>
      <x:c r="G1733" s="38" t="n">
        <x:v>-1.8305215896</x:v>
      </x:c>
      <x:c r="H1733" s="42" t="b">
        <x:v>0</x:v>
      </x:c>
      <x:c r="I1733" s="42" t="b">
        <x:v>0</x:v>
      </x:c>
      <x:c r="J1733" s="38" t="n">
        <x:v>0.1897661206</x:v>
      </x:c>
    </x:row>
    <x:row r="1734" ht="19" customHeight="1">
      <x:c r="A1734" s="29" t="str">
        <x:v>stagger_1</x:v>
      </x:c>
      <x:c r="B1734" s="38" t="str">
        <x:v>NEM</x:v>
      </x:c>
      <x:c r="C1734" s="38" t="str">
        <x:v>Other sectors</x:v>
      </x:c>
      <x:c r="D1734" s="30" t="n">
        <x:v>5</x:v>
      </x:c>
      <x:c r="E1734" s="38" t="str">
        <x:v>XLE</x:v>
      </x:c>
      <x:c r="F1734" s="38" t="n">
        <x:v>-0.4266344443</x:v>
      </x:c>
      <x:c r="G1734" s="38" t="n">
        <x:v>-2.5197956258</x:v>
      </x:c>
      <x:c r="H1734" s="42" t="b">
        <x:v>0</x:v>
      </x:c>
      <x:c r="I1734" s="42" t="b">
        <x:v>0</x:v>
      </x:c>
      <x:c r="J1734" s="38" t="n">
        <x:v>0.1846588916</x:v>
      </x:c>
    </x:row>
    <x:row r="1735" ht="19" customHeight="1">
      <x:c r="A1735" s="29" t="str">
        <x:v>stagger_1</x:v>
      </x:c>
      <x:c r="B1735" s="38" t="str">
        <x:v>NEM</x:v>
      </x:c>
      <x:c r="C1735" s="38" t="str">
        <x:v>Other sectors</x:v>
      </x:c>
      <x:c r="D1735" s="30" t="n">
        <x:v>5</x:v>
      </x:c>
      <x:c r="E1735" s="38" t="str">
        <x:v>XLF</x:v>
      </x:c>
      <x:c r="F1735" s="38" t="n">
        <x:v>-1.3712510385</x:v>
      </x:c>
      <x:c r="G1735" s="38" t="n">
        <x:v>-2.895753965</x:v>
      </x:c>
      <x:c r="H1735" s="42" t="b">
        <x:v>0</x:v>
      </x:c>
      <x:c r="I1735" s="42" t="b">
        <x:v>0</x:v>
      </x:c>
      <x:c r="J1735" s="38" t="n">
        <x:v>0.1846588916</x:v>
      </x:c>
    </x:row>
    <x:row r="1736" ht="19" customHeight="1">
      <x:c r="A1736" s="29" t="str">
        <x:v>stagger_1</x:v>
      </x:c>
      <x:c r="B1736" s="38" t="str">
        <x:v>NEM</x:v>
      </x:c>
      <x:c r="C1736" s="38" t="str">
        <x:v>Other sectors</x:v>
      </x:c>
      <x:c r="D1736" s="30" t="n">
        <x:v>5</x:v>
      </x:c>
      <x:c r="E1736" s="38" t="str">
        <x:v>XLK</x:v>
      </x:c>
      <x:c r="F1736" s="38" t="n">
        <x:v>-1.6561471212</x:v>
      </x:c>
      <x:c r="G1736" s="38" t="n">
        <x:v>-2.85676597</x:v>
      </x:c>
      <x:c r="H1736" s="42" t="b">
        <x:v>0</x:v>
      </x:c>
      <x:c r="I1736" s="42" t="b">
        <x:v>0</x:v>
      </x:c>
      <x:c r="J1736" s="38" t="n">
        <x:v>0.1846588916</x:v>
      </x:c>
    </x:row>
    <x:row r="1737" ht="19" customHeight="1">
      <x:c r="A1737" s="29" t="str">
        <x:v>stagger_1</x:v>
      </x:c>
      <x:c r="B1737" s="38" t="str">
        <x:v>NEM</x:v>
      </x:c>
      <x:c r="C1737" s="38" t="str">
        <x:v>Other sectors</x:v>
      </x:c>
      <x:c r="D1737" s="30" t="n">
        <x:v>5</x:v>
      </x:c>
      <x:c r="E1737" s="38" t="str">
        <x:v>XLP</x:v>
      </x:c>
      <x:c r="F1737" s="38" t="n">
        <x:v>-0.6829111186</x:v>
      </x:c>
      <x:c r="G1737" s="38" t="n">
        <x:v>-1.412175435</x:v>
      </x:c>
      <x:c r="H1737" s="42" t="b">
        <x:v>0</x:v>
      </x:c>
      <x:c r="I1737" s="42" t="b">
        <x:v>0</x:v>
      </x:c>
      <x:c r="J1737" s="38" t="n">
        <x:v>0.1846588916</x:v>
      </x:c>
    </x:row>
    <x:row r="1738" ht="19" customHeight="1">
      <x:c r="A1738" s="29" t="str">
        <x:v>stagger_1</x:v>
      </x:c>
      <x:c r="B1738" s="38" t="str">
        <x:v>NEM</x:v>
      </x:c>
      <x:c r="C1738" s="38" t="str">
        <x:v>Other sectors</x:v>
      </x:c>
      <x:c r="D1738" s="30" t="n">
        <x:v>5</x:v>
      </x:c>
      <x:c r="E1738" s="38" t="str">
        <x:v>XLRE</x:v>
      </x:c>
      <x:c r="F1738" s="38" t="n">
        <x:v>-0.2998999229</x:v>
      </x:c>
      <x:c r="G1738" s="38" t="n">
        <x:v>-0.8029174425</x:v>
      </x:c>
      <x:c r="H1738" s="42" t="b">
        <x:v>1</x:v>
      </x:c>
      <x:c r="I1738" s="42" t="b">
        <x:v>0</x:v>
      </x:c>
      <x:c r="J1738" s="38" t="n">
        <x:v>0.1846588916</x:v>
      </x:c>
    </x:row>
    <x:row r="1739" ht="19" customHeight="1">
      <x:c r="A1739" s="29" t="str">
        <x:v>stagger_1</x:v>
      </x:c>
      <x:c r="B1739" s="38" t="str">
        <x:v>NEM</x:v>
      </x:c>
      <x:c r="C1739" s="38" t="str">
        <x:v>Other sectors</x:v>
      </x:c>
      <x:c r="D1739" s="30" t="n">
        <x:v>5</x:v>
      </x:c>
      <x:c r="E1739" s="38" t="str">
        <x:v>XLY</x:v>
      </x:c>
      <x:c r="F1739" s="38" t="n">
        <x:v>-1.0700432129</x:v>
      </x:c>
      <x:c r="G1739" s="38" t="n">
        <x:v>-2.5475939231</x:v>
      </x:c>
      <x:c r="H1739" s="42" t="b">
        <x:v>0</x:v>
      </x:c>
      <x:c r="I1739" s="42" t="b">
        <x:v>0</x:v>
      </x:c>
      <x:c r="J1739" s="38" t="n">
        <x:v>0.1846588916</x:v>
      </x:c>
    </x:row>
    <x:row r="1740" ht="19" customHeight="1">
      <x:c r="A1740" s="29" t="str">
        <x:v>stagger_1</x:v>
      </x:c>
      <x:c r="B1740" s="38" t="str">
        <x:v>NEM</x:v>
      </x:c>
      <x:c r="C1740" s="38" t="str">
        <x:v>Other sectors</x:v>
      </x:c>
      <x:c r="D1740" s="30" t="n">
        <x:v>6</x:v>
      </x:c>
      <x:c r="E1740" s="38" t="str">
        <x:v>XLE</x:v>
      </x:c>
      <x:c r="F1740" s="38" t="n">
        <x:v>-0.4313393999</x:v>
      </x:c>
      <x:c r="G1740" s="38" t="n">
        <x:v>-2.5552533718</x:v>
      </x:c>
      <x:c r="H1740" s="42" t="b">
        <x:v>0</x:v>
      </x:c>
      <x:c r="I1740" s="42" t="b">
        <x:v>0</x:v>
      </x:c>
      <x:c r="J1740" s="38" t="n">
        <x:v>0.1774584644</x:v>
      </x:c>
    </x:row>
    <x:row r="1741" ht="19" customHeight="1">
      <x:c r="A1741" s="29" t="str">
        <x:v>stagger_1</x:v>
      </x:c>
      <x:c r="B1741" s="38" t="str">
        <x:v>NEM</x:v>
      </x:c>
      <x:c r="C1741" s="38" t="str">
        <x:v>Other sectors</x:v>
      </x:c>
      <x:c r="D1741" s="30" t="n">
        <x:v>6</x:v>
      </x:c>
      <x:c r="E1741" s="38" t="str">
        <x:v>XLF</x:v>
      </x:c>
      <x:c r="F1741" s="38" t="n">
        <x:v>-1.4247826325</x:v>
      </x:c>
      <x:c r="G1741" s="38" t="n">
        <x:v>-3.0463950091</x:v>
      </x:c>
      <x:c r="H1741" s="42" t="b">
        <x:v>0</x:v>
      </x:c>
      <x:c r="I1741" s="42" t="b">
        <x:v>0</x:v>
      </x:c>
      <x:c r="J1741" s="38" t="n">
        <x:v>0.1774584644</x:v>
      </x:c>
    </x:row>
    <x:row r="1742" ht="19" customHeight="1">
      <x:c r="A1742" s="29" t="str">
        <x:v>stagger_1</x:v>
      </x:c>
      <x:c r="B1742" s="38" t="str">
        <x:v>NEM</x:v>
      </x:c>
      <x:c r="C1742" s="38" t="str">
        <x:v>Other sectors</x:v>
      </x:c>
      <x:c r="D1742" s="30" t="n">
        <x:v>6</x:v>
      </x:c>
      <x:c r="E1742" s="38" t="str">
        <x:v>XLK</x:v>
      </x:c>
      <x:c r="F1742" s="38" t="n">
        <x:v>-1.6227464348</x:v>
      </x:c>
      <x:c r="G1742" s="38" t="n">
        <x:v>-2.813147913</x:v>
      </x:c>
      <x:c r="H1742" s="42" t="b">
        <x:v>0</x:v>
      </x:c>
      <x:c r="I1742" s="42" t="b">
        <x:v>0</x:v>
      </x:c>
      <x:c r="J1742" s="38" t="n">
        <x:v>0.1774584644</x:v>
      </x:c>
    </x:row>
    <x:row r="1743" ht="19" customHeight="1">
      <x:c r="A1743" s="29" t="str">
        <x:v>stagger_1</x:v>
      </x:c>
      <x:c r="B1743" s="38" t="str">
        <x:v>NEM</x:v>
      </x:c>
      <x:c r="C1743" s="38" t="str">
        <x:v>Other sectors</x:v>
      </x:c>
      <x:c r="D1743" s="30" t="n">
        <x:v>6</x:v>
      </x:c>
      <x:c r="E1743" s="38" t="str">
        <x:v>XLP</x:v>
      </x:c>
      <x:c r="F1743" s="38" t="n">
        <x:v>-0.8551580075</x:v>
      </x:c>
      <x:c r="G1743" s="38" t="n">
        <x:v>-1.977890791</x:v>
      </x:c>
      <x:c r="H1743" s="42" t="b">
        <x:v>1</x:v>
      </x:c>
      <x:c r="I1743" s="42" t="b">
        <x:v>0</x:v>
      </x:c>
      <x:c r="J1743" s="38" t="n">
        <x:v>0.1774584644</x:v>
      </x:c>
    </x:row>
    <x:row r="1744" ht="19" customHeight="1">
      <x:c r="A1744" s="29" t="str">
        <x:v>stagger_1</x:v>
      </x:c>
      <x:c r="B1744" s="38" t="str">
        <x:v>NEM</x:v>
      </x:c>
      <x:c r="C1744" s="38" t="str">
        <x:v>Other sectors</x:v>
      </x:c>
      <x:c r="D1744" s="30" t="n">
        <x:v>6</x:v>
      </x:c>
      <x:c r="E1744" s="38" t="str">
        <x:v>XLY</x:v>
      </x:c>
      <x:c r="F1744" s="38" t="n">
        <x:v>-1.1302327879</x:v>
      </x:c>
      <x:c r="G1744" s="38" t="n">
        <x:v>-2.7413939702</x:v>
      </x:c>
      <x:c r="H1744" s="42" t="b">
        <x:v>0</x:v>
      </x:c>
      <x:c r="I1744" s="42" t="b">
        <x:v>0</x:v>
      </x:c>
      <x:c r="J1744" s="38" t="n">
        <x:v>0.1774584644</x:v>
      </x:c>
    </x:row>
    <x:row r="1745" ht="19" customHeight="1">
      <x:c r="A1745" s="29" t="str">
        <x:v>stagger_1</x:v>
      </x:c>
      <x:c r="B1745" s="38" t="str">
        <x:v>NEM</x:v>
      </x:c>
      <x:c r="C1745" s="38" t="str">
        <x:v>Other sectors</x:v>
      </x:c>
      <x:c r="D1745" s="30" t="n">
        <x:v>7</x:v>
      </x:c>
      <x:c r="E1745" s="38" t="str">
        <x:v>XLE</x:v>
      </x:c>
      <x:c r="F1745" s="38" t="n">
        <x:v>-0.3633889079</x:v>
      </x:c>
      <x:c r="G1745" s="38" t="n">
        <x:v>-2.1572508043</x:v>
      </x:c>
      <x:c r="H1745" s="42" t="b">
        <x:v>0</x:v>
      </x:c>
      <x:c r="I1745" s="42" t="b">
        <x:v>0</x:v>
      </x:c>
      <x:c r="J1745" s="38" t="n">
        <x:v>0.1339743395</x:v>
      </x:c>
    </x:row>
    <x:row r="1746" ht="19" customHeight="1">
      <x:c r="A1746" s="29" t="str">
        <x:v>stagger_1</x:v>
      </x:c>
      <x:c r="B1746" s="38" t="str">
        <x:v>NEM</x:v>
      </x:c>
      <x:c r="C1746" s="38" t="str">
        <x:v>Other sectors</x:v>
      </x:c>
      <x:c r="D1746" s="30" t="n">
        <x:v>7</x:v>
      </x:c>
      <x:c r="E1746" s="38" t="str">
        <x:v>XLF</x:v>
      </x:c>
      <x:c r="F1746" s="38" t="n">
        <x:v>-1.0143344713</x:v>
      </x:c>
      <x:c r="G1746" s="38" t="n">
        <x:v>-2.3744067283</x:v>
      </x:c>
      <x:c r="H1746" s="42" t="b">
        <x:v>0</x:v>
      </x:c>
      <x:c r="I1746" s="42" t="b">
        <x:v>0</x:v>
      </x:c>
      <x:c r="J1746" s="38" t="n">
        <x:v>0.1339743395</x:v>
      </x:c>
    </x:row>
    <x:row r="1747" ht="19" customHeight="1">
      <x:c r="A1747" s="29" t="str">
        <x:v>stagger_1</x:v>
      </x:c>
      <x:c r="B1747" s="38" t="str">
        <x:v>NEM</x:v>
      </x:c>
      <x:c r="C1747" s="38" t="str">
        <x:v>Other sectors</x:v>
      </x:c>
      <x:c r="D1747" s="30" t="n">
        <x:v>7</x:v>
      </x:c>
      <x:c r="E1747" s="38" t="str">
        <x:v>XLK</x:v>
      </x:c>
      <x:c r="F1747" s="38" t="n">
        <x:v>-0.8687097229</x:v>
      </x:c>
      <x:c r="G1747" s="38" t="n">
        <x:v>-1.9688218325</x:v>
      </x:c>
      <x:c r="H1747" s="42" t="b">
        <x:v>1</x:v>
      </x:c>
      <x:c r="I1747" s="42" t="b">
        <x:v>0</x:v>
      </x:c>
      <x:c r="J1747" s="38" t="n">
        <x:v>0.1339743395</x:v>
      </x:c>
    </x:row>
    <x:row r="1748" ht="19" customHeight="1">
      <x:c r="A1748" s="29" t="str">
        <x:v>stagger_1</x:v>
      </x:c>
      <x:c r="B1748" s="38" t="str">
        <x:v>NEM</x:v>
      </x:c>
      <x:c r="C1748" s="38" t="str">
        <x:v>Other sectors</x:v>
      </x:c>
      <x:c r="D1748" s="30" t="n">
        <x:v>7</x:v>
      </x:c>
      <x:c r="E1748" s="38" t="str">
        <x:v>XLY</x:v>
      </x:c>
      <x:c r="F1748" s="38" t="n">
        <x:v>-0.8198722333</x:v>
      </x:c>
      <x:c r="G1748" s="38" t="n">
        <x:v>-2.1098828006</x:v>
      </x:c>
      <x:c r="H1748" s="42" t="b">
        <x:v>0</x:v>
      </x:c>
      <x:c r="I1748" s="42" t="b">
        <x:v>0</x:v>
      </x:c>
      <x:c r="J1748" s="38" t="n">
        <x:v>0.1339743395</x:v>
      </x:c>
    </x:row>
    <x:row r="1749" ht="19" customHeight="1">
      <x:c r="A1749" s="29" t="str">
        <x:v>stagger_1</x:v>
      </x:c>
      <x:c r="B1749" s="38" t="str">
        <x:v>NEM</x:v>
      </x:c>
      <x:c r="C1749" s="38" t="str">
        <x:v>Other sectors</x:v>
      </x:c>
      <x:c r="D1749" s="30" t="n">
        <x:v>8</x:v>
      </x:c>
      <x:c r="E1749" s="38" t="str">
        <x:v>XLE</x:v>
      </x:c>
      <x:c r="F1749" s="38" t="n">
        <x:v>-0.2358843239</x:v>
      </x:c>
      <x:c r="G1749" s="38" t="n">
        <x:v>-1.4889937078</x:v>
      </x:c>
      <x:c r="H1749" s="42" t="b">
        <x:v>1</x:v>
      </x:c>
      <x:c r="I1749" s="42" t="b">
        <x:v>0</x:v>
      </x:c>
      <x:c r="J1749" s="38" t="n">
        <x:v>0.0892151379</x:v>
      </x:c>
    </x:row>
    <x:row r="1750" ht="19" customHeight="1">
      <x:c r="A1750" s="29" t="str">
        <x:v>stagger_1</x:v>
      </x:c>
      <x:c r="B1750" s="38" t="str">
        <x:v>NEM</x:v>
      </x:c>
      <x:c r="C1750" s="38" t="str">
        <x:v>Other sectors</x:v>
      </x:c>
      <x:c r="D1750" s="30" t="n">
        <x:v>8</x:v>
      </x:c>
      <x:c r="E1750" s="38" t="str">
        <x:v>XLF</x:v>
      </x:c>
      <x:c r="F1750" s="38" t="n">
        <x:v>-0.5538015012</x:v>
      </x:c>
      <x:c r="G1750" s="38" t="n">
        <x:v>-1.5207434975</x:v>
      </x:c>
      <x:c r="H1750" s="42" t="b">
        <x:v>0</x:v>
      </x:c>
      <x:c r="I1750" s="42" t="b">
        <x:v>0</x:v>
      </x:c>
      <x:c r="J1750" s="38" t="n">
        <x:v>0.0892151379</x:v>
      </x:c>
    </x:row>
    <x:row r="1751" ht="19" customHeight="1">
      <x:c r="A1751" s="29" t="str">
        <x:v>stagger_1</x:v>
      </x:c>
      <x:c r="B1751" s="38" t="str">
        <x:v>NEM</x:v>
      </x:c>
      <x:c r="C1751" s="38" t="str">
        <x:v>Other sectors</x:v>
      </x:c>
      <x:c r="D1751" s="30" t="n">
        <x:v>8</x:v>
      </x:c>
      <x:c r="E1751" s="38" t="str">
        <x:v>XLY</x:v>
      </x:c>
      <x:c r="F1751" s="38" t="n">
        <x:v>-0.5555226138</x:v>
      </x:c>
      <x:c r="G1751" s="38" t="n">
        <x:v>-1.4953945499</x:v>
      </x:c>
      <x:c r="H1751" s="42" t="b">
        <x:v>0</x:v>
      </x:c>
      <x:c r="I1751" s="42" t="b">
        <x:v>0</x:v>
      </x:c>
      <x:c r="J1751" s="38" t="n">
        <x:v>0.0892151379</x:v>
      </x:c>
    </x:row>
    <x:row r="1752" ht="19" customHeight="1">
      <x:c r="A1752" s="29" t="str">
        <x:v>stagger_1</x:v>
      </x:c>
      <x:c r="B1752" s="38" t="str">
        <x:v>NEM</x:v>
      </x:c>
      <x:c r="C1752" s="38" t="str">
        <x:v>Other sectors</x:v>
      </x:c>
      <x:c r="D1752" s="30" t="n">
        <x:v>9</x:v>
      </x:c>
      <x:c r="E1752" s="38" t="str">
        <x:v>XLF</x:v>
      </x:c>
      <x:c r="F1752" s="38" t="n">
        <x:v>-0.7009010032</x:v>
      </x:c>
      <x:c r="G1752" s="38" t="n">
        <x:v>-1.9840483956</x:v>
      </x:c>
      <x:c r="H1752" s="42" t="b">
        <x:v>0</x:v>
      </x:c>
      <x:c r="I1752" s="42" t="b">
        <x:v>0</x:v>
      </x:c>
      <x:c r="J1752" s="38" t="n">
        <x:v>0.0626453593</x:v>
      </x:c>
    </x:row>
    <x:row r="1753" ht="19" customHeight="1">
      <x:c r="A1753" s="29" t="str">
        <x:v>stagger_1</x:v>
      </x:c>
      <x:c r="B1753" s="38" t="str">
        <x:v>NEM</x:v>
      </x:c>
      <x:c r="C1753" s="38" t="str">
        <x:v>Other sectors</x:v>
      </x:c>
      <x:c r="D1753" s="30" t="n">
        <x:v>9</x:v>
      </x:c>
      <x:c r="E1753" s="38" t="str">
        <x:v>XLY</x:v>
      </x:c>
      <x:c r="F1753" s="38" t="n">
        <x:v>-0.4213278543</x:v>
      </x:c>
      <x:c r="G1753" s="38" t="n">
        <x:v>-1.1599540107</x:v>
      </x:c>
      <x:c r="H1753" s="42" t="b">
        <x:v>1</x:v>
      </x:c>
      <x:c r="I1753" s="42" t="b">
        <x:v>0</x:v>
      </x:c>
      <x:c r="J1753" s="38" t="n">
        <x:v>0.0626453593</x:v>
      </x:c>
    </x:row>
    <x:row r="1754" ht="19" customHeight="1">
      <x:c r="A1754" s="29" t="str">
        <x:v>stagger_1</x:v>
      </x:c>
      <x:c r="B1754" s="38" t="str">
        <x:v>NEM</x:v>
      </x:c>
      <x:c r="C1754" s="38" t="str">
        <x:v>Other sectors</x:v>
      </x:c>
      <x:c r="D1754" s="30" t="n">
        <x:v>10</x:v>
      </x:c>
      <x:c r="E1754" s="38" t="str">
        <x:v>XLF</x:v>
      </x:c>
      <x:c r="F1754" s="38" t="n">
        <x:v>-0.6883768164</x:v>
      </x:c>
      <x:c r="G1754" s="38" t="n">
        <x:v>-1.945203517</x:v>
      </x:c>
      <x:c r="H1754" s="42" t="b">
        <x:v>1</x:v>
      </x:c>
      <x:c r="I1754" s="42" t="b">
        <x:v>0</x:v>
      </x:c>
      <x:c r="J1754" s="38" t="n">
        <x:v>0.0462660814</x:v>
      </x:c>
    </x:row>
    <x:row r="1755" ht="19" customHeight="1">
      <x:c r="A1755" s="29" t="str">
        <x:v>stagger_1</x:v>
      </x:c>
      <x:c r="B1755" s="38" t="str">
        <x:v>PGR</x:v>
      </x:c>
      <x:c r="C1755" s="38" t="str">
        <x:v>Other FX</x:v>
      </x:c>
      <x:c r="D1755" s="30" t="n">
        <x:v>1</x:v>
      </x:c>
      <x:c r="E1755" s="38" t="str">
        <x:v>AUD/USD</x:v>
      </x:c>
      <x:c r="F1755" s="38" t="n">
        <x:v>-0.1798357494</x:v>
      </x:c>
      <x:c r="G1755" s="38" t="n">
        <x:v>-0.4035888975</x:v>
      </x:c>
      <x:c r="H1755" s="42" t="b">
        <x:v>0</x:v>
      </x:c>
      <x:c r="I1755" s="42" t="b">
        <x:v>0</x:v>
      </x:c>
      <x:c r="J1755" s="38" t="n">
        <x:v>0.0836992349</x:v>
      </x:c>
    </x:row>
    <x:row r="1756" ht="19" customHeight="1">
      <x:c r="A1756" s="29" t="str">
        <x:v>stagger_1</x:v>
      </x:c>
      <x:c r="B1756" s="38" t="str">
        <x:v>PGR</x:v>
      </x:c>
      <x:c r="C1756" s="38" t="str">
        <x:v>Other FX</x:v>
      </x:c>
      <x:c r="D1756" s="30" t="n">
        <x:v>1</x:v>
      </x:c>
      <x:c r="E1756" s="38" t="str">
        <x:v>CAD/USD</x:v>
      </x:c>
      <x:c r="F1756" s="38" t="n">
        <x:v>-0.0684966755</x:v>
      </x:c>
      <x:c r="G1756" s="38" t="n">
        <x:v>-0.1273002294</x:v>
      </x:c>
      <x:c r="H1756" s="42" t="b">
        <x:v>0</x:v>
      </x:c>
      <x:c r="I1756" s="42" t="b">
        <x:v>0</x:v>
      </x:c>
      <x:c r="J1756" s="38" t="n">
        <x:v>0.0836992349</x:v>
      </x:c>
    </x:row>
    <x:row r="1757" ht="19" customHeight="1">
      <x:c r="A1757" s="29" t="str">
        <x:v>stagger_1</x:v>
      </x:c>
      <x:c r="B1757" s="38" t="str">
        <x:v>PGR</x:v>
      </x:c>
      <x:c r="C1757" s="38" t="str">
        <x:v>Other FX</x:v>
      </x:c>
      <x:c r="D1757" s="30" t="n">
        <x:v>1</x:v>
      </x:c>
      <x:c r="E1757" s="38" t="str">
        <x:v>DKK/USD</x:v>
      </x:c>
      <x:c r="F1757" s="38" t="n">
        <x:v>-0.2717299859</x:v>
      </x:c>
      <x:c r="G1757" s="38" t="n">
        <x:v>-0.0725397951</x:v>
      </x:c>
      <x:c r="H1757" s="42" t="b">
        <x:v>1</x:v>
      </x:c>
      <x:c r="I1757" s="42" t="b">
        <x:v>0</x:v>
      </x:c>
      <x:c r="J1757" s="38" t="n">
        <x:v>0.0836992349</x:v>
      </x:c>
    </x:row>
    <x:row r="1758" ht="19" customHeight="1">
      <x:c r="A1758" s="29" t="str">
        <x:v>stagger_1</x:v>
      </x:c>
      <x:c r="B1758" s="38" t="str">
        <x:v>PGR</x:v>
      </x:c>
      <x:c r="C1758" s="38" t="str">
        <x:v>Other FX</x:v>
      </x:c>
      <x:c r="D1758" s="30" t="n">
        <x:v>1</x:v>
      </x:c>
      <x:c r="E1758" s="38" t="str">
        <x:v>EUR/USD</x:v>
      </x:c>
      <x:c r="F1758" s="38" t="n">
        <x:v>-0.3494548365</x:v>
      </x:c>
      <x:c r="G1758" s="38" t="n">
        <x:v>-0.1019871096</x:v>
      </x:c>
      <x:c r="H1758" s="42" t="b">
        <x:v>0</x:v>
      </x:c>
      <x:c r="I1758" s="42" t="b">
        <x:v>0</x:v>
      </x:c>
      <x:c r="J1758" s="38" t="n">
        <x:v>0.0836992349</x:v>
      </x:c>
    </x:row>
    <x:row r="1759" ht="19" customHeight="1">
      <x:c r="A1759" s="29" t="str">
        <x:v>stagger_1</x:v>
      </x:c>
      <x:c r="B1759" s="38" t="str">
        <x:v>PGR</x:v>
      </x:c>
      <x:c r="C1759" s="38" t="str">
        <x:v>Other FX</x:v>
      </x:c>
      <x:c r="D1759" s="30" t="n">
        <x:v>1</x:v>
      </x:c>
      <x:c r="E1759" s="38" t="str">
        <x:v>MXN/USD</x:v>
      </x:c>
      <x:c r="F1759" s="38" t="n">
        <x:v>-0.057878415</x:v>
      </x:c>
      <x:c r="G1759" s="38" t="n">
        <x:v>-0.2027499801</x:v>
      </x:c>
      <x:c r="H1759" s="42" t="b">
        <x:v>0</x:v>
      </x:c>
      <x:c r="I1759" s="42" t="b">
        <x:v>0</x:v>
      </x:c>
      <x:c r="J1759" s="38" t="n">
        <x:v>0.0836992349</x:v>
      </x:c>
    </x:row>
    <x:row r="1760" ht="19" customHeight="1">
      <x:c r="A1760" s="29" t="str">
        <x:v>stagger_1</x:v>
      </x:c>
      <x:c r="B1760" s="38" t="str">
        <x:v>PGR</x:v>
      </x:c>
      <x:c r="C1760" s="38" t="str">
        <x:v>Other FX</x:v>
      </x:c>
      <x:c r="D1760" s="30" t="n">
        <x:v>1</x:v>
      </x:c>
      <x:c r="E1760" s="38" t="str">
        <x:v>SGD/USD</x:v>
      </x:c>
      <x:c r="F1760" s="38" t="n">
        <x:v>2.2900834049</x:v>
      </x:c>
      <x:c r="G1760" s="38" t="n">
        <x:v>2.1226821284</x:v>
      </x:c>
      <x:c r="H1760" s="42" t="b">
        <x:v>0</x:v>
      </x:c>
      <x:c r="I1760" s="42" t="b">
        <x:v>0</x:v>
      </x:c>
      <x:c r="J1760" s="38" t="n">
        <x:v>0.0836992349</x:v>
      </x:c>
    </x:row>
    <x:row r="1761" ht="19" customHeight="1">
      <x:c r="A1761" s="29" t="str">
        <x:v>stagger_1</x:v>
      </x:c>
      <x:c r="B1761" s="38" t="str">
        <x:v>PGR</x:v>
      </x:c>
      <x:c r="C1761" s="38" t="str">
        <x:v>Other FX</x:v>
      </x:c>
      <x:c r="D1761" s="30" t="n">
        <x:v>2</x:v>
      </x:c>
      <x:c r="E1761" s="38" t="str">
        <x:v>AUD/USD</x:v>
      </x:c>
      <x:c r="F1761" s="38" t="n">
        <x:v>-0.1796854358</x:v>
      </x:c>
      <x:c r="G1761" s="38" t="n">
        <x:v>-0.4059939226</x:v>
      </x:c>
      <x:c r="H1761" s="42" t="b">
        <x:v>0</x:v>
      </x:c>
      <x:c r="I1761" s="42" t="b">
        <x:v>0</x:v>
      </x:c>
      <x:c r="J1761" s="38" t="n">
        <x:v>0.0836331856</x:v>
      </x:c>
    </x:row>
    <x:row r="1762" ht="19" customHeight="1">
      <x:c r="A1762" s="29" t="str">
        <x:v>stagger_1</x:v>
      </x:c>
      <x:c r="B1762" s="38" t="str">
        <x:v>PGR</x:v>
      </x:c>
      <x:c r="C1762" s="38" t="str">
        <x:v>Other FX</x:v>
      </x:c>
      <x:c r="D1762" s="30" t="n">
        <x:v>2</x:v>
      </x:c>
      <x:c r="E1762" s="38" t="str">
        <x:v>CAD/USD</x:v>
      </x:c>
      <x:c r="F1762" s="38" t="n">
        <x:v>-0.0723804847</x:v>
      </x:c>
      <x:c r="G1762" s="38" t="n">
        <x:v>-0.1361070635</x:v>
      </x:c>
      <x:c r="H1762" s="42" t="b">
        <x:v>1</x:v>
      </x:c>
      <x:c r="I1762" s="42" t="b">
        <x:v>0</x:v>
      </x:c>
      <x:c r="J1762" s="38" t="n">
        <x:v>0.0836331856</x:v>
      </x:c>
    </x:row>
    <x:row r="1763" ht="19" customHeight="1">
      <x:c r="A1763" s="29" t="str">
        <x:v>stagger_1</x:v>
      </x:c>
      <x:c r="B1763" s="38" t="str">
        <x:v>PGR</x:v>
      </x:c>
      <x:c r="C1763" s="38" t="str">
        <x:v>Other FX</x:v>
      </x:c>
      <x:c r="D1763" s="30" t="n">
        <x:v>2</x:v>
      </x:c>
      <x:c r="E1763" s="38" t="str">
        <x:v>EUR/USD</x:v>
      </x:c>
      <x:c r="F1763" s="38" t="n">
        <x:v>-0.5948292179</x:v>
      </x:c>
      <x:c r="G1763" s="38" t="n">
        <x:v>-1.0960621681</x:v>
      </x:c>
      <x:c r="H1763" s="42" t="b">
        <x:v>0</x:v>
      </x:c>
      <x:c r="I1763" s="42" t="b">
        <x:v>0</x:v>
      </x:c>
      <x:c r="J1763" s="38" t="n">
        <x:v>0.0836331856</x:v>
      </x:c>
    </x:row>
    <x:row r="1764" ht="19" customHeight="1">
      <x:c r="A1764" s="29" t="str">
        <x:v>stagger_1</x:v>
      </x:c>
      <x:c r="B1764" s="38" t="str">
        <x:v>PGR</x:v>
      </x:c>
      <x:c r="C1764" s="38" t="str">
        <x:v>Other FX</x:v>
      </x:c>
      <x:c r="D1764" s="30" t="n">
        <x:v>2</x:v>
      </x:c>
      <x:c r="E1764" s="38" t="str">
        <x:v>MXN/USD</x:v>
      </x:c>
      <x:c r="F1764" s="38" t="n">
        <x:v>-0.0641421048</x:v>
      </x:c>
      <x:c r="G1764" s="38" t="n">
        <x:v>-0.237335365</x:v>
      </x:c>
      <x:c r="H1764" s="42" t="b">
        <x:v>0</x:v>
      </x:c>
      <x:c r="I1764" s="42" t="b">
        <x:v>0</x:v>
      </x:c>
      <x:c r="J1764" s="38" t="n">
        <x:v>0.0836331856</x:v>
      </x:c>
    </x:row>
    <x:row r="1765" ht="19" customHeight="1">
      <x:c r="A1765" s="29" t="str">
        <x:v>stagger_1</x:v>
      </x:c>
      <x:c r="B1765" s="38" t="str">
        <x:v>PGR</x:v>
      </x:c>
      <x:c r="C1765" s="38" t="str">
        <x:v>Other FX</x:v>
      </x:c>
      <x:c r="D1765" s="30" t="n">
        <x:v>2</x:v>
      </x:c>
      <x:c r="E1765" s="38" t="str">
        <x:v>SGD/USD</x:v>
      </x:c>
      <x:c r="F1765" s="38" t="n">
        <x:v>2.2600228845</x:v>
      </x:c>
      <x:c r="G1765" s="38" t="n">
        <x:v>2.2842734434</x:v>
      </x:c>
      <x:c r="H1765" s="42" t="b">
        <x:v>0</x:v>
      </x:c>
      <x:c r="I1765" s="42" t="b">
        <x:v>0</x:v>
      </x:c>
      <x:c r="J1765" s="38" t="n">
        <x:v>0.0836331856</x:v>
      </x:c>
    </x:row>
    <x:row r="1766" ht="19" customHeight="1">
      <x:c r="A1766" s="29" t="str">
        <x:v>stagger_1</x:v>
      </x:c>
      <x:c r="B1766" s="38" t="str">
        <x:v>PGR</x:v>
      </x:c>
      <x:c r="C1766" s="38" t="str">
        <x:v>Other FX</x:v>
      </x:c>
      <x:c r="D1766" s="30" t="n">
        <x:v>3</x:v>
      </x:c>
      <x:c r="E1766" s="38" t="str">
        <x:v>AUD/USD</x:v>
      </x:c>
      <x:c r="F1766" s="38" t="n">
        <x:v>-0.1943892361</x:v>
      </x:c>
      <x:c r="G1766" s="38" t="n">
        <x:v>-0.455909557</x:v>
      </x:c>
      <x:c r="H1766" s="42" t="b">
        <x:v>0</x:v>
      </x:c>
      <x:c r="I1766" s="42" t="b">
        <x:v>0</x:v>
      </x:c>
      <x:c r="J1766" s="38" t="n">
        <x:v>0.0834037827</x:v>
      </x:c>
    </x:row>
    <x:row r="1767" ht="19" customHeight="1">
      <x:c r="A1767" s="29" t="str">
        <x:v>stagger_1</x:v>
      </x:c>
      <x:c r="B1767" s="38" t="str">
        <x:v>PGR</x:v>
      </x:c>
      <x:c r="C1767" s="38" t="str">
        <x:v>Other FX</x:v>
      </x:c>
      <x:c r="D1767" s="30" t="n">
        <x:v>3</x:v>
      </x:c>
      <x:c r="E1767" s="38" t="str">
        <x:v>EUR/USD</x:v>
      </x:c>
      <x:c r="F1767" s="38" t="n">
        <x:v>-0.6122882908</x:v>
      </x:c>
      <x:c r="G1767" s="38" t="n">
        <x:v>-1.1688075757</x:v>
      </x:c>
      <x:c r="H1767" s="42" t="b">
        <x:v>0</x:v>
      </x:c>
      <x:c r="I1767" s="42" t="b">
        <x:v>0</x:v>
      </x:c>
      <x:c r="J1767" s="38" t="n">
        <x:v>0.0834037827</x:v>
      </x:c>
    </x:row>
    <x:row r="1768" ht="19" customHeight="1">
      <x:c r="A1768" s="29" t="str">
        <x:v>stagger_1</x:v>
      </x:c>
      <x:c r="B1768" s="38" t="str">
        <x:v>PGR</x:v>
      </x:c>
      <x:c r="C1768" s="38" t="str">
        <x:v>Other FX</x:v>
      </x:c>
      <x:c r="D1768" s="30" t="n">
        <x:v>3</x:v>
      </x:c>
      <x:c r="E1768" s="38" t="str">
        <x:v>MXN/USD</x:v>
      </x:c>
      <x:c r="F1768" s="38" t="n">
        <x:v>-0.0645328582</x:v>
      </x:c>
      <x:c r="G1768" s="38" t="n">
        <x:v>-0.2403726622</x:v>
      </x:c>
      <x:c r="H1768" s="42" t="b">
        <x:v>1</x:v>
      </x:c>
      <x:c r="I1768" s="42" t="b">
        <x:v>0</x:v>
      </x:c>
      <x:c r="J1768" s="38" t="n">
        <x:v>0.0834037827</x:v>
      </x:c>
    </x:row>
    <x:row r="1769" ht="19" customHeight="1">
      <x:c r="A1769" s="29" t="str">
        <x:v>stagger_1</x:v>
      </x:c>
      <x:c r="B1769" s="38" t="str">
        <x:v>PGR</x:v>
      </x:c>
      <x:c r="C1769" s="38" t="str">
        <x:v>Other FX</x:v>
      </x:c>
      <x:c r="D1769" s="30" t="n">
        <x:v>3</x:v>
      </x:c>
      <x:c r="E1769" s="38" t="str">
        <x:v>SGD/USD</x:v>
      </x:c>
      <x:c r="F1769" s="38" t="n">
        <x:v>2.2540614976</x:v>
      </x:c>
      <x:c r="G1769" s="38" t="n">
        <x:v>2.2955534412</x:v>
      </x:c>
      <x:c r="H1769" s="42" t="b">
        <x:v>0</x:v>
      </x:c>
      <x:c r="I1769" s="42" t="b">
        <x:v>0</x:v>
      </x:c>
      <x:c r="J1769" s="38" t="n">
        <x:v>0.0834037827</x:v>
      </x:c>
    </x:row>
    <x:row r="1770" ht="19" customHeight="1">
      <x:c r="A1770" s="29" t="str">
        <x:v>stagger_1</x:v>
      </x:c>
      <x:c r="B1770" s="38" t="str">
        <x:v>PGR</x:v>
      </x:c>
      <x:c r="C1770" s="38" t="str">
        <x:v>Other FX</x:v>
      </x:c>
      <x:c r="D1770" s="30" t="n">
        <x:v>4</x:v>
      </x:c>
      <x:c r="E1770" s="38" t="str">
        <x:v>AUD/USD</x:v>
      </x:c>
      <x:c r="F1770" s="38" t="n">
        <x:v>-0.2152994916</x:v>
      </x:c>
      <x:c r="G1770" s="38" t="n">
        <x:v>-0.5190280729</x:v>
      </x:c>
      <x:c r="H1770" s="42" t="b">
        <x:v>1</x:v>
      </x:c>
      <x:c r="I1770" s="42" t="b">
        <x:v>0</x:v>
      </x:c>
      <x:c r="J1770" s="38" t="n">
        <x:v>0.082697649</x:v>
      </x:c>
    </x:row>
    <x:row r="1771" ht="19" customHeight="1">
      <x:c r="A1771" s="29" t="str">
        <x:v>stagger_1</x:v>
      </x:c>
      <x:c r="B1771" s="38" t="str">
        <x:v>PGR</x:v>
      </x:c>
      <x:c r="C1771" s="38" t="str">
        <x:v>Other FX</x:v>
      </x:c>
      <x:c r="D1771" s="30" t="n">
        <x:v>4</x:v>
      </x:c>
      <x:c r="E1771" s="38" t="str">
        <x:v>EUR/USD</x:v>
      </x:c>
      <x:c r="F1771" s="38" t="n">
        <x:v>-0.6429447889</x:v>
      </x:c>
      <x:c r="G1771" s="38" t="n">
        <x:v>-1.2733202157</x:v>
      </x:c>
      <x:c r="H1771" s="42" t="b">
        <x:v>0</x:v>
      </x:c>
      <x:c r="I1771" s="42" t="b">
        <x:v>0</x:v>
      </x:c>
      <x:c r="J1771" s="38" t="n">
        <x:v>0.082697649</x:v>
      </x:c>
    </x:row>
    <x:row r="1772" ht="19" customHeight="1">
      <x:c r="A1772" s="29" t="str">
        <x:v>stagger_1</x:v>
      </x:c>
      <x:c r="B1772" s="38" t="str">
        <x:v>PGR</x:v>
      </x:c>
      <x:c r="C1772" s="38" t="str">
        <x:v>Other FX</x:v>
      </x:c>
      <x:c r="D1772" s="30" t="n">
        <x:v>4</x:v>
      </x:c>
      <x:c r="E1772" s="38" t="str">
        <x:v>SGD/USD</x:v>
      </x:c>
      <x:c r="F1772" s="38" t="n">
        <x:v>2.2516343834</x:v>
      </x:c>
      <x:c r="G1772" s="38" t="n">
        <x:v>2.3075516119</x:v>
      </x:c>
      <x:c r="H1772" s="42" t="b">
        <x:v>0</x:v>
      </x:c>
      <x:c r="I1772" s="42" t="b">
        <x:v>0</x:v>
      </x:c>
      <x:c r="J1772" s="38" t="n">
        <x:v>0.082697649</x:v>
      </x:c>
    </x:row>
    <x:row r="1773" ht="19" customHeight="1">
      <x:c r="A1773" s="29" t="str">
        <x:v>stagger_1</x:v>
      </x:c>
      <x:c r="B1773" s="38" t="str">
        <x:v>PGR</x:v>
      </x:c>
      <x:c r="C1773" s="38" t="str">
        <x:v>Other FX</x:v>
      </x:c>
      <x:c r="D1773" s="30" t="n">
        <x:v>5</x:v>
      </x:c>
      <x:c r="E1773" s="38" t="str">
        <x:v>EUR/USD</x:v>
      </x:c>
      <x:c r="F1773" s="38" t="n">
        <x:v>-0.6695940338</x:v>
      </x:c>
      <x:c r="G1773" s="38" t="n">
        <x:v>-1.3393766467</x:v>
      </x:c>
      <x:c r="H1773" s="42" t="b">
        <x:v>1</x:v>
      </x:c>
      <x:c r="I1773" s="42" t="b">
        <x:v>0</x:v>
      </x:c>
      <x:c r="J1773" s="38" t="n">
        <x:v>0.0794461725</x:v>
      </x:c>
    </x:row>
    <x:row r="1774" ht="19" customHeight="1">
      <x:c r="A1774" s="29" t="str">
        <x:v>stagger_1</x:v>
      </x:c>
      <x:c r="B1774" s="38" t="str">
        <x:v>PGR</x:v>
      </x:c>
      <x:c r="C1774" s="38" t="str">
        <x:v>Other FX</x:v>
      </x:c>
      <x:c r="D1774" s="30" t="n">
        <x:v>5</x:v>
      </x:c>
      <x:c r="E1774" s="38" t="str">
        <x:v>SGD/USD</x:v>
      </x:c>
      <x:c r="F1774" s="38" t="n">
        <x:v>1.9778829794</x:v>
      </x:c>
      <x:c r="G1774" s="38" t="n">
        <x:v>2.420808318</x:v>
      </x:c>
      <x:c r="H1774" s="42" t="b">
        <x:v>0</x:v>
      </x:c>
      <x:c r="I1774" s="42" t="b">
        <x:v>0</x:v>
      </x:c>
      <x:c r="J1774" s="38" t="n">
        <x:v>0.0794461725</x:v>
      </x:c>
    </x:row>
    <x:row r="1775" ht="19" customHeight="1">
      <x:c r="A1775" s="29" t="str">
        <x:v>stagger_1</x:v>
      </x:c>
      <x:c r="B1775" s="38" t="str">
        <x:v>PGR</x:v>
      </x:c>
      <x:c r="C1775" s="38" t="str">
        <x:v>Other FX</x:v>
      </x:c>
      <x:c r="D1775" s="30" t="n">
        <x:v>6</x:v>
      </x:c>
      <x:c r="E1775" s="38" t="str">
        <x:v>SGD/USD</x:v>
      </x:c>
      <x:c r="F1775" s="38" t="n">
        <x:v>1.1225843735</x:v>
      </x:c>
      <x:c r="G1775" s="38" t="n">
        <x:v>2.1914576231</x:v>
      </x:c>
      <x:c r="H1775" s="42" t="b">
        <x:v>0</x:v>
      </x:c>
      <x:c r="I1775" s="42" t="b">
        <x:v>1</x:v>
      </x:c>
      <x:c r="J1775" s="38" t="n">
        <x:v>0.0579993031</x:v>
      </x:c>
    </x:row>
    <x:row r="1776" ht="19" customHeight="1">
      <x:c r="A1776" s="29" t="str">
        <x:v>stagger_1</x:v>
      </x:c>
      <x:c r="B1776" s="38" t="str">
        <x:v>PGR</x:v>
      </x:c>
      <x:c r="C1776" s="38" t="str">
        <x:v>Other sectors</x:v>
      </x:c>
      <x:c r="D1776" s="30" t="n">
        <x:v>1</x:v>
      </x:c>
      <x:c r="E1776" s="38" t="str">
        <x:v>XLB</x:v>
      </x:c>
      <x:c r="F1776" s="38" t="n">
        <x:v>0.2617912955</x:v>
      </x:c>
      <x:c r="G1776" s="38" t="n">
        <x:v>0.9926443314</x:v>
      </x:c>
      <x:c r="H1776" s="42" t="b">
        <x:v>0</x:v>
      </x:c>
      <x:c r="I1776" s="42" t="b">
        <x:v>0</x:v>
      </x:c>
      <x:c r="J1776" s="38" t="n">
        <x:v>0.1434494794</x:v>
      </x:c>
    </x:row>
    <x:row r="1777" ht="19" customHeight="1">
      <x:c r="A1777" s="29" t="str">
        <x:v>stagger_1</x:v>
      </x:c>
      <x:c r="B1777" s="38" t="str">
        <x:v>PGR</x:v>
      </x:c>
      <x:c r="C1777" s="38" t="str">
        <x:v>Other sectors</x:v>
      </x:c>
      <x:c r="D1777" s="30" t="n">
        <x:v>1</x:v>
      </x:c>
      <x:c r="E1777" s="38" t="str">
        <x:v>XLC</x:v>
      </x:c>
      <x:c r="F1777" s="38" t="n">
        <x:v>0.4741750172</x:v>
      </x:c>
      <x:c r="G1777" s="38" t="n">
        <x:v>1.9286139212</x:v>
      </x:c>
      <x:c r="H1777" s="42" t="b">
        <x:v>0</x:v>
      </x:c>
      <x:c r="I1777" s="42" t="b">
        <x:v>0</x:v>
      </x:c>
      <x:c r="J1777" s="38" t="n">
        <x:v>0.1434494794</x:v>
      </x:c>
    </x:row>
    <x:row r="1778" ht="19" customHeight="1">
      <x:c r="A1778" s="29" t="str">
        <x:v>stagger_1</x:v>
      </x:c>
      <x:c r="B1778" s="38" t="str">
        <x:v>PGR</x:v>
      </x:c>
      <x:c r="C1778" s="38" t="str">
        <x:v>Other sectors</x:v>
      </x:c>
      <x:c r="D1778" s="30" t="n">
        <x:v>1</x:v>
      </x:c>
      <x:c r="E1778" s="38" t="str">
        <x:v>XLE</x:v>
      </x:c>
      <x:c r="F1778" s="38" t="n">
        <x:v>-0.0877288064</x:v>
      </x:c>
      <x:c r="G1778" s="38" t="n">
        <x:v>-0.8963305461</x:v>
      </x:c>
      <x:c r="H1778" s="42" t="b">
        <x:v>0</x:v>
      </x:c>
      <x:c r="I1778" s="42" t="b">
        <x:v>0</x:v>
      </x:c>
      <x:c r="J1778" s="38" t="n">
        <x:v>0.1434494794</x:v>
      </x:c>
    </x:row>
    <x:row r="1779" ht="19" customHeight="1">
      <x:c r="A1779" s="29" t="str">
        <x:v>stagger_1</x:v>
      </x:c>
      <x:c r="B1779" s="38" t="str">
        <x:v>PGR</x:v>
      </x:c>
      <x:c r="C1779" s="38" t="str">
        <x:v>Other sectors</x:v>
      </x:c>
      <x:c r="D1779" s="30" t="n">
        <x:v>1</x:v>
      </x:c>
      <x:c r="E1779" s="38" t="str">
        <x:v>XLI</x:v>
      </x:c>
      <x:c r="F1779" s="38" t="n">
        <x:v>-0.1032451649</x:v>
      </x:c>
      <x:c r="G1779" s="38" t="n">
        <x:v>-0.3033373725</x:v>
      </x:c>
      <x:c r="H1779" s="42" t="b">
        <x:v>0</x:v>
      </x:c>
      <x:c r="I1779" s="42" t="b">
        <x:v>0</x:v>
      </x:c>
      <x:c r="J1779" s="38" t="n">
        <x:v>0.1434494794</x:v>
      </x:c>
    </x:row>
    <x:row r="1780" ht="19" customHeight="1">
      <x:c r="A1780" s="29" t="str">
        <x:v>stagger_1</x:v>
      </x:c>
      <x:c r="B1780" s="38" t="str">
        <x:v>PGR</x:v>
      </x:c>
      <x:c r="C1780" s="38" t="str">
        <x:v>Other sectors</x:v>
      </x:c>
      <x:c r="D1780" s="30" t="n">
        <x:v>1</x:v>
      </x:c>
      <x:c r="E1780" s="38" t="str">
        <x:v>XLK</x:v>
      </x:c>
      <x:c r="F1780" s="38" t="n">
        <x:v>0.2312262421</x:v>
      </x:c>
      <x:c r="G1780" s="38" t="n">
        <x:v>0.7078649241</x:v>
      </x:c>
      <x:c r="H1780" s="42" t="b">
        <x:v>0</x:v>
      </x:c>
      <x:c r="I1780" s="42" t="b">
        <x:v>0</x:v>
      </x:c>
      <x:c r="J1780" s="38" t="n">
        <x:v>0.1434494794</x:v>
      </x:c>
    </x:row>
    <x:row r="1781" ht="19" customHeight="1">
      <x:c r="A1781" s="29" t="str">
        <x:v>stagger_1</x:v>
      </x:c>
      <x:c r="B1781" s="38" t="str">
        <x:v>PGR</x:v>
      </x:c>
      <x:c r="C1781" s="38" t="str">
        <x:v>Other sectors</x:v>
      </x:c>
      <x:c r="D1781" s="30" t="n">
        <x:v>1</x:v>
      </x:c>
      <x:c r="E1781" s="38" t="str">
        <x:v>XLP</x:v>
      </x:c>
      <x:c r="F1781" s="38" t="n">
        <x:v>0.3648268682</x:v>
      </x:c>
      <x:c r="G1781" s="38" t="n">
        <x:v>1.4490733216</x:v>
      </x:c>
      <x:c r="H1781" s="42" t="b">
        <x:v>0</x:v>
      </x:c>
      <x:c r="I1781" s="42" t="b">
        <x:v>0</x:v>
      </x:c>
      <x:c r="J1781" s="38" t="n">
        <x:v>0.1434494794</x:v>
      </x:c>
    </x:row>
    <x:row r="1782" ht="19" customHeight="1">
      <x:c r="A1782" s="29" t="str">
        <x:v>stagger_1</x:v>
      </x:c>
      <x:c r="B1782" s="38" t="str">
        <x:v>PGR</x:v>
      </x:c>
      <x:c r="C1782" s="38" t="str">
        <x:v>Other sectors</x:v>
      </x:c>
      <x:c r="D1782" s="30" t="n">
        <x:v>1</x:v>
      </x:c>
      <x:c r="E1782" s="38" t="str">
        <x:v>XLRE</x:v>
      </x:c>
      <x:c r="F1782" s="38" t="n">
        <x:v>-0.082904506</x:v>
      </x:c>
      <x:c r="G1782" s="38" t="n">
        <x:v>-0.3734455739</x:v>
      </x:c>
      <x:c r="H1782" s="42" t="b">
        <x:v>0</x:v>
      </x:c>
      <x:c r="I1782" s="42" t="b">
        <x:v>0</x:v>
      </x:c>
      <x:c r="J1782" s="38" t="n">
        <x:v>0.1434494794</x:v>
      </x:c>
    </x:row>
    <x:row r="1783" ht="19" customHeight="1">
      <x:c r="A1783" s="29" t="str">
        <x:v>stagger_1</x:v>
      </x:c>
      <x:c r="B1783" s="38" t="str">
        <x:v>PGR</x:v>
      </x:c>
      <x:c r="C1783" s="38" t="str">
        <x:v>Other sectors</x:v>
      </x:c>
      <x:c r="D1783" s="30" t="n">
        <x:v>1</x:v>
      </x:c>
      <x:c r="E1783" s="38" t="str">
        <x:v>XLU</x:v>
      </x:c>
      <x:c r="F1783" s="38" t="n">
        <x:v>0.0469893261</x:v>
      </x:c>
      <x:c r="G1783" s="38" t="n">
        <x:v>0.2705374633</x:v>
      </x:c>
      <x:c r="H1783" s="42" t="b">
        <x:v>1</x:v>
      </x:c>
      <x:c r="I1783" s="42" t="b">
        <x:v>0</x:v>
      </x:c>
      <x:c r="J1783" s="38" t="n">
        <x:v>0.1434494794</x:v>
      </x:c>
    </x:row>
    <x:row r="1784" ht="19" customHeight="1">
      <x:c r="A1784" s="29" t="str">
        <x:v>stagger_1</x:v>
      </x:c>
      <x:c r="B1784" s="38" t="str">
        <x:v>PGR</x:v>
      </x:c>
      <x:c r="C1784" s="38" t="str">
        <x:v>Other sectors</x:v>
      </x:c>
      <x:c r="D1784" s="30" t="n">
        <x:v>1</x:v>
      </x:c>
      <x:c r="E1784" s="38" t="str">
        <x:v>XLV</x:v>
      </x:c>
      <x:c r="F1784" s="38" t="n">
        <x:v>0.0678701758</x:v>
      </x:c>
      <x:c r="G1784" s="38" t="n">
        <x:v>0.2881565326</x:v>
      </x:c>
      <x:c r="H1784" s="42" t="b">
        <x:v>0</x:v>
      </x:c>
      <x:c r="I1784" s="42" t="b">
        <x:v>0</x:v>
      </x:c>
      <x:c r="J1784" s="38" t="n">
        <x:v>0.1434494794</x:v>
      </x:c>
    </x:row>
    <x:row r="1785" ht="19" customHeight="1">
      <x:c r="A1785" s="29" t="str">
        <x:v>stagger_1</x:v>
      </x:c>
      <x:c r="B1785" s="38" t="str">
        <x:v>PGR</x:v>
      </x:c>
      <x:c r="C1785" s="38" t="str">
        <x:v>Other sectors</x:v>
      </x:c>
      <x:c r="D1785" s="30" t="n">
        <x:v>1</x:v>
      </x:c>
      <x:c r="E1785" s="38" t="str">
        <x:v>XLY</x:v>
      </x:c>
      <x:c r="F1785" s="38" t="n">
        <x:v>-0.2366707718</x:v>
      </x:c>
      <x:c r="G1785" s="38" t="n">
        <x:v>-0.9190398545</x:v>
      </x:c>
      <x:c r="H1785" s="42" t="b">
        <x:v>0</x:v>
      </x:c>
      <x:c r="I1785" s="42" t="b">
        <x:v>0</x:v>
      </x:c>
      <x:c r="J1785" s="38" t="n">
        <x:v>0.1434494794</x:v>
      </x:c>
    </x:row>
    <x:row r="1786" ht="19" customHeight="1">
      <x:c r="A1786" s="29" t="str">
        <x:v>stagger_1</x:v>
      </x:c>
      <x:c r="B1786" s="38" t="str">
        <x:v>PGR</x:v>
      </x:c>
      <x:c r="C1786" s="38" t="str">
        <x:v>Other sectors</x:v>
      </x:c>
      <x:c r="D1786" s="30" t="n">
        <x:v>2</x:v>
      </x:c>
      <x:c r="E1786" s="38" t="str">
        <x:v>XLB</x:v>
      </x:c>
      <x:c r="F1786" s="38" t="n">
        <x:v>0.2627390828</x:v>
      </x:c>
      <x:c r="G1786" s="38" t="n">
        <x:v>1.002987976</x:v>
      </x:c>
      <x:c r="H1786" s="42" t="b">
        <x:v>0</x:v>
      </x:c>
      <x:c r="I1786" s="42" t="b">
        <x:v>0</x:v>
      </x:c>
      <x:c r="J1786" s="38" t="n">
        <x:v>0.1425409087</x:v>
      </x:c>
    </x:row>
    <x:row r="1787" ht="19" customHeight="1">
      <x:c r="A1787" s="29" t="str">
        <x:v>stagger_1</x:v>
      </x:c>
      <x:c r="B1787" s="38" t="str">
        <x:v>PGR</x:v>
      </x:c>
      <x:c r="C1787" s="38" t="str">
        <x:v>Other sectors</x:v>
      </x:c>
      <x:c r="D1787" s="30" t="n">
        <x:v>2</x:v>
      </x:c>
      <x:c r="E1787" s="38" t="str">
        <x:v>XLC</x:v>
      </x:c>
      <x:c r="F1787" s="38" t="n">
        <x:v>0.4622822233</x:v>
      </x:c>
      <x:c r="G1787" s="38" t="n">
        <x:v>1.9238154321</x:v>
      </x:c>
      <x:c r="H1787" s="42" t="b">
        <x:v>0</x:v>
      </x:c>
      <x:c r="I1787" s="42" t="b">
        <x:v>0</x:v>
      </x:c>
      <x:c r="J1787" s="38" t="n">
        <x:v>0.1425409087</x:v>
      </x:c>
    </x:row>
    <x:row r="1788" ht="19" customHeight="1">
      <x:c r="A1788" s="29" t="str">
        <x:v>stagger_1</x:v>
      </x:c>
      <x:c r="B1788" s="38" t="str">
        <x:v>PGR</x:v>
      </x:c>
      <x:c r="C1788" s="38" t="str">
        <x:v>Other sectors</x:v>
      </x:c>
      <x:c r="D1788" s="30" t="n">
        <x:v>2</x:v>
      </x:c>
      <x:c r="E1788" s="38" t="str">
        <x:v>XLE</x:v>
      </x:c>
      <x:c r="F1788" s="38" t="n">
        <x:v>-0.0907230901</x:v>
      </x:c>
      <x:c r="G1788" s="38" t="n">
        <x:v>-0.9391451758</x:v>
      </x:c>
      <x:c r="H1788" s="42" t="b">
        <x:v>0</x:v>
      </x:c>
      <x:c r="I1788" s="42" t="b">
        <x:v>0</x:v>
      </x:c>
      <x:c r="J1788" s="38" t="n">
        <x:v>0.1425409087</x:v>
      </x:c>
    </x:row>
    <x:row r="1789" ht="19" customHeight="1">
      <x:c r="A1789" s="29" t="str">
        <x:v>stagger_1</x:v>
      </x:c>
      <x:c r="B1789" s="38" t="str">
        <x:v>PGR</x:v>
      </x:c>
      <x:c r="C1789" s="38" t="str">
        <x:v>Other sectors</x:v>
      </x:c>
      <x:c r="D1789" s="30" t="n">
        <x:v>2</x:v>
      </x:c>
      <x:c r="E1789" s="38" t="str">
        <x:v>XLI</x:v>
      </x:c>
      <x:c r="F1789" s="38" t="n">
        <x:v>-0.0970368641</x:v>
      </x:c>
      <x:c r="G1789" s="38" t="n">
        <x:v>-0.2876580652</x:v>
      </x:c>
      <x:c r="H1789" s="42" t="b">
        <x:v>0</x:v>
      </x:c>
      <x:c r="I1789" s="42" t="b">
        <x:v>0</x:v>
      </x:c>
      <x:c r="J1789" s="38" t="n">
        <x:v>0.1425409087</x:v>
      </x:c>
    </x:row>
    <x:row r="1790" ht="19" customHeight="1">
      <x:c r="A1790" s="29" t="str">
        <x:v>stagger_1</x:v>
      </x:c>
      <x:c r="B1790" s="38" t="str">
        <x:v>PGR</x:v>
      </x:c>
      <x:c r="C1790" s="38" t="str">
        <x:v>Other sectors</x:v>
      </x:c>
      <x:c r="D1790" s="30" t="n">
        <x:v>2</x:v>
      </x:c>
      <x:c r="E1790" s="38" t="str">
        <x:v>XLK</x:v>
      </x:c>
      <x:c r="F1790" s="38" t="n">
        <x:v>0.2154236523</x:v>
      </x:c>
      <x:c r="G1790" s="38" t="n">
        <x:v>0.6747733527</x:v>
      </x:c>
      <x:c r="H1790" s="42" t="b">
        <x:v>0</x:v>
      </x:c>
      <x:c r="I1790" s="42" t="b">
        <x:v>0</x:v>
      </x:c>
      <x:c r="J1790" s="38" t="n">
        <x:v>0.1425409087</x:v>
      </x:c>
    </x:row>
    <x:row r="1791" ht="19" customHeight="1">
      <x:c r="A1791" s="29" t="str">
        <x:v>stagger_1</x:v>
      </x:c>
      <x:c r="B1791" s="38" t="str">
        <x:v>PGR</x:v>
      </x:c>
      <x:c r="C1791" s="38" t="str">
        <x:v>Other sectors</x:v>
      </x:c>
      <x:c r="D1791" s="30" t="n">
        <x:v>2</x:v>
      </x:c>
      <x:c r="E1791" s="38" t="str">
        <x:v>XLP</x:v>
      </x:c>
      <x:c r="F1791" s="38" t="n">
        <x:v>0.3791092923</x:v>
      </x:c>
      <x:c r="G1791" s="38" t="n">
        <x:v>1.5503382734</x:v>
      </x:c>
      <x:c r="H1791" s="42" t="b">
        <x:v>0</x:v>
      </x:c>
      <x:c r="I1791" s="42" t="b">
        <x:v>0</x:v>
      </x:c>
      <x:c r="J1791" s="38" t="n">
        <x:v>0.1425409087</x:v>
      </x:c>
    </x:row>
    <x:row r="1792" ht="19" customHeight="1">
      <x:c r="A1792" s="29" t="str">
        <x:v>stagger_1</x:v>
      </x:c>
      <x:c r="B1792" s="38" t="str">
        <x:v>PGR</x:v>
      </x:c>
      <x:c r="C1792" s="38" t="str">
        <x:v>Other sectors</x:v>
      </x:c>
      <x:c r="D1792" s="30" t="n">
        <x:v>2</x:v>
      </x:c>
      <x:c r="E1792" s="38" t="str">
        <x:v>XLRE</x:v>
      </x:c>
      <x:c r="F1792" s="38" t="n">
        <x:v>-0.0663027555</x:v>
      </x:c>
      <x:c r="G1792" s="38" t="n">
        <x:v>-0.3128494924</x:v>
      </x:c>
      <x:c r="H1792" s="42" t="b">
        <x:v>0</x:v>
      </x:c>
      <x:c r="I1792" s="42" t="b">
        <x:v>0</x:v>
      </x:c>
      <x:c r="J1792" s="38" t="n">
        <x:v>0.1425409087</x:v>
      </x:c>
    </x:row>
    <x:row r="1793" ht="19" customHeight="1">
      <x:c r="A1793" s="29" t="str">
        <x:v>stagger_1</x:v>
      </x:c>
      <x:c r="B1793" s="38" t="str">
        <x:v>PGR</x:v>
      </x:c>
      <x:c r="C1793" s="38" t="str">
        <x:v>Other sectors</x:v>
      </x:c>
      <x:c r="D1793" s="30" t="n">
        <x:v>2</x:v>
      </x:c>
      <x:c r="E1793" s="38" t="str">
        <x:v>XLV</x:v>
      </x:c>
      <x:c r="F1793" s="38" t="n">
        <x:v>0.0610173594</x:v>
      </x:c>
      <x:c r="G1793" s="38" t="n">
        <x:v>0.2623151196</x:v>
      </x:c>
      <x:c r="H1793" s="42" t="b">
        <x:v>1</x:v>
      </x:c>
      <x:c r="I1793" s="42" t="b">
        <x:v>0</x:v>
      </x:c>
      <x:c r="J1793" s="38" t="n">
        <x:v>0.1425409087</x:v>
      </x:c>
    </x:row>
    <x:row r="1794" ht="19" customHeight="1">
      <x:c r="A1794" s="29" t="str">
        <x:v>stagger_1</x:v>
      </x:c>
      <x:c r="B1794" s="38" t="str">
        <x:v>PGR</x:v>
      </x:c>
      <x:c r="C1794" s="38" t="str">
        <x:v>Other sectors</x:v>
      </x:c>
      <x:c r="D1794" s="30" t="n">
        <x:v>2</x:v>
      </x:c>
      <x:c r="E1794" s="38" t="str">
        <x:v>XLY</x:v>
      </x:c>
      <x:c r="F1794" s="38" t="n">
        <x:v>-0.2433053721</x:v>
      </x:c>
      <x:c r="G1794" s="38" t="n">
        <x:v>-0.9554631597</x:v>
      </x:c>
      <x:c r="H1794" s="42" t="b">
        <x:v>0</x:v>
      </x:c>
      <x:c r="I1794" s="42" t="b">
        <x:v>0</x:v>
      </x:c>
      <x:c r="J1794" s="38" t="n">
        <x:v>0.1425409087</x:v>
      </x:c>
    </x:row>
    <x:row r="1795" ht="19" customHeight="1">
      <x:c r="A1795" s="29" t="str">
        <x:v>stagger_1</x:v>
      </x:c>
      <x:c r="B1795" s="38" t="str">
        <x:v>PGR</x:v>
      </x:c>
      <x:c r="C1795" s="38" t="str">
        <x:v>Other sectors</x:v>
      </x:c>
      <x:c r="D1795" s="30" t="n">
        <x:v>3</x:v>
      </x:c>
      <x:c r="E1795" s="38" t="str">
        <x:v>XLB</x:v>
      </x:c>
      <x:c r="F1795" s="38" t="n">
        <x:v>0.2674750754</x:v>
      </x:c>
      <x:c r="G1795" s="38" t="n">
        <x:v>1.0302796826</x:v>
      </x:c>
      <x:c r="H1795" s="42" t="b">
        <x:v>0</x:v>
      </x:c>
      <x:c r="I1795" s="42" t="b">
        <x:v>0</x:v>
      </x:c>
      <x:c r="J1795" s="38" t="n">
        <x:v>0.141698036</x:v>
      </x:c>
    </x:row>
    <x:row r="1796" ht="19" customHeight="1">
      <x:c r="A1796" s="29" t="str">
        <x:v>stagger_1</x:v>
      </x:c>
      <x:c r="B1796" s="38" t="str">
        <x:v>PGR</x:v>
      </x:c>
      <x:c r="C1796" s="38" t="str">
        <x:v>Other sectors</x:v>
      </x:c>
      <x:c r="D1796" s="30" t="n">
        <x:v>3</x:v>
      </x:c>
      <x:c r="E1796" s="38" t="str">
        <x:v>XLC</x:v>
      </x:c>
      <x:c r="F1796" s="38" t="n">
        <x:v>0.4515820362</x:v>
      </x:c>
      <x:c r="G1796" s="38" t="n">
        <x:v>1.9195928987</x:v>
      </x:c>
      <x:c r="H1796" s="42" t="b">
        <x:v>0</x:v>
      </x:c>
      <x:c r="I1796" s="42" t="b">
        <x:v>0</x:v>
      </x:c>
      <x:c r="J1796" s="38" t="n">
        <x:v>0.141698036</x:v>
      </x:c>
    </x:row>
    <x:row r="1797" ht="19" customHeight="1">
      <x:c r="A1797" s="29" t="str">
        <x:v>stagger_1</x:v>
      </x:c>
      <x:c r="B1797" s="38" t="str">
        <x:v>PGR</x:v>
      </x:c>
      <x:c r="C1797" s="38" t="str">
        <x:v>Other sectors</x:v>
      </x:c>
      <x:c r="D1797" s="30" t="n">
        <x:v>3</x:v>
      </x:c>
      <x:c r="E1797" s="38" t="str">
        <x:v>XLE</x:v>
      </x:c>
      <x:c r="F1797" s="38" t="n">
        <x:v>-0.0968883031</x:v>
      </x:c>
      <x:c r="G1797" s="38" t="n">
        <x:v>-1.0408857564</x:v>
      </x:c>
      <x:c r="H1797" s="42" t="b">
        <x:v>0</x:v>
      </x:c>
      <x:c r="I1797" s="42" t="b">
        <x:v>0</x:v>
      </x:c>
      <x:c r="J1797" s="38" t="n">
        <x:v>0.141698036</x:v>
      </x:c>
    </x:row>
    <x:row r="1798" ht="19" customHeight="1">
      <x:c r="A1798" s="29" t="str">
        <x:v>stagger_1</x:v>
      </x:c>
      <x:c r="B1798" s="38" t="str">
        <x:v>PGR</x:v>
      </x:c>
      <x:c r="C1798" s="38" t="str">
        <x:v>Other sectors</x:v>
      </x:c>
      <x:c r="D1798" s="30" t="n">
        <x:v>3</x:v>
      </x:c>
      <x:c r="E1798" s="38" t="str">
        <x:v>XLI</x:v>
      </x:c>
      <x:c r="F1798" s="38" t="n">
        <x:v>-0.1175624491</x:v>
      </x:c>
      <x:c r="G1798" s="38" t="n">
        <x:v>-0.3606491793</x:v>
      </x:c>
      <x:c r="H1798" s="42" t="b">
        <x:v>0</x:v>
      </x:c>
      <x:c r="I1798" s="42" t="b">
        <x:v>0</x:v>
      </x:c>
      <x:c r="J1798" s="38" t="n">
        <x:v>0.141698036</x:v>
      </x:c>
    </x:row>
    <x:row r="1799" ht="19" customHeight="1">
      <x:c r="A1799" s="29" t="str">
        <x:v>stagger_1</x:v>
      </x:c>
      <x:c r="B1799" s="38" t="str">
        <x:v>PGR</x:v>
      </x:c>
      <x:c r="C1799" s="38" t="str">
        <x:v>Other sectors</x:v>
      </x:c>
      <x:c r="D1799" s="30" t="n">
        <x:v>3</x:v>
      </x:c>
      <x:c r="E1799" s="38" t="str">
        <x:v>XLK</x:v>
      </x:c>
      <x:c r="F1799" s="38" t="n">
        <x:v>0.1705152944</x:v>
      </x:c>
      <x:c r="G1799" s="38" t="n">
        <x:v>0.636974744</x:v>
      </x:c>
      <x:c r="H1799" s="42" t="b">
        <x:v>0</x:v>
      </x:c>
      <x:c r="I1799" s="42" t="b">
        <x:v>0</x:v>
      </x:c>
      <x:c r="J1799" s="38" t="n">
        <x:v>0.141698036</x:v>
      </x:c>
    </x:row>
    <x:row r="1800" ht="19" customHeight="1">
      <x:c r="A1800" s="29" t="str">
        <x:v>stagger_1</x:v>
      </x:c>
      <x:c r="B1800" s="38" t="str">
        <x:v>PGR</x:v>
      </x:c>
      <x:c r="C1800" s="38" t="str">
        <x:v>Other sectors</x:v>
      </x:c>
      <x:c r="D1800" s="30" t="n">
        <x:v>3</x:v>
      </x:c>
      <x:c r="E1800" s="38" t="str">
        <x:v>XLP</x:v>
      </x:c>
      <x:c r="F1800" s="38" t="n">
        <x:v>0.3870747834</x:v>
      </x:c>
      <x:c r="G1800" s="38" t="n">
        <x:v>1.6058255436</x:v>
      </x:c>
      <x:c r="H1800" s="42" t="b">
        <x:v>0</x:v>
      </x:c>
      <x:c r="I1800" s="42" t="b">
        <x:v>0</x:v>
      </x:c>
      <x:c r="J1800" s="38" t="n">
        <x:v>0.141698036</x:v>
      </x:c>
    </x:row>
    <x:row r="1801" ht="19" customHeight="1">
      <x:c r="A1801" s="29" t="str">
        <x:v>stagger_1</x:v>
      </x:c>
      <x:c r="B1801" s="38" t="str">
        <x:v>PGR</x:v>
      </x:c>
      <x:c r="C1801" s="38" t="str">
        <x:v>Other sectors</x:v>
      </x:c>
      <x:c r="D1801" s="30" t="n">
        <x:v>3</x:v>
      </x:c>
      <x:c r="E1801" s="38" t="str">
        <x:v>XLRE</x:v>
      </x:c>
      <x:c r="F1801" s="38" t="n">
        <x:v>-0.0585099344</x:v>
      </x:c>
      <x:c r="G1801" s="38" t="n">
        <x:v>-0.2806787907</x:v>
      </x:c>
      <x:c r="H1801" s="42" t="b">
        <x:v>1</x:v>
      </x:c>
      <x:c r="I1801" s="42" t="b">
        <x:v>0</x:v>
      </x:c>
      <x:c r="J1801" s="38" t="n">
        <x:v>0.141698036</x:v>
      </x:c>
    </x:row>
    <x:row r="1802" ht="19" customHeight="1">
      <x:c r="A1802" s="29" t="str">
        <x:v>stagger_1</x:v>
      </x:c>
      <x:c r="B1802" s="38" t="str">
        <x:v>PGR</x:v>
      </x:c>
      <x:c r="C1802" s="38" t="str">
        <x:v>Other sectors</x:v>
      </x:c>
      <x:c r="D1802" s="30" t="n">
        <x:v>3</x:v>
      </x:c>
      <x:c r="E1802" s="38" t="str">
        <x:v>XLY</x:v>
      </x:c>
      <x:c r="F1802" s="38" t="n">
        <x:v>-0.2750762417</x:v>
      </x:c>
      <x:c r="G1802" s="38" t="n">
        <x:v>-1.2361584024</x:v>
      </x:c>
      <x:c r="H1802" s="42" t="b">
        <x:v>0</x:v>
      </x:c>
      <x:c r="I1802" s="42" t="b">
        <x:v>0</x:v>
      </x:c>
      <x:c r="J1802" s="38" t="n">
        <x:v>0.141698036</x:v>
      </x:c>
    </x:row>
    <x:row r="1803" ht="19" customHeight="1">
      <x:c r="A1803" s="29" t="str">
        <x:v>stagger_1</x:v>
      </x:c>
      <x:c r="B1803" s="38" t="str">
        <x:v>PGR</x:v>
      </x:c>
      <x:c r="C1803" s="38" t="str">
        <x:v>Other sectors</x:v>
      </x:c>
      <x:c r="D1803" s="30" t="n">
        <x:v>4</x:v>
      </x:c>
      <x:c r="E1803" s="38" t="str">
        <x:v>XLB</x:v>
      </x:c>
      <x:c r="F1803" s="38" t="n">
        <x:v>0.2570430328</x:v>
      </x:c>
      <x:c r="G1803" s="38" t="n">
        <x:v>1.0068638495</x:v>
      </x:c>
      <x:c r="H1803" s="42" t="b">
        <x:v>0</x:v>
      </x:c>
      <x:c r="I1803" s="42" t="b">
        <x:v>0</x:v>
      </x:c>
      <x:c r="J1803" s="38" t="n">
        <x:v>0.1407456764</x:v>
      </x:c>
    </x:row>
    <x:row r="1804" ht="19" customHeight="1">
      <x:c r="A1804" s="29" t="str">
        <x:v>stagger_1</x:v>
      </x:c>
      <x:c r="B1804" s="38" t="str">
        <x:v>PGR</x:v>
      </x:c>
      <x:c r="C1804" s="38" t="str">
        <x:v>Other sectors</x:v>
      </x:c>
      <x:c r="D1804" s="30" t="n">
        <x:v>4</x:v>
      </x:c>
      <x:c r="E1804" s="38" t="str">
        <x:v>XLC</x:v>
      </x:c>
      <x:c r="F1804" s="38" t="n">
        <x:v>0.4680995289</x:v>
      </x:c>
      <x:c r="G1804" s="38" t="n">
        <x:v>2.0684218578</x:v>
      </x:c>
      <x:c r="H1804" s="42" t="b">
        <x:v>0</x:v>
      </x:c>
      <x:c r="I1804" s="42" t="b">
        <x:v>0</x:v>
      </x:c>
      <x:c r="J1804" s="38" t="n">
        <x:v>0.1407456764</x:v>
      </x:c>
    </x:row>
    <x:row r="1805" ht="19" customHeight="1">
      <x:c r="A1805" s="29" t="str">
        <x:v>stagger_1</x:v>
      </x:c>
      <x:c r="B1805" s="38" t="str">
        <x:v>PGR</x:v>
      </x:c>
      <x:c r="C1805" s="38" t="str">
        <x:v>Other sectors</x:v>
      </x:c>
      <x:c r="D1805" s="30" t="n">
        <x:v>4</x:v>
      </x:c>
      <x:c r="E1805" s="38" t="str">
        <x:v>XLE</x:v>
      </x:c>
      <x:c r="F1805" s="38" t="n">
        <x:v>-0.0965428093</x:v>
      </x:c>
      <x:c r="G1805" s="38" t="n">
        <x:v>-1.0439648802</x:v>
      </x:c>
      <x:c r="H1805" s="42" t="b">
        <x:v>0</x:v>
      </x:c>
      <x:c r="I1805" s="42" t="b">
        <x:v>0</x:v>
      </x:c>
      <x:c r="J1805" s="38" t="n">
        <x:v>0.1407456764</x:v>
      </x:c>
    </x:row>
    <x:row r="1806" ht="19" customHeight="1">
      <x:c r="A1806" s="29" t="str">
        <x:v>stagger_1</x:v>
      </x:c>
      <x:c r="B1806" s="38" t="str">
        <x:v>PGR</x:v>
      </x:c>
      <x:c r="C1806" s="38" t="str">
        <x:v>Other sectors</x:v>
      </x:c>
      <x:c r="D1806" s="30" t="n">
        <x:v>4</x:v>
      </x:c>
      <x:c r="E1806" s="38" t="str">
        <x:v>XLI</x:v>
      </x:c>
      <x:c r="F1806" s="38" t="n">
        <x:v>-0.1039405005</x:v>
      </x:c>
      <x:c r="G1806" s="38" t="n">
        <x:v>-0.3245374925</x:v>
      </x:c>
      <x:c r="H1806" s="42" t="b">
        <x:v>1</x:v>
      </x:c>
      <x:c r="I1806" s="42" t="b">
        <x:v>0</x:v>
      </x:c>
      <x:c r="J1806" s="38" t="n">
        <x:v>0.1407456764</x:v>
      </x:c>
    </x:row>
    <x:row r="1807" ht="19" customHeight="1">
      <x:c r="A1807" s="29" t="str">
        <x:v>stagger_1</x:v>
      </x:c>
      <x:c r="B1807" s="38" t="str">
        <x:v>PGR</x:v>
      </x:c>
      <x:c r="C1807" s="38" t="str">
        <x:v>Other sectors</x:v>
      </x:c>
      <x:c r="D1807" s="30" t="n">
        <x:v>4</x:v>
      </x:c>
      <x:c r="E1807" s="38" t="str">
        <x:v>XLK</x:v>
      </x:c>
      <x:c r="F1807" s="38" t="n">
        <x:v>0.1906209449</x:v>
      </x:c>
      <x:c r="G1807" s="38" t="n">
        <x:v>0.7438048915</x:v>
      </x:c>
      <x:c r="H1807" s="42" t="b">
        <x:v>0</x:v>
      </x:c>
      <x:c r="I1807" s="42" t="b">
        <x:v>0</x:v>
      </x:c>
      <x:c r="J1807" s="38" t="n">
        <x:v>0.1407456764</x:v>
      </x:c>
    </x:row>
    <x:row r="1808" ht="19" customHeight="1">
      <x:c r="A1808" s="29" t="str">
        <x:v>stagger_1</x:v>
      </x:c>
      <x:c r="B1808" s="38" t="str">
        <x:v>PGR</x:v>
      </x:c>
      <x:c r="C1808" s="38" t="str">
        <x:v>Other sectors</x:v>
      </x:c>
      <x:c r="D1808" s="30" t="n">
        <x:v>4</x:v>
      </x:c>
      <x:c r="E1808" s="38" t="str">
        <x:v>XLP</x:v>
      </x:c>
      <x:c r="F1808" s="38" t="n">
        <x:v>0.3596935433</x:v>
      </x:c>
      <x:c r="G1808" s="38" t="n">
        <x:v>1.6423864673</x:v>
      </x:c>
      <x:c r="H1808" s="42" t="b">
        <x:v>0</x:v>
      </x:c>
      <x:c r="I1808" s="42" t="b">
        <x:v>0</x:v>
      </x:c>
      <x:c r="J1808" s="38" t="n">
        <x:v>0.1407456764</x:v>
      </x:c>
    </x:row>
    <x:row r="1809" ht="19" customHeight="1">
      <x:c r="A1809" s="29" t="str">
        <x:v>stagger_1</x:v>
      </x:c>
      <x:c r="B1809" s="38" t="str">
        <x:v>PGR</x:v>
      </x:c>
      <x:c r="C1809" s="38" t="str">
        <x:v>Other sectors</x:v>
      </x:c>
      <x:c r="D1809" s="30" t="n">
        <x:v>4</x:v>
      </x:c>
      <x:c r="E1809" s="38" t="str">
        <x:v>XLY</x:v>
      </x:c>
      <x:c r="F1809" s="38" t="n">
        <x:v>-0.2866130317</x:v>
      </x:c>
      <x:c r="G1809" s="38" t="n">
        <x:v>-1.319019961</x:v>
      </x:c>
      <x:c r="H1809" s="42" t="b">
        <x:v>0</x:v>
      </x:c>
      <x:c r="I1809" s="42" t="b">
        <x:v>0</x:v>
      </x:c>
      <x:c r="J1809" s="38" t="n">
        <x:v>0.1407456764</x:v>
      </x:c>
    </x:row>
    <x:row r="1810" ht="19" customHeight="1">
      <x:c r="A1810" s="29" t="str">
        <x:v>stagger_1</x:v>
      </x:c>
      <x:c r="B1810" s="38" t="str">
        <x:v>PGR</x:v>
      </x:c>
      <x:c r="C1810" s="38" t="str">
        <x:v>Other sectors</x:v>
      </x:c>
      <x:c r="D1810" s="30" t="n">
        <x:v>5</x:v>
      </x:c>
      <x:c r="E1810" s="38" t="str">
        <x:v>XLB</x:v>
      </x:c>
      <x:c r="F1810" s="38" t="n">
        <x:v>0.1980687545</x:v>
      </x:c>
      <x:c r="G1810" s="38" t="n">
        <x:v>1.1114500707</x:v>
      </x:c>
      <x:c r="H1810" s="42" t="b">
        <x:v>0</x:v>
      </x:c>
      <x:c r="I1810" s="42" t="b">
        <x:v>0</x:v>
      </x:c>
      <x:c r="J1810" s="38" t="n">
        <x:v>0.1394887236</x:v>
      </x:c>
    </x:row>
    <x:row r="1811" ht="19" customHeight="1">
      <x:c r="A1811" s="29" t="str">
        <x:v>stagger_1</x:v>
      </x:c>
      <x:c r="B1811" s="38" t="str">
        <x:v>PGR</x:v>
      </x:c>
      <x:c r="C1811" s="38" t="str">
        <x:v>Other sectors</x:v>
      </x:c>
      <x:c r="D1811" s="30" t="n">
        <x:v>5</x:v>
      </x:c>
      <x:c r="E1811" s="38" t="str">
        <x:v>XLC</x:v>
      </x:c>
      <x:c r="F1811" s="38" t="n">
        <x:v>0.4775660843</x:v>
      </x:c>
      <x:c r="G1811" s="38" t="n">
        <x:v>2.1411642766</x:v>
      </x:c>
      <x:c r="H1811" s="42" t="b">
        <x:v>0</x:v>
      </x:c>
      <x:c r="I1811" s="42" t="b">
        <x:v>0</x:v>
      </x:c>
      <x:c r="J1811" s="38" t="n">
        <x:v>0.1394887236</x:v>
      </x:c>
    </x:row>
    <x:row r="1812" ht="19" customHeight="1">
      <x:c r="A1812" s="29" t="str">
        <x:v>stagger_1</x:v>
      </x:c>
      <x:c r="B1812" s="38" t="str">
        <x:v>PGR</x:v>
      </x:c>
      <x:c r="C1812" s="38" t="str">
        <x:v>Other sectors</x:v>
      </x:c>
      <x:c r="D1812" s="30" t="n">
        <x:v>5</x:v>
      </x:c>
      <x:c r="E1812" s="38" t="str">
        <x:v>XLE</x:v>
      </x:c>
      <x:c r="F1812" s="38" t="n">
        <x:v>-0.0921605794</x:v>
      </x:c>
      <x:c r="G1812" s="38" t="n">
        <x:v>-1.0136047004</x:v>
      </x:c>
      <x:c r="H1812" s="42" t="b">
        <x:v>0</x:v>
      </x:c>
      <x:c r="I1812" s="42" t="b">
        <x:v>0</x:v>
      </x:c>
      <x:c r="J1812" s="38" t="n">
        <x:v>0.1394887236</x:v>
      </x:c>
    </x:row>
    <x:row r="1813" ht="19" customHeight="1">
      <x:c r="A1813" s="29" t="str">
        <x:v>stagger_1</x:v>
      </x:c>
      <x:c r="B1813" s="38" t="str">
        <x:v>PGR</x:v>
      </x:c>
      <x:c r="C1813" s="38" t="str">
        <x:v>Other sectors</x:v>
      </x:c>
      <x:c r="D1813" s="30" t="n">
        <x:v>5</x:v>
      </x:c>
      <x:c r="E1813" s="38" t="str">
        <x:v>XLK</x:v>
      </x:c>
      <x:c r="F1813" s="38" t="n">
        <x:v>0.1958787182</x:v>
      </x:c>
      <x:c r="G1813" s="38" t="n">
        <x:v>0.7705892339</x:v>
      </x:c>
      <x:c r="H1813" s="42" t="b">
        <x:v>1</x:v>
      </x:c>
      <x:c r="I1813" s="42" t="b">
        <x:v>0</x:v>
      </x:c>
      <x:c r="J1813" s="38" t="n">
        <x:v>0.1394887236</x:v>
      </x:c>
    </x:row>
    <x:row r="1814" ht="19" customHeight="1">
      <x:c r="A1814" s="29" t="str">
        <x:v>stagger_1</x:v>
      </x:c>
      <x:c r="B1814" s="38" t="str">
        <x:v>PGR</x:v>
      </x:c>
      <x:c r="C1814" s="38" t="str">
        <x:v>Other sectors</x:v>
      </x:c>
      <x:c r="D1814" s="30" t="n">
        <x:v>5</x:v>
      </x:c>
      <x:c r="E1814" s="38" t="str">
        <x:v>XLP</x:v>
      </x:c>
      <x:c r="F1814" s="38" t="n">
        <x:v>0.3555338679</x:v>
      </x:c>
      <x:c r="G1814" s="38" t="n">
        <x:v>1.6362380407</x:v>
      </x:c>
      <x:c r="H1814" s="42" t="b">
        <x:v>0</x:v>
      </x:c>
      <x:c r="I1814" s="42" t="b">
        <x:v>0</x:v>
      </x:c>
      <x:c r="J1814" s="38" t="n">
        <x:v>0.1394887236</x:v>
      </x:c>
    </x:row>
    <x:row r="1815" ht="19" customHeight="1">
      <x:c r="A1815" s="29" t="str">
        <x:v>stagger_1</x:v>
      </x:c>
      <x:c r="B1815" s="38" t="str">
        <x:v>PGR</x:v>
      </x:c>
      <x:c r="C1815" s="38" t="str">
        <x:v>Other sectors</x:v>
      </x:c>
      <x:c r="D1815" s="30" t="n">
        <x:v>5</x:v>
      </x:c>
      <x:c r="E1815" s="38" t="str">
        <x:v>XLY</x:v>
      </x:c>
      <x:c r="F1815" s="38" t="n">
        <x:v>-0.2796461793</x:v>
      </x:c>
      <x:c r="G1815" s="38" t="n">
        <x:v>-1.3012833607</x:v>
      </x:c>
      <x:c r="H1815" s="42" t="b">
        <x:v>0</x:v>
      </x:c>
      <x:c r="I1815" s="42" t="b">
        <x:v>0</x:v>
      </x:c>
      <x:c r="J1815" s="38" t="n">
        <x:v>0.1394887236</x:v>
      </x:c>
    </x:row>
    <x:row r="1816" ht="19" customHeight="1">
      <x:c r="A1816" s="29" t="str">
        <x:v>stagger_1</x:v>
      </x:c>
      <x:c r="B1816" s="38" t="str">
        <x:v>PGR</x:v>
      </x:c>
      <x:c r="C1816" s="38" t="str">
        <x:v>Other sectors</x:v>
      </x:c>
      <x:c r="D1816" s="30" t="n">
        <x:v>6</x:v>
      </x:c>
      <x:c r="E1816" s="38" t="str">
        <x:v>XLB</x:v>
      </x:c>
      <x:c r="F1816" s="38" t="n">
        <x:v>0.1568194875</x:v>
      </x:c>
      <x:c r="G1816" s="38" t="n">
        <x:v>0.9251296959</x:v>
      </x:c>
      <x:c r="H1816" s="42" t="b">
        <x:v>1</x:v>
      </x:c>
      <x:c r="I1816" s="42" t="b">
        <x:v>0</x:v>
      </x:c>
      <x:c r="J1816" s="38" t="n">
        <x:v>0.1324890211</x:v>
      </x:c>
    </x:row>
    <x:row r="1817" ht="19" customHeight="1">
      <x:c r="A1817" s="29" t="str">
        <x:v>stagger_1</x:v>
      </x:c>
      <x:c r="B1817" s="38" t="str">
        <x:v>PGR</x:v>
      </x:c>
      <x:c r="C1817" s="38" t="str">
        <x:v>Other sectors</x:v>
      </x:c>
      <x:c r="D1817" s="30" t="n">
        <x:v>6</x:v>
      </x:c>
      <x:c r="E1817" s="38" t="str">
        <x:v>XLC</x:v>
      </x:c>
      <x:c r="F1817" s="38" t="n">
        <x:v>0.416186745</x:v>
      </x:c>
      <x:c r="G1817" s="38" t="n">
        <x:v>2.0032083984</x:v>
      </x:c>
      <x:c r="H1817" s="42" t="b">
        <x:v>0</x:v>
      </x:c>
      <x:c r="I1817" s="42" t="b">
        <x:v>0</x:v>
      </x:c>
      <x:c r="J1817" s="38" t="n">
        <x:v>0.1324890211</x:v>
      </x:c>
    </x:row>
    <x:row r="1818" ht="19" customHeight="1">
      <x:c r="A1818" s="29" t="str">
        <x:v>stagger_1</x:v>
      </x:c>
      <x:c r="B1818" s="38" t="str">
        <x:v>PGR</x:v>
      </x:c>
      <x:c r="C1818" s="38" t="str">
        <x:v>Other sectors</x:v>
      </x:c>
      <x:c r="D1818" s="30" t="n">
        <x:v>6</x:v>
      </x:c>
      <x:c r="E1818" s="38" t="str">
        <x:v>XLE</x:v>
      </x:c>
      <x:c r="F1818" s="38" t="n">
        <x:v>-0.1190276518</x:v>
      </x:c>
      <x:c r="G1818" s="38" t="n">
        <x:v>-1.4213554746</x:v>
      </x:c>
      <x:c r="H1818" s="42" t="b">
        <x:v>0</x:v>
      </x:c>
      <x:c r="I1818" s="42" t="b">
        <x:v>0</x:v>
      </x:c>
      <x:c r="J1818" s="38" t="n">
        <x:v>0.1324890211</x:v>
      </x:c>
    </x:row>
    <x:row r="1819" ht="19" customHeight="1">
      <x:c r="A1819" s="29" t="str">
        <x:v>stagger_1</x:v>
      </x:c>
      <x:c r="B1819" s="38" t="str">
        <x:v>PGR</x:v>
      </x:c>
      <x:c r="C1819" s="38" t="str">
        <x:v>Other sectors</x:v>
      </x:c>
      <x:c r="D1819" s="30" t="n">
        <x:v>6</x:v>
      </x:c>
      <x:c r="E1819" s="38" t="str">
        <x:v>XLP</x:v>
      </x:c>
      <x:c r="F1819" s="38" t="n">
        <x:v>0.2866765656</x:v>
      </x:c>
      <x:c r="G1819" s="38" t="n">
        <x:v>1.4513854713</x:v>
      </x:c>
      <x:c r="H1819" s="42" t="b">
        <x:v>0</x:v>
      </x:c>
      <x:c r="I1819" s="42" t="b">
        <x:v>0</x:v>
      </x:c>
      <x:c r="J1819" s="38" t="n">
        <x:v>0.1324890211</x:v>
      </x:c>
    </x:row>
    <x:row r="1820" ht="19" customHeight="1">
      <x:c r="A1820" s="29" t="str">
        <x:v>stagger_1</x:v>
      </x:c>
      <x:c r="B1820" s="38" t="str">
        <x:v>PGR</x:v>
      </x:c>
      <x:c r="C1820" s="38" t="str">
        <x:v>Other sectors</x:v>
      </x:c>
      <x:c r="D1820" s="30" t="n">
        <x:v>6</x:v>
      </x:c>
      <x:c r="E1820" s="38" t="str">
        <x:v>XLY</x:v>
      </x:c>
      <x:c r="F1820" s="38" t="n">
        <x:v>-0.3287341257</x:v>
      </x:c>
      <x:c r="G1820" s="38" t="n">
        <x:v>-1.606105648</x:v>
      </x:c>
      <x:c r="H1820" s="42" t="b">
        <x:v>0</x:v>
      </x:c>
      <x:c r="I1820" s="42" t="b">
        <x:v>0</x:v>
      </x:c>
      <x:c r="J1820" s="38" t="n">
        <x:v>0.1324890211</x:v>
      </x:c>
    </x:row>
    <x:row r="1821" ht="19" customHeight="1">
      <x:c r="A1821" s="29" t="str">
        <x:v>stagger_1</x:v>
      </x:c>
      <x:c r="B1821" s="38" t="str">
        <x:v>PGR</x:v>
      </x:c>
      <x:c r="C1821" s="38" t="str">
        <x:v>Other sectors</x:v>
      </x:c>
      <x:c r="D1821" s="30" t="n">
        <x:v>7</x:v>
      </x:c>
      <x:c r="E1821" s="38" t="str">
        <x:v>XLC</x:v>
      </x:c>
      <x:c r="F1821" s="38" t="n">
        <x:v>0.3865605268</x:v>
      </x:c>
      <x:c r="G1821" s="38" t="n">
        <x:v>1.8849269457</x:v>
      </x:c>
      <x:c r="H1821" s="42" t="b">
        <x:v>0</x:v>
      </x:c>
      <x:c r="I1821" s="42" t="b">
        <x:v>0</x:v>
      </x:c>
      <x:c r="J1821" s="38" t="n">
        <x:v>0.1224556124</x:v>
      </x:c>
    </x:row>
    <x:row r="1822" ht="19" customHeight="1">
      <x:c r="A1822" s="29" t="str">
        <x:v>stagger_1</x:v>
      </x:c>
      <x:c r="B1822" s="38" t="str">
        <x:v>PGR</x:v>
      </x:c>
      <x:c r="C1822" s="38" t="str">
        <x:v>Other sectors</x:v>
      </x:c>
      <x:c r="D1822" s="30" t="n">
        <x:v>7</x:v>
      </x:c>
      <x:c r="E1822" s="38" t="str">
        <x:v>XLE</x:v>
      </x:c>
      <x:c r="F1822" s="38" t="n">
        <x:v>-0.0944519712</x:v>
      </x:c>
      <x:c r="G1822" s="38" t="n">
        <x:v>-1.1904570092</x:v>
      </x:c>
      <x:c r="H1822" s="42" t="b">
        <x:v>1</x:v>
      </x:c>
      <x:c r="I1822" s="42" t="b">
        <x:v>0</x:v>
      </x:c>
      <x:c r="J1822" s="38" t="n">
        <x:v>0.1224556124</x:v>
      </x:c>
    </x:row>
    <x:row r="1823" ht="19" customHeight="1">
      <x:c r="A1823" s="29" t="str">
        <x:v>stagger_1</x:v>
      </x:c>
      <x:c r="B1823" s="38" t="str">
        <x:v>PGR</x:v>
      </x:c>
      <x:c r="C1823" s="38" t="str">
        <x:v>Other sectors</x:v>
      </x:c>
      <x:c r="D1823" s="30" t="n">
        <x:v>7</x:v>
      </x:c>
      <x:c r="E1823" s="38" t="str">
        <x:v>XLP</x:v>
      </x:c>
      <x:c r="F1823" s="38" t="n">
        <x:v>0.3743914484</x:v>
      </x:c>
      <x:c r="G1823" s="38" t="n">
        <x:v>2.1627567414</x:v>
      </x:c>
      <x:c r="H1823" s="42" t="b">
        <x:v>0</x:v>
      </x:c>
      <x:c r="I1823" s="42" t="b">
        <x:v>0</x:v>
      </x:c>
      <x:c r="J1823" s="38" t="n">
        <x:v>0.1224556124</x:v>
      </x:c>
    </x:row>
    <x:row r="1824" ht="19" customHeight="1">
      <x:c r="A1824" s="29" t="str">
        <x:v>stagger_1</x:v>
      </x:c>
      <x:c r="B1824" s="38" t="str">
        <x:v>PGR</x:v>
      </x:c>
      <x:c r="C1824" s="38" t="str">
        <x:v>Other sectors</x:v>
      </x:c>
      <x:c r="D1824" s="30" t="n">
        <x:v>7</x:v>
      </x:c>
      <x:c r="E1824" s="38" t="str">
        <x:v>XLY</x:v>
      </x:c>
      <x:c r="F1824" s="38" t="n">
        <x:v>-0.309287841</x:v>
      </x:c>
      <x:c r="G1824" s="38" t="n">
        <x:v>-1.5205905403</x:v>
      </x:c>
      <x:c r="H1824" s="42" t="b">
        <x:v>0</x:v>
      </x:c>
      <x:c r="I1824" s="42" t="b">
        <x:v>0</x:v>
      </x:c>
      <x:c r="J1824" s="38" t="n">
        <x:v>0.1224556124</x:v>
      </x:c>
    </x:row>
    <x:row r="1825" ht="19" customHeight="1">
      <x:c r="A1825" s="29" t="str">
        <x:v>stagger_1</x:v>
      </x:c>
      <x:c r="B1825" s="38" t="str">
        <x:v>PGR</x:v>
      </x:c>
      <x:c r="C1825" s="38" t="str">
        <x:v>Other sectors</x:v>
      </x:c>
      <x:c r="D1825" s="30" t="n">
        <x:v>8</x:v>
      </x:c>
      <x:c r="E1825" s="38" t="str">
        <x:v>XLC</x:v>
      </x:c>
      <x:c r="F1825" s="38" t="n">
        <x:v>0.3509521847</x:v>
      </x:c>
      <x:c r="G1825" s="38" t="n">
        <x:v>1.725065021</x:v>
      </x:c>
      <x:c r="H1825" s="42" t="b">
        <x:v>0</x:v>
      </x:c>
      <x:c r="I1825" s="42" t="b">
        <x:v>0</x:v>
      </x:c>
      <x:c r="J1825" s="38" t="n">
        <x:v>0.1058736753</x:v>
      </x:c>
    </x:row>
    <x:row r="1826" ht="19" customHeight="1">
      <x:c r="A1826" s="29" t="str">
        <x:v>stagger_1</x:v>
      </x:c>
      <x:c r="B1826" s="38" t="str">
        <x:v>PGR</x:v>
      </x:c>
      <x:c r="C1826" s="38" t="str">
        <x:v>Other sectors</x:v>
      </x:c>
      <x:c r="D1826" s="30" t="n">
        <x:v>8</x:v>
      </x:c>
      <x:c r="E1826" s="38" t="str">
        <x:v>XLP</x:v>
      </x:c>
      <x:c r="F1826" s="38" t="n">
        <x:v>0.3554022018</x:v>
      </x:c>
      <x:c r="G1826" s="38" t="n">
        <x:v>2.056197263</x:v>
      </x:c>
      <x:c r="H1826" s="42" t="b">
        <x:v>0</x:v>
      </x:c>
      <x:c r="I1826" s="42" t="b">
        <x:v>0</x:v>
      </x:c>
      <x:c r="J1826" s="38" t="n">
        <x:v>0.1058736753</x:v>
      </x:c>
    </x:row>
    <x:row r="1827" ht="19" customHeight="1">
      <x:c r="A1827" s="29" t="str">
        <x:v>stagger_1</x:v>
      </x:c>
      <x:c r="B1827" s="38" t="str">
        <x:v>PGR</x:v>
      </x:c>
      <x:c r="C1827" s="38" t="str">
        <x:v>Other sectors</x:v>
      </x:c>
      <x:c r="D1827" s="30" t="n">
        <x:v>8</x:v>
      </x:c>
      <x:c r="E1827" s="38" t="str">
        <x:v>XLY</x:v>
      </x:c>
      <x:c r="F1827" s="38" t="n">
        <x:v>-0.2452855124</x:v>
      </x:c>
      <x:c r="G1827" s="38" t="n">
        <x:v>-1.2469807149</x:v>
      </x:c>
      <x:c r="H1827" s="42" t="b">
        <x:v>1</x:v>
      </x:c>
      <x:c r="I1827" s="42" t="b">
        <x:v>0</x:v>
      </x:c>
      <x:c r="J1827" s="38" t="n">
        <x:v>0.1058736753</x:v>
      </x:c>
    </x:row>
    <x:row r="1828" ht="19" customHeight="1">
      <x:c r="A1828" s="29" t="str">
        <x:v>stagger_1</x:v>
      </x:c>
      <x:c r="B1828" s="38" t="str">
        <x:v>PGR</x:v>
      </x:c>
      <x:c r="C1828" s="38" t="str">
        <x:v>Other sectors</x:v>
      </x:c>
      <x:c r="D1828" s="30" t="n">
        <x:v>9</x:v>
      </x:c>
      <x:c r="E1828" s="38" t="str">
        <x:v>XLC</x:v>
      </x:c>
      <x:c r="F1828" s="38" t="n">
        <x:v>0.2687964329</x:v>
      </x:c>
      <x:c r="G1828" s="38" t="n">
        <x:v>1.3914888174</x:v>
      </x:c>
      <x:c r="H1828" s="42" t="b">
        <x:v>1</x:v>
      </x:c>
      <x:c r="I1828" s="42" t="b">
        <x:v>0</x:v>
      </x:c>
      <x:c r="J1828" s="38" t="n">
        <x:v>0.0875798401</x:v>
      </x:c>
    </x:row>
    <x:row r="1829" ht="19" customHeight="1">
      <x:c r="A1829" s="29" t="str">
        <x:v>stagger_1</x:v>
      </x:c>
      <x:c r="B1829" s="38" t="str">
        <x:v>PGR</x:v>
      </x:c>
      <x:c r="C1829" s="38" t="str">
        <x:v>Other sectors</x:v>
      </x:c>
      <x:c r="D1829" s="30" t="n">
        <x:v>9</x:v>
      </x:c>
      <x:c r="E1829" s="38" t="str">
        <x:v>XLP</x:v>
      </x:c>
      <x:c r="F1829" s="38" t="n">
        <x:v>0.3857447315</x:v>
      </x:c>
      <x:c r="G1829" s="38" t="n">
        <x:v>2.2461151278</x:v>
      </x:c>
      <x:c r="H1829" s="42" t="b">
        <x:v>0</x:v>
      </x:c>
      <x:c r="I1829" s="42" t="b">
        <x:v>0</x:v>
      </x:c>
      <x:c r="J1829" s="38" t="n">
        <x:v>0.0875798401</x:v>
      </x:c>
    </x:row>
    <x:row r="1830" ht="19" customHeight="1">
      <x:c r="A1830" s="29" t="str">
        <x:v>stagger_1</x:v>
      </x:c>
      <x:c r="B1830" s="38" t="str">
        <x:v>PGR</x:v>
      </x:c>
      <x:c r="C1830" s="38" t="str">
        <x:v>Other sectors</x:v>
      </x:c>
      <x:c r="D1830" s="30" t="n">
        <x:v>10</x:v>
      </x:c>
      <x:c r="E1830" s="38" t="str">
        <x:v>XLP</x:v>
      </x:c>
      <x:c r="F1830" s="38" t="n">
        <x:v>0.4003509544</x:v>
      </x:c>
      <x:c r="G1830" s="38" t="n">
        <x:v>2.3216389965</x:v>
      </x:c>
      <x:c r="H1830" s="42" t="b">
        <x:v>0</x:v>
      </x:c>
      <x:c r="I1830" s="42" t="b">
        <x:v>1</x:v>
      </x:c>
      <x:c r="J1830" s="38" t="n">
        <x:v>0.0646361331</x:v>
      </x:c>
    </x:row>
    <x:row r="1831" ht="19" customHeight="1">
      <x:c r="A1831" s="29" t="str">
        <x:v>stagger_1</x:v>
      </x:c>
      <x:c r="B1831" s="38" t="str">
        <x:v>ORKA</x:v>
      </x:c>
      <x:c r="C1831" s="38" t="str">
        <x:v>Other FX</x:v>
      </x:c>
      <x:c r="D1831" s="30" t="n">
        <x:v>1</x:v>
      </x:c>
      <x:c r="E1831" s="38" t="str">
        <x:v>AUD/USD</x:v>
      </x:c>
      <x:c r="F1831" s="38" t="n">
        <x:v>5.5841233416</x:v>
      </x:c>
      <x:c r="G1831" s="38" t="n">
        <x:v>3.5757421789</x:v>
      </x:c>
      <x:c r="H1831" s="42" t="b">
        <x:v>0</x:v>
      </x:c>
      <x:c r="I1831" s="42" t="b">
        <x:v>0</x:v>
      </x:c>
      <x:c r="J1831" s="38" t="n">
        <x:v>0.1863505501</x:v>
      </x:c>
    </x:row>
    <x:row r="1832" ht="19" customHeight="1">
      <x:c r="A1832" s="29" t="str">
        <x:v>stagger_1</x:v>
      </x:c>
      <x:c r="B1832" s="38" t="str">
        <x:v>ORKA</x:v>
      </x:c>
      <x:c r="C1832" s="38" t="str">
        <x:v>Other FX</x:v>
      </x:c>
      <x:c r="D1832" s="30" t="n">
        <x:v>1</x:v>
      </x:c>
      <x:c r="E1832" s="38" t="str">
        <x:v>CAD/USD</x:v>
      </x:c>
      <x:c r="F1832" s="38" t="n">
        <x:v>-3.8874128808</x:v>
      </x:c>
      <x:c r="G1832" s="38" t="n">
        <x:v>-2.0614289739</x:v>
      </x:c>
      <x:c r="H1832" s="42" t="b">
        <x:v>0</x:v>
      </x:c>
      <x:c r="I1832" s="42" t="b">
        <x:v>0</x:v>
      </x:c>
      <x:c r="J1832" s="38" t="n">
        <x:v>0.1863505501</x:v>
      </x:c>
    </x:row>
    <x:row r="1833" ht="19" customHeight="1">
      <x:c r="A1833" s="29" t="str">
        <x:v>stagger_1</x:v>
      </x:c>
      <x:c r="B1833" s="38" t="str">
        <x:v>ORKA</x:v>
      </x:c>
      <x:c r="C1833" s="38" t="str">
        <x:v>Other FX</x:v>
      </x:c>
      <x:c r="D1833" s="30" t="n">
        <x:v>1</x:v>
      </x:c>
      <x:c r="E1833" s="38" t="str">
        <x:v>DKK/USD</x:v>
      </x:c>
      <x:c r="F1833" s="38" t="n">
        <x:v>15.1462690804</x:v>
      </x:c>
      <x:c r="G1833" s="38" t="n">
        <x:v>1.1536987977</x:v>
      </x:c>
      <x:c r="H1833" s="42" t="b">
        <x:v>0</x:v>
      </x:c>
      <x:c r="I1833" s="42" t="b">
        <x:v>0</x:v>
      </x:c>
      <x:c r="J1833" s="38" t="n">
        <x:v>0.1863505501</x:v>
      </x:c>
    </x:row>
    <x:row r="1834" ht="19" customHeight="1">
      <x:c r="A1834" s="29" t="str">
        <x:v>stagger_1</x:v>
      </x:c>
      <x:c r="B1834" s="38" t="str">
        <x:v>ORKA</x:v>
      </x:c>
      <x:c r="C1834" s="38" t="str">
        <x:v>Other FX</x:v>
      </x:c>
      <x:c r="D1834" s="30" t="n">
        <x:v>1</x:v>
      </x:c>
      <x:c r="E1834" s="38" t="str">
        <x:v>EUR/USD</x:v>
      </x:c>
      <x:c r="F1834" s="38" t="n">
        <x:v>-11.948991959</x:v>
      </x:c>
      <x:c r="G1834" s="38" t="n">
        <x:v>-0.9950238958</x:v>
      </x:c>
      <x:c r="H1834" s="42" t="b">
        <x:v>1</x:v>
      </x:c>
      <x:c r="I1834" s="42" t="b">
        <x:v>0</x:v>
      </x:c>
      <x:c r="J1834" s="38" t="n">
        <x:v>0.1863505501</x:v>
      </x:c>
    </x:row>
    <x:row r="1835" ht="19" customHeight="1">
      <x:c r="A1835" s="29" t="str">
        <x:v>stagger_1</x:v>
      </x:c>
      <x:c r="B1835" s="38" t="str">
        <x:v>ORKA</x:v>
      </x:c>
      <x:c r="C1835" s="38" t="str">
        <x:v>Other FX</x:v>
      </x:c>
      <x:c r="D1835" s="30" t="n">
        <x:v>1</x:v>
      </x:c>
      <x:c r="E1835" s="38" t="str">
        <x:v>MXN/USD</x:v>
      </x:c>
      <x:c r="F1835" s="38" t="n">
        <x:v>-1.2470666871</x:v>
      </x:c>
      <x:c r="G1835" s="38" t="n">
        <x:v>-1.2464701488</x:v>
      </x:c>
      <x:c r="H1835" s="42" t="b">
        <x:v>0</x:v>
      </x:c>
      <x:c r="I1835" s="42" t="b">
        <x:v>0</x:v>
      </x:c>
      <x:c r="J1835" s="38" t="n">
        <x:v>0.1863505501</x:v>
      </x:c>
    </x:row>
    <x:row r="1836" ht="19" customHeight="1">
      <x:c r="A1836" s="29" t="str">
        <x:v>stagger_1</x:v>
      </x:c>
      <x:c r="B1836" s="38" t="str">
        <x:v>ORKA</x:v>
      </x:c>
      <x:c r="C1836" s="38" t="str">
        <x:v>Other FX</x:v>
      </x:c>
      <x:c r="D1836" s="30" t="n">
        <x:v>1</x:v>
      </x:c>
      <x:c r="E1836" s="38" t="str">
        <x:v>SGD/USD</x:v>
      </x:c>
      <x:c r="F1836" s="38" t="n">
        <x:v>-10.165601167</x:v>
      </x:c>
      <x:c r="G1836" s="38" t="n">
        <x:v>-2.688529116</x:v>
      </x:c>
      <x:c r="H1836" s="42" t="b">
        <x:v>0</x:v>
      </x:c>
      <x:c r="I1836" s="42" t="b">
        <x:v>0</x:v>
      </x:c>
      <x:c r="J1836" s="38" t="n">
        <x:v>0.1863505501</x:v>
      </x:c>
    </x:row>
    <x:row r="1837" ht="19" customHeight="1">
      <x:c r="A1837" s="29" t="str">
        <x:v>stagger_1</x:v>
      </x:c>
      <x:c r="B1837" s="38" t="str">
        <x:v>ORKA</x:v>
      </x:c>
      <x:c r="C1837" s="38" t="str">
        <x:v>Other FX</x:v>
      </x:c>
      <x:c r="D1837" s="30" t="n">
        <x:v>2</x:v>
      </x:c>
      <x:c r="E1837" s="38" t="str">
        <x:v>AUD/USD</x:v>
      </x:c>
      <x:c r="F1837" s="38" t="n">
        <x:v>5.5803399927</x:v>
      </x:c>
      <x:c r="G1837" s="38" t="n">
        <x:v>3.573569851</x:v>
      </x:c>
      <x:c r="H1837" s="42" t="b">
        <x:v>0</x:v>
      </x:c>
      <x:c r="I1837" s="42" t="b">
        <x:v>0</x:v>
      </x:c>
      <x:c r="J1837" s="38" t="n">
        <x:v>0.1753153174</x:v>
      </x:c>
    </x:row>
    <x:row r="1838" ht="19" customHeight="1">
      <x:c r="A1838" s="29" t="str">
        <x:v>stagger_1</x:v>
      </x:c>
      <x:c r="B1838" s="38" t="str">
        <x:v>ORKA</x:v>
      </x:c>
      <x:c r="C1838" s="38" t="str">
        <x:v>Other FX</x:v>
      </x:c>
      <x:c r="D1838" s="30" t="n">
        <x:v>2</x:v>
      </x:c>
      <x:c r="E1838" s="38" t="str">
        <x:v>CAD/USD</x:v>
      </x:c>
      <x:c r="F1838" s="38" t="n">
        <x:v>-3.7734639429</x:v>
      </x:c>
      <x:c r="G1838" s="38" t="n">
        <x:v>-2.0048381738</x:v>
      </x:c>
      <x:c r="H1838" s="42" t="b">
        <x:v>0</x:v>
      </x:c>
      <x:c r="I1838" s="42" t="b">
        <x:v>0</x:v>
      </x:c>
      <x:c r="J1838" s="38" t="n">
        <x:v>0.1753153174</x:v>
      </x:c>
    </x:row>
    <x:row r="1839" ht="19" customHeight="1">
      <x:c r="A1839" s="29" t="str">
        <x:v>stagger_1</x:v>
      </x:c>
      <x:c r="B1839" s="38" t="str">
        <x:v>ORKA</x:v>
      </x:c>
      <x:c r="C1839" s="38" t="str">
        <x:v>Other FX</x:v>
      </x:c>
      <x:c r="D1839" s="30" t="n">
        <x:v>2</x:v>
      </x:c>
      <x:c r="E1839" s="38" t="str">
        <x:v>DKK/USD</x:v>
      </x:c>
      <x:c r="F1839" s="38" t="n">
        <x:v>2.2503036676</x:v>
      </x:c>
      <x:c r="G1839" s="38" t="n">
        <x:v>1.0749961832</x:v>
      </x:c>
      <x:c r="H1839" s="42" t="b">
        <x:v>0</x:v>
      </x:c>
      <x:c r="I1839" s="42" t="b">
        <x:v>0</x:v>
      </x:c>
      <x:c r="J1839" s="38" t="n">
        <x:v>0.1753153174</x:v>
      </x:c>
    </x:row>
    <x:row r="1840" ht="19" customHeight="1">
      <x:c r="A1840" s="29" t="str">
        <x:v>stagger_1</x:v>
      </x:c>
      <x:c r="B1840" s="38" t="str">
        <x:v>ORKA</x:v>
      </x:c>
      <x:c r="C1840" s="38" t="str">
        <x:v>Other FX</x:v>
      </x:c>
      <x:c r="D1840" s="30" t="n">
        <x:v>2</x:v>
      </x:c>
      <x:c r="E1840" s="38" t="str">
        <x:v>MXN/USD</x:v>
      </x:c>
      <x:c r="F1840" s="38" t="n">
        <x:v>-0.9852106929</x:v>
      </x:c>
      <x:c r="G1840" s="38" t="n">
        <x:v>-1.020751203</x:v>
      </x:c>
      <x:c r="H1840" s="42" t="b">
        <x:v>1</x:v>
      </x:c>
      <x:c r="I1840" s="42" t="b">
        <x:v>0</x:v>
      </x:c>
      <x:c r="J1840" s="38" t="n">
        <x:v>0.1753153174</x:v>
      </x:c>
    </x:row>
    <x:row r="1841" ht="19" customHeight="1">
      <x:c r="A1841" s="29" t="str">
        <x:v>stagger_1</x:v>
      </x:c>
      <x:c r="B1841" s="38" t="str">
        <x:v>ORKA</x:v>
      </x:c>
      <x:c r="C1841" s="38" t="str">
        <x:v>Other FX</x:v>
      </x:c>
      <x:c r="D1841" s="30" t="n">
        <x:v>2</x:v>
      </x:c>
      <x:c r="E1841" s="38" t="str">
        <x:v>SGD/USD</x:v>
      </x:c>
      <x:c r="F1841" s="38" t="n">
        <x:v>-9.0442921339</x:v>
      </x:c>
      <x:c r="G1841" s="38" t="n">
        <x:v>-2.506023088</x:v>
      </x:c>
      <x:c r="H1841" s="42" t="b">
        <x:v>0</x:v>
      </x:c>
      <x:c r="I1841" s="42" t="b">
        <x:v>0</x:v>
      </x:c>
      <x:c r="J1841" s="38" t="n">
        <x:v>0.1753153174</x:v>
      </x:c>
    </x:row>
    <x:row r="1842" ht="19" customHeight="1">
      <x:c r="A1842" s="29" t="str">
        <x:v>stagger_1</x:v>
      </x:c>
      <x:c r="B1842" s="38" t="str">
        <x:v>ORKA</x:v>
      </x:c>
      <x:c r="C1842" s="38" t="str">
        <x:v>Other FX</x:v>
      </x:c>
      <x:c r="D1842" s="30" t="n">
        <x:v>3</x:v>
      </x:c>
      <x:c r="E1842" s="38" t="str">
        <x:v>AUD/USD</x:v>
      </x:c>
      <x:c r="F1842" s="38" t="n">
        <x:v>5.2716094132</x:v>
      </x:c>
      <x:c r="G1842" s="38" t="n">
        <x:v>3.4400633272</x:v>
      </x:c>
      <x:c r="H1842" s="42" t="b">
        <x:v>0</x:v>
      </x:c>
      <x:c r="I1842" s="42" t="b">
        <x:v>0</x:v>
      </x:c>
      <x:c r="J1842" s="38" t="n">
        <x:v>0.163703612</x:v>
      </x:c>
    </x:row>
    <x:row r="1843" ht="19" customHeight="1">
      <x:c r="A1843" s="29" t="str">
        <x:v>stagger_1</x:v>
      </x:c>
      <x:c r="B1843" s="38" t="str">
        <x:v>ORKA</x:v>
      </x:c>
      <x:c r="C1843" s="38" t="str">
        <x:v>Other FX</x:v>
      </x:c>
      <x:c r="D1843" s="30" t="n">
        <x:v>3</x:v>
      </x:c>
      <x:c r="E1843" s="38" t="str">
        <x:v>CAD/USD</x:v>
      </x:c>
      <x:c r="F1843" s="38" t="n">
        <x:v>-3.7653851499</x:v>
      </x:c>
      <x:c r="G1843" s="38" t="n">
        <x:v>-2.0000045749</x:v>
      </x:c>
      <x:c r="H1843" s="42" t="b">
        <x:v>0</x:v>
      </x:c>
      <x:c r="I1843" s="42" t="b">
        <x:v>0</x:v>
      </x:c>
      <x:c r="J1843" s="38" t="n">
        <x:v>0.163703612</x:v>
      </x:c>
    </x:row>
    <x:row r="1844" ht="19" customHeight="1">
      <x:c r="A1844" s="29" t="str">
        <x:v>stagger_1</x:v>
      </x:c>
      <x:c r="B1844" s="38" t="str">
        <x:v>ORKA</x:v>
      </x:c>
      <x:c r="C1844" s="38" t="str">
        <x:v>Other FX</x:v>
      </x:c>
      <x:c r="D1844" s="30" t="n">
        <x:v>3</x:v>
      </x:c>
      <x:c r="E1844" s="38" t="str">
        <x:v>DKK/USD</x:v>
      </x:c>
      <x:c r="F1844" s="38" t="n">
        <x:v>1.6557527134</x:v>
      </x:c>
      <x:c r="G1844" s="38" t="n">
        <x:v>0.82326297</x:v>
      </x:c>
      <x:c r="H1844" s="42" t="b">
        <x:v>1</x:v>
      </x:c>
      <x:c r="I1844" s="42" t="b">
        <x:v>0</x:v>
      </x:c>
      <x:c r="J1844" s="38" t="n">
        <x:v>0.163703612</x:v>
      </x:c>
    </x:row>
    <x:row r="1845" ht="19" customHeight="1">
      <x:c r="A1845" s="29" t="str">
        <x:v>stagger_1</x:v>
      </x:c>
      <x:c r="B1845" s="38" t="str">
        <x:v>ORKA</x:v>
      </x:c>
      <x:c r="C1845" s="38" t="str">
        <x:v>Other FX</x:v>
      </x:c>
      <x:c r="D1845" s="30" t="n">
        <x:v>3</x:v>
      </x:c>
      <x:c r="E1845" s="38" t="str">
        <x:v>SGD/USD</x:v>
      </x:c>
      <x:c r="F1845" s="38" t="n">
        <x:v>-8.9276350473</x:v>
      </x:c>
      <x:c r="G1845" s="38" t="n">
        <x:v>-2.4742489745</x:v>
      </x:c>
      <x:c r="H1845" s="42" t="b">
        <x:v>0</x:v>
      </x:c>
      <x:c r="I1845" s="42" t="b">
        <x:v>0</x:v>
      </x:c>
      <x:c r="J1845" s="38" t="n">
        <x:v>0.163703612</x:v>
      </x:c>
    </x:row>
    <x:row r="1846" ht="19" customHeight="1">
      <x:c r="A1846" s="29" t="str">
        <x:v>stagger_1</x:v>
      </x:c>
      <x:c r="B1846" s="38" t="str">
        <x:v>ORKA</x:v>
      </x:c>
      <x:c r="C1846" s="38" t="str">
        <x:v>Other FX</x:v>
      </x:c>
      <x:c r="D1846" s="30" t="n">
        <x:v>4</x:v>
      </x:c>
      <x:c r="E1846" s="38" t="str">
        <x:v>AUD/USD</x:v>
      </x:c>
      <x:c r="F1846" s="38" t="n">
        <x:v>5.324898706</x:v>
      </x:c>
      <x:c r="G1846" s="38" t="n">
        <x:v>3.4853388301</x:v>
      </x:c>
      <x:c r="H1846" s="42" t="b">
        <x:v>0</x:v>
      </x:c>
      <x:c r="I1846" s="42" t="b">
        <x:v>0</x:v>
      </x:c>
      <x:c r="J1846" s="38" t="n">
        <x:v>0.1561461474</x:v>
      </x:c>
    </x:row>
    <x:row r="1847" ht="19" customHeight="1">
      <x:c r="A1847" s="29" t="str">
        <x:v>stagger_1</x:v>
      </x:c>
      <x:c r="B1847" s="38" t="str">
        <x:v>ORKA</x:v>
      </x:c>
      <x:c r="C1847" s="38" t="str">
        <x:v>Other FX</x:v>
      </x:c>
      <x:c r="D1847" s="30" t="n">
        <x:v>4</x:v>
      </x:c>
      <x:c r="E1847" s="38" t="str">
        <x:v>CAD/USD</x:v>
      </x:c>
      <x:c r="F1847" s="38" t="n">
        <x:v>-3.3662585609</x:v>
      </x:c>
      <x:c r="G1847" s="38" t="n">
        <x:v>-1.8543454869</x:v>
      </x:c>
      <x:c r="H1847" s="42" t="b">
        <x:v>1</x:v>
      </x:c>
      <x:c r="I1847" s="42" t="b">
        <x:v>0</x:v>
      </x:c>
      <x:c r="J1847" s="38" t="n">
        <x:v>0.1561461474</x:v>
      </x:c>
    </x:row>
    <x:row r="1848" ht="19" customHeight="1">
      <x:c r="A1848" s="29" t="str">
        <x:v>stagger_1</x:v>
      </x:c>
      <x:c r="B1848" s="38" t="str">
        <x:v>ORKA</x:v>
      </x:c>
      <x:c r="C1848" s="38" t="str">
        <x:v>Other FX</x:v>
      </x:c>
      <x:c r="D1848" s="30" t="n">
        <x:v>4</x:v>
      </x:c>
      <x:c r="E1848" s="38" t="str">
        <x:v>SGD/USD</x:v>
      </x:c>
      <x:c r="F1848" s="38" t="n">
        <x:v>-7.1277498519</x:v>
      </x:c>
      <x:c r="G1848" s="38" t="n">
        <x:v>-2.488437349</x:v>
      </x:c>
      <x:c r="H1848" s="42" t="b">
        <x:v>0</x:v>
      </x:c>
      <x:c r="I1848" s="42" t="b">
        <x:v>0</x:v>
      </x:c>
      <x:c r="J1848" s="38" t="n">
        <x:v>0.1561461474</x:v>
      </x:c>
    </x:row>
    <x:row r="1849" ht="19" customHeight="1">
      <x:c r="A1849" s="29" t="str">
        <x:v>stagger_1</x:v>
      </x:c>
      <x:c r="B1849" s="38" t="str">
        <x:v>ORKA</x:v>
      </x:c>
      <x:c r="C1849" s="38" t="str">
        <x:v>Other FX</x:v>
      </x:c>
      <x:c r="D1849" s="30" t="n">
        <x:v>5</x:v>
      </x:c>
      <x:c r="E1849" s="38" t="str">
        <x:v>AUD/USD</x:v>
      </x:c>
      <x:c r="F1849" s="38" t="n">
        <x:v>4.5666173757</x:v>
      </x:c>
      <x:c r="G1849" s="38" t="n">
        <x:v>3.0542128994</x:v>
      </x:c>
      <x:c r="H1849" s="42" t="b">
        <x:v>0</x:v>
      </x:c>
      <x:c r="I1849" s="42" t="b">
        <x:v>1</x:v>
      </x:c>
      <x:c r="J1849" s="38" t="n">
        <x:v>0.1179662332</x:v>
      </x:c>
    </x:row>
    <x:row r="1850" ht="19" customHeight="1">
      <x:c r="A1850" s="29" t="str">
        <x:v>stagger_1</x:v>
      </x:c>
      <x:c r="B1850" s="38" t="str">
        <x:v>ORKA</x:v>
      </x:c>
      <x:c r="C1850" s="38" t="str">
        <x:v>Other FX</x:v>
      </x:c>
      <x:c r="D1850" s="30" t="n">
        <x:v>5</x:v>
      </x:c>
      <x:c r="E1850" s="38" t="str">
        <x:v>SGD/USD</x:v>
      </x:c>
      <x:c r="F1850" s="38" t="n">
        <x:v>-8.3558896296</x:v>
      </x:c>
      <x:c r="G1850" s="38" t="n">
        <x:v>-2.9520792086</x:v>
      </x:c>
      <x:c r="H1850" s="42" t="b">
        <x:v>0</x:v>
      </x:c>
      <x:c r="I1850" s="42" t="b">
        <x:v>1</x:v>
      </x:c>
      <x:c r="J1850" s="38" t="n">
        <x:v>0.1179662332</x:v>
      </x:c>
    </x:row>
    <x:row r="1851" ht="19" customHeight="1">
      <x:c r="A1851" s="29" t="str">
        <x:v>stagger_1</x:v>
      </x:c>
      <x:c r="B1851" s="38" t="str">
        <x:v>ORKA</x:v>
      </x:c>
      <x:c r="C1851" s="38" t="str">
        <x:v>Other sectors</x:v>
      </x:c>
      <x:c r="D1851" s="30" t="n">
        <x:v>1</x:v>
      </x:c>
      <x:c r="E1851" s="38" t="str">
        <x:v>XLB</x:v>
      </x:c>
      <x:c r="F1851" s="38" t="n">
        <x:v>-1.6261414141</x:v>
      </x:c>
      <x:c r="G1851" s="38" t="n">
        <x:v>-1.7251867176</x:v>
      </x:c>
      <x:c r="H1851" s="42" t="b">
        <x:v>0</x:v>
      </x:c>
      <x:c r="I1851" s="42" t="b">
        <x:v>0</x:v>
      </x:c>
      <x:c r="J1851" s="38" t="n">
        <x:v>0.2191505993</x:v>
      </x:c>
    </x:row>
    <x:row r="1852" ht="19" customHeight="1">
      <x:c r="A1852" s="29" t="str">
        <x:v>stagger_1</x:v>
      </x:c>
      <x:c r="B1852" s="38" t="str">
        <x:v>ORKA</x:v>
      </x:c>
      <x:c r="C1852" s="38" t="str">
        <x:v>Other sectors</x:v>
      </x:c>
      <x:c r="D1852" s="30" t="n">
        <x:v>1</x:v>
      </x:c>
      <x:c r="E1852" s="38" t="str">
        <x:v>XLC</x:v>
      </x:c>
      <x:c r="F1852" s="38" t="n">
        <x:v>-1.8069025223</x:v>
      </x:c>
      <x:c r="G1852" s="38" t="n">
        <x:v>-2.0552909521</x:v>
      </x:c>
      <x:c r="H1852" s="42" t="b">
        <x:v>0</x:v>
      </x:c>
      <x:c r="I1852" s="42" t="b">
        <x:v>0</x:v>
      </x:c>
      <x:c r="J1852" s="38" t="n">
        <x:v>0.2191505993</x:v>
      </x:c>
    </x:row>
    <x:row r="1853" ht="19" customHeight="1">
      <x:c r="A1853" s="29" t="str">
        <x:v>stagger_1</x:v>
      </x:c>
      <x:c r="B1853" s="38" t="str">
        <x:v>ORKA</x:v>
      </x:c>
      <x:c r="C1853" s="38" t="str">
        <x:v>Other sectors</x:v>
      </x:c>
      <x:c r="D1853" s="30" t="n">
        <x:v>1</x:v>
      </x:c>
      <x:c r="E1853" s="38" t="str">
        <x:v>XLE</x:v>
      </x:c>
      <x:c r="F1853" s="38" t="n">
        <x:v>-0.2187986885</x:v>
      </x:c>
      <x:c r="G1853" s="38" t="n">
        <x:v>-0.640310442</x:v>
      </x:c>
      <x:c r="H1853" s="42" t="b">
        <x:v>0</x:v>
      </x:c>
      <x:c r="I1853" s="42" t="b">
        <x:v>0</x:v>
      </x:c>
      <x:c r="J1853" s="38" t="n">
        <x:v>0.2191505993</x:v>
      </x:c>
    </x:row>
    <x:row r="1854" ht="19" customHeight="1">
      <x:c r="A1854" s="29" t="str">
        <x:v>stagger_1</x:v>
      </x:c>
      <x:c r="B1854" s="38" t="str">
        <x:v>ORKA</x:v>
      </x:c>
      <x:c r="C1854" s="38" t="str">
        <x:v>Other sectors</x:v>
      </x:c>
      <x:c r="D1854" s="30" t="n">
        <x:v>1</x:v>
      </x:c>
      <x:c r="E1854" s="38" t="str">
        <x:v>XLF</x:v>
      </x:c>
      <x:c r="F1854" s="38" t="n">
        <x:v>-2.0795419289</x:v>
      </x:c>
      <x:c r="G1854" s="38" t="n">
        <x:v>-2.0924882764</x:v>
      </x:c>
      <x:c r="H1854" s="42" t="b">
        <x:v>0</x:v>
      </x:c>
      <x:c r="I1854" s="42" t="b">
        <x:v>0</x:v>
      </x:c>
      <x:c r="J1854" s="38" t="n">
        <x:v>0.2191505993</x:v>
      </x:c>
    </x:row>
    <x:row r="1855" ht="19" customHeight="1">
      <x:c r="A1855" s="29" t="str">
        <x:v>stagger_1</x:v>
      </x:c>
      <x:c r="B1855" s="38" t="str">
        <x:v>ORKA</x:v>
      </x:c>
      <x:c r="C1855" s="38" t="str">
        <x:v>Other sectors</x:v>
      </x:c>
      <x:c r="D1855" s="30" t="n">
        <x:v>1</x:v>
      </x:c>
      <x:c r="E1855" s="38" t="str">
        <x:v>XLI</x:v>
      </x:c>
      <x:c r="F1855" s="38" t="n">
        <x:v>1.763699652</x:v>
      </x:c>
      <x:c r="G1855" s="38" t="n">
        <x:v>1.4721505966</x:v>
      </x:c>
      <x:c r="H1855" s="42" t="b">
        <x:v>0</x:v>
      </x:c>
      <x:c r="I1855" s="42" t="b">
        <x:v>0</x:v>
      </x:c>
      <x:c r="J1855" s="38" t="n">
        <x:v>0.2191505993</x:v>
      </x:c>
    </x:row>
    <x:row r="1856" ht="19" customHeight="1">
      <x:c r="A1856" s="29" t="str">
        <x:v>stagger_1</x:v>
      </x:c>
      <x:c r="B1856" s="38" t="str">
        <x:v>ORKA</x:v>
      </x:c>
      <x:c r="C1856" s="38" t="str">
        <x:v>Other sectors</x:v>
      </x:c>
      <x:c r="D1856" s="30" t="n">
        <x:v>1</x:v>
      </x:c>
      <x:c r="E1856" s="38" t="str">
        <x:v>XLK</x:v>
      </x:c>
      <x:c r="F1856" s="38" t="n">
        <x:v>-3.0345366001</x:v>
      </x:c>
      <x:c r="G1856" s="38" t="n">
        <x:v>-2.3794521686</x:v>
      </x:c>
      <x:c r="H1856" s="42" t="b">
        <x:v>0</x:v>
      </x:c>
      <x:c r="I1856" s="42" t="b">
        <x:v>0</x:v>
      </x:c>
      <x:c r="J1856" s="38" t="n">
        <x:v>0.2191505993</x:v>
      </x:c>
    </x:row>
    <x:row r="1857" ht="19" customHeight="1">
      <x:c r="A1857" s="29" t="str">
        <x:v>stagger_1</x:v>
      </x:c>
      <x:c r="B1857" s="38" t="str">
        <x:v>ORKA</x:v>
      </x:c>
      <x:c r="C1857" s="38" t="str">
        <x:v>Other sectors</x:v>
      </x:c>
      <x:c r="D1857" s="30" t="n">
        <x:v>1</x:v>
      </x:c>
      <x:c r="E1857" s="38" t="str">
        <x:v>XLP</x:v>
      </x:c>
      <x:c r="F1857" s="38" t="n">
        <x:v>-2.2221783706</x:v>
      </x:c>
      <x:c r="G1857" s="38" t="n">
        <x:v>-2.1880396512</x:v>
      </x:c>
      <x:c r="H1857" s="42" t="b">
        <x:v>0</x:v>
      </x:c>
      <x:c r="I1857" s="42" t="b">
        <x:v>0</x:v>
      </x:c>
      <x:c r="J1857" s="38" t="n">
        <x:v>0.2191505993</x:v>
      </x:c>
    </x:row>
    <x:row r="1858" ht="19" customHeight="1">
      <x:c r="A1858" s="29" t="str">
        <x:v>stagger_1</x:v>
      </x:c>
      <x:c r="B1858" s="38" t="str">
        <x:v>ORKA</x:v>
      </x:c>
      <x:c r="C1858" s="38" t="str">
        <x:v>Other sectors</x:v>
      </x:c>
      <x:c r="D1858" s="30" t="n">
        <x:v>1</x:v>
      </x:c>
      <x:c r="E1858" s="38" t="str">
        <x:v>XLRE</x:v>
      </x:c>
      <x:c r="F1858" s="38" t="n">
        <x:v>-0.0502894592</x:v>
      </x:c>
      <x:c r="G1858" s="38" t="n">
        <x:v>-0.0636312537</x:v>
      </x:c>
      <x:c r="H1858" s="42" t="b">
        <x:v>1</x:v>
      </x:c>
      <x:c r="I1858" s="42" t="b">
        <x:v>0</x:v>
      </x:c>
      <x:c r="J1858" s="38" t="n">
        <x:v>0.2191505993</x:v>
      </x:c>
    </x:row>
    <x:row r="1859" ht="19" customHeight="1">
      <x:c r="A1859" s="29" t="str">
        <x:v>stagger_1</x:v>
      </x:c>
      <x:c r="B1859" s="38" t="str">
        <x:v>ORKA</x:v>
      </x:c>
      <x:c r="C1859" s="38" t="str">
        <x:v>Other sectors</x:v>
      </x:c>
      <x:c r="D1859" s="30" t="n">
        <x:v>1</x:v>
      </x:c>
      <x:c r="E1859" s="38" t="str">
        <x:v>XLU</x:v>
      </x:c>
      <x:c r="F1859" s="38" t="n">
        <x:v>0.4870766017</x:v>
      </x:c>
      <x:c r="G1859" s="38" t="n">
        <x:v>0.7765953593</x:v>
      </x:c>
      <x:c r="H1859" s="42" t="b">
        <x:v>0</x:v>
      </x:c>
      <x:c r="I1859" s="42" t="b">
        <x:v>0</x:v>
      </x:c>
      <x:c r="J1859" s="38" t="n">
        <x:v>0.2191505993</x:v>
      </x:c>
    </x:row>
    <x:row r="1860" ht="19" customHeight="1">
      <x:c r="A1860" s="29" t="str">
        <x:v>stagger_1</x:v>
      </x:c>
      <x:c r="B1860" s="38" t="str">
        <x:v>ORKA</x:v>
      </x:c>
      <x:c r="C1860" s="38" t="str">
        <x:v>Other sectors</x:v>
      </x:c>
      <x:c r="D1860" s="30" t="n">
        <x:v>1</x:v>
      </x:c>
      <x:c r="E1860" s="38" t="str">
        <x:v>XLY</x:v>
      </x:c>
      <x:c r="F1860" s="38" t="n">
        <x:v>-1.7713433151</x:v>
      </x:c>
      <x:c r="G1860" s="38" t="n">
        <x:v>-2.1102579794</x:v>
      </x:c>
      <x:c r="H1860" s="42" t="b">
        <x:v>0</x:v>
      </x:c>
      <x:c r="I1860" s="42" t="b">
        <x:v>0</x:v>
      </x:c>
      <x:c r="J1860" s="38" t="n">
        <x:v>0.2191505993</x:v>
      </x:c>
    </x:row>
    <x:row r="1861" ht="19" customHeight="1">
      <x:c r="A1861" s="29" t="str">
        <x:v>stagger_1</x:v>
      </x:c>
      <x:c r="B1861" s="38" t="str">
        <x:v>ORKA</x:v>
      </x:c>
      <x:c r="C1861" s="38" t="str">
        <x:v>Other sectors</x:v>
      </x:c>
      <x:c r="D1861" s="30" t="n">
        <x:v>2</x:v>
      </x:c>
      <x:c r="E1861" s="38" t="str">
        <x:v>XLB</x:v>
      </x:c>
      <x:c r="F1861" s="38" t="n">
        <x:v>-1.6337005204</x:v>
      </x:c>
      <x:c r="G1861" s="38" t="n">
        <x:v>-1.7597006487</x:v>
      </x:c>
      <x:c r="H1861" s="42" t="b">
        <x:v>0</x:v>
      </x:c>
      <x:c r="I1861" s="42" t="b">
        <x:v>0</x:v>
      </x:c>
      <x:c r="J1861" s="38" t="n">
        <x:v>0.2191047789</x:v>
      </x:c>
    </x:row>
    <x:row r="1862" ht="19" customHeight="1">
      <x:c r="A1862" s="29" t="str">
        <x:v>stagger_1</x:v>
      </x:c>
      <x:c r="B1862" s="38" t="str">
        <x:v>ORKA</x:v>
      </x:c>
      <x:c r="C1862" s="38" t="str">
        <x:v>Other sectors</x:v>
      </x:c>
      <x:c r="D1862" s="30" t="n">
        <x:v>2</x:v>
      </x:c>
      <x:c r="E1862" s="38" t="str">
        <x:v>XLC</x:v>
      </x:c>
      <x:c r="F1862" s="38" t="n">
        <x:v>-1.7976953537</x:v>
      </x:c>
      <x:c r="G1862" s="38" t="n">
        <x:v>-2.0879966355</x:v>
      </x:c>
      <x:c r="H1862" s="42" t="b">
        <x:v>0</x:v>
      </x:c>
      <x:c r="I1862" s="42" t="b">
        <x:v>0</x:v>
      </x:c>
      <x:c r="J1862" s="38" t="n">
        <x:v>0.2191047789</x:v>
      </x:c>
    </x:row>
    <x:row r="1863" ht="19" customHeight="1">
      <x:c r="A1863" s="29" t="str">
        <x:v>stagger_1</x:v>
      </x:c>
      <x:c r="B1863" s="38" t="str">
        <x:v>ORKA</x:v>
      </x:c>
      <x:c r="C1863" s="38" t="str">
        <x:v>Other sectors</x:v>
      </x:c>
      <x:c r="D1863" s="30" t="n">
        <x:v>2</x:v>
      </x:c>
      <x:c r="E1863" s="38" t="str">
        <x:v>XLE</x:v>
      </x:c>
      <x:c r="F1863" s="38" t="n">
        <x:v>-0.2194307754</x:v>
      </x:c>
      <x:c r="G1863" s="38" t="n">
        <x:v>-0.6470513201</x:v>
      </x:c>
      <x:c r="H1863" s="42" t="b">
        <x:v>1</x:v>
      </x:c>
      <x:c r="I1863" s="42" t="b">
        <x:v>0</x:v>
      </x:c>
      <x:c r="J1863" s="38" t="n">
        <x:v>0.2191047789</x:v>
      </x:c>
    </x:row>
    <x:row r="1864" ht="19" customHeight="1">
      <x:c r="A1864" s="29" t="str">
        <x:v>stagger_1</x:v>
      </x:c>
      <x:c r="B1864" s="38" t="str">
        <x:v>ORKA</x:v>
      </x:c>
      <x:c r="C1864" s="38" t="str">
        <x:v>Other sectors</x:v>
      </x:c>
      <x:c r="D1864" s="30" t="n">
        <x:v>2</x:v>
      </x:c>
      <x:c r="E1864" s="38" t="str">
        <x:v>XLF</x:v>
      </x:c>
      <x:c r="F1864" s="38" t="n">
        <x:v>-2.0881554981</x:v>
      </x:c>
      <x:c r="G1864" s="38" t="n">
        <x:v>-2.1361734494</x:v>
      </x:c>
      <x:c r="H1864" s="42" t="b">
        <x:v>0</x:v>
      </x:c>
      <x:c r="I1864" s="42" t="b">
        <x:v>0</x:v>
      </x:c>
      <x:c r="J1864" s="38" t="n">
        <x:v>0.2191047789</x:v>
      </x:c>
    </x:row>
    <x:row r="1865" ht="19" customHeight="1">
      <x:c r="A1865" s="29" t="str">
        <x:v>stagger_1</x:v>
      </x:c>
      <x:c r="B1865" s="38" t="str">
        <x:v>ORKA</x:v>
      </x:c>
      <x:c r="C1865" s="38" t="str">
        <x:v>Other sectors</x:v>
      </x:c>
      <x:c r="D1865" s="30" t="n">
        <x:v>2</x:v>
      </x:c>
      <x:c r="E1865" s="38" t="str">
        <x:v>XLI</x:v>
      </x:c>
      <x:c r="F1865" s="38" t="n">
        <x:v>1.7777056038</x:v>
      </x:c>
      <x:c r="G1865" s="38" t="n">
        <x:v>1.520392011</x:v>
      </x:c>
      <x:c r="H1865" s="42" t="b">
        <x:v>0</x:v>
      </x:c>
      <x:c r="I1865" s="42" t="b">
        <x:v>0</x:v>
      </x:c>
      <x:c r="J1865" s="38" t="n">
        <x:v>0.2191047789</x:v>
      </x:c>
    </x:row>
    <x:row r="1866" ht="19" customHeight="1">
      <x:c r="A1866" s="29" t="str">
        <x:v>stagger_1</x:v>
      </x:c>
      <x:c r="B1866" s="38" t="str">
        <x:v>ORKA</x:v>
      </x:c>
      <x:c r="C1866" s="38" t="str">
        <x:v>Other sectors</x:v>
      </x:c>
      <x:c r="D1866" s="30" t="n">
        <x:v>2</x:v>
      </x:c>
      <x:c r="E1866" s="38" t="str">
        <x:v>XLK</x:v>
      </x:c>
      <x:c r="F1866" s="38" t="n">
        <x:v>-3.0281815167</x:v>
      </x:c>
      <x:c r="G1866" s="38" t="n">
        <x:v>-2.3989107688</x:v>
      </x:c>
      <x:c r="H1866" s="42" t="b">
        <x:v>0</x:v>
      </x:c>
      <x:c r="I1866" s="42" t="b">
        <x:v>0</x:v>
      </x:c>
      <x:c r="J1866" s="38" t="n">
        <x:v>0.2191047789</x:v>
      </x:c>
    </x:row>
    <x:row r="1867" ht="19" customHeight="1">
      <x:c r="A1867" s="29" t="str">
        <x:v>stagger_1</x:v>
      </x:c>
      <x:c r="B1867" s="38" t="str">
        <x:v>ORKA</x:v>
      </x:c>
      <x:c r="C1867" s="38" t="str">
        <x:v>Other sectors</x:v>
      </x:c>
      <x:c r="D1867" s="30" t="n">
        <x:v>2</x:v>
      </x:c>
      <x:c r="E1867" s="38" t="str">
        <x:v>XLP</x:v>
      </x:c>
      <x:c r="F1867" s="38" t="n">
        <x:v>-2.2449692547</x:v>
      </x:c>
      <x:c r="G1867" s="38" t="n">
        <x:v>-2.3792462045</x:v>
      </x:c>
      <x:c r="H1867" s="42" t="b">
        <x:v>0</x:v>
      </x:c>
      <x:c r="I1867" s="42" t="b">
        <x:v>0</x:v>
      </x:c>
      <x:c r="J1867" s="38" t="n">
        <x:v>0.2191047789</x:v>
      </x:c>
    </x:row>
    <x:row r="1868" ht="19" customHeight="1">
      <x:c r="A1868" s="29" t="str">
        <x:v>stagger_1</x:v>
      </x:c>
      <x:c r="B1868" s="38" t="str">
        <x:v>ORKA</x:v>
      </x:c>
      <x:c r="C1868" s="38" t="str">
        <x:v>Other sectors</x:v>
      </x:c>
      <x:c r="D1868" s="30" t="n">
        <x:v>2</x:v>
      </x:c>
      <x:c r="E1868" s="38" t="str">
        <x:v>XLU</x:v>
      </x:c>
      <x:c r="F1868" s="38" t="n">
        <x:v>0.4758474271</x:v>
      </x:c>
      <x:c r="G1868" s="38" t="n">
        <x:v>0.7963184605</x:v>
      </x:c>
      <x:c r="H1868" s="42" t="b">
        <x:v>0</x:v>
      </x:c>
      <x:c r="I1868" s="42" t="b">
        <x:v>0</x:v>
      </x:c>
      <x:c r="J1868" s="38" t="n">
        <x:v>0.2191047789</x:v>
      </x:c>
    </x:row>
    <x:row r="1869" ht="19" customHeight="1">
      <x:c r="A1869" s="29" t="str">
        <x:v>stagger_1</x:v>
      </x:c>
      <x:c r="B1869" s="38" t="str">
        <x:v>ORKA</x:v>
      </x:c>
      <x:c r="C1869" s="38" t="str">
        <x:v>Other sectors</x:v>
      </x:c>
      <x:c r="D1869" s="30" t="n">
        <x:v>2</x:v>
      </x:c>
      <x:c r="E1869" s="38" t="str">
        <x:v>XLY</x:v>
      </x:c>
      <x:c r="F1869" s="38" t="n">
        <x:v>-1.7830641681</x:v>
      </x:c>
      <x:c r="G1869" s="38" t="n">
        <x:v>-2.19294854</x:v>
      </x:c>
      <x:c r="H1869" s="42" t="b">
        <x:v>0</x:v>
      </x:c>
      <x:c r="I1869" s="42" t="b">
        <x:v>0</x:v>
      </x:c>
      <x:c r="J1869" s="38" t="n">
        <x:v>0.2191047789</x:v>
      </x:c>
    </x:row>
    <x:row r="1870" ht="19" customHeight="1">
      <x:c r="A1870" s="29" t="str">
        <x:v>stagger_1</x:v>
      </x:c>
      <x:c r="B1870" s="38" t="str">
        <x:v>ORKA</x:v>
      </x:c>
      <x:c r="C1870" s="38" t="str">
        <x:v>Other sectors</x:v>
      </x:c>
      <x:c r="D1870" s="30" t="n">
        <x:v>3</x:v>
      </x:c>
      <x:c r="E1870" s="38" t="str">
        <x:v>XLB</x:v>
      </x:c>
      <x:c r="F1870" s="38" t="n">
        <x:v>-1.7714786184</x:v>
      </x:c>
      <x:c r="G1870" s="38" t="n">
        <x:v>-1.9684375858</x:v>
      </x:c>
      <x:c r="H1870" s="42" t="b">
        <x:v>0</x:v>
      </x:c>
      <x:c r="I1870" s="42" t="b">
        <x:v>0</x:v>
      </x:c>
      <x:c r="J1870" s="38" t="n">
        <x:v>0.2144341842</x:v>
      </x:c>
    </x:row>
    <x:row r="1871" ht="19" customHeight="1">
      <x:c r="A1871" s="29" t="str">
        <x:v>stagger_1</x:v>
      </x:c>
      <x:c r="B1871" s="38" t="str">
        <x:v>ORKA</x:v>
      </x:c>
      <x:c r="C1871" s="38" t="str">
        <x:v>Other sectors</x:v>
      </x:c>
      <x:c r="D1871" s="30" t="n">
        <x:v>3</x:v>
      </x:c>
      <x:c r="E1871" s="38" t="str">
        <x:v>XLC</x:v>
      </x:c>
      <x:c r="F1871" s="38" t="n">
        <x:v>-1.7730215883</x:v>
      </x:c>
      <x:c r="G1871" s="38" t="n">
        <x:v>-2.0698522949</x:v>
      </x:c>
      <x:c r="H1871" s="42" t="b">
        <x:v>0</x:v>
      </x:c>
      <x:c r="I1871" s="42" t="b">
        <x:v>0</x:v>
      </x:c>
      <x:c r="J1871" s="38" t="n">
        <x:v>0.2144341842</x:v>
      </x:c>
    </x:row>
    <x:row r="1872" ht="19" customHeight="1">
      <x:c r="A1872" s="29" t="str">
        <x:v>stagger_1</x:v>
      </x:c>
      <x:c r="B1872" s="38" t="str">
        <x:v>ORKA</x:v>
      </x:c>
      <x:c r="C1872" s="38" t="str">
        <x:v>Other sectors</x:v>
      </x:c>
      <x:c r="D1872" s="30" t="n">
        <x:v>3</x:v>
      </x:c>
      <x:c r="E1872" s="38" t="str">
        <x:v>XLF</x:v>
      </x:c>
      <x:c r="F1872" s="38" t="n">
        <x:v>-2.0043856462</x:v>
      </x:c>
      <x:c r="G1872" s="38" t="n">
        <x:v>-2.0772219912</x:v>
      </x:c>
      <x:c r="H1872" s="42" t="b">
        <x:v>0</x:v>
      </x:c>
      <x:c r="I1872" s="42" t="b">
        <x:v>0</x:v>
      </x:c>
      <x:c r="J1872" s="38" t="n">
        <x:v>0.2144341842</x:v>
      </x:c>
    </x:row>
    <x:row r="1873" ht="19" customHeight="1">
      <x:c r="A1873" s="29" t="str">
        <x:v>stagger_1</x:v>
      </x:c>
      <x:c r="B1873" s="38" t="str">
        <x:v>ORKA</x:v>
      </x:c>
      <x:c r="C1873" s="38" t="str">
        <x:v>Other sectors</x:v>
      </x:c>
      <x:c r="D1873" s="30" t="n">
        <x:v>3</x:v>
      </x:c>
      <x:c r="E1873" s="38" t="str">
        <x:v>XLI</x:v>
      </x:c>
      <x:c r="F1873" s="38" t="n">
        <x:v>1.8704979892</x:v>
      </x:c>
      <x:c r="G1873" s="38" t="n">
        <x:v>1.6185630756</x:v>
      </x:c>
      <x:c r="H1873" s="42" t="b">
        <x:v>0</x:v>
      </x:c>
      <x:c r="I1873" s="42" t="b">
        <x:v>0</x:v>
      </x:c>
      <x:c r="J1873" s="38" t="n">
        <x:v>0.2144341842</x:v>
      </x:c>
    </x:row>
    <x:row r="1874" ht="19" customHeight="1">
      <x:c r="A1874" s="29" t="str">
        <x:v>stagger_1</x:v>
      </x:c>
      <x:c r="B1874" s="38" t="str">
        <x:v>ORKA</x:v>
      </x:c>
      <x:c r="C1874" s="38" t="str">
        <x:v>Other sectors</x:v>
      </x:c>
      <x:c r="D1874" s="30" t="n">
        <x:v>3</x:v>
      </x:c>
      <x:c r="E1874" s="38" t="str">
        <x:v>XLK</x:v>
      </x:c>
      <x:c r="F1874" s="38" t="n">
        <x:v>-2.7154012394</x:v>
      </x:c>
      <x:c r="G1874" s="38" t="n">
        <x:v>-2.3382257701</x:v>
      </x:c>
      <x:c r="H1874" s="42" t="b">
        <x:v>0</x:v>
      </x:c>
      <x:c r="I1874" s="42" t="b">
        <x:v>0</x:v>
      </x:c>
      <x:c r="J1874" s="38" t="n">
        <x:v>0.2144341842</x:v>
      </x:c>
    </x:row>
    <x:row r="1875" ht="19" customHeight="1">
      <x:c r="A1875" s="29" t="str">
        <x:v>stagger_1</x:v>
      </x:c>
      <x:c r="B1875" s="38" t="str">
        <x:v>ORKA</x:v>
      </x:c>
      <x:c r="C1875" s="38" t="str">
        <x:v>Other sectors</x:v>
      </x:c>
      <x:c r="D1875" s="30" t="n">
        <x:v>3</x:v>
      </x:c>
      <x:c r="E1875" s="38" t="str">
        <x:v>XLP</x:v>
      </x:c>
      <x:c r="F1875" s="38" t="n">
        <x:v>-2.1158927179</x:v>
      </x:c>
      <x:c r="G1875" s="38" t="n">
        <x:v>-2.3037599992</x:v>
      </x:c>
      <x:c r="H1875" s="42" t="b">
        <x:v>0</x:v>
      </x:c>
      <x:c r="I1875" s="42" t="b">
        <x:v>0</x:v>
      </x:c>
      <x:c r="J1875" s="38" t="n">
        <x:v>0.2144341842</x:v>
      </x:c>
    </x:row>
    <x:row r="1876" ht="19" customHeight="1">
      <x:c r="A1876" s="29" t="str">
        <x:v>stagger_1</x:v>
      </x:c>
      <x:c r="B1876" s="38" t="str">
        <x:v>ORKA</x:v>
      </x:c>
      <x:c r="C1876" s="38" t="str">
        <x:v>Other sectors</x:v>
      </x:c>
      <x:c r="D1876" s="30" t="n">
        <x:v>3</x:v>
      </x:c>
      <x:c r="E1876" s="38" t="str">
        <x:v>XLU</x:v>
      </x:c>
      <x:c r="F1876" s="38" t="n">
        <x:v>0.5172785</x:v>
      </x:c>
      <x:c r="G1876" s="38" t="n">
        <x:v>0.8742515633</x:v>
      </x:c>
      <x:c r="H1876" s="42" t="b">
        <x:v>1</x:v>
      </x:c>
      <x:c r="I1876" s="42" t="b">
        <x:v>0</x:v>
      </x:c>
      <x:c r="J1876" s="38" t="n">
        <x:v>0.2144341842</x:v>
      </x:c>
    </x:row>
    <x:row r="1877" ht="19" customHeight="1">
      <x:c r="A1877" s="29" t="str">
        <x:v>stagger_1</x:v>
      </x:c>
      <x:c r="B1877" s="38" t="str">
        <x:v>ORKA</x:v>
      </x:c>
      <x:c r="C1877" s="38" t="str">
        <x:v>Other sectors</x:v>
      </x:c>
      <x:c r="D1877" s="30" t="n">
        <x:v>3</x:v>
      </x:c>
      <x:c r="E1877" s="38" t="str">
        <x:v>XLY</x:v>
      </x:c>
      <x:c r="F1877" s="38" t="n">
        <x:v>-1.578977947</x:v>
      </x:c>
      <x:c r="G1877" s="38" t="n">
        <x:v>-2.1156092223</x:v>
      </x:c>
      <x:c r="H1877" s="42" t="b">
        <x:v>0</x:v>
      </x:c>
      <x:c r="I1877" s="42" t="b">
        <x:v>0</x:v>
      </x:c>
      <x:c r="J1877" s="38" t="n">
        <x:v>0.2144341842</x:v>
      </x:c>
    </x:row>
    <x:row r="1878" ht="19" customHeight="1">
      <x:c r="A1878" s="29" t="str">
        <x:v>stagger_1</x:v>
      </x:c>
      <x:c r="B1878" s="38" t="str">
        <x:v>ORKA</x:v>
      </x:c>
      <x:c r="C1878" s="38" t="str">
        <x:v>Other sectors</x:v>
      </x:c>
      <x:c r="D1878" s="30" t="n">
        <x:v>4</x:v>
      </x:c>
      <x:c r="E1878" s="38" t="str">
        <x:v>XLB</x:v>
      </x:c>
      <x:c r="F1878" s="38" t="n">
        <x:v>-1.7463890336</x:v>
      </x:c>
      <x:c r="G1878" s="38" t="n">
        <x:v>-1.9447314461</x:v>
      </x:c>
      <x:c r="H1878" s="42" t="b">
        <x:v>0</x:v>
      </x:c>
      <x:c r="I1878" s="42" t="b">
        <x:v>0</x:v>
      </x:c>
      <x:c r="J1878" s="38" t="n">
        <x:v>0.2059775594</x:v>
      </x:c>
    </x:row>
    <x:row r="1879" ht="19" customHeight="1">
      <x:c r="A1879" s="29" t="str">
        <x:v>stagger_1</x:v>
      </x:c>
      <x:c r="B1879" s="38" t="str">
        <x:v>ORKA</x:v>
      </x:c>
      <x:c r="C1879" s="38" t="str">
        <x:v>Other sectors</x:v>
      </x:c>
      <x:c r="D1879" s="30" t="n">
        <x:v>4</x:v>
      </x:c>
      <x:c r="E1879" s="38" t="str">
        <x:v>XLC</x:v>
      </x:c>
      <x:c r="F1879" s="38" t="n">
        <x:v>-1.9577877882</x:v>
      </x:c>
      <x:c r="G1879" s="38" t="n">
        <x:v>-2.3623307238</x:v>
      </x:c>
      <x:c r="H1879" s="42" t="b">
        <x:v>0</x:v>
      </x:c>
      <x:c r="I1879" s="42" t="b">
        <x:v>0</x:v>
      </x:c>
      <x:c r="J1879" s="38" t="n">
        <x:v>0.2059775594</x:v>
      </x:c>
    </x:row>
    <x:row r="1880" ht="19" customHeight="1">
      <x:c r="A1880" s="29" t="str">
        <x:v>stagger_1</x:v>
      </x:c>
      <x:c r="B1880" s="38" t="str">
        <x:v>ORKA</x:v>
      </x:c>
      <x:c r="C1880" s="38" t="str">
        <x:v>Other sectors</x:v>
      </x:c>
      <x:c r="D1880" s="30" t="n">
        <x:v>4</x:v>
      </x:c>
      <x:c r="E1880" s="38" t="str">
        <x:v>XLF</x:v>
      </x:c>
      <x:c r="F1880" s="38" t="n">
        <x:v>-2.1166565141</x:v>
      </x:c>
      <x:c r="G1880" s="38" t="n">
        <x:v>-2.2168920328</x:v>
      </x:c>
      <x:c r="H1880" s="42" t="b">
        <x:v>0</x:v>
      </x:c>
      <x:c r="I1880" s="42" t="b">
        <x:v>0</x:v>
      </x:c>
      <x:c r="J1880" s="38" t="n">
        <x:v>0.2059775594</x:v>
      </x:c>
    </x:row>
    <x:row r="1881" ht="19" customHeight="1">
      <x:c r="A1881" s="29" t="str">
        <x:v>stagger_1</x:v>
      </x:c>
      <x:c r="B1881" s="38" t="str">
        <x:v>ORKA</x:v>
      </x:c>
      <x:c r="C1881" s="38" t="str">
        <x:v>Other sectors</x:v>
      </x:c>
      <x:c r="D1881" s="30" t="n">
        <x:v>4</x:v>
      </x:c>
      <x:c r="E1881" s="38" t="str">
        <x:v>XLI</x:v>
      </x:c>
      <x:c r="F1881" s="38" t="n">
        <x:v>1.954432109</x:v>
      </x:c>
      <x:c r="G1881" s="38" t="n">
        <x:v>1.6998429641</x:v>
      </x:c>
      <x:c r="H1881" s="42" t="b">
        <x:v>1</x:v>
      </x:c>
      <x:c r="I1881" s="42" t="b">
        <x:v>0</x:v>
      </x:c>
      <x:c r="J1881" s="38" t="n">
        <x:v>0.2059775594</x:v>
      </x:c>
    </x:row>
    <x:row r="1882" ht="19" customHeight="1">
      <x:c r="A1882" s="29" t="str">
        <x:v>stagger_1</x:v>
      </x:c>
      <x:c r="B1882" s="38" t="str">
        <x:v>ORKA</x:v>
      </x:c>
      <x:c r="C1882" s="38" t="str">
        <x:v>Other sectors</x:v>
      </x:c>
      <x:c r="D1882" s="30" t="n">
        <x:v>4</x:v>
      </x:c>
      <x:c r="E1882" s="38" t="str">
        <x:v>XLK</x:v>
      </x:c>
      <x:c r="F1882" s="38" t="n">
        <x:v>-2.9520638553</x:v>
      </x:c>
      <x:c r="G1882" s="38" t="n">
        <x:v>-2.6183146134</x:v>
      </x:c>
      <x:c r="H1882" s="42" t="b">
        <x:v>0</x:v>
      </x:c>
      <x:c r="I1882" s="42" t="b">
        <x:v>0</x:v>
      </x:c>
      <x:c r="J1882" s="38" t="n">
        <x:v>0.2059775594</x:v>
      </x:c>
    </x:row>
    <x:row r="1883" ht="19" customHeight="1">
      <x:c r="A1883" s="29" t="str">
        <x:v>stagger_1</x:v>
      </x:c>
      <x:c r="B1883" s="38" t="str">
        <x:v>ORKA</x:v>
      </x:c>
      <x:c r="C1883" s="38" t="str">
        <x:v>Other sectors</x:v>
      </x:c>
      <x:c r="D1883" s="30" t="n">
        <x:v>4</x:v>
      </x:c>
      <x:c r="E1883" s="38" t="str">
        <x:v>XLP</x:v>
      </x:c>
      <x:c r="F1883" s="38" t="n">
        <x:v>-1.9270038383</x:v>
      </x:c>
      <x:c r="G1883" s="38" t="n">
        <x:v>-2.1622207334</x:v>
      </x:c>
      <x:c r="H1883" s="42" t="b">
        <x:v>0</x:v>
      </x:c>
      <x:c r="I1883" s="42" t="b">
        <x:v>0</x:v>
      </x:c>
      <x:c r="J1883" s="38" t="n">
        <x:v>0.2059775594</x:v>
      </x:c>
    </x:row>
    <x:row r="1884" ht="19" customHeight="1">
      <x:c r="A1884" s="29" t="str">
        <x:v>stagger_1</x:v>
      </x:c>
      <x:c r="B1884" s="38" t="str">
        <x:v>ORKA</x:v>
      </x:c>
      <x:c r="C1884" s="38" t="str">
        <x:v>Other sectors</x:v>
      </x:c>
      <x:c r="D1884" s="30" t="n">
        <x:v>4</x:v>
      </x:c>
      <x:c r="E1884" s="38" t="str">
        <x:v>XLY</x:v>
      </x:c>
      <x:c r="F1884" s="38" t="n">
        <x:v>-1.5751882354</x:v>
      </x:c>
      <x:c r="G1884" s="38" t="n">
        <x:v>-2.1140299984</x:v>
      </x:c>
      <x:c r="H1884" s="42" t="b">
        <x:v>0</x:v>
      </x:c>
      <x:c r="I1884" s="42" t="b">
        <x:v>0</x:v>
      </x:c>
      <x:c r="J1884" s="38" t="n">
        <x:v>0.2059775594</x:v>
      </x:c>
    </x:row>
    <x:row r="1885" ht="19" customHeight="1">
      <x:c r="A1885" s="29" t="str">
        <x:v>stagger_1</x:v>
      </x:c>
      <x:c r="B1885" s="38" t="str">
        <x:v>ORKA</x:v>
      </x:c>
      <x:c r="C1885" s="38" t="str">
        <x:v>Other sectors</x:v>
      </x:c>
      <x:c r="D1885" s="30" t="n">
        <x:v>5</x:v>
      </x:c>
      <x:c r="E1885" s="38" t="str">
        <x:v>XLB</x:v>
      </x:c>
      <x:c r="F1885" s="38" t="n">
        <x:v>-0.6916304041</x:v>
      </x:c>
      <x:c r="G1885" s="38" t="n">
        <x:v>-1.0519108155</x:v>
      </x:c>
      <x:c r="H1885" s="42" t="b">
        <x:v>1</x:v>
      </x:c>
      <x:c r="I1885" s="42" t="b">
        <x:v>0</x:v>
      </x:c>
      <x:c r="J1885" s="38" t="n">
        <x:v>0.1741122687</x:v>
      </x:c>
    </x:row>
    <x:row r="1886" ht="19" customHeight="1">
      <x:c r="A1886" s="29" t="str">
        <x:v>stagger_1</x:v>
      </x:c>
      <x:c r="B1886" s="38" t="str">
        <x:v>ORKA</x:v>
      </x:c>
      <x:c r="C1886" s="38" t="str">
        <x:v>Other sectors</x:v>
      </x:c>
      <x:c r="D1886" s="30" t="n">
        <x:v>5</x:v>
      </x:c>
      <x:c r="E1886" s="38" t="str">
        <x:v>XLC</x:v>
      </x:c>
      <x:c r="F1886" s="38" t="n">
        <x:v>-2.1045231855</x:v>
      </x:c>
      <x:c r="G1886" s="38" t="n">
        <x:v>-2.5208594522</x:v>
      </x:c>
      <x:c r="H1886" s="42" t="b">
        <x:v>0</x:v>
      </x:c>
      <x:c r="I1886" s="42" t="b">
        <x:v>0</x:v>
      </x:c>
      <x:c r="J1886" s="38" t="n">
        <x:v>0.1741122687</x:v>
      </x:c>
    </x:row>
    <x:row r="1887" ht="19" customHeight="1">
      <x:c r="A1887" s="29" t="str">
        <x:v>stagger_1</x:v>
      </x:c>
      <x:c r="B1887" s="38" t="str">
        <x:v>ORKA</x:v>
      </x:c>
      <x:c r="C1887" s="38" t="str">
        <x:v>Other sectors</x:v>
      </x:c>
      <x:c r="D1887" s="30" t="n">
        <x:v>5</x:v>
      </x:c>
      <x:c r="E1887" s="38" t="str">
        <x:v>XLF</x:v>
      </x:c>
      <x:c r="F1887" s="38" t="n">
        <x:v>-1.9103181883</x:v>
      </x:c>
      <x:c r="G1887" s="38" t="n">
        <x:v>-1.9915417857</x:v>
      </x:c>
      <x:c r="H1887" s="42" t="b">
        <x:v>0</x:v>
      </x:c>
      <x:c r="I1887" s="42" t="b">
        <x:v>0</x:v>
      </x:c>
      <x:c r="J1887" s="38" t="n">
        <x:v>0.1741122687</x:v>
      </x:c>
    </x:row>
    <x:row r="1888" ht="19" customHeight="1">
      <x:c r="A1888" s="29" t="str">
        <x:v>stagger_1</x:v>
      </x:c>
      <x:c r="B1888" s="38" t="str">
        <x:v>ORKA</x:v>
      </x:c>
      <x:c r="C1888" s="38" t="str">
        <x:v>Other sectors</x:v>
      </x:c>
      <x:c r="D1888" s="30" t="n">
        <x:v>5</x:v>
      </x:c>
      <x:c r="E1888" s="38" t="str">
        <x:v>XLK</x:v>
      </x:c>
      <x:c r="F1888" s="38" t="n">
        <x:v>-2.8024059374</x:v>
      </x:c>
      <x:c r="G1888" s="38" t="n">
        <x:v>-2.4615369878</x:v>
      </x:c>
      <x:c r="H1888" s="42" t="b">
        <x:v>0</x:v>
      </x:c>
      <x:c r="I1888" s="42" t="b">
        <x:v>0</x:v>
      </x:c>
      <x:c r="J1888" s="38" t="n">
        <x:v>0.1741122687</x:v>
      </x:c>
    </x:row>
    <x:row r="1889" ht="19" customHeight="1">
      <x:c r="A1889" s="29" t="str">
        <x:v>stagger_1</x:v>
      </x:c>
      <x:c r="B1889" s="38" t="str">
        <x:v>ORKA</x:v>
      </x:c>
      <x:c r="C1889" s="38" t="str">
        <x:v>Other sectors</x:v>
      </x:c>
      <x:c r="D1889" s="30" t="n">
        <x:v>5</x:v>
      </x:c>
      <x:c r="E1889" s="38" t="str">
        <x:v>XLP</x:v>
      </x:c>
      <x:c r="F1889" s="38" t="n">
        <x:v>-1.7104570533</x:v>
      </x:c>
      <x:c r="G1889" s="38" t="n">
        <x:v>-1.9145358073</x:v>
      </x:c>
      <x:c r="H1889" s="42" t="b">
        <x:v>0</x:v>
      </x:c>
      <x:c r="I1889" s="42" t="b">
        <x:v>0</x:v>
      </x:c>
      <x:c r="J1889" s="38" t="n">
        <x:v>0.1741122687</x:v>
      </x:c>
    </x:row>
    <x:row r="1890" ht="19" customHeight="1">
      <x:c r="A1890" s="29" t="str">
        <x:v>stagger_1</x:v>
      </x:c>
      <x:c r="B1890" s="38" t="str">
        <x:v>ORKA</x:v>
      </x:c>
      <x:c r="C1890" s="38" t="str">
        <x:v>Other sectors</x:v>
      </x:c>
      <x:c r="D1890" s="30" t="n">
        <x:v>5</x:v>
      </x:c>
      <x:c r="E1890" s="38" t="str">
        <x:v>XLY</x:v>
      </x:c>
      <x:c r="F1890" s="38" t="n">
        <x:v>-1.598662194</x:v>
      </x:c>
      <x:c r="G1890" s="38" t="n">
        <x:v>-2.1186589603</x:v>
      </x:c>
      <x:c r="H1890" s="42" t="b">
        <x:v>0</x:v>
      </x:c>
      <x:c r="I1890" s="42" t="b">
        <x:v>0</x:v>
      </x:c>
      <x:c r="J1890" s="38" t="n">
        <x:v>0.1741122687</x:v>
      </x:c>
    </x:row>
    <x:row r="1891" ht="19" customHeight="1">
      <x:c r="A1891" s="29" t="str">
        <x:v>stagger_1</x:v>
      </x:c>
      <x:c r="B1891" s="38" t="str">
        <x:v>ORKA</x:v>
      </x:c>
      <x:c r="C1891" s="38" t="str">
        <x:v>Other sectors</x:v>
      </x:c>
      <x:c r="D1891" s="30" t="n">
        <x:v>6</x:v>
      </x:c>
      <x:c r="E1891" s="38" t="str">
        <x:v>XLC</x:v>
      </x:c>
      <x:c r="F1891" s="38" t="n">
        <x:v>-1.9328131364</x:v>
      </x:c>
      <x:c r="G1891" s="38" t="n">
        <x:v>-2.3590503721</x:v>
      </x:c>
      <x:c r="H1891" s="42" t="b">
        <x:v>0</x:v>
      </x:c>
      <x:c r="I1891" s="42" t="b">
        <x:v>1</x:v>
      </x:c>
      <x:c r="J1891" s="38" t="n">
        <x:v>0.161593662</x:v>
      </x:c>
    </x:row>
    <x:row r="1892" ht="19" customHeight="1">
      <x:c r="A1892" s="29" t="str">
        <x:v>stagger_1</x:v>
      </x:c>
      <x:c r="B1892" s="38" t="str">
        <x:v>ORKA</x:v>
      </x:c>
      <x:c r="C1892" s="38" t="str">
        <x:v>Other sectors</x:v>
      </x:c>
      <x:c r="D1892" s="30" t="n">
        <x:v>6</x:v>
      </x:c>
      <x:c r="E1892" s="38" t="str">
        <x:v>XLF</x:v>
      </x:c>
      <x:c r="F1892" s="38" t="n">
        <x:v>-2.1074237515</x:v>
      </x:c>
      <x:c r="G1892" s="38" t="n">
        <x:v>-2.2385758092</x:v>
      </x:c>
      <x:c r="H1892" s="42" t="b">
        <x:v>0</x:v>
      </x:c>
      <x:c r="I1892" s="42" t="b">
        <x:v>1</x:v>
      </x:c>
      <x:c r="J1892" s="38" t="n">
        <x:v>0.161593662</x:v>
      </x:c>
    </x:row>
    <x:row r="1893" ht="19" customHeight="1">
      <x:c r="A1893" s="29" t="str">
        <x:v>stagger_1</x:v>
      </x:c>
      <x:c r="B1893" s="38" t="str">
        <x:v>ORKA</x:v>
      </x:c>
      <x:c r="C1893" s="38" t="str">
        <x:v>Other sectors</x:v>
      </x:c>
      <x:c r="D1893" s="30" t="n">
        <x:v>6</x:v>
      </x:c>
      <x:c r="E1893" s="38" t="str">
        <x:v>XLK</x:v>
      </x:c>
      <x:c r="F1893" s="38" t="n">
        <x:v>-2.6010717692</x:v>
      </x:c>
      <x:c r="G1893" s="38" t="n">
        <x:v>-2.3160134997</x:v>
      </x:c>
      <x:c r="H1893" s="42" t="b">
        <x:v>0</x:v>
      </x:c>
      <x:c r="I1893" s="42" t="b">
        <x:v>1</x:v>
      </x:c>
      <x:c r="J1893" s="38" t="n">
        <x:v>0.161593662</x:v>
      </x:c>
    </x:row>
    <x:row r="1894" ht="19" customHeight="1">
      <x:c r="A1894" s="29" t="str">
        <x:v>stagger_1</x:v>
      </x:c>
      <x:c r="B1894" s="38" t="str">
        <x:v>ORKA</x:v>
      </x:c>
      <x:c r="C1894" s="38" t="str">
        <x:v>Other sectors</x:v>
      </x:c>
      <x:c r="D1894" s="30" t="n">
        <x:v>6</x:v>
      </x:c>
      <x:c r="E1894" s="38" t="str">
        <x:v>XLP</x:v>
      </x:c>
      <x:c r="F1894" s="38" t="n">
        <x:v>-2.0155857811</x:v>
      </x:c>
      <x:c r="G1894" s="38" t="n">
        <x:v>-2.3835812772</x:v>
      </x:c>
      <x:c r="H1894" s="42" t="b">
        <x:v>0</x:v>
      </x:c>
      <x:c r="I1894" s="42" t="b">
        <x:v>1</x:v>
      </x:c>
      <x:c r="J1894" s="38" t="n">
        <x:v>0.161593662</x:v>
      </x:c>
    </x:row>
    <x:row r="1895" ht="19" customHeight="1">
      <x:c r="A1895" s="29" t="str">
        <x:v>stagger_1</x:v>
      </x:c>
      <x:c r="B1895" s="38" t="str">
        <x:v>ORKA</x:v>
      </x:c>
      <x:c r="C1895" s="38" t="str">
        <x:v>Other sectors</x:v>
      </x:c>
      <x:c r="D1895" s="30" t="n">
        <x:v>6</x:v>
      </x:c>
      <x:c r="E1895" s="38" t="str">
        <x:v>XLY</x:v>
      </x:c>
      <x:c r="F1895" s="38" t="n">
        <x:v>-1.5886206871</x:v>
      </x:c>
      <x:c r="G1895" s="38" t="n">
        <x:v>-2.1040060317</x:v>
      </x:c>
      <x:c r="H1895" s="42" t="b">
        <x:v>0</x:v>
      </x:c>
      <x:c r="I1895" s="42" t="b">
        <x:v>1</x:v>
      </x:c>
      <x:c r="J1895" s="38" t="n">
        <x:v>0.161593662</x:v>
      </x:c>
    </x:row>
    <x:row r="1896" ht="19" customHeight="1">
      <x:c r="A1896" s="29" t="str">
        <x:v>stagger_1</x:v>
      </x:c>
      <x:c r="B1896" s="38" t="str">
        <x:v>UPST</x:v>
      </x:c>
      <x:c r="C1896" s="38" t="str">
        <x:v>Other FX</x:v>
      </x:c>
      <x:c r="D1896" s="30" t="n">
        <x:v>1</x:v>
      </x:c>
      <x:c r="E1896" s="38" t="str">
        <x:v>AUD/USD</x:v>
      </x:c>
      <x:c r="F1896" s="38" t="n">
        <x:v>-0.2496602074</x:v>
      </x:c>
      <x:c r="G1896" s="38" t="n">
        <x:v>-0.1108675516</x:v>
      </x:c>
      <x:c r="H1896" s="42" t="b">
        <x:v>0</x:v>
      </x:c>
      <x:c r="I1896" s="42" t="b">
        <x:v>0</x:v>
      </x:c>
      <x:c r="J1896" s="38" t="n">
        <x:v>0.1751619522</x:v>
      </x:c>
    </x:row>
    <x:row r="1897" ht="19" customHeight="1">
      <x:c r="A1897" s="29" t="str">
        <x:v>stagger_1</x:v>
      </x:c>
      <x:c r="B1897" s="38" t="str">
        <x:v>UPST</x:v>
      </x:c>
      <x:c r="C1897" s="38" t="str">
        <x:v>Other FX</x:v>
      </x:c>
      <x:c r="D1897" s="30" t="n">
        <x:v>1</x:v>
      </x:c>
      <x:c r="E1897" s="38" t="str">
        <x:v>CAD/USD</x:v>
      </x:c>
      <x:c r="F1897" s="38" t="n">
        <x:v>4.3037135762</x:v>
      </x:c>
      <x:c r="G1897" s="38" t="n">
        <x:v>1.6072850156</x:v>
      </x:c>
      <x:c r="H1897" s="42" t="b">
        <x:v>0</x:v>
      </x:c>
      <x:c r="I1897" s="42" t="b">
        <x:v>0</x:v>
      </x:c>
      <x:c r="J1897" s="38" t="n">
        <x:v>0.1751619522</x:v>
      </x:c>
    </x:row>
    <x:row r="1898" ht="19" customHeight="1">
      <x:c r="A1898" s="29" t="str">
        <x:v>stagger_1</x:v>
      </x:c>
      <x:c r="B1898" s="38" t="str">
        <x:v>UPST</x:v>
      </x:c>
      <x:c r="C1898" s="38" t="str">
        <x:v>Other FX</x:v>
      </x:c>
      <x:c r="D1898" s="30" t="n">
        <x:v>1</x:v>
      </x:c>
      <x:c r="E1898" s="38" t="str">
        <x:v>DKK/USD</x:v>
      </x:c>
      <x:c r="F1898" s="38" t="n">
        <x:v>47.6485043899</x:v>
      </x:c>
      <x:c r="G1898" s="38" t="n">
        <x:v>2.5392606804</x:v>
      </x:c>
      <x:c r="H1898" s="42" t="b">
        <x:v>0</x:v>
      </x:c>
      <x:c r="I1898" s="42" t="b">
        <x:v>0</x:v>
      </x:c>
      <x:c r="J1898" s="38" t="n">
        <x:v>0.1751619522</x:v>
      </x:c>
    </x:row>
    <x:row r="1899" ht="19" customHeight="1">
      <x:c r="A1899" s="29" t="str">
        <x:v>stagger_1</x:v>
      </x:c>
      <x:c r="B1899" s="38" t="str">
        <x:v>UPST</x:v>
      </x:c>
      <x:c r="C1899" s="38" t="str">
        <x:v>Other FX</x:v>
      </x:c>
      <x:c r="D1899" s="30" t="n">
        <x:v>1</x:v>
      </x:c>
      <x:c r="E1899" s="38" t="str">
        <x:v>EUR/USD</x:v>
      </x:c>
      <x:c r="F1899" s="38" t="n">
        <x:v>-47.299188839</x:v>
      </x:c>
      <x:c r="G1899" s="38" t="n">
        <x:v>-2.7724476747</x:v>
      </x:c>
      <x:c r="H1899" s="42" t="b">
        <x:v>0</x:v>
      </x:c>
      <x:c r="I1899" s="42" t="b">
        <x:v>0</x:v>
      </x:c>
      <x:c r="J1899" s="38" t="n">
        <x:v>0.1751619522</x:v>
      </x:c>
    </x:row>
    <x:row r="1900" ht="19" customHeight="1">
      <x:c r="A1900" s="29" t="str">
        <x:v>stagger_1</x:v>
      </x:c>
      <x:c r="B1900" s="38" t="str">
        <x:v>UPST</x:v>
      </x:c>
      <x:c r="C1900" s="38" t="str">
        <x:v>Other FX</x:v>
      </x:c>
      <x:c r="D1900" s="30" t="n">
        <x:v>1</x:v>
      </x:c>
      <x:c r="E1900" s="38" t="str">
        <x:v>MXN/USD</x:v>
      </x:c>
      <x:c r="F1900" s="38" t="n">
        <x:v>-0.3534578247</x:v>
      </x:c>
      <x:c r="G1900" s="38" t="n">
        <x:v>-0.2500315267</x:v>
      </x:c>
      <x:c r="H1900" s="42" t="b">
        <x:v>0</x:v>
      </x:c>
      <x:c r="I1900" s="42" t="b">
        <x:v>0</x:v>
      </x:c>
      <x:c r="J1900" s="38" t="n">
        <x:v>0.1751619522</x:v>
      </x:c>
    </x:row>
    <x:row r="1901" ht="19" customHeight="1">
      <x:c r="A1901" s="29" t="str">
        <x:v>stagger_1</x:v>
      </x:c>
      <x:c r="B1901" s="38" t="str">
        <x:v>UPST</x:v>
      </x:c>
      <x:c r="C1901" s="38" t="str">
        <x:v>Other FX</x:v>
      </x:c>
      <x:c r="D1901" s="30" t="n">
        <x:v>1</x:v>
      </x:c>
      <x:c r="E1901" s="38" t="str">
        <x:v>SGD/USD</x:v>
      </x:c>
      <x:c r="F1901" s="38" t="n">
        <x:v>0.1291593669</x:v>
      </x:c>
      <x:c r="G1901" s="38" t="n">
        <x:v>0.023663496</x:v>
      </x:c>
      <x:c r="H1901" s="42" t="b">
        <x:v>1</x:v>
      </x:c>
      <x:c r="I1901" s="42" t="b">
        <x:v>0</x:v>
      </x:c>
      <x:c r="J1901" s="38" t="n">
        <x:v>0.1751619522</x:v>
      </x:c>
    </x:row>
    <x:row r="1902" ht="19" customHeight="1">
      <x:c r="A1902" s="29" t="str">
        <x:v>stagger_1</x:v>
      </x:c>
      <x:c r="B1902" s="38" t="str">
        <x:v>UPST</x:v>
      </x:c>
      <x:c r="C1902" s="38" t="str">
        <x:v>Other FX</x:v>
      </x:c>
      <x:c r="D1902" s="30" t="n">
        <x:v>2</x:v>
      </x:c>
      <x:c r="E1902" s="38" t="str">
        <x:v>AUD/USD</x:v>
      </x:c>
      <x:c r="F1902" s="38" t="n">
        <x:v>-0.2236211839</x:v>
      </x:c>
      <x:c r="G1902" s="38" t="n">
        <x:v>-0.1146772257</x:v>
      </x:c>
      <x:c r="H1902" s="42" t="b">
        <x:v>1</x:v>
      </x:c>
      <x:c r="I1902" s="42" t="b">
        <x:v>0</x:v>
      </x:c>
      <x:c r="J1902" s="38" t="n">
        <x:v>0.175154954</x:v>
      </x:c>
    </x:row>
    <x:row r="1903" ht="19" customHeight="1">
      <x:c r="A1903" s="29" t="str">
        <x:v>stagger_1</x:v>
      </x:c>
      <x:c r="B1903" s="38" t="str">
        <x:v>UPST</x:v>
      </x:c>
      <x:c r="C1903" s="38" t="str">
        <x:v>Other FX</x:v>
      </x:c>
      <x:c r="D1903" s="30" t="n">
        <x:v>2</x:v>
      </x:c>
      <x:c r="E1903" s="38" t="str">
        <x:v>CAD/USD</x:v>
      </x:c>
      <x:c r="F1903" s="38" t="n">
        <x:v>4.3020101987</x:v>
      </x:c>
      <x:c r="G1903" s="38" t="n">
        <x:v>1.6193530868</x:v>
      </x:c>
      <x:c r="H1903" s="42" t="b">
        <x:v>0</x:v>
      </x:c>
      <x:c r="I1903" s="42" t="b">
        <x:v>0</x:v>
      </x:c>
      <x:c r="J1903" s="38" t="n">
        <x:v>0.175154954</x:v>
      </x:c>
    </x:row>
    <x:row r="1904" ht="19" customHeight="1">
      <x:c r="A1904" s="29" t="str">
        <x:v>stagger_1</x:v>
      </x:c>
      <x:c r="B1904" s="38" t="str">
        <x:v>UPST</x:v>
      </x:c>
      <x:c r="C1904" s="38" t="str">
        <x:v>Other FX</x:v>
      </x:c>
      <x:c r="D1904" s="30" t="n">
        <x:v>2</x:v>
      </x:c>
      <x:c r="E1904" s="38" t="str">
        <x:v>DKK/USD</x:v>
      </x:c>
      <x:c r="F1904" s="38" t="n">
        <x:v>47.8318474703</x:v>
      </x:c>
      <x:c r="G1904" s="38" t="n">
        <x:v>2.8198548337</x:v>
      </x:c>
      <x:c r="H1904" s="42" t="b">
        <x:v>0</x:v>
      </x:c>
      <x:c r="I1904" s="42" t="b">
        <x:v>0</x:v>
      </x:c>
      <x:c r="J1904" s="38" t="n">
        <x:v>0.175154954</x:v>
      </x:c>
    </x:row>
    <x:row r="1905" ht="19" customHeight="1">
      <x:c r="A1905" s="29" t="str">
        <x:v>stagger_1</x:v>
      </x:c>
      <x:c r="B1905" s="38" t="str">
        <x:v>UPST</x:v>
      </x:c>
      <x:c r="C1905" s="38" t="str">
        <x:v>Other FX</x:v>
      </x:c>
      <x:c r="D1905" s="30" t="n">
        <x:v>2</x:v>
      </x:c>
      <x:c r="E1905" s="38" t="str">
        <x:v>EUR/USD</x:v>
      </x:c>
      <x:c r="F1905" s="38" t="n">
        <x:v>-47.4305484867</x:v>
      </x:c>
      <x:c r="G1905" s="38" t="n">
        <x:v>-2.9623189282</x:v>
      </x:c>
      <x:c r="H1905" s="42" t="b">
        <x:v>0</x:v>
      </x:c>
      <x:c r="I1905" s="42" t="b">
        <x:v>0</x:v>
      </x:c>
      <x:c r="J1905" s="38" t="n">
        <x:v>0.175154954</x:v>
      </x:c>
    </x:row>
    <x:row r="1906" ht="19" customHeight="1">
      <x:c r="A1906" s="29" t="str">
        <x:v>stagger_1</x:v>
      </x:c>
      <x:c r="B1906" s="38" t="str">
        <x:v>UPST</x:v>
      </x:c>
      <x:c r="C1906" s="38" t="str">
        <x:v>Other FX</x:v>
      </x:c>
      <x:c r="D1906" s="30" t="n">
        <x:v>2</x:v>
      </x:c>
      <x:c r="E1906" s="38" t="str">
        <x:v>MXN/USD</x:v>
      </x:c>
      <x:c r="F1906" s="38" t="n">
        <x:v>-0.3578228176</x:v>
      </x:c>
      <x:c r="G1906" s="38" t="n">
        <x:v>-0.2572277828</x:v>
      </x:c>
      <x:c r="H1906" s="42" t="b">
        <x:v>0</x:v>
      </x:c>
      <x:c r="I1906" s="42" t="b">
        <x:v>0</x:v>
      </x:c>
      <x:c r="J1906" s="38" t="n">
        <x:v>0.175154954</x:v>
      </x:c>
    </x:row>
    <x:row r="1907" ht="19" customHeight="1">
      <x:c r="A1907" s="29" t="str">
        <x:v>stagger_1</x:v>
      </x:c>
      <x:c r="B1907" s="38" t="str">
        <x:v>UPST</x:v>
      </x:c>
      <x:c r="C1907" s="38" t="str">
        <x:v>Other FX</x:v>
      </x:c>
      <x:c r="D1907" s="30" t="n">
        <x:v>3</x:v>
      </x:c>
      <x:c r="E1907" s="38" t="str">
        <x:v>CAD/USD</x:v>
      </x:c>
      <x:c r="F1907" s="38" t="n">
        <x:v>4.2162056835</x:v>
      </x:c>
      <x:c r="G1907" s="38" t="n">
        <x:v>1.6661457912</x:v>
      </x:c>
      <x:c r="H1907" s="42" t="b">
        <x:v>0</x:v>
      </x:c>
      <x:c r="I1907" s="42" t="b">
        <x:v>0</x:v>
      </x:c>
      <x:c r="J1907" s="38" t="n">
        <x:v>0.1749930521</x:v>
      </x:c>
    </x:row>
    <x:row r="1908" ht="19" customHeight="1">
      <x:c r="A1908" s="29" t="str">
        <x:v>stagger_1</x:v>
      </x:c>
      <x:c r="B1908" s="38" t="str">
        <x:v>UPST</x:v>
      </x:c>
      <x:c r="C1908" s="38" t="str">
        <x:v>Other FX</x:v>
      </x:c>
      <x:c r="D1908" s="30" t="n">
        <x:v>3</x:v>
      </x:c>
      <x:c r="E1908" s="38" t="str">
        <x:v>DKK/USD</x:v>
      </x:c>
      <x:c r="F1908" s="38" t="n">
        <x:v>47.437870472</x:v>
      </x:c>
      <x:c r="G1908" s="38" t="n">
        <x:v>2.8767669224</x:v>
      </x:c>
      <x:c r="H1908" s="42" t="b">
        <x:v>0</x:v>
      </x:c>
      <x:c r="I1908" s="42" t="b">
        <x:v>0</x:v>
      </x:c>
      <x:c r="J1908" s="38" t="n">
        <x:v>0.1749930521</x:v>
      </x:c>
    </x:row>
    <x:row r="1909" ht="19" customHeight="1">
      <x:c r="A1909" s="29" t="str">
        <x:v>stagger_1</x:v>
      </x:c>
      <x:c r="B1909" s="38" t="str">
        <x:v>UPST</x:v>
      </x:c>
      <x:c r="C1909" s="38" t="str">
        <x:v>Other FX</x:v>
      </x:c>
      <x:c r="D1909" s="30" t="n">
        <x:v>3</x:v>
      </x:c>
      <x:c r="E1909" s="38" t="str">
        <x:v>EUR/USD</x:v>
      </x:c>
      <x:c r="F1909" s="38" t="n">
        <x:v>-47.149885036</x:v>
      </x:c>
      <x:c r="G1909" s="38" t="n">
        <x:v>-3.0016675272</x:v>
      </x:c>
      <x:c r="H1909" s="42" t="b">
        <x:v>0</x:v>
      </x:c>
      <x:c r="I1909" s="42" t="b">
        <x:v>0</x:v>
      </x:c>
      <x:c r="J1909" s="38" t="n">
        <x:v>0.1749930521</x:v>
      </x:c>
    </x:row>
    <x:row r="1910" ht="19" customHeight="1">
      <x:c r="A1910" s="29" t="str">
        <x:v>stagger_1</x:v>
      </x:c>
      <x:c r="B1910" s="38" t="str">
        <x:v>UPST</x:v>
      </x:c>
      <x:c r="C1910" s="38" t="str">
        <x:v>Other FX</x:v>
      </x:c>
      <x:c r="D1910" s="30" t="n">
        <x:v>3</x:v>
      </x:c>
      <x:c r="E1910" s="38" t="str">
        <x:v>MXN/USD</x:v>
      </x:c>
      <x:c r="F1910" s="38" t="n">
        <x:v>-0.3833721641</x:v>
      </x:c>
      <x:c r="G1910" s="38" t="n">
        <x:v>-0.2812468022</x:v>
      </x:c>
      <x:c r="H1910" s="42" t="b">
        <x:v>1</x:v>
      </x:c>
      <x:c r="I1910" s="42" t="b">
        <x:v>0</x:v>
      </x:c>
      <x:c r="J1910" s="38" t="n">
        <x:v>0.1749930521</x:v>
      </x:c>
    </x:row>
    <x:row r="1911" ht="19" customHeight="1">
      <x:c r="A1911" s="29" t="str">
        <x:v>stagger_1</x:v>
      </x:c>
      <x:c r="B1911" s="38" t="str">
        <x:v>UPST</x:v>
      </x:c>
      <x:c r="C1911" s="38" t="str">
        <x:v>Other FX</x:v>
      </x:c>
      <x:c r="D1911" s="30" t="n">
        <x:v>4</x:v>
      </x:c>
      <x:c r="E1911" s="38" t="str">
        <x:v>CAD/USD</x:v>
      </x:c>
      <x:c r="F1911" s="38" t="n">
        <x:v>4.2034210018</x:v>
      </x:c>
      <x:c r="G1911" s="38" t="n">
        <x:v>1.6725604646</x:v>
      </x:c>
      <x:c r="H1911" s="42" t="b">
        <x:v>1</x:v>
      </x:c>
      <x:c r="I1911" s="42" t="b">
        <x:v>0</x:v>
      </x:c>
      <x:c r="J1911" s="38" t="n">
        <x:v>0.1740333778</x:v>
      </x:c>
    </x:row>
    <x:row r="1912" ht="19" customHeight="1">
      <x:c r="A1912" s="29" t="str">
        <x:v>stagger_1</x:v>
      </x:c>
      <x:c r="B1912" s="38" t="str">
        <x:v>UPST</x:v>
      </x:c>
      <x:c r="C1912" s="38" t="str">
        <x:v>Other FX</x:v>
      </x:c>
      <x:c r="D1912" s="30" t="n">
        <x:v>4</x:v>
      </x:c>
      <x:c r="E1912" s="38" t="str">
        <x:v>DKK/USD</x:v>
      </x:c>
      <x:c r="F1912" s="38" t="n">
        <x:v>45.8883111597</x:v>
      </x:c>
      <x:c r="G1912" s="38" t="n">
        <x:v>2.9723741703</x:v>
      </x:c>
      <x:c r="H1912" s="42" t="b">
        <x:v>0</x:v>
      </x:c>
      <x:c r="I1912" s="42" t="b">
        <x:v>0</x:v>
      </x:c>
      <x:c r="J1912" s="38" t="n">
        <x:v>0.1740333778</x:v>
      </x:c>
    </x:row>
    <x:row r="1913" ht="19" customHeight="1">
      <x:c r="A1913" s="29" t="str">
        <x:v>stagger_1</x:v>
      </x:c>
      <x:c r="B1913" s="38" t="str">
        <x:v>UPST</x:v>
      </x:c>
      <x:c r="C1913" s="38" t="str">
        <x:v>Other FX</x:v>
      </x:c>
      <x:c r="D1913" s="30" t="n">
        <x:v>4</x:v>
      </x:c>
      <x:c r="E1913" s="38" t="str">
        <x:v>EUR/USD</x:v>
      </x:c>
      <x:c r="F1913" s="38" t="n">
        <x:v>-45.9100351966</x:v>
      </x:c>
      <x:c r="G1913" s="38" t="n">
        <x:v>-3.0656440655</x:v>
      </x:c>
      <x:c r="H1913" s="42" t="b">
        <x:v>0</x:v>
      </x:c>
      <x:c r="I1913" s="42" t="b">
        <x:v>0</x:v>
      </x:c>
      <x:c r="J1913" s="38" t="n">
        <x:v>0.1740333778</x:v>
      </x:c>
    </x:row>
    <x:row r="1914" ht="19" customHeight="1">
      <x:c r="A1914" s="29" t="str">
        <x:v>stagger_1</x:v>
      </x:c>
      <x:c r="B1914" s="38" t="str">
        <x:v>UPST</x:v>
      </x:c>
      <x:c r="C1914" s="38" t="str">
        <x:v>Other FX</x:v>
      </x:c>
      <x:c r="D1914" s="30" t="n">
        <x:v>5</x:v>
      </x:c>
      <x:c r="E1914" s="38" t="str">
        <x:v>DKK/USD</x:v>
      </x:c>
      <x:c r="F1914" s="38" t="n">
        <x:v>51.2324180288</x:v>
      </x:c>
      <x:c r="G1914" s="38" t="n">
        <x:v>3.3492466245</x:v>
      </x:c>
      <x:c r="H1914" s="42" t="b">
        <x:v>0</x:v>
      </x:c>
      <x:c r="I1914" s="42" t="b">
        <x:v>1</x:v>
      </x:c>
      <x:c r="J1914" s="38" t="n">
        <x:v>0.1405463147</x:v>
      </x:c>
    </x:row>
    <x:row r="1915" ht="19" customHeight="1">
      <x:c r="A1915" s="29" t="str">
        <x:v>stagger_1</x:v>
      </x:c>
      <x:c r="B1915" s="38" t="str">
        <x:v>UPST</x:v>
      </x:c>
      <x:c r="C1915" s="38" t="str">
        <x:v>Other FX</x:v>
      </x:c>
      <x:c r="D1915" s="30" t="n">
        <x:v>5</x:v>
      </x:c>
      <x:c r="E1915" s="38" t="str">
        <x:v>EUR/USD</x:v>
      </x:c>
      <x:c r="F1915" s="38" t="n">
        <x:v>-49.3012082119</x:v>
      </x:c>
      <x:c r="G1915" s="38" t="n">
        <x:v>-3.2808276026</x:v>
      </x:c>
      <x:c r="H1915" s="42" t="b">
        <x:v>0</x:v>
      </x:c>
      <x:c r="I1915" s="42" t="b">
        <x:v>1</x:v>
      </x:c>
      <x:c r="J1915" s="38" t="n">
        <x:v>0.1405463147</x:v>
      </x:c>
    </x:row>
    <x:row r="1916" ht="19" customHeight="1">
      <x:c r="A1916" s="29" t="str">
        <x:v>stagger_1</x:v>
      </x:c>
      <x:c r="B1916" s="38" t="str">
        <x:v>UPST</x:v>
      </x:c>
      <x:c r="C1916" s="38" t="str">
        <x:v>Other sectors</x:v>
      </x:c>
      <x:c r="D1916" s="30" t="n">
        <x:v>1</x:v>
      </x:c>
      <x:c r="E1916" s="38" t="str">
        <x:v>XLB</x:v>
      </x:c>
      <x:c r="F1916" s="38" t="n">
        <x:v>1.0301849759</x:v>
      </x:c>
      <x:c r="G1916" s="38" t="n">
        <x:v>0.7806531365</x:v>
      </x:c>
      <x:c r="H1916" s="42" t="b">
        <x:v>0</x:v>
      </x:c>
      <x:c r="I1916" s="42" t="b">
        <x:v>0</x:v>
      </x:c>
      <x:c r="J1916" s="38" t="n">
        <x:v>0.1835014029</x:v>
      </x:c>
    </x:row>
    <x:row r="1917" ht="19" customHeight="1">
      <x:c r="A1917" s="29" t="str">
        <x:v>stagger_1</x:v>
      </x:c>
      <x:c r="B1917" s="38" t="str">
        <x:v>UPST</x:v>
      </x:c>
      <x:c r="C1917" s="38" t="str">
        <x:v>Other sectors</x:v>
      </x:c>
      <x:c r="D1917" s="30" t="n">
        <x:v>1</x:v>
      </x:c>
      <x:c r="E1917" s="38" t="str">
        <x:v>XLC</x:v>
      </x:c>
      <x:c r="F1917" s="38" t="n">
        <x:v>1.2490114268</x:v>
      </x:c>
      <x:c r="G1917" s="38" t="n">
        <x:v>1.0581643677</x:v>
      </x:c>
      <x:c r="H1917" s="42" t="b">
        <x:v>0</x:v>
      </x:c>
      <x:c r="I1917" s="42" t="b">
        <x:v>0</x:v>
      </x:c>
      <x:c r="J1917" s="38" t="n">
        <x:v>0.1835014029</x:v>
      </x:c>
    </x:row>
    <x:row r="1918" ht="19" customHeight="1">
      <x:c r="A1918" s="29" t="str">
        <x:v>stagger_1</x:v>
      </x:c>
      <x:c r="B1918" s="38" t="str">
        <x:v>UPST</x:v>
      </x:c>
      <x:c r="C1918" s="38" t="str">
        <x:v>Other sectors</x:v>
      </x:c>
      <x:c r="D1918" s="30" t="n">
        <x:v>1</x:v>
      </x:c>
      <x:c r="E1918" s="38" t="str">
        <x:v>XLE</x:v>
      </x:c>
      <x:c r="F1918" s="38" t="n">
        <x:v>-0.2355182539</x:v>
      </x:c>
      <x:c r="G1918" s="38" t="n">
        <x:v>-0.4940805729</x:v>
      </x:c>
      <x:c r="H1918" s="42" t="b">
        <x:v>0</x:v>
      </x:c>
      <x:c r="I1918" s="42" t="b">
        <x:v>0</x:v>
      </x:c>
      <x:c r="J1918" s="38" t="n">
        <x:v>0.1835014029</x:v>
      </x:c>
    </x:row>
    <x:row r="1919" ht="19" customHeight="1">
      <x:c r="A1919" s="29" t="str">
        <x:v>stagger_1</x:v>
      </x:c>
      <x:c r="B1919" s="38" t="str">
        <x:v>UPST</x:v>
      </x:c>
      <x:c r="C1919" s="38" t="str">
        <x:v>Other sectors</x:v>
      </x:c>
      <x:c r="D1919" s="30" t="n">
        <x:v>1</x:v>
      </x:c>
      <x:c r="E1919" s="38" t="str">
        <x:v>XLI</x:v>
      </x:c>
      <x:c r="F1919" s="38" t="n">
        <x:v>-0.503221177</x:v>
      </x:c>
      <x:c r="G1919" s="38" t="n">
        <x:v>-0.2991402888</x:v>
      </x:c>
      <x:c r="H1919" s="42" t="b">
        <x:v>0</x:v>
      </x:c>
      <x:c r="I1919" s="42" t="b">
        <x:v>0</x:v>
      </x:c>
      <x:c r="J1919" s="38" t="n">
        <x:v>0.1835014029</x:v>
      </x:c>
    </x:row>
    <x:row r="1920" ht="19" customHeight="1">
      <x:c r="A1920" s="29" t="str">
        <x:v>stagger_1</x:v>
      </x:c>
      <x:c r="B1920" s="38" t="str">
        <x:v>UPST</x:v>
      </x:c>
      <x:c r="C1920" s="38" t="str">
        <x:v>Other sectors</x:v>
      </x:c>
      <x:c r="D1920" s="30" t="n">
        <x:v>1</x:v>
      </x:c>
      <x:c r="E1920" s="38" t="str">
        <x:v>XLK</x:v>
      </x:c>
      <x:c r="F1920" s="38" t="n">
        <x:v>1.5701497201</x:v>
      </x:c>
      <x:c r="G1920" s="38" t="n">
        <x:v>1.0038818231</x:v>
      </x:c>
      <x:c r="H1920" s="42" t="b">
        <x:v>0</x:v>
      </x:c>
      <x:c r="I1920" s="42" t="b">
        <x:v>0</x:v>
      </x:c>
      <x:c r="J1920" s="38" t="n">
        <x:v>0.1835014029</x:v>
      </x:c>
    </x:row>
    <x:row r="1921" ht="19" customHeight="1">
      <x:c r="A1921" s="29" t="str">
        <x:v>stagger_1</x:v>
      </x:c>
      <x:c r="B1921" s="38" t="str">
        <x:v>UPST</x:v>
      </x:c>
      <x:c r="C1921" s="38" t="str">
        <x:v>Other sectors</x:v>
      </x:c>
      <x:c r="D1921" s="30" t="n">
        <x:v>1</x:v>
      </x:c>
      <x:c r="E1921" s="38" t="str">
        <x:v>XLP</x:v>
      </x:c>
      <x:c r="F1921" s="38" t="n">
        <x:v>-2.2145432583</x:v>
      </x:c>
      <x:c r="G1921" s="38" t="n">
        <x:v>-1.8390687805</x:v>
      </x:c>
      <x:c r="H1921" s="42" t="b">
        <x:v>0</x:v>
      </x:c>
      <x:c r="I1921" s="42" t="b">
        <x:v>0</x:v>
      </x:c>
      <x:c r="J1921" s="38" t="n">
        <x:v>0.1835014029</x:v>
      </x:c>
    </x:row>
    <x:row r="1922" ht="19" customHeight="1">
      <x:c r="A1922" s="29" t="str">
        <x:v>stagger_1</x:v>
      </x:c>
      <x:c r="B1922" s="38" t="str">
        <x:v>UPST</x:v>
      </x:c>
      <x:c r="C1922" s="38" t="str">
        <x:v>Other sectors</x:v>
      </x:c>
      <x:c r="D1922" s="30" t="n">
        <x:v>1</x:v>
      </x:c>
      <x:c r="E1922" s="38" t="str">
        <x:v>XLRE</x:v>
      </x:c>
      <x:c r="F1922" s="38" t="n">
        <x:v>1.952255681</x:v>
      </x:c>
      <x:c r="G1922" s="38" t="n">
        <x:v>1.7865868403</x:v>
      </x:c>
      <x:c r="H1922" s="42" t="b">
        <x:v>0</x:v>
      </x:c>
      <x:c r="I1922" s="42" t="b">
        <x:v>0</x:v>
      </x:c>
      <x:c r="J1922" s="38" t="n">
        <x:v>0.1835014029</x:v>
      </x:c>
    </x:row>
    <x:row r="1923" ht="19" customHeight="1">
      <x:c r="A1923" s="29" t="str">
        <x:v>stagger_1</x:v>
      </x:c>
      <x:c r="B1923" s="38" t="str">
        <x:v>UPST</x:v>
      </x:c>
      <x:c r="C1923" s="38" t="str">
        <x:v>Other sectors</x:v>
      </x:c>
      <x:c r="D1923" s="30" t="n">
        <x:v>1</x:v>
      </x:c>
      <x:c r="E1923" s="38" t="str">
        <x:v>XLU</x:v>
      </x:c>
      <x:c r="F1923" s="38" t="n">
        <x:v>-0.2270530543</x:v>
      </x:c>
      <x:c r="G1923" s="38" t="n">
        <x:v>-0.2704909862</x:v>
      </x:c>
      <x:c r="H1923" s="42" t="b">
        <x:v>1</x:v>
      </x:c>
      <x:c r="I1923" s="42" t="b">
        <x:v>0</x:v>
      </x:c>
      <x:c r="J1923" s="38" t="n">
        <x:v>0.1835014029</x:v>
      </x:c>
    </x:row>
    <x:row r="1924" ht="19" customHeight="1">
      <x:c r="A1924" s="29" t="str">
        <x:v>stagger_1</x:v>
      </x:c>
      <x:c r="B1924" s="38" t="str">
        <x:v>UPST</x:v>
      </x:c>
      <x:c r="C1924" s="38" t="str">
        <x:v>Other sectors</x:v>
      </x:c>
      <x:c r="D1924" s="30" t="n">
        <x:v>1</x:v>
      </x:c>
      <x:c r="E1924" s="38" t="str">
        <x:v>XLV</x:v>
      </x:c>
      <x:c r="F1924" s="38" t="n">
        <x:v>-0.5017049952</x:v>
      </x:c>
      <x:c r="G1924" s="38" t="n">
        <x:v>-0.4465128073</x:v>
      </x:c>
      <x:c r="H1924" s="42" t="b">
        <x:v>0</x:v>
      </x:c>
      <x:c r="I1924" s="42" t="b">
        <x:v>0</x:v>
      </x:c>
      <x:c r="J1924" s="38" t="n">
        <x:v>0.1835014029</x:v>
      </x:c>
    </x:row>
    <x:row r="1925" ht="19" customHeight="1">
      <x:c r="A1925" s="29" t="str">
        <x:v>stagger_1</x:v>
      </x:c>
      <x:c r="B1925" s="38" t="str">
        <x:v>UPST</x:v>
      </x:c>
      <x:c r="C1925" s="38" t="str">
        <x:v>Other sectors</x:v>
      </x:c>
      <x:c r="D1925" s="30" t="n">
        <x:v>1</x:v>
      </x:c>
      <x:c r="E1925" s="38" t="str">
        <x:v>XLY</x:v>
      </x:c>
      <x:c r="F1925" s="38" t="n">
        <x:v>0.8611867227</x:v>
      </x:c>
      <x:c r="G1925" s="38" t="n">
        <x:v>0.6918027597</x:v>
      </x:c>
      <x:c r="H1925" s="42" t="b">
        <x:v>0</x:v>
      </x:c>
      <x:c r="I1925" s="42" t="b">
        <x:v>0</x:v>
      </x:c>
      <x:c r="J1925" s="38" t="n">
        <x:v>0.1835014029</x:v>
      </x:c>
    </x:row>
    <x:row r="1926" ht="19" customHeight="1">
      <x:c r="A1926" s="29" t="str">
        <x:v>stagger_1</x:v>
      </x:c>
      <x:c r="B1926" s="38" t="str">
        <x:v>UPST</x:v>
      </x:c>
      <x:c r="C1926" s="38" t="str">
        <x:v>Other sectors</x:v>
      </x:c>
      <x:c r="D1926" s="30" t="n">
        <x:v>2</x:v>
      </x:c>
      <x:c r="E1926" s="38" t="str">
        <x:v>XLB</x:v>
      </x:c>
      <x:c r="F1926" s="38" t="n">
        <x:v>1.0288869849</x:v>
      </x:c>
      <x:c r="G1926" s="38" t="n">
        <x:v>0.7854739212</x:v>
      </x:c>
      <x:c r="H1926" s="42" t="b">
        <x:v>0</x:v>
      </x:c>
      <x:c r="I1926" s="42" t="b">
        <x:v>0</x:v>
      </x:c>
      <x:c r="J1926" s="38" t="n">
        <x:v>0.1825378638</x:v>
      </x:c>
    </x:row>
    <x:row r="1927" ht="19" customHeight="1">
      <x:c r="A1927" s="29" t="str">
        <x:v>stagger_1</x:v>
      </x:c>
      <x:c r="B1927" s="38" t="str">
        <x:v>UPST</x:v>
      </x:c>
      <x:c r="C1927" s="38" t="str">
        <x:v>Other sectors</x:v>
      </x:c>
      <x:c r="D1927" s="30" t="n">
        <x:v>2</x:v>
      </x:c>
      <x:c r="E1927" s="38" t="str">
        <x:v>XLC</x:v>
      </x:c>
      <x:c r="F1927" s="38" t="n">
        <x:v>1.3012338669</x:v>
      </x:c>
      <x:c r="G1927" s="38" t="n">
        <x:v>1.1257682711</x:v>
      </x:c>
      <x:c r="H1927" s="42" t="b">
        <x:v>0</x:v>
      </x:c>
      <x:c r="I1927" s="42" t="b">
        <x:v>0</x:v>
      </x:c>
      <x:c r="J1927" s="38" t="n">
        <x:v>0.1825378638</x:v>
      </x:c>
    </x:row>
    <x:row r="1928" ht="19" customHeight="1">
      <x:c r="A1928" s="29" t="str">
        <x:v>stagger_1</x:v>
      </x:c>
      <x:c r="B1928" s="38" t="str">
        <x:v>UPST</x:v>
      </x:c>
      <x:c r="C1928" s="38" t="str">
        <x:v>Other sectors</x:v>
      </x:c>
      <x:c r="D1928" s="30" t="n">
        <x:v>2</x:v>
      </x:c>
      <x:c r="E1928" s="38" t="str">
        <x:v>XLE</x:v>
      </x:c>
      <x:c r="F1928" s="38" t="n">
        <x:v>-0.223616247</x:v>
      </x:c>
      <x:c r="G1928" s="38" t="n">
        <x:v>-0.4746277075</x:v>
      </x:c>
      <x:c r="H1928" s="42" t="b">
        <x:v>0</x:v>
      </x:c>
      <x:c r="I1928" s="42" t="b">
        <x:v>0</x:v>
      </x:c>
      <x:c r="J1928" s="38" t="n">
        <x:v>0.1825378638</x:v>
      </x:c>
    </x:row>
    <x:row r="1929" ht="19" customHeight="1">
      <x:c r="A1929" s="29" t="str">
        <x:v>stagger_1</x:v>
      </x:c>
      <x:c r="B1929" s="38" t="str">
        <x:v>UPST</x:v>
      </x:c>
      <x:c r="C1929" s="38" t="str">
        <x:v>Other sectors</x:v>
      </x:c>
      <x:c r="D1929" s="30" t="n">
        <x:v>2</x:v>
      </x:c>
      <x:c r="E1929" s="38" t="str">
        <x:v>XLI</x:v>
      </x:c>
      <x:c r="F1929" s="38" t="n">
        <x:v>-0.5428551577</x:v>
      </x:c>
      <x:c r="G1929" s="38" t="n">
        <x:v>-0.3263413024</x:v>
      </x:c>
      <x:c r="H1929" s="42" t="b">
        <x:v>1</x:v>
      </x:c>
      <x:c r="I1929" s="42" t="b">
        <x:v>0</x:v>
      </x:c>
      <x:c r="J1929" s="38" t="n">
        <x:v>0.1825378638</x:v>
      </x:c>
    </x:row>
    <x:row r="1930" ht="19" customHeight="1">
      <x:c r="A1930" s="29" t="str">
        <x:v>stagger_1</x:v>
      </x:c>
      <x:c r="B1930" s="38" t="str">
        <x:v>UPST</x:v>
      </x:c>
      <x:c r="C1930" s="38" t="str">
        <x:v>Other sectors</x:v>
      </x:c>
      <x:c r="D1930" s="30" t="n">
        <x:v>2</x:v>
      </x:c>
      <x:c r="E1930" s="38" t="str">
        <x:v>XLK</x:v>
      </x:c>
      <x:c r="F1930" s="38" t="n">
        <x:v>1.6410367262</x:v>
      </x:c>
      <x:c r="G1930" s="38" t="n">
        <x:v>1.0721650508</x:v>
      </x:c>
      <x:c r="H1930" s="42" t="b">
        <x:v>0</x:v>
      </x:c>
      <x:c r="I1930" s="42" t="b">
        <x:v>0</x:v>
      </x:c>
      <x:c r="J1930" s="38" t="n">
        <x:v>0.1825378638</x:v>
      </x:c>
    </x:row>
    <x:row r="1931" ht="19" customHeight="1">
      <x:c r="A1931" s="29" t="str">
        <x:v>stagger_1</x:v>
      </x:c>
      <x:c r="B1931" s="38" t="str">
        <x:v>UPST</x:v>
      </x:c>
      <x:c r="C1931" s="38" t="str">
        <x:v>Other sectors</x:v>
      </x:c>
      <x:c r="D1931" s="30" t="n">
        <x:v>2</x:v>
      </x:c>
      <x:c r="E1931" s="38" t="str">
        <x:v>XLP</x:v>
      </x:c>
      <x:c r="F1931" s="38" t="n">
        <x:v>-2.2771501057</x:v>
      </x:c>
      <x:c r="G1931" s="38" t="n">
        <x:v>-1.9413258557</x:v>
      </x:c>
      <x:c r="H1931" s="42" t="b">
        <x:v>0</x:v>
      </x:c>
      <x:c r="I1931" s="42" t="b">
        <x:v>0</x:v>
      </x:c>
      <x:c r="J1931" s="38" t="n">
        <x:v>0.1825378638</x:v>
      </x:c>
    </x:row>
    <x:row r="1932" ht="19" customHeight="1">
      <x:c r="A1932" s="29" t="str">
        <x:v>stagger_1</x:v>
      </x:c>
      <x:c r="B1932" s="38" t="str">
        <x:v>UPST</x:v>
      </x:c>
      <x:c r="C1932" s="38" t="str">
        <x:v>Other sectors</x:v>
      </x:c>
      <x:c r="D1932" s="30" t="n">
        <x:v>2</x:v>
      </x:c>
      <x:c r="E1932" s="38" t="str">
        <x:v>XLRE</x:v>
      </x:c>
      <x:c r="F1932" s="38" t="n">
        <x:v>1.8674082002</x:v>
      </x:c>
      <x:c r="G1932" s="38" t="n">
        <x:v>1.7972943939</x:v>
      </x:c>
      <x:c r="H1932" s="42" t="b">
        <x:v>0</x:v>
      </x:c>
      <x:c r="I1932" s="42" t="b">
        <x:v>0</x:v>
      </x:c>
      <x:c r="J1932" s="38" t="n">
        <x:v>0.1825378638</x:v>
      </x:c>
    </x:row>
    <x:row r="1933" ht="19" customHeight="1">
      <x:c r="A1933" s="29" t="str">
        <x:v>stagger_1</x:v>
      </x:c>
      <x:c r="B1933" s="38" t="str">
        <x:v>UPST</x:v>
      </x:c>
      <x:c r="C1933" s="38" t="str">
        <x:v>Other sectors</x:v>
      </x:c>
      <x:c r="D1933" s="30" t="n">
        <x:v>2</x:v>
      </x:c>
      <x:c r="E1933" s="38" t="str">
        <x:v>XLV</x:v>
      </x:c>
      <x:c r="F1933" s="38" t="n">
        <x:v>-0.4683489726</x:v>
      </x:c>
      <x:c r="G1933" s="38" t="n">
        <x:v>-0.4224787379</x:v>
      </x:c>
      <x:c r="H1933" s="42" t="b">
        <x:v>0</x:v>
      </x:c>
      <x:c r="I1933" s="42" t="b">
        <x:v>0</x:v>
      </x:c>
      <x:c r="J1933" s="38" t="n">
        <x:v>0.1825378638</x:v>
      </x:c>
    </x:row>
    <x:row r="1934" ht="19" customHeight="1">
      <x:c r="A1934" s="29" t="str">
        <x:v>stagger_1</x:v>
      </x:c>
      <x:c r="B1934" s="38" t="str">
        <x:v>UPST</x:v>
      </x:c>
      <x:c r="C1934" s="38" t="str">
        <x:v>Other sectors</x:v>
      </x:c>
      <x:c r="D1934" s="30" t="n">
        <x:v>2</x:v>
      </x:c>
      <x:c r="E1934" s="38" t="str">
        <x:v>XLY</x:v>
      </x:c>
      <x:c r="F1934" s="38" t="n">
        <x:v>0.8938521574</x:v>
      </x:c>
      <x:c r="G1934" s="38" t="n">
        <x:v>0.726812288</x:v>
      </x:c>
      <x:c r="H1934" s="42" t="b">
        <x:v>0</x:v>
      </x:c>
      <x:c r="I1934" s="42" t="b">
        <x:v>0</x:v>
      </x:c>
      <x:c r="J1934" s="38" t="n">
        <x:v>0.1825378638</x:v>
      </x:c>
    </x:row>
    <x:row r="1935" ht="19" customHeight="1">
      <x:c r="A1935" s="29" t="str">
        <x:v>stagger_1</x:v>
      </x:c>
      <x:c r="B1935" s="38" t="str">
        <x:v>UPST</x:v>
      </x:c>
      <x:c r="C1935" s="38" t="str">
        <x:v>Other sectors</x:v>
      </x:c>
      <x:c r="D1935" s="30" t="n">
        <x:v>3</x:v>
      </x:c>
      <x:c r="E1935" s="38" t="str">
        <x:v>XLB</x:v>
      </x:c>
      <x:c r="F1935" s="38" t="n">
        <x:v>0.7154714655</x:v>
      </x:c>
      <x:c r="G1935" s="38" t="n">
        <x:v>0.8088734732</x:v>
      </x:c>
      <x:c r="H1935" s="42" t="b">
        <x:v>0</x:v>
      </x:c>
      <x:c r="I1935" s="42" t="b">
        <x:v>0</x:v>
      </x:c>
      <x:c r="J1935" s="38" t="n">
        <x:v>0.1811559811</x:v>
      </x:c>
    </x:row>
    <x:row r="1936" ht="19" customHeight="1">
      <x:c r="A1936" s="29" t="str">
        <x:v>stagger_1</x:v>
      </x:c>
      <x:c r="B1936" s="38" t="str">
        <x:v>UPST</x:v>
      </x:c>
      <x:c r="C1936" s="38" t="str">
        <x:v>Other sectors</x:v>
      </x:c>
      <x:c r="D1936" s="30" t="n">
        <x:v>3</x:v>
      </x:c>
      <x:c r="E1936" s="38" t="str">
        <x:v>XLC</x:v>
      </x:c>
      <x:c r="F1936" s="38" t="n">
        <x:v>1.38894303</x:v>
      </x:c>
      <x:c r="G1936" s="38" t="n">
        <x:v>1.2442305488</x:v>
      </x:c>
      <x:c r="H1936" s="42" t="b">
        <x:v>0</x:v>
      </x:c>
      <x:c r="I1936" s="42" t="b">
        <x:v>0</x:v>
      </x:c>
      <x:c r="J1936" s="38" t="n">
        <x:v>0.1811559811</x:v>
      </x:c>
    </x:row>
    <x:row r="1937" ht="19" customHeight="1">
      <x:c r="A1937" s="29" t="str">
        <x:v>stagger_1</x:v>
      </x:c>
      <x:c r="B1937" s="38" t="str">
        <x:v>UPST</x:v>
      </x:c>
      <x:c r="C1937" s="38" t="str">
        <x:v>Other sectors</x:v>
      </x:c>
      <x:c r="D1937" s="30" t="n">
        <x:v>3</x:v>
      </x:c>
      <x:c r="E1937" s="38" t="str">
        <x:v>XLE</x:v>
      </x:c>
      <x:c r="F1937" s="38" t="n">
        <x:v>-0.1915226031</x:v>
      </x:c>
      <x:c r="G1937" s="38" t="n">
        <x:v>-0.4185971361</x:v>
      </x:c>
      <x:c r="H1937" s="42" t="b">
        <x:v>0</x:v>
      </x:c>
      <x:c r="I1937" s="42" t="b">
        <x:v>0</x:v>
      </x:c>
      <x:c r="J1937" s="38" t="n">
        <x:v>0.1811559811</x:v>
      </x:c>
    </x:row>
    <x:row r="1938" ht="19" customHeight="1">
      <x:c r="A1938" s="29" t="str">
        <x:v>stagger_1</x:v>
      </x:c>
      <x:c r="B1938" s="38" t="str">
        <x:v>UPST</x:v>
      </x:c>
      <x:c r="C1938" s="38" t="str">
        <x:v>Other sectors</x:v>
      </x:c>
      <x:c r="D1938" s="30" t="n">
        <x:v>3</x:v>
      </x:c>
      <x:c r="E1938" s="38" t="str">
        <x:v>XLK</x:v>
      </x:c>
      <x:c r="F1938" s="38" t="n">
        <x:v>1.7522602917</x:v>
      </x:c>
      <x:c r="G1938" s="38" t="n">
        <x:v>1.1826000731</x:v>
      </x:c>
      <x:c r="H1938" s="42" t="b">
        <x:v>0</x:v>
      </x:c>
      <x:c r="I1938" s="42" t="b">
        <x:v>0</x:v>
      </x:c>
      <x:c r="J1938" s="38" t="n">
        <x:v>0.1811559811</x:v>
      </x:c>
    </x:row>
    <x:row r="1939" ht="19" customHeight="1">
      <x:c r="A1939" s="29" t="str">
        <x:v>stagger_1</x:v>
      </x:c>
      <x:c r="B1939" s="38" t="str">
        <x:v>UPST</x:v>
      </x:c>
      <x:c r="C1939" s="38" t="str">
        <x:v>Other sectors</x:v>
      </x:c>
      <x:c r="D1939" s="30" t="n">
        <x:v>3</x:v>
      </x:c>
      <x:c r="E1939" s="38" t="str">
        <x:v>XLP</x:v>
      </x:c>
      <x:c r="F1939" s="38" t="n">
        <x:v>-2.3284687562</x:v>
      </x:c>
      <x:c r="G1939" s="38" t="n">
        <x:v>-2.0172903851</x:v>
      </x:c>
      <x:c r="H1939" s="42" t="b">
        <x:v>0</x:v>
      </x:c>
      <x:c r="I1939" s="42" t="b">
        <x:v>0</x:v>
      </x:c>
      <x:c r="J1939" s="38" t="n">
        <x:v>0.1811559811</x:v>
      </x:c>
    </x:row>
    <x:row r="1940" ht="19" customHeight="1">
      <x:c r="A1940" s="29" t="str">
        <x:v>stagger_1</x:v>
      </x:c>
      <x:c r="B1940" s="38" t="str">
        <x:v>UPST</x:v>
      </x:c>
      <x:c r="C1940" s="38" t="str">
        <x:v>Other sectors</x:v>
      </x:c>
      <x:c r="D1940" s="30" t="n">
        <x:v>3</x:v>
      </x:c>
      <x:c r="E1940" s="38" t="str">
        <x:v>XLRE</x:v>
      </x:c>
      <x:c r="F1940" s="38" t="n">
        <x:v>1.921228614</x:v>
      </x:c>
      <x:c r="G1940" s="38" t="n">
        <x:v>1.8860491977</x:v>
      </x:c>
      <x:c r="H1940" s="42" t="b">
        <x:v>0</x:v>
      </x:c>
      <x:c r="I1940" s="42" t="b">
        <x:v>0</x:v>
      </x:c>
      <x:c r="J1940" s="38" t="n">
        <x:v>0.1811559811</x:v>
      </x:c>
    </x:row>
    <x:row r="1941" ht="19" customHeight="1">
      <x:c r="A1941" s="29" t="str">
        <x:v>stagger_1</x:v>
      </x:c>
      <x:c r="B1941" s="38" t="str">
        <x:v>UPST</x:v>
      </x:c>
      <x:c r="C1941" s="38" t="str">
        <x:v>Other sectors</x:v>
      </x:c>
      <x:c r="D1941" s="30" t="n">
        <x:v>3</x:v>
      </x:c>
      <x:c r="E1941" s="38" t="str">
        <x:v>XLV</x:v>
      </x:c>
      <x:c r="F1941" s="38" t="n">
        <x:v>-0.3936446633</x:v>
      </x:c>
      <x:c r="G1941" s="38" t="n">
        <x:v>-0.3654727257</x:v>
      </x:c>
      <x:c r="H1941" s="42" t="b">
        <x:v>1</x:v>
      </x:c>
      <x:c r="I1941" s="42" t="b">
        <x:v>0</x:v>
      </x:c>
      <x:c r="J1941" s="38" t="n">
        <x:v>0.1811559811</x:v>
      </x:c>
    </x:row>
    <x:row r="1942" ht="19" customHeight="1">
      <x:c r="A1942" s="29" t="str">
        <x:v>stagger_1</x:v>
      </x:c>
      <x:c r="B1942" s="38" t="str">
        <x:v>UPST</x:v>
      </x:c>
      <x:c r="C1942" s="38" t="str">
        <x:v>Other sectors</x:v>
      </x:c>
      <x:c r="D1942" s="30" t="n">
        <x:v>3</x:v>
      </x:c>
      <x:c r="E1942" s="38" t="str">
        <x:v>XLY</x:v>
      </x:c>
      <x:c r="F1942" s="38" t="n">
        <x:v>0.9466448689</x:v>
      </x:c>
      <x:c r="G1942" s="38" t="n">
        <x:v>0.7819639726</x:v>
      </x:c>
      <x:c r="H1942" s="42" t="b">
        <x:v>0</x:v>
      </x:c>
      <x:c r="I1942" s="42" t="b">
        <x:v>0</x:v>
      </x:c>
      <x:c r="J1942" s="38" t="n">
        <x:v>0.1811559811</x:v>
      </x:c>
    </x:row>
    <x:row r="1943" ht="19" customHeight="1">
      <x:c r="A1943" s="29" t="str">
        <x:v>stagger_1</x:v>
      </x:c>
      <x:c r="B1943" s="38" t="str">
        <x:v>UPST</x:v>
      </x:c>
      <x:c r="C1943" s="38" t="str">
        <x:v>Other sectors</x:v>
      </x:c>
      <x:c r="D1943" s="30" t="n">
        <x:v>4</x:v>
      </x:c>
      <x:c r="E1943" s="38" t="str">
        <x:v>XLB</x:v>
      </x:c>
      <x:c r="F1943" s="38" t="n">
        <x:v>0.765219318</x:v>
      </x:c>
      <x:c r="G1943" s="38" t="n">
        <x:v>0.8814394505</x:v>
      </x:c>
      <x:c r="H1943" s="42" t="b">
        <x:v>0</x:v>
      </x:c>
      <x:c r="I1943" s="42" t="b">
        <x:v>0</x:v>
      </x:c>
      <x:c r="J1943" s="38" t="n">
        <x:v>0.179447024</x:v>
      </x:c>
    </x:row>
    <x:row r="1944" ht="19" customHeight="1">
      <x:c r="A1944" s="29" t="str">
        <x:v>stagger_1</x:v>
      </x:c>
      <x:c r="B1944" s="38" t="str">
        <x:v>UPST</x:v>
      </x:c>
      <x:c r="C1944" s="38" t="str">
        <x:v>Other sectors</x:v>
      </x:c>
      <x:c r="D1944" s="30" t="n">
        <x:v>4</x:v>
      </x:c>
      <x:c r="E1944" s="38" t="str">
        <x:v>XLC</x:v>
      </x:c>
      <x:c r="F1944" s="38" t="n">
        <x:v>1.4362639097</x:v>
      </x:c>
      <x:c r="G1944" s="38" t="n">
        <x:v>1.3040847563</x:v>
      </x:c>
      <x:c r="H1944" s="42" t="b">
        <x:v>0</x:v>
      </x:c>
      <x:c r="I1944" s="42" t="b">
        <x:v>0</x:v>
      </x:c>
      <x:c r="J1944" s="38" t="n">
        <x:v>0.179447024</x:v>
      </x:c>
    </x:row>
    <x:row r="1945" ht="19" customHeight="1">
      <x:c r="A1945" s="29" t="str">
        <x:v>stagger_1</x:v>
      </x:c>
      <x:c r="B1945" s="38" t="str">
        <x:v>UPST</x:v>
      </x:c>
      <x:c r="C1945" s="38" t="str">
        <x:v>Other sectors</x:v>
      </x:c>
      <x:c r="D1945" s="30" t="n">
        <x:v>4</x:v>
      </x:c>
      <x:c r="E1945" s="38" t="str">
        <x:v>XLE</x:v>
      </x:c>
      <x:c r="F1945" s="38" t="n">
        <x:v>-0.1566971166</x:v>
      </x:c>
      <x:c r="G1945" s="38" t="n">
        <x:v>-0.3525171651</x:v>
      </x:c>
      <x:c r="H1945" s="42" t="b">
        <x:v>1</x:v>
      </x:c>
      <x:c r="I1945" s="42" t="b">
        <x:v>0</x:v>
      </x:c>
      <x:c r="J1945" s="38" t="n">
        <x:v>0.179447024</x:v>
      </x:c>
    </x:row>
    <x:row r="1946" ht="19" customHeight="1">
      <x:c r="A1946" s="29" t="str">
        <x:v>stagger_1</x:v>
      </x:c>
      <x:c r="B1946" s="38" t="str">
        <x:v>UPST</x:v>
      </x:c>
      <x:c r="C1946" s="38" t="str">
        <x:v>Other sectors</x:v>
      </x:c>
      <x:c r="D1946" s="30" t="n">
        <x:v>4</x:v>
      </x:c>
      <x:c r="E1946" s="38" t="str">
        <x:v>XLK</x:v>
      </x:c>
      <x:c r="F1946" s="38" t="n">
        <x:v>2.0291799452</x:v>
      </x:c>
      <x:c r="G1946" s="38" t="n">
        <x:v>1.6043508817</x:v>
      </x:c>
      <x:c r="H1946" s="42" t="b">
        <x:v>0</x:v>
      </x:c>
      <x:c r="I1946" s="42" t="b">
        <x:v>0</x:v>
      </x:c>
      <x:c r="J1946" s="38" t="n">
        <x:v>0.179447024</x:v>
      </x:c>
    </x:row>
    <x:row r="1947" ht="19" customHeight="1">
      <x:c r="A1947" s="29" t="str">
        <x:v>stagger_1</x:v>
      </x:c>
      <x:c r="B1947" s="38" t="str">
        <x:v>UPST</x:v>
      </x:c>
      <x:c r="C1947" s="38" t="str">
        <x:v>Other sectors</x:v>
      </x:c>
      <x:c r="D1947" s="30" t="n">
        <x:v>4</x:v>
      </x:c>
      <x:c r="E1947" s="38" t="str">
        <x:v>XLP</x:v>
      </x:c>
      <x:c r="F1947" s="38" t="n">
        <x:v>-2.3641789604</x:v>
      </x:c>
      <x:c r="G1947" s="38" t="n">
        <x:v>-2.0694454293</x:v>
      </x:c>
      <x:c r="H1947" s="42" t="b">
        <x:v>0</x:v>
      </x:c>
      <x:c r="I1947" s="42" t="b">
        <x:v>0</x:v>
      </x:c>
      <x:c r="J1947" s="38" t="n">
        <x:v>0.179447024</x:v>
      </x:c>
    </x:row>
    <x:row r="1948" ht="19" customHeight="1">
      <x:c r="A1948" s="29" t="str">
        <x:v>stagger_1</x:v>
      </x:c>
      <x:c r="B1948" s="38" t="str">
        <x:v>UPST</x:v>
      </x:c>
      <x:c r="C1948" s="38" t="str">
        <x:v>Other sectors</x:v>
      </x:c>
      <x:c r="D1948" s="30" t="n">
        <x:v>4</x:v>
      </x:c>
      <x:c r="E1948" s="38" t="str">
        <x:v>XLRE</x:v>
      </x:c>
      <x:c r="F1948" s="38" t="n">
        <x:v>1.8476120299</x:v>
      </x:c>
      <x:c r="G1948" s="38" t="n">
        <x:v>1.8627727691</x:v>
      </x:c>
      <x:c r="H1948" s="42" t="b">
        <x:v>0</x:v>
      </x:c>
      <x:c r="I1948" s="42" t="b">
        <x:v>0</x:v>
      </x:c>
      <x:c r="J1948" s="38" t="n">
        <x:v>0.179447024</x:v>
      </x:c>
    </x:row>
    <x:row r="1949" ht="19" customHeight="1">
      <x:c r="A1949" s="29" t="str">
        <x:v>stagger_1</x:v>
      </x:c>
      <x:c r="B1949" s="38" t="str">
        <x:v>UPST</x:v>
      </x:c>
      <x:c r="C1949" s="38" t="str">
        <x:v>Other sectors</x:v>
      </x:c>
      <x:c r="D1949" s="30" t="n">
        <x:v>4</x:v>
      </x:c>
      <x:c r="E1949" s="38" t="str">
        <x:v>XLY</x:v>
      </x:c>
      <x:c r="F1949" s="38" t="n">
        <x:v>1.1560720845</x:v>
      </x:c>
      <x:c r="G1949" s="38" t="n">
        <x:v>1.0913981509</x:v>
      </x:c>
      <x:c r="H1949" s="42" t="b">
        <x:v>0</x:v>
      </x:c>
      <x:c r="I1949" s="42" t="b">
        <x:v>0</x:v>
      </x:c>
      <x:c r="J1949" s="38" t="n">
        <x:v>0.179447024</x:v>
      </x:c>
    </x:row>
    <x:row r="1950" ht="19" customHeight="1">
      <x:c r="A1950" s="29" t="str">
        <x:v>stagger_1</x:v>
      </x:c>
      <x:c r="B1950" s="38" t="str">
        <x:v>UPST</x:v>
      </x:c>
      <x:c r="C1950" s="38" t="str">
        <x:v>Other sectors</x:v>
      </x:c>
      <x:c r="D1950" s="30" t="n">
        <x:v>5</x:v>
      </x:c>
      <x:c r="E1950" s="38" t="str">
        <x:v>XLB</x:v>
      </x:c>
      <x:c r="F1950" s="38" t="n">
        <x:v>0.7111709614</x:v>
      </x:c>
      <x:c r="G1950" s="38" t="n">
        <x:v>0.83784145</x:v>
      </x:c>
      <x:c r="H1950" s="42" t="b">
        <x:v>1</x:v>
      </x:c>
      <x:c r="I1950" s="42" t="b">
        <x:v>0</x:v>
      </x:c>
      <x:c r="J1950" s="38" t="n">
        <x:v>0.1778782738</x:v>
      </x:c>
    </x:row>
    <x:row r="1951" ht="19" customHeight="1">
      <x:c r="A1951" s="29" t="str">
        <x:v>stagger_1</x:v>
      </x:c>
      <x:c r="B1951" s="38" t="str">
        <x:v>UPST</x:v>
      </x:c>
      <x:c r="C1951" s="38" t="str">
        <x:v>Other sectors</x:v>
      </x:c>
      <x:c r="D1951" s="30" t="n">
        <x:v>5</x:v>
      </x:c>
      <x:c r="E1951" s="38" t="str">
        <x:v>XLC</x:v>
      </x:c>
      <x:c r="F1951" s="38" t="n">
        <x:v>1.4325464493</x:v>
      </x:c>
      <x:c r="G1951" s="38" t="n">
        <x:v>1.3094856133</x:v>
      </x:c>
      <x:c r="H1951" s="42" t="b">
        <x:v>0</x:v>
      </x:c>
      <x:c r="I1951" s="42" t="b">
        <x:v>0</x:v>
      </x:c>
      <x:c r="J1951" s="38" t="n">
        <x:v>0.1778782738</x:v>
      </x:c>
    </x:row>
    <x:row r="1952" ht="19" customHeight="1">
      <x:c r="A1952" s="29" t="str">
        <x:v>stagger_1</x:v>
      </x:c>
      <x:c r="B1952" s="38" t="str">
        <x:v>UPST</x:v>
      </x:c>
      <x:c r="C1952" s="38" t="str">
        <x:v>Other sectors</x:v>
      </x:c>
      <x:c r="D1952" s="30" t="n">
        <x:v>5</x:v>
      </x:c>
      <x:c r="E1952" s="38" t="str">
        <x:v>XLK</x:v>
      </x:c>
      <x:c r="F1952" s="38" t="n">
        <x:v>2.1945831182</x:v>
      </x:c>
      <x:c r="G1952" s="38" t="n">
        <x:v>1.8809717991</x:v>
      </x:c>
      <x:c r="H1952" s="42" t="b">
        <x:v>0</x:v>
      </x:c>
      <x:c r="I1952" s="42" t="b">
        <x:v>0</x:v>
      </x:c>
      <x:c r="J1952" s="38" t="n">
        <x:v>0.1778782738</x:v>
      </x:c>
    </x:row>
    <x:row r="1953" ht="19" customHeight="1">
      <x:c r="A1953" s="29" t="str">
        <x:v>stagger_1</x:v>
      </x:c>
      <x:c r="B1953" s="38" t="str">
        <x:v>UPST</x:v>
      </x:c>
      <x:c r="C1953" s="38" t="str">
        <x:v>Other sectors</x:v>
      </x:c>
      <x:c r="D1953" s="30" t="n">
        <x:v>5</x:v>
      </x:c>
      <x:c r="E1953" s="38" t="str">
        <x:v>XLP</x:v>
      </x:c>
      <x:c r="F1953" s="38" t="n">
        <x:v>-2.2819015339</x:v>
      </x:c>
      <x:c r="G1953" s="38" t="n">
        <x:v>-2.0541364821</x:v>
      </x:c>
      <x:c r="H1953" s="42" t="b">
        <x:v>0</x:v>
      </x:c>
      <x:c r="I1953" s="42" t="b">
        <x:v>0</x:v>
      </x:c>
      <x:c r="J1953" s="38" t="n">
        <x:v>0.1778782738</x:v>
      </x:c>
    </x:row>
    <x:row r="1954" ht="19" customHeight="1">
      <x:c r="A1954" s="29" t="str">
        <x:v>stagger_1</x:v>
      </x:c>
      <x:c r="B1954" s="38" t="str">
        <x:v>UPST</x:v>
      </x:c>
      <x:c r="C1954" s="38" t="str">
        <x:v>Other sectors</x:v>
      </x:c>
      <x:c r="D1954" s="30" t="n">
        <x:v>5</x:v>
      </x:c>
      <x:c r="E1954" s="38" t="str">
        <x:v>XLRE</x:v>
      </x:c>
      <x:c r="F1954" s="38" t="n">
        <x:v>1.8433802226</x:v>
      </x:c>
      <x:c r="G1954" s="38" t="n">
        <x:v>1.871097304</x:v>
      </x:c>
      <x:c r="H1954" s="42" t="b">
        <x:v>0</x:v>
      </x:c>
      <x:c r="I1954" s="42" t="b">
        <x:v>0</x:v>
      </x:c>
      <x:c r="J1954" s="38" t="n">
        <x:v>0.1778782738</x:v>
      </x:c>
    </x:row>
    <x:row r="1955" ht="19" customHeight="1">
      <x:c r="A1955" s="29" t="str">
        <x:v>stagger_1</x:v>
      </x:c>
      <x:c r="B1955" s="38" t="str">
        <x:v>UPST</x:v>
      </x:c>
      <x:c r="C1955" s="38" t="str">
        <x:v>Other sectors</x:v>
      </x:c>
      <x:c r="D1955" s="30" t="n">
        <x:v>5</x:v>
      </x:c>
      <x:c r="E1955" s="38" t="str">
        <x:v>XLY</x:v>
      </x:c>
      <x:c r="F1955" s="38" t="n">
        <x:v>1.2844383343</x:v>
      </x:c>
      <x:c r="G1955" s="38" t="n">
        <x:v>1.2999352128</x:v>
      </x:c>
      <x:c r="H1955" s="42" t="b">
        <x:v>0</x:v>
      </x:c>
      <x:c r="I1955" s="42" t="b">
        <x:v>0</x:v>
      </x:c>
      <x:c r="J1955" s="38" t="n">
        <x:v>0.1778782738</x:v>
      </x:c>
    </x:row>
    <x:row r="1956" ht="19" customHeight="1">
      <x:c r="A1956" s="29" t="str">
        <x:v>stagger_1</x:v>
      </x:c>
      <x:c r="B1956" s="38" t="str">
        <x:v>UPST</x:v>
      </x:c>
      <x:c r="C1956" s="38" t="str">
        <x:v>Other sectors</x:v>
      </x:c>
      <x:c r="D1956" s="30" t="n">
        <x:v>6</x:v>
      </x:c>
      <x:c r="E1956" s="38" t="str">
        <x:v>XLC</x:v>
      </x:c>
      <x:c r="F1956" s="38" t="n">
        <x:v>1.2454395324</x:v>
      </x:c>
      <x:c r="G1956" s="38" t="n">
        <x:v>1.1655355579</x:v>
      </x:c>
      <x:c r="H1956" s="42" t="b">
        <x:v>1</x:v>
      </x:c>
      <x:c r="I1956" s="42" t="b">
        <x:v>0</x:v>
      </x:c>
      <x:c r="J1956" s="38" t="n">
        <x:v>0.1691341585</x:v>
      </x:c>
    </x:row>
    <x:row r="1957" ht="19" customHeight="1">
      <x:c r="A1957" s="29" t="str">
        <x:v>stagger_1</x:v>
      </x:c>
      <x:c r="B1957" s="38" t="str">
        <x:v>UPST</x:v>
      </x:c>
      <x:c r="C1957" s="38" t="str">
        <x:v>Other sectors</x:v>
      </x:c>
      <x:c r="D1957" s="30" t="n">
        <x:v>6</x:v>
      </x:c>
      <x:c r="E1957" s="38" t="str">
        <x:v>XLK</x:v>
      </x:c>
      <x:c r="F1957" s="38" t="n">
        <x:v>1.8601346147</x:v>
      </x:c>
      <x:c r="G1957" s="38" t="n">
        <x:v>1.7004982853</x:v>
      </x:c>
      <x:c r="H1957" s="42" t="b">
        <x:v>0</x:v>
      </x:c>
      <x:c r="I1957" s="42" t="b">
        <x:v>0</x:v>
      </x:c>
      <x:c r="J1957" s="38" t="n">
        <x:v>0.1691341585</x:v>
      </x:c>
    </x:row>
    <x:row r="1958" ht="19" customHeight="1">
      <x:c r="A1958" s="29" t="str">
        <x:v>stagger_1</x:v>
      </x:c>
      <x:c r="B1958" s="38" t="str">
        <x:v>UPST</x:v>
      </x:c>
      <x:c r="C1958" s="38" t="str">
        <x:v>Other sectors</x:v>
      </x:c>
      <x:c r="D1958" s="30" t="n">
        <x:v>6</x:v>
      </x:c>
      <x:c r="E1958" s="38" t="str">
        <x:v>XLP</x:v>
      </x:c>
      <x:c r="F1958" s="38" t="n">
        <x:v>-2.0740229282</x:v>
      </x:c>
      <x:c r="G1958" s="38" t="n">
        <x:v>-1.9196659507</x:v>
      </x:c>
      <x:c r="H1958" s="42" t="b">
        <x:v>0</x:v>
      </x:c>
      <x:c r="I1958" s="42" t="b">
        <x:v>0</x:v>
      </x:c>
      <x:c r="J1958" s="38" t="n">
        <x:v>0.1691341585</x:v>
      </x:c>
    </x:row>
    <x:row r="1959" ht="19" customHeight="1">
      <x:c r="A1959" s="29" t="str">
        <x:v>stagger_1</x:v>
      </x:c>
      <x:c r="B1959" s="38" t="str">
        <x:v>UPST</x:v>
      </x:c>
      <x:c r="C1959" s="38" t="str">
        <x:v>Other sectors</x:v>
      </x:c>
      <x:c r="D1959" s="30" t="n">
        <x:v>6</x:v>
      </x:c>
      <x:c r="E1959" s="38" t="str">
        <x:v>XLRE</x:v>
      </x:c>
      <x:c r="F1959" s="38" t="n">
        <x:v>1.9076445459</x:v>
      </x:c>
      <x:c r="G1959" s="38" t="n">
        <x:v>1.946557284</x:v>
      </x:c>
      <x:c r="H1959" s="42" t="b">
        <x:v>0</x:v>
      </x:c>
      <x:c r="I1959" s="42" t="b">
        <x:v>0</x:v>
      </x:c>
      <x:c r="J1959" s="38" t="n">
        <x:v>0.1691341585</x:v>
      </x:c>
    </x:row>
    <x:row r="1960" ht="19" customHeight="1">
      <x:c r="A1960" s="29" t="str">
        <x:v>stagger_1</x:v>
      </x:c>
      <x:c r="B1960" s="38" t="str">
        <x:v>UPST</x:v>
      </x:c>
      <x:c r="C1960" s="38" t="str">
        <x:v>Other sectors</x:v>
      </x:c>
      <x:c r="D1960" s="30" t="n">
        <x:v>6</x:v>
      </x:c>
      <x:c r="E1960" s="38" t="str">
        <x:v>XLY</x:v>
      </x:c>
      <x:c r="F1960" s="38" t="n">
        <x:v>1.2092996051</x:v>
      </x:c>
      <x:c r="G1960" s="38" t="n">
        <x:v>1.231704899</x:v>
      </x:c>
      <x:c r="H1960" s="42" t="b">
        <x:v>0</x:v>
      </x:c>
      <x:c r="I1960" s="42" t="b">
        <x:v>0</x:v>
      </x:c>
      <x:c r="J1960" s="38" t="n">
        <x:v>0.1691341585</x:v>
      </x:c>
    </x:row>
    <x:row r="1961" ht="19" customHeight="1">
      <x:c r="A1961" s="29" t="str">
        <x:v>stagger_1</x:v>
      </x:c>
      <x:c r="B1961" s="38" t="str">
        <x:v>UPST</x:v>
      </x:c>
      <x:c r="C1961" s="38" t="str">
        <x:v>Other sectors</x:v>
      </x:c>
      <x:c r="D1961" s="30" t="n">
        <x:v>7</x:v>
      </x:c>
      <x:c r="E1961" s="38" t="str">
        <x:v>XLK</x:v>
      </x:c>
      <x:c r="F1961" s="38" t="n">
        <x:v>1.3574057318</x:v>
      </x:c>
      <x:c r="G1961" s="38" t="n">
        <x:v>1.3467759131</x:v>
      </x:c>
      <x:c r="H1961" s="42" t="b">
        <x:v>1</x:v>
      </x:c>
      <x:c r="I1961" s="42" t="b">
        <x:v>0</x:v>
      </x:c>
      <x:c r="J1961" s="38" t="n">
        <x:v>0.1522877566</x:v>
      </x:c>
    </x:row>
    <x:row r="1962" ht="19" customHeight="1">
      <x:c r="A1962" s="29" t="str">
        <x:v>stagger_1</x:v>
      </x:c>
      <x:c r="B1962" s="38" t="str">
        <x:v>UPST</x:v>
      </x:c>
      <x:c r="C1962" s="38" t="str">
        <x:v>Other sectors</x:v>
      </x:c>
      <x:c r="D1962" s="30" t="n">
        <x:v>7</x:v>
      </x:c>
      <x:c r="E1962" s="38" t="str">
        <x:v>XLP</x:v>
      </x:c>
      <x:c r="F1962" s="38" t="n">
        <x:v>-2.0403965447</x:v>
      </x:c>
      <x:c r="G1962" s="38" t="n">
        <x:v>-1.884255816</x:v>
      </x:c>
      <x:c r="H1962" s="42" t="b">
        <x:v>0</x:v>
      </x:c>
      <x:c r="I1962" s="42" t="b">
        <x:v>0</x:v>
      </x:c>
      <x:c r="J1962" s="38" t="n">
        <x:v>0.1522877566</x:v>
      </x:c>
    </x:row>
    <x:row r="1963" ht="19" customHeight="1">
      <x:c r="A1963" s="29" t="str">
        <x:v>stagger_1</x:v>
      </x:c>
      <x:c r="B1963" s="38" t="str">
        <x:v>UPST</x:v>
      </x:c>
      <x:c r="C1963" s="38" t="str">
        <x:v>Other sectors</x:v>
      </x:c>
      <x:c r="D1963" s="30" t="n">
        <x:v>7</x:v>
      </x:c>
      <x:c r="E1963" s="38" t="str">
        <x:v>XLRE</x:v>
      </x:c>
      <x:c r="F1963" s="38" t="n">
        <x:v>1.6082152561</x:v>
      </x:c>
      <x:c r="G1963" s="38" t="n">
        <x:v>1.6960233407</x:v>
      </x:c>
      <x:c r="H1963" s="42" t="b">
        <x:v>0</x:v>
      </x:c>
      <x:c r="I1963" s="42" t="b">
        <x:v>0</x:v>
      </x:c>
      <x:c r="J1963" s="38" t="n">
        <x:v>0.1522877566</x:v>
      </x:c>
    </x:row>
    <x:row r="1964" ht="19" customHeight="1">
      <x:c r="A1964" s="29" t="str">
        <x:v>stagger_1</x:v>
      </x:c>
      <x:c r="B1964" s="38" t="str">
        <x:v>UPST</x:v>
      </x:c>
      <x:c r="C1964" s="38" t="str">
        <x:v>Other sectors</x:v>
      </x:c>
      <x:c r="D1964" s="30" t="n">
        <x:v>7</x:v>
      </x:c>
      <x:c r="E1964" s="38" t="str">
        <x:v>XLY</x:v>
      </x:c>
      <x:c r="F1964" s="38" t="n">
        <x:v>1.5476801879</x:v>
      </x:c>
      <x:c r="G1964" s="38" t="n">
        <x:v>1.6458161334</x:v>
      </x:c>
      <x:c r="H1964" s="42" t="b">
        <x:v>0</x:v>
      </x:c>
      <x:c r="I1964" s="42" t="b">
        <x:v>0</x:v>
      </x:c>
      <x:c r="J1964" s="38" t="n">
        <x:v>0.1522877566</x:v>
      </x:c>
    </x:row>
    <x:row r="1965" ht="19" customHeight="1">
      <x:c r="A1965" s="29" t="str">
        <x:v>stagger_1</x:v>
      </x:c>
      <x:c r="B1965" s="38" t="str">
        <x:v>UPST</x:v>
      </x:c>
      <x:c r="C1965" s="38" t="str">
        <x:v>Other sectors</x:v>
      </x:c>
      <x:c r="D1965" s="30" t="n">
        <x:v>8</x:v>
      </x:c>
      <x:c r="E1965" s="38" t="str">
        <x:v>XLP</x:v>
      </x:c>
      <x:c r="F1965" s="38" t="n">
        <x:v>-2.5487457122</x:v>
      </x:c>
      <x:c r="G1965" s="38" t="n">
        <x:v>-2.4965216849</x:v>
      </x:c>
      <x:c r="H1965" s="42" t="b">
        <x:v>0</x:v>
      </x:c>
      <x:c r="I1965" s="42" t="b">
        <x:v>0</x:v>
      </x:c>
      <x:c r="J1965" s="38" t="n">
        <x:v>0.1296762124</x:v>
      </x:c>
    </x:row>
    <x:row r="1966" ht="19" customHeight="1">
      <x:c r="A1966" s="29" t="str">
        <x:v>stagger_1</x:v>
      </x:c>
      <x:c r="B1966" s="38" t="str">
        <x:v>UPST</x:v>
      </x:c>
      <x:c r="C1966" s="38" t="str">
        <x:v>Other sectors</x:v>
      </x:c>
      <x:c r="D1966" s="30" t="n">
        <x:v>8</x:v>
      </x:c>
      <x:c r="E1966" s="38" t="str">
        <x:v>XLRE</x:v>
      </x:c>
      <x:c r="F1966" s="38" t="n">
        <x:v>1.2786477635</x:v>
      </x:c>
      <x:c r="G1966" s="38" t="n">
        <x:v>1.3875815949</x:v>
      </x:c>
      <x:c r="H1966" s="42" t="b">
        <x:v>0</x:v>
      </x:c>
      <x:c r="I1966" s="42" t="b">
        <x:v>0</x:v>
      </x:c>
      <x:c r="J1966" s="38" t="n">
        <x:v>0.1296762124</x:v>
      </x:c>
    </x:row>
    <x:row r="1967" ht="19" customHeight="1">
      <x:c r="A1967" s="29" t="str">
        <x:v>stagger_1</x:v>
      </x:c>
      <x:c r="B1967" s="38" t="str">
        <x:v>UPST</x:v>
      </x:c>
      <x:c r="C1967" s="38" t="str">
        <x:v>Other sectors</x:v>
      </x:c>
      <x:c r="D1967" s="30" t="n">
        <x:v>8</x:v>
      </x:c>
      <x:c r="E1967" s="38" t="str">
        <x:v>XLY</x:v>
      </x:c>
      <x:c r="F1967" s="38" t="n">
        <x:v>1.2572531536</x:v>
      </x:c>
      <x:c r="G1967" s="38" t="n">
        <x:v>1.3655486896</x:v>
      </x:c>
      <x:c r="H1967" s="42" t="b">
        <x:v>1</x:v>
      </x:c>
      <x:c r="I1967" s="42" t="b">
        <x:v>0</x:v>
      </x:c>
      <x:c r="J1967" s="38" t="n">
        <x:v>0.1296762124</x:v>
      </x:c>
    </x:row>
    <x:row r="1968" ht="19" customHeight="1">
      <x:c r="A1968" s="29" t="str">
        <x:v>stagger_1</x:v>
      </x:c>
      <x:c r="B1968" s="38" t="str">
        <x:v>UPST</x:v>
      </x:c>
      <x:c r="C1968" s="38" t="str">
        <x:v>Other sectors</x:v>
      </x:c>
      <x:c r="D1968" s="30" t="n">
        <x:v>9</x:v>
      </x:c>
      <x:c r="E1968" s="38" t="str">
        <x:v>XLP</x:v>
      </x:c>
      <x:c r="F1968" s="38" t="n">
        <x:v>-2.8754198233</x:v>
      </x:c>
      <x:c r="G1968" s="38" t="n">
        <x:v>-2.8794327617</x:v>
      </x:c>
      <x:c r="H1968" s="42" t="b">
        <x:v>0</x:v>
      </x:c>
      <x:c r="I1968" s="42" t="b">
        <x:v>0</x:v>
      </x:c>
      <x:c r="J1968" s="38" t="n">
        <x:v>0.1061557344</x:v>
      </x:c>
    </x:row>
    <x:row r="1969" ht="19" customHeight="1">
      <x:c r="A1969" s="29" t="str">
        <x:v>stagger_1</x:v>
      </x:c>
      <x:c r="B1969" s="38" t="str">
        <x:v>UPST</x:v>
      </x:c>
      <x:c r="C1969" s="38" t="str">
        <x:v>Other sectors</x:v>
      </x:c>
      <x:c r="D1969" s="30" t="n">
        <x:v>9</x:v>
      </x:c>
      <x:c r="E1969" s="38" t="str">
        <x:v>XLRE</x:v>
      </x:c>
      <x:c r="F1969" s="38" t="n">
        <x:v>1.5769438917</x:v>
      </x:c>
      <x:c r="G1969" s="38" t="n">
        <x:v>1.7507197706</x:v>
      </x:c>
      <x:c r="H1969" s="42" t="b">
        <x:v>1</x:v>
      </x:c>
      <x:c r="I1969" s="42" t="b">
        <x:v>0</x:v>
      </x:c>
      <x:c r="J1969" s="38" t="n">
        <x:v>0.1061557344</x:v>
      </x:c>
    </x:row>
    <x:row r="1970" ht="19" customHeight="1">
      <x:c r="A1970" s="29" t="str">
        <x:v>stagger_1</x:v>
      </x:c>
      <x:c r="B1970" s="38" t="str">
        <x:v>UPST</x:v>
      </x:c>
      <x:c r="C1970" s="38" t="str">
        <x:v>Other sectors</x:v>
      </x:c>
      <x:c r="D1970" s="30" t="n">
        <x:v>10</x:v>
      </x:c>
      <x:c r="E1970" s="38" t="str">
        <x:v>XLP</x:v>
      </x:c>
      <x:c r="F1970" s="38" t="n">
        <x:v>-1.8872210557</x:v>
      </x:c>
      <x:c r="G1970" s="38" t="n">
        <x:v>-2.2583322293</x:v>
      </x:c>
      <x:c r="H1970" s="42" t="b">
        <x:v>0</x:v>
      </x:c>
      <x:c r="I1970" s="42" t="b">
        <x:v>1</x:v>
      </x:c>
      <x:c r="J1970" s="38" t="n">
        <x:v>0.067017873</x:v>
      </x:c>
    </x:row>
    <x:row r="1971" ht="19" customHeight="1">
      <x:c r="A1971" s="29" t="str">
        <x:v>stagger_1</x:v>
      </x:c>
      <x:c r="B1971" s="38" t="str">
        <x:v>PG</x:v>
      </x:c>
      <x:c r="C1971" s="38" t="str">
        <x:v>Other FX</x:v>
      </x:c>
      <x:c r="D1971" s="30" t="n">
        <x:v>1</x:v>
      </x:c>
      <x:c r="E1971" s="38" t="str">
        <x:v>AUD/USD</x:v>
      </x:c>
      <x:c r="F1971" s="38" t="n">
        <x:v>0.5243496393</x:v>
      </x:c>
      <x:c r="G1971" s="38" t="n">
        <x:v>1.3569149685</x:v>
      </x:c>
      <x:c r="H1971" s="42" t="b">
        <x:v>0</x:v>
      </x:c>
      <x:c r="I1971" s="42" t="b">
        <x:v>0</x:v>
      </x:c>
      <x:c r="J1971" s="38" t="n">
        <x:v>0.2550277176</x:v>
      </x:c>
    </x:row>
    <x:row r="1972" ht="19" customHeight="1">
      <x:c r="A1972" s="29" t="str">
        <x:v>stagger_1</x:v>
      </x:c>
      <x:c r="B1972" s="38" t="str">
        <x:v>PG</x:v>
      </x:c>
      <x:c r="C1972" s="38" t="str">
        <x:v>Other FX</x:v>
      </x:c>
      <x:c r="D1972" s="30" t="n">
        <x:v>1</x:v>
      </x:c>
      <x:c r="E1972" s="38" t="str">
        <x:v>CAD/USD</x:v>
      </x:c>
      <x:c r="F1972" s="38" t="n">
        <x:v>-1.0717137891</x:v>
      </x:c>
      <x:c r="G1972" s="38" t="n">
        <x:v>-2.2967143811</x:v>
      </x:c>
      <x:c r="H1972" s="42" t="b">
        <x:v>0</x:v>
      </x:c>
      <x:c r="I1972" s="42" t="b">
        <x:v>0</x:v>
      </x:c>
      <x:c r="J1972" s="38" t="n">
        <x:v>0.2550277176</x:v>
      </x:c>
    </x:row>
    <x:row r="1973" ht="19" customHeight="1">
      <x:c r="A1973" s="29" t="str">
        <x:v>stagger_1</x:v>
      </x:c>
      <x:c r="B1973" s="38" t="str">
        <x:v>PG</x:v>
      </x:c>
      <x:c r="C1973" s="38" t="str">
        <x:v>Other FX</x:v>
      </x:c>
      <x:c r="D1973" s="30" t="n">
        <x:v>1</x:v>
      </x:c>
      <x:c r="E1973" s="38" t="str">
        <x:v>DKK/USD</x:v>
      </x:c>
      <x:c r="F1973" s="38" t="n">
        <x:v>-2.990615162</x:v>
      </x:c>
      <x:c r="G1973" s="38" t="n">
        <x:v>-0.9205932104</x:v>
      </x:c>
      <x:c r="H1973" s="42" t="b">
        <x:v>0</x:v>
      </x:c>
      <x:c r="I1973" s="42" t="b">
        <x:v>0</x:v>
      </x:c>
      <x:c r="J1973" s="38" t="n">
        <x:v>0.2550277176</x:v>
      </x:c>
    </x:row>
    <x:row r="1974" ht="19" customHeight="1">
      <x:c r="A1974" s="29" t="str">
        <x:v>stagger_1</x:v>
      </x:c>
      <x:c r="B1974" s="38" t="str">
        <x:v>PG</x:v>
      </x:c>
      <x:c r="C1974" s="38" t="str">
        <x:v>Other FX</x:v>
      </x:c>
      <x:c r="D1974" s="30" t="n">
        <x:v>1</x:v>
      </x:c>
      <x:c r="E1974" s="38" t="str">
        <x:v>EUR/USD</x:v>
      </x:c>
      <x:c r="F1974" s="38" t="n">
        <x:v>2.3736924382</x:v>
      </x:c>
      <x:c r="G1974" s="38" t="n">
        <x:v>0.7988167314</x:v>
      </x:c>
      <x:c r="H1974" s="42" t="b">
        <x:v>1</x:v>
      </x:c>
      <x:c r="I1974" s="42" t="b">
        <x:v>0</x:v>
      </x:c>
      <x:c r="J1974" s="38" t="n">
        <x:v>0.2550277176</x:v>
      </x:c>
    </x:row>
    <x:row r="1975" ht="19" customHeight="1">
      <x:c r="A1975" s="29" t="str">
        <x:v>stagger_1</x:v>
      </x:c>
      <x:c r="B1975" s="38" t="str">
        <x:v>PG</x:v>
      </x:c>
      <x:c r="C1975" s="38" t="str">
        <x:v>Other FX</x:v>
      </x:c>
      <x:c r="D1975" s="30" t="n">
        <x:v>1</x:v>
      </x:c>
      <x:c r="E1975" s="38" t="str">
        <x:v>MXN/USD</x:v>
      </x:c>
      <x:c r="F1975" s="38" t="n">
        <x:v>0.3249230898</x:v>
      </x:c>
      <x:c r="G1975" s="38" t="n">
        <x:v>1.3124816592</x:v>
      </x:c>
      <x:c r="H1975" s="42" t="b">
        <x:v>0</x:v>
      </x:c>
      <x:c r="I1975" s="42" t="b">
        <x:v>0</x:v>
      </x:c>
      <x:c r="J1975" s="38" t="n">
        <x:v>0.2550277176</x:v>
      </x:c>
    </x:row>
    <x:row r="1976" ht="19" customHeight="1">
      <x:c r="A1976" s="29" t="str">
        <x:v>stagger_1</x:v>
      </x:c>
      <x:c r="B1976" s="38" t="str">
        <x:v>PG</x:v>
      </x:c>
      <x:c r="C1976" s="38" t="str">
        <x:v>Other FX</x:v>
      </x:c>
      <x:c r="D1976" s="30" t="n">
        <x:v>1</x:v>
      </x:c>
      <x:c r="E1976" s="38" t="str">
        <x:v>SGD/USD</x:v>
      </x:c>
      <x:c r="F1976" s="38" t="n">
        <x:v>2.2467442007</x:v>
      </x:c>
      <x:c r="G1976" s="38" t="n">
        <x:v>2.4013517015</x:v>
      </x:c>
      <x:c r="H1976" s="42" t="b">
        <x:v>0</x:v>
      </x:c>
      <x:c r="I1976" s="42" t="b">
        <x:v>0</x:v>
      </x:c>
      <x:c r="J1976" s="38" t="n">
        <x:v>0.2550277176</x:v>
      </x:c>
    </x:row>
    <x:row r="1977" ht="19" customHeight="1">
      <x:c r="A1977" s="29" t="str">
        <x:v>stagger_1</x:v>
      </x:c>
      <x:c r="B1977" s="38" t="str">
        <x:v>PG</x:v>
      </x:c>
      <x:c r="C1977" s="38" t="str">
        <x:v>Other FX</x:v>
      </x:c>
      <x:c r="D1977" s="30" t="n">
        <x:v>2</x:v>
      </x:c>
      <x:c r="E1977" s="38" t="str">
        <x:v>AUD/USD</x:v>
      </x:c>
      <x:c r="F1977" s="38" t="n">
        <x:v>0.5251012096</x:v>
      </x:c>
      <x:c r="G1977" s="38" t="n">
        <x:v>1.3621988654</x:v>
      </x:c>
      <x:c r="H1977" s="42" t="b">
        <x:v>0</x:v>
      </x:c>
      <x:c r="I1977" s="42" t="b">
        <x:v>0</x:v>
      </x:c>
      <x:c r="J1977" s="38" t="n">
        <x:v>0.2485157601</x:v>
      </x:c>
    </x:row>
    <x:row r="1978" ht="19" customHeight="1">
      <x:c r="A1978" s="29" t="str">
        <x:v>stagger_1</x:v>
      </x:c>
      <x:c r="B1978" s="38" t="str">
        <x:v>PG</x:v>
      </x:c>
      <x:c r="C1978" s="38" t="str">
        <x:v>Other FX</x:v>
      </x:c>
      <x:c r="D1978" s="30" t="n">
        <x:v>2</x:v>
      </x:c>
      <x:c r="E1978" s="38" t="str">
        <x:v>CAD/USD</x:v>
      </x:c>
      <x:c r="F1978" s="38" t="n">
        <x:v>-1.0943499858</x:v>
      </x:c>
      <x:c r="G1978" s="38" t="n">
        <x:v>-2.3553271335</x:v>
      </x:c>
      <x:c r="H1978" s="42" t="b">
        <x:v>0</x:v>
      </x:c>
      <x:c r="I1978" s="42" t="b">
        <x:v>0</x:v>
      </x:c>
      <x:c r="J1978" s="38" t="n">
        <x:v>0.2485157601</x:v>
      </x:c>
    </x:row>
    <x:row r="1979" ht="19" customHeight="1">
      <x:c r="A1979" s="29" t="str">
        <x:v>stagger_1</x:v>
      </x:c>
      <x:c r="B1979" s="38" t="str">
        <x:v>PG</x:v>
      </x:c>
      <x:c r="C1979" s="38" t="str">
        <x:v>Other FX</x:v>
      </x:c>
      <x:c r="D1979" s="30" t="n">
        <x:v>2</x:v>
      </x:c>
      <x:c r="E1979" s="38" t="str">
        <x:v>DKK/USD</x:v>
      </x:c>
      <x:c r="F1979" s="38" t="n">
        <x:v>-0.4288044512</x:v>
      </x:c>
      <x:c r="G1979" s="38" t="n">
        <x:v>-0.8298143852</x:v>
      </x:c>
      <x:c r="H1979" s="42" t="b">
        <x:v>1</x:v>
      </x:c>
      <x:c r="I1979" s="42" t="b">
        <x:v>0</x:v>
      </x:c>
      <x:c r="J1979" s="38" t="n">
        <x:v>0.2485157601</x:v>
      </x:c>
    </x:row>
    <x:row r="1980" ht="19" customHeight="1">
      <x:c r="A1980" s="29" t="str">
        <x:v>stagger_1</x:v>
      </x:c>
      <x:c r="B1980" s="38" t="str">
        <x:v>PG</x:v>
      </x:c>
      <x:c r="C1980" s="38" t="str">
        <x:v>Other FX</x:v>
      </x:c>
      <x:c r="D1980" s="30" t="n">
        <x:v>2</x:v>
      </x:c>
      <x:c r="E1980" s="38" t="str">
        <x:v>MXN/USD</x:v>
      </x:c>
      <x:c r="F1980" s="38" t="n">
        <x:v>0.2729048446</x:v>
      </x:c>
      <x:c r="G1980" s="38" t="n">
        <x:v>1.1454019258</x:v>
      </x:c>
      <x:c r="H1980" s="42" t="b">
        <x:v>0</x:v>
      </x:c>
      <x:c r="I1980" s="42" t="b">
        <x:v>0</x:v>
      </x:c>
      <x:c r="J1980" s="38" t="n">
        <x:v>0.2485157601</x:v>
      </x:c>
    </x:row>
    <x:row r="1981" ht="19" customHeight="1">
      <x:c r="A1981" s="29" t="str">
        <x:v>stagger_1</x:v>
      </x:c>
      <x:c r="B1981" s="38" t="str">
        <x:v>PG</x:v>
      </x:c>
      <x:c r="C1981" s="38" t="str">
        <x:v>Other FX</x:v>
      </x:c>
      <x:c r="D1981" s="30" t="n">
        <x:v>2</x:v>
      </x:c>
      <x:c r="E1981" s="38" t="str">
        <x:v>SGD/USD</x:v>
      </x:c>
      <x:c r="F1981" s="38" t="n">
        <x:v>2.0239937978</x:v>
      </x:c>
      <x:c r="G1981" s="38" t="n">
        <x:v>2.2718284998</x:v>
      </x:c>
      <x:c r="H1981" s="42" t="b">
        <x:v>0</x:v>
      </x:c>
      <x:c r="I1981" s="42" t="b">
        <x:v>0</x:v>
      </x:c>
      <x:c r="J1981" s="38" t="n">
        <x:v>0.2485157601</x:v>
      </x:c>
    </x:row>
    <x:row r="1982" ht="19" customHeight="1">
      <x:c r="A1982" s="29" t="str">
        <x:v>stagger_1</x:v>
      </x:c>
      <x:c r="B1982" s="38" t="str">
        <x:v>PG</x:v>
      </x:c>
      <x:c r="C1982" s="38" t="str">
        <x:v>Other FX</x:v>
      </x:c>
      <x:c r="D1982" s="30" t="n">
        <x:v>3</x:v>
      </x:c>
      <x:c r="E1982" s="38" t="str">
        <x:v>AUD/USD</x:v>
      </x:c>
      <x:c r="F1982" s="38" t="n">
        <x:v>0.5296082302</x:v>
      </x:c>
      <x:c r="G1982" s="38" t="n">
        <x:v>1.3768886817</x:v>
      </x:c>
      <x:c r="H1982" s="42" t="b">
        <x:v>0</x:v>
      </x:c>
      <x:c r="I1982" s="42" t="b">
        <x:v>0</x:v>
      </x:c>
      <x:c r="J1982" s="38" t="n">
        <x:v>0.2415229767</x:v>
      </x:c>
    </x:row>
    <x:row r="1983" ht="19" customHeight="1">
      <x:c r="A1983" s="29" t="str">
        <x:v>stagger_1</x:v>
      </x:c>
      <x:c r="B1983" s="38" t="str">
        <x:v>PG</x:v>
      </x:c>
      <x:c r="C1983" s="38" t="str">
        <x:v>Other FX</x:v>
      </x:c>
      <x:c r="D1983" s="30" t="n">
        <x:v>3</x:v>
      </x:c>
      <x:c r="E1983" s="38" t="str">
        <x:v>CAD/USD</x:v>
      </x:c>
      <x:c r="F1983" s="38" t="n">
        <x:v>-1.1901634836</x:v>
      </x:c>
      <x:c r="G1983" s="38" t="n">
        <x:v>-2.6500086631</x:v>
      </x:c>
      <x:c r="H1983" s="42" t="b">
        <x:v>0</x:v>
      </x:c>
      <x:c r="I1983" s="42" t="b">
        <x:v>0</x:v>
      </x:c>
      <x:c r="J1983" s="38" t="n">
        <x:v>0.2415229767</x:v>
      </x:c>
    </x:row>
    <x:row r="1984" ht="19" customHeight="1">
      <x:c r="A1984" s="29" t="str">
        <x:v>stagger_1</x:v>
      </x:c>
      <x:c r="B1984" s="38" t="str">
        <x:v>PG</x:v>
      </x:c>
      <x:c r="C1984" s="38" t="str">
        <x:v>Other FX</x:v>
      </x:c>
      <x:c r="D1984" s="30" t="n">
        <x:v>3</x:v>
      </x:c>
      <x:c r="E1984" s="38" t="str">
        <x:v>MXN/USD</x:v>
      </x:c>
      <x:c r="F1984" s="38" t="n">
        <x:v>0.2178913454</x:v>
      </x:c>
      <x:c r="G1984" s="38" t="n">
        <x:v>0.9540888626</x:v>
      </x:c>
      <x:c r="H1984" s="42" t="b">
        <x:v>1</x:v>
      </x:c>
      <x:c r="I1984" s="42" t="b">
        <x:v>0</x:v>
      </x:c>
      <x:c r="J1984" s="38" t="n">
        <x:v>0.2415229767</x:v>
      </x:c>
    </x:row>
    <x:row r="1985" ht="19" customHeight="1">
      <x:c r="A1985" s="29" t="str">
        <x:v>stagger_1</x:v>
      </x:c>
      <x:c r="B1985" s="38" t="str">
        <x:v>PG</x:v>
      </x:c>
      <x:c r="C1985" s="38" t="str">
        <x:v>Other FX</x:v>
      </x:c>
      <x:c r="D1985" s="30" t="n">
        <x:v>3</x:v>
      </x:c>
      <x:c r="E1985" s="38" t="str">
        <x:v>SGD/USD</x:v>
      </x:c>
      <x:c r="F1985" s="38" t="n">
        <x:v>1.58743738</x:v>
      </x:c>
      <x:c r="G1985" s="38" t="n">
        <x:v>2.2124620181</x:v>
      </x:c>
      <x:c r="H1985" s="42" t="b">
        <x:v>0</x:v>
      </x:c>
      <x:c r="I1985" s="42" t="b">
        <x:v>0</x:v>
      </x:c>
      <x:c r="J1985" s="38" t="n">
        <x:v>0.2415229767</x:v>
      </x:c>
    </x:row>
    <x:row r="1986" ht="19" customHeight="1">
      <x:c r="A1986" s="29" t="str">
        <x:v>stagger_1</x:v>
      </x:c>
      <x:c r="B1986" s="38" t="str">
        <x:v>PG</x:v>
      </x:c>
      <x:c r="C1986" s="38" t="str">
        <x:v>Other FX</x:v>
      </x:c>
      <x:c r="D1986" s="30" t="n">
        <x:v>4</x:v>
      </x:c>
      <x:c r="E1986" s="38" t="str">
        <x:v>AUD/USD</x:v>
      </x:c>
      <x:c r="F1986" s="38" t="n">
        <x:v>0.6021197464</x:v>
      </x:c>
      <x:c r="G1986" s="38" t="n">
        <x:v>1.5978319531</x:v>
      </x:c>
      <x:c r="H1986" s="42" t="b">
        <x:v>1</x:v>
      </x:c>
      <x:c r="I1986" s="42" t="b">
        <x:v>0</x:v>
      </x:c>
      <x:c r="J1986" s="38" t="n">
        <x:v>0.2323172343</x:v>
      </x:c>
    </x:row>
    <x:row r="1987" ht="19" customHeight="1">
      <x:c r="A1987" s="29" t="str">
        <x:v>stagger_1</x:v>
      </x:c>
      <x:c r="B1987" s="38" t="str">
        <x:v>PG</x:v>
      </x:c>
      <x:c r="C1987" s="38" t="str">
        <x:v>Other FX</x:v>
      </x:c>
      <x:c r="D1987" s="30" t="n">
        <x:v>4</x:v>
      </x:c>
      <x:c r="E1987" s="38" t="str">
        <x:v>CAD/USD</x:v>
      </x:c>
      <x:c r="F1987" s="38" t="n">
        <x:v>-1.1602534283</x:v>
      </x:c>
      <x:c r="G1987" s="38" t="n">
        <x:v>-2.5912577787</x:v>
      </x:c>
      <x:c r="H1987" s="42" t="b">
        <x:v>0</x:v>
      </x:c>
      <x:c r="I1987" s="42" t="b">
        <x:v>0</x:v>
      </x:c>
      <x:c r="J1987" s="38" t="n">
        <x:v>0.2323172343</x:v>
      </x:c>
    </x:row>
    <x:row r="1988" ht="19" customHeight="1">
      <x:c r="A1988" s="29" t="str">
        <x:v>stagger_1</x:v>
      </x:c>
      <x:c r="B1988" s="38" t="str">
        <x:v>PG</x:v>
      </x:c>
      <x:c r="C1988" s="38" t="str">
        <x:v>Other FX</x:v>
      </x:c>
      <x:c r="D1988" s="30" t="n">
        <x:v>4</x:v>
      </x:c>
      <x:c r="E1988" s="38" t="str">
        <x:v>SGD/USD</x:v>
      </x:c>
      <x:c r="F1988" s="38" t="n">
        <x:v>1.7045757617</x:v>
      </x:c>
      <x:c r="G1988" s="38" t="n">
        <x:v>2.4127101303</x:v>
      </x:c>
      <x:c r="H1988" s="42" t="b">
        <x:v>0</x:v>
      </x:c>
      <x:c r="I1988" s="42" t="b">
        <x:v>0</x:v>
      </x:c>
      <x:c r="J1988" s="38" t="n">
        <x:v>0.2323172343</x:v>
      </x:c>
    </x:row>
    <x:row r="1989" ht="19" customHeight="1">
      <x:c r="A1989" s="29" t="str">
        <x:v>stagger_1</x:v>
      </x:c>
      <x:c r="B1989" s="38" t="str">
        <x:v>PG</x:v>
      </x:c>
      <x:c r="C1989" s="38" t="str">
        <x:v>Other FX</x:v>
      </x:c>
      <x:c r="D1989" s="30" t="n">
        <x:v>5</x:v>
      </x:c>
      <x:c r="E1989" s="38" t="str">
        <x:v>CAD/USD</x:v>
      </x:c>
      <x:c r="F1989" s="38" t="n">
        <x:v>-0.9687631594</x:v>
      </x:c>
      <x:c r="G1989" s="38" t="n">
        <x:v>-2.2232106375</x:v>
      </x:c>
      <x:c r="H1989" s="42" t="b">
        <x:v>0</x:v>
      </x:c>
      <x:c r="I1989" s="42" t="b">
        <x:v>1</x:v>
      </x:c>
      <x:c r="J1989" s="38" t="n">
        <x:v>0.2065284777</x:v>
      </x:c>
    </x:row>
    <x:row r="1990" ht="19" customHeight="1">
      <x:c r="A1990" s="29" t="str">
        <x:v>stagger_1</x:v>
      </x:c>
      <x:c r="B1990" s="38" t="str">
        <x:v>PG</x:v>
      </x:c>
      <x:c r="C1990" s="38" t="str">
        <x:v>Other FX</x:v>
      </x:c>
      <x:c r="D1990" s="30" t="n">
        <x:v>5</x:v>
      </x:c>
      <x:c r="E1990" s="38" t="str">
        <x:v>SGD/USD</x:v>
      </x:c>
      <x:c r="F1990" s="38" t="n">
        <x:v>2.4338357843</x:v>
      </x:c>
      <x:c r="G1990" s="38" t="n">
        <x:v>4.4682021792</x:v>
      </x:c>
      <x:c r="H1990" s="42" t="b">
        <x:v>0</x:v>
      </x:c>
      <x:c r="I1990" s="42" t="b">
        <x:v>1</x:v>
      </x:c>
      <x:c r="J1990" s="38" t="n">
        <x:v>0.2065284777</x:v>
      </x:c>
    </x:row>
    <x:row r="1991" ht="19" customHeight="1">
      <x:c r="A1991" s="29" t="str">
        <x:v>stagger_1</x:v>
      </x:c>
      <x:c r="B1991" s="38" t="str">
        <x:v>PG</x:v>
      </x:c>
      <x:c r="C1991" s="38" t="str">
        <x:v>Other sectors</x:v>
      </x:c>
      <x:c r="D1991" s="30" t="n">
        <x:v>1</x:v>
      </x:c>
      <x:c r="E1991" s="38" t="str">
        <x:v>XLB</x:v>
      </x:c>
      <x:c r="F1991" s="38" t="n">
        <x:v>0.0456124133</x:v>
      </x:c>
      <x:c r="G1991" s="38" t="n">
        <x:v>0.2358584179</x:v>
      </x:c>
      <x:c r="H1991" s="42" t="b">
        <x:v>0</x:v>
      </x:c>
      <x:c r="I1991" s="42" t="b">
        <x:v>0</x:v>
      </x:c>
      <x:c r="J1991" s="38" t="n">
        <x:v>0.0852050006</x:v>
      </x:c>
    </x:row>
    <x:row r="1992" ht="19" customHeight="1">
      <x:c r="A1992" s="29" t="str">
        <x:v>stagger_1</x:v>
      </x:c>
      <x:c r="B1992" s="38" t="str">
        <x:v>PG</x:v>
      </x:c>
      <x:c r="C1992" s="38" t="str">
        <x:v>Other sectors</x:v>
      </x:c>
      <x:c r="D1992" s="30" t="n">
        <x:v>1</x:v>
      </x:c>
      <x:c r="E1992" s="38" t="str">
        <x:v>XLC</x:v>
      </x:c>
      <x:c r="F1992" s="38" t="n">
        <x:v>-0.0635923323</x:v>
      </x:c>
      <x:c r="G1992" s="38" t="n">
        <x:v>-0.3428265505</x:v>
      </x:c>
      <x:c r="H1992" s="42" t="b">
        <x:v>0</x:v>
      </x:c>
      <x:c r="I1992" s="42" t="b">
        <x:v>0</x:v>
      </x:c>
      <x:c r="J1992" s="38" t="n">
        <x:v>0.0852050006</x:v>
      </x:c>
    </x:row>
    <x:row r="1993" ht="19" customHeight="1">
      <x:c r="A1993" s="29" t="str">
        <x:v>stagger_1</x:v>
      </x:c>
      <x:c r="B1993" s="38" t="str">
        <x:v>PG</x:v>
      </x:c>
      <x:c r="C1993" s="38" t="str">
        <x:v>Other sectors</x:v>
      </x:c>
      <x:c r="D1993" s="30" t="n">
        <x:v>1</x:v>
      </x:c>
      <x:c r="E1993" s="38" t="str">
        <x:v>XLE</x:v>
      </x:c>
      <x:c r="F1993" s="38" t="n">
        <x:v>-0.0806773161</x:v>
      </x:c>
      <x:c r="G1993" s="38" t="n">
        <x:v>-1.1225815904</x:v>
      </x:c>
      <x:c r="H1993" s="42" t="b">
        <x:v>0</x:v>
      </x:c>
      <x:c r="I1993" s="42" t="b">
        <x:v>0</x:v>
      </x:c>
      <x:c r="J1993" s="38" t="n">
        <x:v>0.0852050006</x:v>
      </x:c>
    </x:row>
    <x:row r="1994" ht="19" customHeight="1">
      <x:c r="A1994" s="29" t="str">
        <x:v>stagger_1</x:v>
      </x:c>
      <x:c r="B1994" s="38" t="str">
        <x:v>PG</x:v>
      </x:c>
      <x:c r="C1994" s="38" t="str">
        <x:v>Other sectors</x:v>
      </x:c>
      <x:c r="D1994" s="30" t="n">
        <x:v>1</x:v>
      </x:c>
      <x:c r="E1994" s="38" t="str">
        <x:v>XLF</x:v>
      </x:c>
      <x:c r="F1994" s="38" t="n">
        <x:v>-0.0191998657</x:v>
      </x:c>
      <x:c r="G1994" s="38" t="n">
        <x:v>-0.1034489385</x:v>
      </x:c>
      <x:c r="H1994" s="42" t="b">
        <x:v>1</x:v>
      </x:c>
      <x:c r="I1994" s="42" t="b">
        <x:v>0</x:v>
      </x:c>
      <x:c r="J1994" s="38" t="n">
        <x:v>0.0852050006</x:v>
      </x:c>
    </x:row>
    <x:row r="1995" ht="19" customHeight="1">
      <x:c r="A1995" s="29" t="str">
        <x:v>stagger_1</x:v>
      </x:c>
      <x:c r="B1995" s="38" t="str">
        <x:v>PG</x:v>
      </x:c>
      <x:c r="C1995" s="38" t="str">
        <x:v>Other sectors</x:v>
      </x:c>
      <x:c r="D1995" s="30" t="n">
        <x:v>1</x:v>
      </x:c>
      <x:c r="E1995" s="38" t="str">
        <x:v>XLI</x:v>
      </x:c>
      <x:c r="F1995" s="38" t="n">
        <x:v>0.1685122978</x:v>
      </x:c>
      <x:c r="G1995" s="38" t="n">
        <x:v>0.6784168541</x:v>
      </x:c>
      <x:c r="H1995" s="42" t="b">
        <x:v>0</x:v>
      </x:c>
      <x:c r="I1995" s="42" t="b">
        <x:v>0</x:v>
      </x:c>
      <x:c r="J1995" s="38" t="n">
        <x:v>0.0852050006</x:v>
      </x:c>
    </x:row>
    <x:row r="1996" ht="19" customHeight="1">
      <x:c r="A1996" s="29" t="str">
        <x:v>stagger_1</x:v>
      </x:c>
      <x:c r="B1996" s="38" t="str">
        <x:v>PG</x:v>
      </x:c>
      <x:c r="C1996" s="38" t="str">
        <x:v>Other sectors</x:v>
      </x:c>
      <x:c r="D1996" s="30" t="n">
        <x:v>1</x:v>
      </x:c>
      <x:c r="E1996" s="38" t="str">
        <x:v>XLK</x:v>
      </x:c>
      <x:c r="F1996" s="38" t="n">
        <x:v>0.0549405232</x:v>
      </x:c>
      <x:c r="G1996" s="38" t="n">
        <x:v>0.1883069815</x:v>
      </x:c>
      <x:c r="H1996" s="42" t="b">
        <x:v>0</x:v>
      </x:c>
      <x:c r="I1996" s="42" t="b">
        <x:v>0</x:v>
      </x:c>
      <x:c r="J1996" s="38" t="n">
        <x:v>0.0852050006</x:v>
      </x:c>
    </x:row>
    <x:row r="1997" ht="19" customHeight="1">
      <x:c r="A1997" s="29" t="str">
        <x:v>stagger_1</x:v>
      </x:c>
      <x:c r="B1997" s="38" t="str">
        <x:v>PG</x:v>
      </x:c>
      <x:c r="C1997" s="38" t="str">
        <x:v>Other sectors</x:v>
      </x:c>
      <x:c r="D1997" s="30" t="n">
        <x:v>1</x:v>
      </x:c>
      <x:c r="E1997" s="38" t="str">
        <x:v>XLRE</x:v>
      </x:c>
      <x:c r="F1997" s="38" t="n">
        <x:v>-0.03603255</x:v>
      </x:c>
      <x:c r="G1997" s="38" t="n">
        <x:v>-0.2314294731</x:v>
      </x:c>
      <x:c r="H1997" s="42" t="b">
        <x:v>0</x:v>
      </x:c>
      <x:c r="I1997" s="42" t="b">
        <x:v>0</x:v>
      </x:c>
      <x:c r="J1997" s="38" t="n">
        <x:v>0.0852050006</x:v>
      </x:c>
    </x:row>
    <x:row r="1998" ht="19" customHeight="1">
      <x:c r="A1998" s="29" t="str">
        <x:v>stagger_1</x:v>
      </x:c>
      <x:c r="B1998" s="38" t="str">
        <x:v>PG</x:v>
      </x:c>
      <x:c r="C1998" s="38" t="str">
        <x:v>Other sectors</x:v>
      </x:c>
      <x:c r="D1998" s="30" t="n">
        <x:v>1</x:v>
      </x:c>
      <x:c r="E1998" s="38" t="str">
        <x:v>XLU</x:v>
      </x:c>
      <x:c r="F1998" s="38" t="n">
        <x:v>-0.0196187146</x:v>
      </x:c>
      <x:c r="G1998" s="38" t="n">
        <x:v>-0.151086526</x:v>
      </x:c>
      <x:c r="H1998" s="42" t="b">
        <x:v>0</x:v>
      </x:c>
      <x:c r="I1998" s="42" t="b">
        <x:v>0</x:v>
      </x:c>
      <x:c r="J1998" s="38" t="n">
        <x:v>0.0852050006</x:v>
      </x:c>
    </x:row>
    <x:row r="1999" ht="19" customHeight="1">
      <x:c r="A1999" s="29" t="str">
        <x:v>stagger_1</x:v>
      </x:c>
      <x:c r="B1999" s="38" t="str">
        <x:v>PG</x:v>
      </x:c>
      <x:c r="C1999" s="38" t="str">
        <x:v>Other sectors</x:v>
      </x:c>
      <x:c r="D1999" s="30" t="n">
        <x:v>1</x:v>
      </x:c>
      <x:c r="E1999" s="38" t="str">
        <x:v>XLV</x:v>
      </x:c>
      <x:c r="F1999" s="38" t="n">
        <x:v>-0.0658049819</x:v>
      </x:c>
      <x:c r="G1999" s="38" t="n">
        <x:v>-0.3708629866</x:v>
      </x:c>
      <x:c r="H1999" s="42" t="b">
        <x:v>0</x:v>
      </x:c>
      <x:c r="I1999" s="42" t="b">
        <x:v>0</x:v>
      </x:c>
      <x:c r="J1999" s="38" t="n">
        <x:v>0.0852050006</x:v>
      </x:c>
    </x:row>
    <x:row r="2000" ht="19" customHeight="1">
      <x:c r="A2000" s="29" t="str">
        <x:v>stagger_1</x:v>
      </x:c>
      <x:c r="B2000" s="38" t="str">
        <x:v>PG</x:v>
      </x:c>
      <x:c r="C2000" s="38" t="str">
        <x:v>Other sectors</x:v>
      </x:c>
      <x:c r="D2000" s="30" t="n">
        <x:v>1</x:v>
      </x:c>
      <x:c r="E2000" s="38" t="str">
        <x:v>XLY</x:v>
      </x:c>
      <x:c r="F2000" s="38" t="n">
        <x:v>0.1616657457</x:v>
      </x:c>
      <x:c r="G2000" s="38" t="n">
        <x:v>0.8413537843</x:v>
      </x:c>
      <x:c r="H2000" s="42" t="b">
        <x:v>0</x:v>
      </x:c>
      <x:c r="I2000" s="42" t="b">
        <x:v>0</x:v>
      </x:c>
      <x:c r="J2000" s="38" t="n">
        <x:v>0.0852050006</x:v>
      </x:c>
    </x:row>
    <x:row r="2001" ht="19" customHeight="1">
      <x:c r="A2001" s="29" t="str">
        <x:v>stagger_1</x:v>
      </x:c>
      <x:c r="B2001" s="38" t="str">
        <x:v>PG</x:v>
      </x:c>
      <x:c r="C2001" s="38" t="str">
        <x:v>Other sectors</x:v>
      </x:c>
      <x:c r="D2001" s="30" t="n">
        <x:v>2</x:v>
      </x:c>
      <x:c r="E2001" s="38" t="str">
        <x:v>XLB</x:v>
      </x:c>
      <x:c r="F2001" s="38" t="n">
        <x:v>0.0448468382</x:v>
      </x:c>
      <x:c r="G2001" s="38" t="n">
        <x:v>0.2337271601</x:v>
      </x:c>
      <x:c r="H2001" s="42" t="b">
        <x:v>0</x:v>
      </x:c>
      <x:c r="I2001" s="42" t="b">
        <x:v>0</x:v>
      </x:c>
      <x:c r="J2001" s="38" t="n">
        <x:v>0.0850631187</x:v>
      </x:c>
    </x:row>
    <x:row r="2002" ht="19" customHeight="1">
      <x:c r="A2002" s="29" t="str">
        <x:v>stagger_1</x:v>
      </x:c>
      <x:c r="B2002" s="38" t="str">
        <x:v>PG</x:v>
      </x:c>
      <x:c r="C2002" s="38" t="str">
        <x:v>Other sectors</x:v>
      </x:c>
      <x:c r="D2002" s="30" t="n">
        <x:v>2</x:v>
      </x:c>
      <x:c r="E2002" s="38" t="str">
        <x:v>XLC</x:v>
      </x:c>
      <x:c r="F2002" s="38" t="n">
        <x:v>-0.0584891134</x:v>
      </x:c>
      <x:c r="G2002" s="38" t="n">
        <x:v>-0.329430276</x:v>
      </x:c>
      <x:c r="H2002" s="42" t="b">
        <x:v>0</x:v>
      </x:c>
      <x:c r="I2002" s="42" t="b">
        <x:v>0</x:v>
      </x:c>
      <x:c r="J2002" s="38" t="n">
        <x:v>0.0850631187</x:v>
      </x:c>
    </x:row>
    <x:row r="2003" ht="19" customHeight="1">
      <x:c r="A2003" s="29" t="str">
        <x:v>stagger_1</x:v>
      </x:c>
      <x:c r="B2003" s="38" t="str">
        <x:v>PG</x:v>
      </x:c>
      <x:c r="C2003" s="38" t="str">
        <x:v>Other sectors</x:v>
      </x:c>
      <x:c r="D2003" s="30" t="n">
        <x:v>2</x:v>
      </x:c>
      <x:c r="E2003" s="38" t="str">
        <x:v>XLE</x:v>
      </x:c>
      <x:c r="F2003" s="38" t="n">
        <x:v>-0.0798275501</x:v>
      </x:c>
      <x:c r="G2003" s="38" t="n">
        <x:v>-1.126070549</x:v>
      </x:c>
      <x:c r="H2003" s="42" t="b">
        <x:v>0</x:v>
      </x:c>
      <x:c r="I2003" s="42" t="b">
        <x:v>0</x:v>
      </x:c>
      <x:c r="J2003" s="38" t="n">
        <x:v>0.0850631187</x:v>
      </x:c>
    </x:row>
    <x:row r="2004" ht="19" customHeight="1">
      <x:c r="A2004" s="29" t="str">
        <x:v>stagger_1</x:v>
      </x:c>
      <x:c r="B2004" s="38" t="str">
        <x:v>PG</x:v>
      </x:c>
      <x:c r="C2004" s="38" t="str">
        <x:v>Other sectors</x:v>
      </x:c>
      <x:c r="D2004" s="30" t="n">
        <x:v>2</x:v>
      </x:c>
      <x:c r="E2004" s="38" t="str">
        <x:v>XLI</x:v>
      </x:c>
      <x:c r="F2004" s="38" t="n">
        <x:v>0.1678728261</x:v>
      </x:c>
      <x:c r="G2004" s="38" t="n">
        <x:v>0.6808802787</x:v>
      </x:c>
      <x:c r="H2004" s="42" t="b">
        <x:v>0</x:v>
      </x:c>
      <x:c r="I2004" s="42" t="b">
        <x:v>0</x:v>
      </x:c>
      <x:c r="J2004" s="38" t="n">
        <x:v>0.0850631187</x:v>
      </x:c>
    </x:row>
    <x:row r="2005" ht="19" customHeight="1">
      <x:c r="A2005" s="29" t="str">
        <x:v>stagger_1</x:v>
      </x:c>
      <x:c r="B2005" s="38" t="str">
        <x:v>PG</x:v>
      </x:c>
      <x:c r="C2005" s="38" t="str">
        <x:v>Other sectors</x:v>
      </x:c>
      <x:c r="D2005" s="30" t="n">
        <x:v>2</x:v>
      </x:c>
      <x:c r="E2005" s="38" t="str">
        <x:v>XLK</x:v>
      </x:c>
      <x:c r="F2005" s="38" t="n">
        <x:v>0.0722708</x:v>
      </x:c>
      <x:c r="G2005" s="38" t="n">
        <x:v>0.3047119888</x:v>
      </x:c>
      <x:c r="H2005" s="42" t="b">
        <x:v>0</x:v>
      </x:c>
      <x:c r="I2005" s="42" t="b">
        <x:v>0</x:v>
      </x:c>
      <x:c r="J2005" s="38" t="n">
        <x:v>0.0850631187</x:v>
      </x:c>
    </x:row>
    <x:row r="2006" ht="19" customHeight="1">
      <x:c r="A2006" s="29" t="str">
        <x:v>stagger_1</x:v>
      </x:c>
      <x:c r="B2006" s="38" t="str">
        <x:v>PG</x:v>
      </x:c>
      <x:c r="C2006" s="38" t="str">
        <x:v>Other sectors</x:v>
      </x:c>
      <x:c r="D2006" s="30" t="n">
        <x:v>2</x:v>
      </x:c>
      <x:c r="E2006" s="38" t="str">
        <x:v>XLRE</x:v>
      </x:c>
      <x:c r="F2006" s="38" t="n">
        <x:v>-0.0363246668</x:v>
      </x:c>
      <x:c r="G2006" s="38" t="n">
        <x:v>-0.2350106509</x:v>
      </x:c>
      <x:c r="H2006" s="42" t="b">
        <x:v>0</x:v>
      </x:c>
      <x:c r="I2006" s="42" t="b">
        <x:v>0</x:v>
      </x:c>
      <x:c r="J2006" s="38" t="n">
        <x:v>0.0850631187</x:v>
      </x:c>
    </x:row>
    <x:row r="2007" ht="19" customHeight="1">
      <x:c r="A2007" s="29" t="str">
        <x:v>stagger_1</x:v>
      </x:c>
      <x:c r="B2007" s="38" t="str">
        <x:v>PG</x:v>
      </x:c>
      <x:c r="C2007" s="38" t="str">
        <x:v>Other sectors</x:v>
      </x:c>
      <x:c r="D2007" s="30" t="n">
        <x:v>2</x:v>
      </x:c>
      <x:c r="E2007" s="38" t="str">
        <x:v>XLU</x:v>
      </x:c>
      <x:c r="F2007" s="38" t="n">
        <x:v>-0.015911474</x:v>
      </x:c>
      <x:c r="G2007" s="38" t="n">
        <x:v>-0.1283983295</x:v>
      </x:c>
      <x:c r="H2007" s="42" t="b">
        <x:v>1</x:v>
      </x:c>
      <x:c r="I2007" s="42" t="b">
        <x:v>0</x:v>
      </x:c>
      <x:c r="J2007" s="38" t="n">
        <x:v>0.0850631187</x:v>
      </x:c>
    </x:row>
    <x:row r="2008" ht="19" customHeight="1">
      <x:c r="A2008" s="29" t="str">
        <x:v>stagger_1</x:v>
      </x:c>
      <x:c r="B2008" s="38" t="str">
        <x:v>PG</x:v>
      </x:c>
      <x:c r="C2008" s="38" t="str">
        <x:v>Other sectors</x:v>
      </x:c>
      <x:c r="D2008" s="30" t="n">
        <x:v>2</x:v>
      </x:c>
      <x:c r="E2008" s="38" t="str">
        <x:v>XLV</x:v>
      </x:c>
      <x:c r="F2008" s="38" t="n">
        <x:v>-0.0610226548</x:v>
      </x:c>
      <x:c r="G2008" s="38" t="n">
        <x:v>-0.3587570834</x:v>
      </x:c>
      <x:c r="H2008" s="42" t="b">
        <x:v>0</x:v>
      </x:c>
      <x:c r="I2008" s="42" t="b">
        <x:v>0</x:v>
      </x:c>
      <x:c r="J2008" s="38" t="n">
        <x:v>0.0850631187</x:v>
      </x:c>
    </x:row>
    <x:row r="2009" ht="19" customHeight="1">
      <x:c r="A2009" s="29" t="str">
        <x:v>stagger_1</x:v>
      </x:c>
      <x:c r="B2009" s="38" t="str">
        <x:v>PG</x:v>
      </x:c>
      <x:c r="C2009" s="38" t="str">
        <x:v>Other sectors</x:v>
      </x:c>
      <x:c r="D2009" s="30" t="n">
        <x:v>2</x:v>
      </x:c>
      <x:c r="E2009" s="38" t="str">
        <x:v>XLY</x:v>
      </x:c>
      <x:c r="F2009" s="38" t="n">
        <x:v>0.1664577515</x:v>
      </x:c>
      <x:c r="G2009" s="38" t="n">
        <x:v>0.8989944422</x:v>
      </x:c>
      <x:c r="H2009" s="42" t="b">
        <x:v>0</x:v>
      </x:c>
      <x:c r="I2009" s="42" t="b">
        <x:v>0</x:v>
      </x:c>
      <x:c r="J2009" s="38" t="n">
        <x:v>0.0850631187</x:v>
      </x:c>
    </x:row>
    <x:row r="2010" ht="19" customHeight="1">
      <x:c r="A2010" s="29" t="str">
        <x:v>stagger_1</x:v>
      </x:c>
      <x:c r="B2010" s="38" t="str">
        <x:v>PG</x:v>
      </x:c>
      <x:c r="C2010" s="38" t="str">
        <x:v>Other sectors</x:v>
      </x:c>
      <x:c r="D2010" s="30" t="n">
        <x:v>3</x:v>
      </x:c>
      <x:c r="E2010" s="38" t="str">
        <x:v>XLB</x:v>
      </x:c>
      <x:c r="F2010" s="38" t="n">
        <x:v>0.0441045149</x:v>
      </x:c>
      <x:c r="G2010" s="38" t="n">
        <x:v>0.2315723223</x:v>
      </x:c>
      <x:c r="H2010" s="42" t="b">
        <x:v>1</x:v>
      </x:c>
      <x:c r="I2010" s="42" t="b">
        <x:v>0</x:v>
      </x:c>
      <x:c r="J2010" s="38" t="n">
        <x:v>0.0848476363</x:v>
      </x:c>
    </x:row>
    <x:row r="2011" ht="19" customHeight="1">
      <x:c r="A2011" s="29" t="str">
        <x:v>stagger_1</x:v>
      </x:c>
      <x:c r="B2011" s="38" t="str">
        <x:v>PG</x:v>
      </x:c>
      <x:c r="C2011" s="38" t="str">
        <x:v>Other sectors</x:v>
      </x:c>
      <x:c r="D2011" s="30" t="n">
        <x:v>3</x:v>
      </x:c>
      <x:c r="E2011" s="38" t="str">
        <x:v>XLC</x:v>
      </x:c>
      <x:c r="F2011" s="38" t="n">
        <x:v>-0.0549862304</x:v>
      </x:c>
      <x:c r="G2011" s="38" t="n">
        <x:v>-0.3156166743</x:v>
      </x:c>
      <x:c r="H2011" s="42" t="b">
        <x:v>0</x:v>
      </x:c>
      <x:c r="I2011" s="42" t="b">
        <x:v>0</x:v>
      </x:c>
      <x:c r="J2011" s="38" t="n">
        <x:v>0.0848476363</x:v>
      </x:c>
    </x:row>
    <x:row r="2012" ht="19" customHeight="1">
      <x:c r="A2012" s="29" t="str">
        <x:v>stagger_1</x:v>
      </x:c>
      <x:c r="B2012" s="38" t="str">
        <x:v>PG</x:v>
      </x:c>
      <x:c r="C2012" s="38" t="str">
        <x:v>Other sectors</x:v>
      </x:c>
      <x:c r="D2012" s="30" t="n">
        <x:v>3</x:v>
      </x:c>
      <x:c r="E2012" s="38" t="str">
        <x:v>XLE</x:v>
      </x:c>
      <x:c r="F2012" s="38" t="n">
        <x:v>-0.0785280231</x:v>
      </x:c>
      <x:c r="G2012" s="38" t="n">
        <x:v>-1.1270376467</x:v>
      </x:c>
      <x:c r="H2012" s="42" t="b">
        <x:v>0</x:v>
      </x:c>
      <x:c r="I2012" s="42" t="b">
        <x:v>0</x:v>
      </x:c>
      <x:c r="J2012" s="38" t="n">
        <x:v>0.0848476363</x:v>
      </x:c>
    </x:row>
    <x:row r="2013" ht="19" customHeight="1">
      <x:c r="A2013" s="29" t="str">
        <x:v>stagger_1</x:v>
      </x:c>
      <x:c r="B2013" s="38" t="str">
        <x:v>PG</x:v>
      </x:c>
      <x:c r="C2013" s="38" t="str">
        <x:v>Other sectors</x:v>
      </x:c>
      <x:c r="D2013" s="30" t="n">
        <x:v>3</x:v>
      </x:c>
      <x:c r="E2013" s="38" t="str">
        <x:v>XLI</x:v>
      </x:c>
      <x:c r="F2013" s="38" t="n">
        <x:v>0.1648496085</x:v>
      </x:c>
      <x:c r="G2013" s="38" t="n">
        <x:v>0.6763893926</x:v>
      </x:c>
      <x:c r="H2013" s="42" t="b">
        <x:v>0</x:v>
      </x:c>
      <x:c r="I2013" s="42" t="b">
        <x:v>0</x:v>
      </x:c>
      <x:c r="J2013" s="38" t="n">
        <x:v>0.0848476363</x:v>
      </x:c>
    </x:row>
    <x:row r="2014" ht="19" customHeight="1">
      <x:c r="A2014" s="29" t="str">
        <x:v>stagger_1</x:v>
      </x:c>
      <x:c r="B2014" s="38" t="str">
        <x:v>PG</x:v>
      </x:c>
      <x:c r="C2014" s="38" t="str">
        <x:v>Other sectors</x:v>
      </x:c>
      <x:c r="D2014" s="30" t="n">
        <x:v>3</x:v>
      </x:c>
      <x:c r="E2014" s="38" t="str">
        <x:v>XLK</x:v>
      </x:c>
      <x:c r="F2014" s="38" t="n">
        <x:v>0.0785204765</x:v>
      </x:c>
      <x:c r="G2014" s="38" t="n">
        <x:v>0.3406294726</x:v>
      </x:c>
      <x:c r="H2014" s="42" t="b">
        <x:v>0</x:v>
      </x:c>
      <x:c r="I2014" s="42" t="b">
        <x:v>0</x:v>
      </x:c>
      <x:c r="J2014" s="38" t="n">
        <x:v>0.0848476363</x:v>
      </x:c>
    </x:row>
    <x:row r="2015" ht="19" customHeight="1">
      <x:c r="A2015" s="29" t="str">
        <x:v>stagger_1</x:v>
      </x:c>
      <x:c r="B2015" s="38" t="str">
        <x:v>PG</x:v>
      </x:c>
      <x:c r="C2015" s="38" t="str">
        <x:v>Other sectors</x:v>
      </x:c>
      <x:c r="D2015" s="30" t="n">
        <x:v>3</x:v>
      </x:c>
      <x:c r="E2015" s="38" t="str">
        <x:v>XLRE</x:v>
      </x:c>
      <x:c r="F2015" s="38" t="n">
        <x:v>-0.0435399825</x:v>
      </x:c>
      <x:c r="G2015" s="38" t="n">
        <x:v>-0.3045006296</x:v>
      </x:c>
      <x:c r="H2015" s="42" t="b">
        <x:v>0</x:v>
      </x:c>
      <x:c r="I2015" s="42" t="b">
        <x:v>0</x:v>
      </x:c>
      <x:c r="J2015" s="38" t="n">
        <x:v>0.0848476363</x:v>
      </x:c>
    </x:row>
    <x:row r="2016" ht="19" customHeight="1">
      <x:c r="A2016" s="29" t="str">
        <x:v>stagger_1</x:v>
      </x:c>
      <x:c r="B2016" s="38" t="str">
        <x:v>PG</x:v>
      </x:c>
      <x:c r="C2016" s="38" t="str">
        <x:v>Other sectors</x:v>
      </x:c>
      <x:c r="D2016" s="30" t="n">
        <x:v>3</x:v>
      </x:c>
      <x:c r="E2016" s="38" t="str">
        <x:v>XLV</x:v>
      </x:c>
      <x:c r="F2016" s="38" t="n">
        <x:v>-0.0592734515</x:v>
      </x:c>
      <x:c r="G2016" s="38" t="n">
        <x:v>-0.3520432791</x:v>
      </x:c>
      <x:c r="H2016" s="42" t="b">
        <x:v>0</x:v>
      </x:c>
      <x:c r="I2016" s="42" t="b">
        <x:v>0</x:v>
      </x:c>
      <x:c r="J2016" s="38" t="n">
        <x:v>0.0848476363</x:v>
      </x:c>
    </x:row>
    <x:row r="2017" ht="19" customHeight="1">
      <x:c r="A2017" s="29" t="str">
        <x:v>stagger_1</x:v>
      </x:c>
      <x:c r="B2017" s="38" t="str">
        <x:v>PG</x:v>
      </x:c>
      <x:c r="C2017" s="38" t="str">
        <x:v>Other sectors</x:v>
      </x:c>
      <x:c r="D2017" s="30" t="n">
        <x:v>3</x:v>
      </x:c>
      <x:c r="E2017" s="38" t="str">
        <x:v>XLY</x:v>
      </x:c>
      <x:c r="F2017" s="38" t="n">
        <x:v>0.1696899479</x:v>
      </x:c>
      <x:c r="G2017" s="38" t="n">
        <x:v>0.9315138178</x:v>
      </x:c>
      <x:c r="H2017" s="42" t="b">
        <x:v>0</x:v>
      </x:c>
      <x:c r="I2017" s="42" t="b">
        <x:v>0</x:v>
      </x:c>
      <x:c r="J2017" s="38" t="n">
        <x:v>0.0848476363</x:v>
      </x:c>
    </x:row>
    <x:row r="2018" ht="19" customHeight="1">
      <x:c r="A2018" s="29" t="str">
        <x:v>stagger_1</x:v>
      </x:c>
      <x:c r="B2018" s="38" t="str">
        <x:v>PG</x:v>
      </x:c>
      <x:c r="C2018" s="38" t="str">
        <x:v>Other sectors</x:v>
      </x:c>
      <x:c r="D2018" s="30" t="n">
        <x:v>4</x:v>
      </x:c>
      <x:c r="E2018" s="38" t="str">
        <x:v>XLC</x:v>
      </x:c>
      <x:c r="F2018" s="38" t="n">
        <x:v>-0.0557268143</x:v>
      </x:c>
      <x:c r="G2018" s="38" t="n">
        <x:v>-0.3220449686</x:v>
      </x:c>
      <x:c r="H2018" s="42" t="b">
        <x:v>0</x:v>
      </x:c>
      <x:c r="I2018" s="42" t="b">
        <x:v>0</x:v>
      </x:c>
      <x:c r="J2018" s="38" t="n">
        <x:v>0.084156429</x:v>
      </x:c>
    </x:row>
    <x:row r="2019" ht="19" customHeight="1">
      <x:c r="A2019" s="29" t="str">
        <x:v>stagger_1</x:v>
      </x:c>
      <x:c r="B2019" s="38" t="str">
        <x:v>PG</x:v>
      </x:c>
      <x:c r="C2019" s="38" t="str">
        <x:v>Other sectors</x:v>
      </x:c>
      <x:c r="D2019" s="30" t="n">
        <x:v>4</x:v>
      </x:c>
      <x:c r="E2019" s="38" t="str">
        <x:v>XLE</x:v>
      </x:c>
      <x:c r="F2019" s="38" t="n">
        <x:v>-0.0750035882</x:v>
      </x:c>
      <x:c r="G2019" s="38" t="n">
        <x:v>-1.1104139508</x:v>
      </x:c>
      <x:c r="H2019" s="42" t="b">
        <x:v>0</x:v>
      </x:c>
      <x:c r="I2019" s="42" t="b">
        <x:v>0</x:v>
      </x:c>
      <x:c r="J2019" s="38" t="n">
        <x:v>0.084156429</x:v>
      </x:c>
    </x:row>
    <x:row r="2020" ht="19" customHeight="1">
      <x:c r="A2020" s="29" t="str">
        <x:v>stagger_1</x:v>
      </x:c>
      <x:c r="B2020" s="38" t="str">
        <x:v>PG</x:v>
      </x:c>
      <x:c r="C2020" s="38" t="str">
        <x:v>Other sectors</x:v>
      </x:c>
      <x:c r="D2020" s="30" t="n">
        <x:v>4</x:v>
      </x:c>
      <x:c r="E2020" s="38" t="str">
        <x:v>XLI</x:v>
      </x:c>
      <x:c r="F2020" s="38" t="n">
        <x:v>0.2062383328</x:v>
      </x:c>
      <x:c r="G2020" s="38" t="n">
        <x:v>1.252937097</x:v>
      </x:c>
      <x:c r="H2020" s="42" t="b">
        <x:v>0</x:v>
      </x:c>
      <x:c r="I2020" s="42" t="b">
        <x:v>0</x:v>
      </x:c>
      <x:c r="J2020" s="38" t="n">
        <x:v>0.084156429</x:v>
      </x:c>
    </x:row>
    <x:row r="2021" ht="19" customHeight="1">
      <x:c r="A2021" s="29" t="str">
        <x:v>stagger_1</x:v>
      </x:c>
      <x:c r="B2021" s="38" t="str">
        <x:v>PG</x:v>
      </x:c>
      <x:c r="C2021" s="38" t="str">
        <x:v>Other sectors</x:v>
      </x:c>
      <x:c r="D2021" s="30" t="n">
        <x:v>4</x:v>
      </x:c>
      <x:c r="E2021" s="38" t="str">
        <x:v>XLK</x:v>
      </x:c>
      <x:c r="F2021" s="38" t="n">
        <x:v>0.07444611</x:v>
      </x:c>
      <x:c r="G2021" s="38" t="n">
        <x:v>0.3260492139</x:v>
      </x:c>
      <x:c r="H2021" s="42" t="b">
        <x:v>0</x:v>
      </x:c>
      <x:c r="I2021" s="42" t="b">
        <x:v>0</x:v>
      </x:c>
      <x:c r="J2021" s="38" t="n">
        <x:v>0.084156429</x:v>
      </x:c>
    </x:row>
    <x:row r="2022" ht="19" customHeight="1">
      <x:c r="A2022" s="29" t="str">
        <x:v>stagger_1</x:v>
      </x:c>
      <x:c r="B2022" s="38" t="str">
        <x:v>PG</x:v>
      </x:c>
      <x:c r="C2022" s="38" t="str">
        <x:v>Other sectors</x:v>
      </x:c>
      <x:c r="D2022" s="30" t="n">
        <x:v>4</x:v>
      </x:c>
      <x:c r="E2022" s="38" t="str">
        <x:v>XLRE</x:v>
      </x:c>
      <x:c r="F2022" s="38" t="n">
        <x:v>-0.0376967293</x:v>
      </x:c>
      <x:c r="G2022" s="38" t="n">
        <x:v>-0.269616526</x:v>
      </x:c>
      <x:c r="H2022" s="42" t="b">
        <x:v>1</x:v>
      </x:c>
      <x:c r="I2022" s="42" t="b">
        <x:v>0</x:v>
      </x:c>
      <x:c r="J2022" s="38" t="n">
        <x:v>0.084156429</x:v>
      </x:c>
    </x:row>
    <x:row r="2023" ht="19" customHeight="1">
      <x:c r="A2023" s="29" t="str">
        <x:v>stagger_1</x:v>
      </x:c>
      <x:c r="B2023" s="38" t="str">
        <x:v>PG</x:v>
      </x:c>
      <x:c r="C2023" s="38" t="str">
        <x:v>Other sectors</x:v>
      </x:c>
      <x:c r="D2023" s="30" t="n">
        <x:v>4</x:v>
      </x:c>
      <x:c r="E2023" s="38" t="str">
        <x:v>XLV</x:v>
      </x:c>
      <x:c r="F2023" s="38" t="n">
        <x:v>-0.0561580354</x:v>
      </x:c>
      <x:c r="G2023" s="38" t="n">
        <x:v>-0.3368307294</x:v>
      </x:c>
      <x:c r="H2023" s="42" t="b">
        <x:v>0</x:v>
      </x:c>
      <x:c r="I2023" s="42" t="b">
        <x:v>0</x:v>
      </x:c>
      <x:c r="J2023" s="38" t="n">
        <x:v>0.084156429</x:v>
      </x:c>
    </x:row>
    <x:row r="2024" ht="19" customHeight="1">
      <x:c r="A2024" s="29" t="str">
        <x:v>stagger_1</x:v>
      </x:c>
      <x:c r="B2024" s="38" t="str">
        <x:v>PG</x:v>
      </x:c>
      <x:c r="C2024" s="38" t="str">
        <x:v>Other sectors</x:v>
      </x:c>
      <x:c r="D2024" s="30" t="n">
        <x:v>4</x:v>
      </x:c>
      <x:c r="E2024" s="38" t="str">
        <x:v>XLY</x:v>
      </x:c>
      <x:c r="F2024" s="38" t="n">
        <x:v>0.1721230864</x:v>
      </x:c>
      <x:c r="G2024" s="38" t="n">
        <x:v>0.9527282565</x:v>
      </x:c>
      <x:c r="H2024" s="42" t="b">
        <x:v>0</x:v>
      </x:c>
      <x:c r="I2024" s="42" t="b">
        <x:v>0</x:v>
      </x:c>
      <x:c r="J2024" s="38" t="n">
        <x:v>0.084156429</x:v>
      </x:c>
    </x:row>
    <x:row r="2025" ht="19" customHeight="1">
      <x:c r="A2025" s="29" t="str">
        <x:v>stagger_1</x:v>
      </x:c>
      <x:c r="B2025" s="38" t="str">
        <x:v>PG</x:v>
      </x:c>
      <x:c r="C2025" s="38" t="str">
        <x:v>Other sectors</x:v>
      </x:c>
      <x:c r="D2025" s="30" t="n">
        <x:v>5</x:v>
      </x:c>
      <x:c r="E2025" s="38" t="str">
        <x:v>XLC</x:v>
      </x:c>
      <x:c r="F2025" s="38" t="n">
        <x:v>-0.0463755277</x:v>
      </x:c>
      <x:c r="G2025" s="38" t="n">
        <x:v>-0.2753094758</x:v>
      </x:c>
      <x:c r="H2025" s="42" t="b">
        <x:v>1</x:v>
      </x:c>
      <x:c r="I2025" s="42" t="b">
        <x:v>0</x:v>
      </x:c>
      <x:c r="J2025" s="38" t="n">
        <x:v>0.0832317695</x:v>
      </x:c>
    </x:row>
    <x:row r="2026" ht="19" customHeight="1">
      <x:c r="A2026" s="29" t="str">
        <x:v>stagger_1</x:v>
      </x:c>
      <x:c r="B2026" s="38" t="str">
        <x:v>PG</x:v>
      </x:c>
      <x:c r="C2026" s="38" t="str">
        <x:v>Other sectors</x:v>
      </x:c>
      <x:c r="D2026" s="30" t="n">
        <x:v>5</x:v>
      </x:c>
      <x:c r="E2026" s="38" t="str">
        <x:v>XLE</x:v>
      </x:c>
      <x:c r="F2026" s="38" t="n">
        <x:v>-0.0749998397</x:v>
      </x:c>
      <x:c r="G2026" s="38" t="n">
        <x:v>-1.1174787362</x:v>
      </x:c>
      <x:c r="H2026" s="42" t="b">
        <x:v>0</x:v>
      </x:c>
      <x:c r="I2026" s="42" t="b">
        <x:v>0</x:v>
      </x:c>
      <x:c r="J2026" s="38" t="n">
        <x:v>0.0832317695</x:v>
      </x:c>
    </x:row>
    <x:row r="2027" ht="19" customHeight="1">
      <x:c r="A2027" s="29" t="str">
        <x:v>stagger_1</x:v>
      </x:c>
      <x:c r="B2027" s="38" t="str">
        <x:v>PG</x:v>
      </x:c>
      <x:c r="C2027" s="38" t="str">
        <x:v>Other sectors</x:v>
      </x:c>
      <x:c r="D2027" s="30" t="n">
        <x:v>5</x:v>
      </x:c>
      <x:c r="E2027" s="38" t="str">
        <x:v>XLI</x:v>
      </x:c>
      <x:c r="F2027" s="38" t="n">
        <x:v>0.2018834083</x:v>
      </x:c>
      <x:c r="G2027" s="38" t="n">
        <x:v>1.2403311121</x:v>
      </x:c>
      <x:c r="H2027" s="42" t="b">
        <x:v>0</x:v>
      </x:c>
      <x:c r="I2027" s="42" t="b">
        <x:v>0</x:v>
      </x:c>
      <x:c r="J2027" s="38" t="n">
        <x:v>0.0832317695</x:v>
      </x:c>
    </x:row>
    <x:row r="2028" ht="19" customHeight="1">
      <x:c r="A2028" s="29" t="str">
        <x:v>stagger_1</x:v>
      </x:c>
      <x:c r="B2028" s="38" t="str">
        <x:v>PG</x:v>
      </x:c>
      <x:c r="C2028" s="38" t="str">
        <x:v>Other sectors</x:v>
      </x:c>
      <x:c r="D2028" s="30" t="n">
        <x:v>5</x:v>
      </x:c>
      <x:c r="E2028" s="38" t="str">
        <x:v>XLK</x:v>
      </x:c>
      <x:c r="F2028" s="38" t="n">
        <x:v>0.0891703715</x:v>
      </x:c>
      <x:c r="G2028" s="38" t="n">
        <x:v>0.4047900431</x:v>
      </x:c>
      <x:c r="H2028" s="42" t="b">
        <x:v>0</x:v>
      </x:c>
      <x:c r="I2028" s="42" t="b">
        <x:v>0</x:v>
      </x:c>
      <x:c r="J2028" s="38" t="n">
        <x:v>0.0832317695</x:v>
      </x:c>
    </x:row>
    <x:row r="2029" ht="19" customHeight="1">
      <x:c r="A2029" s="29" t="str">
        <x:v>stagger_1</x:v>
      </x:c>
      <x:c r="B2029" s="38" t="str">
        <x:v>PG</x:v>
      </x:c>
      <x:c r="C2029" s="38" t="str">
        <x:v>Other sectors</x:v>
      </x:c>
      <x:c r="D2029" s="30" t="n">
        <x:v>5</x:v>
      </x:c>
      <x:c r="E2029" s="38" t="str">
        <x:v>XLV</x:v>
      </x:c>
      <x:c r="F2029" s="38" t="n">
        <x:v>-0.066158854</x:v>
      </x:c>
      <x:c r="G2029" s="38" t="n">
        <x:v>-0.4096255626</x:v>
      </x:c>
      <x:c r="H2029" s="42" t="b">
        <x:v>0</x:v>
      </x:c>
      <x:c r="I2029" s="42" t="b">
        <x:v>0</x:v>
      </x:c>
      <x:c r="J2029" s="38" t="n">
        <x:v>0.0832317695</x:v>
      </x:c>
    </x:row>
    <x:row r="2030" ht="19" customHeight="1">
      <x:c r="A2030" s="29" t="str">
        <x:v>stagger_1</x:v>
      </x:c>
      <x:c r="B2030" s="38" t="str">
        <x:v>PG</x:v>
      </x:c>
      <x:c r="C2030" s="38" t="str">
        <x:v>Other sectors</x:v>
      </x:c>
      <x:c r="D2030" s="30" t="n">
        <x:v>5</x:v>
      </x:c>
      <x:c r="E2030" s="38" t="str">
        <x:v>XLY</x:v>
      </x:c>
      <x:c r="F2030" s="38" t="n">
        <x:v>0.1632491754</x:v>
      </x:c>
      <x:c r="G2030" s="38" t="n">
        <x:v>0.9248817899</x:v>
      </x:c>
      <x:c r="H2030" s="42" t="b">
        <x:v>0</x:v>
      </x:c>
      <x:c r="I2030" s="42" t="b">
        <x:v>0</x:v>
      </x:c>
      <x:c r="J2030" s="38" t="n">
        <x:v>0.0832317695</x:v>
      </x:c>
    </x:row>
    <x:row r="2031" ht="19" customHeight="1">
      <x:c r="A2031" s="29" t="str">
        <x:v>stagger_1</x:v>
      </x:c>
      <x:c r="B2031" s="38" t="str">
        <x:v>PG</x:v>
      </x:c>
      <x:c r="C2031" s="38" t="str">
        <x:v>Other sectors</x:v>
      </x:c>
      <x:c r="D2031" s="30" t="n">
        <x:v>6</x:v>
      </x:c>
      <x:c r="E2031" s="38" t="str">
        <x:v>XLE</x:v>
      </x:c>
      <x:c r="F2031" s="38" t="n">
        <x:v>-0.0737947109</x:v>
      </x:c>
      <x:c r="G2031" s="38" t="n">
        <x:v>-1.1088146002</x:v>
      </x:c>
      <x:c r="H2031" s="42" t="b">
        <x:v>0</x:v>
      </x:c>
      <x:c r="I2031" s="42" t="b">
        <x:v>0</x:v>
      </x:c>
      <x:c r="J2031" s="38" t="n">
        <x:v>0.0822798965</x:v>
      </x:c>
    </x:row>
    <x:row r="2032" ht="19" customHeight="1">
      <x:c r="A2032" s="29" t="str">
        <x:v>stagger_1</x:v>
      </x:c>
      <x:c r="B2032" s="38" t="str">
        <x:v>PG</x:v>
      </x:c>
      <x:c r="C2032" s="38" t="str">
        <x:v>Other sectors</x:v>
      </x:c>
      <x:c r="D2032" s="30" t="n">
        <x:v>6</x:v>
      </x:c>
      <x:c r="E2032" s="38" t="str">
        <x:v>XLI</x:v>
      </x:c>
      <x:c r="F2032" s="38" t="n">
        <x:v>0.2159340321</x:v>
      </x:c>
      <x:c r="G2032" s="38" t="n">
        <x:v>1.4059178214</x:v>
      </x:c>
      <x:c r="H2032" s="42" t="b">
        <x:v>0</x:v>
      </x:c>
      <x:c r="I2032" s="42" t="b">
        <x:v>0</x:v>
      </x:c>
      <x:c r="J2032" s="38" t="n">
        <x:v>0.0822798965</x:v>
      </x:c>
    </x:row>
    <x:row r="2033" ht="19" customHeight="1">
      <x:c r="A2033" s="29" t="str">
        <x:v>stagger_1</x:v>
      </x:c>
      <x:c r="B2033" s="38" t="str">
        <x:v>PG</x:v>
      </x:c>
      <x:c r="C2033" s="38" t="str">
        <x:v>Other sectors</x:v>
      </x:c>
      <x:c r="D2033" s="30" t="n">
        <x:v>6</x:v>
      </x:c>
      <x:c r="E2033" s="38" t="str">
        <x:v>XLK</x:v>
      </x:c>
      <x:c r="F2033" s="38" t="n">
        <x:v>0.1148216195</x:v>
      </x:c>
      <x:c r="G2033" s="38" t="n">
        <x:v>0.5788447534</x:v>
      </x:c>
      <x:c r="H2033" s="42" t="b">
        <x:v>0</x:v>
      </x:c>
      <x:c r="I2033" s="42" t="b">
        <x:v>0</x:v>
      </x:c>
      <x:c r="J2033" s="38" t="n">
        <x:v>0.0822798965</x:v>
      </x:c>
    </x:row>
    <x:row r="2034" ht="19" customHeight="1">
      <x:c r="A2034" s="29" t="str">
        <x:v>stagger_1</x:v>
      </x:c>
      <x:c r="B2034" s="38" t="str">
        <x:v>PG</x:v>
      </x:c>
      <x:c r="C2034" s="38" t="str">
        <x:v>Other sectors</x:v>
      </x:c>
      <x:c r="D2034" s="30" t="n">
        <x:v>6</x:v>
      </x:c>
      <x:c r="E2034" s="38" t="str">
        <x:v>XLV</x:v>
      </x:c>
      <x:c r="F2034" s="38" t="n">
        <x:v>-0.0566229279</x:v>
      </x:c>
      <x:c r="G2034" s="38" t="n">
        <x:v>-0.3611972698</x:v>
      </x:c>
      <x:c r="H2034" s="42" t="b">
        <x:v>1</x:v>
      </x:c>
      <x:c r="I2034" s="42" t="b">
        <x:v>0</x:v>
      </x:c>
      <x:c r="J2034" s="38" t="n">
        <x:v>0.0822798965</x:v>
      </x:c>
    </x:row>
    <x:row r="2035" ht="19" customHeight="1">
      <x:c r="A2035" s="29" t="str">
        <x:v>stagger_1</x:v>
      </x:c>
      <x:c r="B2035" s="38" t="str">
        <x:v>PG</x:v>
      </x:c>
      <x:c r="C2035" s="38" t="str">
        <x:v>Other sectors</x:v>
      </x:c>
      <x:c r="D2035" s="30" t="n">
        <x:v>6</x:v>
      </x:c>
      <x:c r="E2035" s="38" t="str">
        <x:v>XLY</x:v>
      </x:c>
      <x:c r="F2035" s="38" t="n">
        <x:v>0.1599296531</x:v>
      </x:c>
      <x:c r="G2035" s="38" t="n">
        <x:v>0.913921667</x:v>
      </x:c>
      <x:c r="H2035" s="42" t="b">
        <x:v>0</x:v>
      </x:c>
      <x:c r="I2035" s="42" t="b">
        <x:v>0</x:v>
      </x:c>
      <x:c r="J2035" s="38" t="n">
        <x:v>0.0822798965</x:v>
      </x:c>
    </x:row>
    <x:row r="2036" ht="19" customHeight="1">
      <x:c r="A2036" s="29" t="str">
        <x:v>stagger_1</x:v>
      </x:c>
      <x:c r="B2036" s="38" t="str">
        <x:v>PG</x:v>
      </x:c>
      <x:c r="C2036" s="38" t="str">
        <x:v>Other sectors</x:v>
      </x:c>
      <x:c r="D2036" s="30" t="n">
        <x:v>7</x:v>
      </x:c>
      <x:c r="E2036" s="38" t="str">
        <x:v>XLE</x:v>
      </x:c>
      <x:c r="F2036" s="38" t="n">
        <x:v>-0.067651073</x:v>
      </x:c>
      <x:c r="G2036" s="38" t="n">
        <x:v>-1.0575687583</x:v>
      </x:c>
      <x:c r="H2036" s="42" t="b">
        <x:v>1</x:v>
      </x:c>
      <x:c r="I2036" s="42" t="b">
        <x:v>0</x:v>
      </x:c>
      <x:c r="J2036" s="38" t="n">
        <x:v>0.0806619377</x:v>
      </x:c>
    </x:row>
    <x:row r="2037" ht="19" customHeight="1">
      <x:c r="A2037" s="29" t="str">
        <x:v>stagger_1</x:v>
      </x:c>
      <x:c r="B2037" s="38" t="str">
        <x:v>PG</x:v>
      </x:c>
      <x:c r="C2037" s="38" t="str">
        <x:v>Other sectors</x:v>
      </x:c>
      <x:c r="D2037" s="30" t="n">
        <x:v>7</x:v>
      </x:c>
      <x:c r="E2037" s="38" t="str">
        <x:v>XLI</x:v>
      </x:c>
      <x:c r="F2037" s="38" t="n">
        <x:v>0.2251201842</x:v>
      </x:c>
      <x:c r="G2037" s="38" t="n">
        <x:v>1.4949364225</x:v>
      </x:c>
      <x:c r="H2037" s="42" t="b">
        <x:v>0</x:v>
      </x:c>
      <x:c r="I2037" s="42" t="b">
        <x:v>0</x:v>
      </x:c>
      <x:c r="J2037" s="38" t="n">
        <x:v>0.0806619377</x:v>
      </x:c>
    </x:row>
    <x:row r="2038" ht="19" customHeight="1">
      <x:c r="A2038" s="29" t="str">
        <x:v>stagger_1</x:v>
      </x:c>
      <x:c r="B2038" s="38" t="str">
        <x:v>PG</x:v>
      </x:c>
      <x:c r="C2038" s="38" t="str">
        <x:v>Other sectors</x:v>
      </x:c>
      <x:c r="D2038" s="30" t="n">
        <x:v>7</x:v>
      </x:c>
      <x:c r="E2038" s="38" t="str">
        <x:v>XLK</x:v>
      </x:c>
      <x:c r="F2038" s="38" t="n">
        <x:v>0.161079906</x:v>
      </x:c>
      <x:c r="G2038" s="38" t="n">
        <x:v>1.0695900851</x:v>
      </x:c>
      <x:c r="H2038" s="42" t="b">
        <x:v>0</x:v>
      </x:c>
      <x:c r="I2038" s="42" t="b">
        <x:v>0</x:v>
      </x:c>
      <x:c r="J2038" s="38" t="n">
        <x:v>0.0806619377</x:v>
      </x:c>
    </x:row>
    <x:row r="2039" ht="19" customHeight="1">
      <x:c r="A2039" s="29" t="str">
        <x:v>stagger_1</x:v>
      </x:c>
      <x:c r="B2039" s="38" t="str">
        <x:v>PG</x:v>
      </x:c>
      <x:c r="C2039" s="38" t="str">
        <x:v>Other sectors</x:v>
      </x:c>
      <x:c r="D2039" s="30" t="n">
        <x:v>7</x:v>
      </x:c>
      <x:c r="E2039" s="38" t="str">
        <x:v>XLY</x:v>
      </x:c>
      <x:c r="F2039" s="38" t="n">
        <x:v>0.1927569665</x:v>
      </x:c>
      <x:c r="G2039" s="38" t="n">
        <x:v>1.2965310089</x:v>
      </x:c>
      <x:c r="H2039" s="42" t="b">
        <x:v>0</x:v>
      </x:c>
      <x:c r="I2039" s="42" t="b">
        <x:v>0</x:v>
      </x:c>
      <x:c r="J2039" s="38" t="n">
        <x:v>0.0806619377</x:v>
      </x:c>
    </x:row>
    <x:row r="2040" ht="19" customHeight="1">
      <x:c r="A2040" s="29" t="str">
        <x:v>stagger_1</x:v>
      </x:c>
      <x:c r="B2040" s="38" t="str">
        <x:v>PG</x:v>
      </x:c>
      <x:c r="C2040" s="38" t="str">
        <x:v>Other sectors</x:v>
      </x:c>
      <x:c r="D2040" s="30" t="n">
        <x:v>8</x:v>
      </x:c>
      <x:c r="E2040" s="38" t="str">
        <x:v>XLI</x:v>
      </x:c>
      <x:c r="F2040" s="38" t="n">
        <x:v>0.2303383774</x:v>
      </x:c>
      <x:c r="G2040" s="38" t="n">
        <x:v>1.529218936</x:v>
      </x:c>
      <x:c r="H2040" s="42" t="b">
        <x:v>1</x:v>
      </x:c>
      <x:c r="I2040" s="42" t="b">
        <x:v>0</x:v>
      </x:c>
      <x:c r="J2040" s="38" t="n">
        <x:v>0.0669521351</x:v>
      </x:c>
    </x:row>
    <x:row r="2041" ht="19" customHeight="1">
      <x:c r="A2041" s="29" t="str">
        <x:v>stagger_1</x:v>
      </x:c>
      <x:c r="B2041" s="38" t="str">
        <x:v>PG</x:v>
      </x:c>
      <x:c r="C2041" s="38" t="str">
        <x:v>Other sectors</x:v>
      </x:c>
      <x:c r="D2041" s="30" t="n">
        <x:v>8</x:v>
      </x:c>
      <x:c r="E2041" s="38" t="str">
        <x:v>XLK</x:v>
      </x:c>
      <x:c r="F2041" s="38" t="n">
        <x:v>0.2309527376</x:v>
      </x:c>
      <x:c r="G2041" s="38" t="n">
        <x:v>1.7052192468</x:v>
      </x:c>
      <x:c r="H2041" s="42" t="b">
        <x:v>0</x:v>
      </x:c>
      <x:c r="I2041" s="42" t="b">
        <x:v>0</x:v>
      </x:c>
      <x:c r="J2041" s="38" t="n">
        <x:v>0.0669521351</x:v>
      </x:c>
    </x:row>
    <x:row r="2042" ht="19" customHeight="1">
      <x:c r="A2042" s="29" t="str">
        <x:v>stagger_1</x:v>
      </x:c>
      <x:c r="B2042" s="38" t="str">
        <x:v>PG</x:v>
      </x:c>
      <x:c r="C2042" s="38" t="str">
        <x:v>Other sectors</x:v>
      </x:c>
      <x:c r="D2042" s="30" t="n">
        <x:v>8</x:v>
      </x:c>
      <x:c r="E2042" s="38" t="str">
        <x:v>XLY</x:v>
      </x:c>
      <x:c r="F2042" s="38" t="n">
        <x:v>0.2472488243</x:v>
      </x:c>
      <x:c r="G2042" s="38" t="n">
        <x:v>1.7715586903</x:v>
      </x:c>
      <x:c r="H2042" s="42" t="b">
        <x:v>0</x:v>
      </x:c>
      <x:c r="I2042" s="42" t="b">
        <x:v>0</x:v>
      </x:c>
      <x:c r="J2042" s="38" t="n">
        <x:v>0.0669521351</x:v>
      </x:c>
    </x:row>
    <x:row r="2043" ht="19" customHeight="1">
      <x:c r="A2043" s="29" t="str">
        <x:v>stagger_1</x:v>
      </x:c>
      <x:c r="B2043" s="38" t="str">
        <x:v>PG</x:v>
      </x:c>
      <x:c r="C2043" s="38" t="str">
        <x:v>Other sectors</x:v>
      </x:c>
      <x:c r="D2043" s="30" t="n">
        <x:v>9</x:v>
      </x:c>
      <x:c r="E2043" s="38" t="str">
        <x:v>XLK</x:v>
      </x:c>
      <x:c r="F2043" s="38" t="n">
        <x:v>0.1497940257</x:v>
      </x:c>
      <x:c r="G2043" s="38" t="n">
        <x:v>1.1918133223</x:v>
      </x:c>
      <x:c r="H2043" s="42" t="b">
        <x:v>1</x:v>
      </x:c>
      <x:c r="I2043" s="42" t="b">
        <x:v>0</x:v>
      </x:c>
      <x:c r="J2043" s="38" t="n">
        <x:v>0.0382423682</x:v>
      </x:c>
    </x:row>
    <x:row r="2044" ht="19" customHeight="1">
      <x:c r="A2044" s="29" t="str">
        <x:v>stagger_1</x:v>
      </x:c>
      <x:c r="B2044" s="38" t="str">
        <x:v>PG</x:v>
      </x:c>
      <x:c r="C2044" s="38" t="str">
        <x:v>Other sectors</x:v>
      </x:c>
      <x:c r="D2044" s="30" t="n">
        <x:v>9</x:v>
      </x:c>
      <x:c r="E2044" s="38" t="str">
        <x:v>XLY</x:v>
      </x:c>
      <x:c r="F2044" s="38" t="n">
        <x:v>0.2037065891</x:v>
      </x:c>
      <x:c r="G2044" s="38" t="n">
        <x:v>1.4781404945</x:v>
      </x:c>
      <x:c r="H2044" s="42" t="b">
        <x:v>0</x:v>
      </x:c>
      <x:c r="I2044" s="42" t="b">
        <x:v>0</x:v>
      </x:c>
      <x:c r="J2044" s="38" t="n">
        <x:v>0.0382423682</x:v>
      </x:c>
    </x:row>
    <x:row r="2045" ht="19" customHeight="1">
      <x:c r="A2045" s="29" t="str">
        <x:v>stagger_1</x:v>
      </x:c>
      <x:c r="B2045" s="38" t="str">
        <x:v>PG</x:v>
      </x:c>
      <x:c r="C2045" s="38" t="str">
        <x:v>Other sectors</x:v>
      </x:c>
      <x:c r="D2045" s="30" t="n">
        <x:v>10</x:v>
      </x:c>
      <x:c r="E2045" s="38" t="str">
        <x:v>XLY</x:v>
      </x:c>
      <x:c r="F2045" s="38" t="n">
        <x:v>0.1735582588</x:v>
      </x:c>
      <x:c r="G2045" s="38" t="n">
        <x:v>1.2777060056</x:v>
      </x:c>
      <x:c r="H2045" s="42" t="b">
        <x:v>1</x:v>
      </x:c>
      <x:c r="I2045" s="42" t="b">
        <x:v>0</x:v>
      </x:c>
      <x:c r="J2045" s="38" t="n">
        <x:v>0.0205008253</x:v>
      </x:c>
    </x:row>
    <x:row r="2046" ht="19" customHeight="1">
      <x:c r="A2046" s="29" t="str">
        <x:v>stagger_1</x:v>
      </x:c>
      <x:c r="B2046" s="38" t="str">
        <x:v>F</x:v>
      </x:c>
      <x:c r="C2046" s="38" t="str">
        <x:v>Other FX</x:v>
      </x:c>
      <x:c r="D2046" s="30" t="n">
        <x:v>1</x:v>
      </x:c>
      <x:c r="E2046" s="38" t="str">
        <x:v>AUD/USD</x:v>
      </x:c>
      <x:c r="F2046" s="38" t="n">
        <x:v>1.9874722008</x:v>
      </x:c>
      <x:c r="G2046" s="38" t="n">
        <x:v>2.5711061978</x:v>
      </x:c>
      <x:c r="H2046" s="42" t="b">
        <x:v>0</x:v>
      </x:c>
      <x:c r="I2046" s="42" t="b">
        <x:v>0</x:v>
      </x:c>
      <x:c r="J2046" s="38" t="n">
        <x:v>0.2552966131</x:v>
      </x:c>
    </x:row>
    <x:row r="2047" ht="19" customHeight="1">
      <x:c r="A2047" s="29" t="str">
        <x:v>stagger_1</x:v>
      </x:c>
      <x:c r="B2047" s="38" t="str">
        <x:v>F</x:v>
      </x:c>
      <x:c r="C2047" s="38" t="str">
        <x:v>Other FX</x:v>
      </x:c>
      <x:c r="D2047" s="30" t="n">
        <x:v>1</x:v>
      </x:c>
      <x:c r="E2047" s="38" t="str">
        <x:v>CAD/USD</x:v>
      </x:c>
      <x:c r="F2047" s="38" t="n">
        <x:v>0.58004129</x:v>
      </x:c>
      <x:c r="G2047" s="38" t="n">
        <x:v>0.621404471</x:v>
      </x:c>
      <x:c r="H2047" s="42" t="b">
        <x:v>1</x:v>
      </x:c>
      <x:c r="I2047" s="42" t="b">
        <x:v>0</x:v>
      </x:c>
      <x:c r="J2047" s="38" t="n">
        <x:v>0.2552966131</x:v>
      </x:c>
    </x:row>
    <x:row r="2048" ht="19" customHeight="1">
      <x:c r="A2048" s="29" t="str">
        <x:v>stagger_1</x:v>
      </x:c>
      <x:c r="B2048" s="38" t="str">
        <x:v>F</x:v>
      </x:c>
      <x:c r="C2048" s="38" t="str">
        <x:v>Other FX</x:v>
      </x:c>
      <x:c r="D2048" s="30" t="n">
        <x:v>1</x:v>
      </x:c>
      <x:c r="E2048" s="38" t="str">
        <x:v>DKK/USD</x:v>
      </x:c>
      <x:c r="F2048" s="38" t="n">
        <x:v>4.2570844531</x:v>
      </x:c>
      <x:c r="G2048" s="38" t="n">
        <x:v>0.6550987872</x:v>
      </x:c>
      <x:c r="H2048" s="42" t="b">
        <x:v>0</x:v>
      </x:c>
      <x:c r="I2048" s="42" t="b">
        <x:v>0</x:v>
      </x:c>
      <x:c r="J2048" s="38" t="n">
        <x:v>0.2552966131</x:v>
      </x:c>
    </x:row>
    <x:row r="2049" ht="19" customHeight="1">
      <x:c r="A2049" s="29" t="str">
        <x:v>stagger_1</x:v>
      </x:c>
      <x:c r="B2049" s="38" t="str">
        <x:v>F</x:v>
      </x:c>
      <x:c r="C2049" s="38" t="str">
        <x:v>Other FX</x:v>
      </x:c>
      <x:c r="D2049" s="30" t="n">
        <x:v>1</x:v>
      </x:c>
      <x:c r="E2049" s="38" t="str">
        <x:v>EUR/USD</x:v>
      </x:c>
      <x:c r="F2049" s="38" t="n">
        <x:v>-4.7018363808</x:v>
      </x:c>
      <x:c r="G2049" s="38" t="n">
        <x:v>-0.7910018718</x:v>
      </x:c>
      <x:c r="H2049" s="42" t="b">
        <x:v>0</x:v>
      </x:c>
      <x:c r="I2049" s="42" t="b">
        <x:v>0</x:v>
      </x:c>
      <x:c r="J2049" s="38" t="n">
        <x:v>0.2552966131</x:v>
      </x:c>
    </x:row>
    <x:row r="2050" ht="19" customHeight="1">
      <x:c r="A2050" s="29" t="str">
        <x:v>stagger_1</x:v>
      </x:c>
      <x:c r="B2050" s="38" t="str">
        <x:v>F</x:v>
      </x:c>
      <x:c r="C2050" s="38" t="str">
        <x:v>Other FX</x:v>
      </x:c>
      <x:c r="D2050" s="30" t="n">
        <x:v>1</x:v>
      </x:c>
      <x:c r="E2050" s="38" t="str">
        <x:v>MXN/USD</x:v>
      </x:c>
      <x:c r="F2050" s="38" t="n">
        <x:v>1.0110088251</x:v>
      </x:c>
      <x:c r="G2050" s="38" t="n">
        <x:v>2.0415259665</x:v>
      </x:c>
      <x:c r="H2050" s="42" t="b">
        <x:v>0</x:v>
      </x:c>
      <x:c r="I2050" s="42" t="b">
        <x:v>0</x:v>
      </x:c>
      <x:c r="J2050" s="38" t="n">
        <x:v>0.2552966131</x:v>
      </x:c>
    </x:row>
    <x:row r="2051" ht="19" customHeight="1">
      <x:c r="A2051" s="29" t="str">
        <x:v>stagger_1</x:v>
      </x:c>
      <x:c r="B2051" s="38" t="str">
        <x:v>F</x:v>
      </x:c>
      <x:c r="C2051" s="38" t="str">
        <x:v>Other FX</x:v>
      </x:c>
      <x:c r="D2051" s="30" t="n">
        <x:v>1</x:v>
      </x:c>
      <x:c r="E2051" s="38" t="str">
        <x:v>SGD/USD</x:v>
      </x:c>
      <x:c r="F2051" s="38" t="n">
        <x:v>-1.4579723269</x:v>
      </x:c>
      <x:c r="G2051" s="38" t="n">
        <x:v>-0.7790022566</x:v>
      </x:c>
      <x:c r="H2051" s="42" t="b">
        <x:v>0</x:v>
      </x:c>
      <x:c r="I2051" s="42" t="b">
        <x:v>0</x:v>
      </x:c>
      <x:c r="J2051" s="38" t="n">
        <x:v>0.2552966131</x:v>
      </x:c>
    </x:row>
    <x:row r="2052" ht="19" customHeight="1">
      <x:c r="A2052" s="29" t="str">
        <x:v>stagger_1</x:v>
      </x:c>
      <x:c r="B2052" s="38" t="str">
        <x:v>F</x:v>
      </x:c>
      <x:c r="C2052" s="38" t="str">
        <x:v>Other FX</x:v>
      </x:c>
      <x:c r="D2052" s="30" t="n">
        <x:v>2</x:v>
      </x:c>
      <x:c r="E2052" s="38" t="str">
        <x:v>AUD/USD</x:v>
      </x:c>
      <x:c r="F2052" s="38" t="n">
        <x:v>2.1043608198</x:v>
      </x:c>
      <x:c r="G2052" s="38" t="n">
        <x:v>2.81840145</x:v>
      </x:c>
      <x:c r="H2052" s="42" t="b">
        <x:v>0</x:v>
      </x:c>
      <x:c r="I2052" s="42" t="b">
        <x:v>0</x:v>
      </x:c>
      <x:c r="J2052" s="38" t="n">
        <x:v>0.2513574023</x:v>
      </x:c>
    </x:row>
    <x:row r="2053" ht="19" customHeight="1">
      <x:c r="A2053" s="29" t="str">
        <x:v>stagger_1</x:v>
      </x:c>
      <x:c r="B2053" s="38" t="str">
        <x:v>F</x:v>
      </x:c>
      <x:c r="C2053" s="38" t="str">
        <x:v>Other FX</x:v>
      </x:c>
      <x:c r="D2053" s="30" t="n">
        <x:v>2</x:v>
      </x:c>
      <x:c r="E2053" s="38" t="str">
        <x:v>DKK/USD</x:v>
      </x:c>
      <x:c r="F2053" s="38" t="n">
        <x:v>4.658894789</x:v>
      </x:c>
      <x:c r="G2053" s="38" t="n">
        <x:v>0.7235140443</x:v>
      </x:c>
      <x:c r="H2053" s="42" t="b">
        <x:v>1</x:v>
      </x:c>
      <x:c r="I2053" s="42" t="b">
        <x:v>0</x:v>
      </x:c>
      <x:c r="J2053" s="38" t="n">
        <x:v>0.2513574023</x:v>
      </x:c>
    </x:row>
    <x:row r="2054" ht="19" customHeight="1">
      <x:c r="A2054" s="29" t="str">
        <x:v>stagger_1</x:v>
      </x:c>
      <x:c r="B2054" s="38" t="str">
        <x:v>F</x:v>
      </x:c>
      <x:c r="C2054" s="38" t="str">
        <x:v>Other FX</x:v>
      </x:c>
      <x:c r="D2054" s="30" t="n">
        <x:v>2</x:v>
      </x:c>
      <x:c r="E2054" s="38" t="str">
        <x:v>EUR/USD</x:v>
      </x:c>
      <x:c r="F2054" s="38" t="n">
        <x:v>-4.9261464927</x:v>
      </x:c>
      <x:c r="G2054" s="38" t="n">
        <x:v>-0.8337357565</x:v>
      </x:c>
      <x:c r="H2054" s="42" t="b">
        <x:v>0</x:v>
      </x:c>
      <x:c r="I2054" s="42" t="b">
        <x:v>0</x:v>
      </x:c>
      <x:c r="J2054" s="38" t="n">
        <x:v>0.2513574023</x:v>
      </x:c>
    </x:row>
    <x:row r="2055" ht="19" customHeight="1">
      <x:c r="A2055" s="29" t="str">
        <x:v>stagger_1</x:v>
      </x:c>
      <x:c r="B2055" s="38" t="str">
        <x:v>F</x:v>
      </x:c>
      <x:c r="C2055" s="38" t="str">
        <x:v>Other FX</x:v>
      </x:c>
      <x:c r="D2055" s="30" t="n">
        <x:v>2</x:v>
      </x:c>
      <x:c r="E2055" s="38" t="str">
        <x:v>MXN/USD</x:v>
      </x:c>
      <x:c r="F2055" s="38" t="n">
        <x:v>1.0048470403</x:v>
      </x:c>
      <x:c r="G2055" s="38" t="n">
        <x:v>2.0379607882</x:v>
      </x:c>
      <x:c r="H2055" s="42" t="b">
        <x:v>0</x:v>
      </x:c>
      <x:c r="I2055" s="42" t="b">
        <x:v>0</x:v>
      </x:c>
      <x:c r="J2055" s="38" t="n">
        <x:v>0.2513574023</x:v>
      </x:c>
    </x:row>
    <x:row r="2056" ht="19" customHeight="1">
      <x:c r="A2056" s="29" t="str">
        <x:v>stagger_1</x:v>
      </x:c>
      <x:c r="B2056" s="38" t="str">
        <x:v>F</x:v>
      </x:c>
      <x:c r="C2056" s="38" t="str">
        <x:v>Other FX</x:v>
      </x:c>
      <x:c r="D2056" s="30" t="n">
        <x:v>2</x:v>
      </x:c>
      <x:c r="E2056" s="38" t="str">
        <x:v>SGD/USD</x:v>
      </x:c>
      <x:c r="F2056" s="38" t="n">
        <x:v>-1.4551229362</x:v>
      </x:c>
      <x:c r="G2056" s="38" t="n">
        <x:v>-0.7807270944</x:v>
      </x:c>
      <x:c r="H2056" s="42" t="b">
        <x:v>0</x:v>
      </x:c>
      <x:c r="I2056" s="42" t="b">
        <x:v>0</x:v>
      </x:c>
      <x:c r="J2056" s="38" t="n">
        <x:v>0.2513574023</x:v>
      </x:c>
    </x:row>
    <x:row r="2057" ht="19" customHeight="1">
      <x:c r="A2057" s="29" t="str">
        <x:v>stagger_1</x:v>
      </x:c>
      <x:c r="B2057" s="38" t="str">
        <x:v>F</x:v>
      </x:c>
      <x:c r="C2057" s="38" t="str">
        <x:v>Other FX</x:v>
      </x:c>
      <x:c r="D2057" s="30" t="n">
        <x:v>3</x:v>
      </x:c>
      <x:c r="E2057" s="38" t="str">
        <x:v>AUD/USD</x:v>
      </x:c>
      <x:c r="F2057" s="38" t="n">
        <x:v>2.1153109529</x:v>
      </x:c>
      <x:c r="G2057" s="38" t="n">
        <x:v>2.842694526</x:v>
      </x:c>
      <x:c r="H2057" s="42" t="b">
        <x:v>0</x:v>
      </x:c>
      <x:c r="I2057" s="42" t="b">
        <x:v>0</x:v>
      </x:c>
      <x:c r="J2057" s="38" t="n">
        <x:v>0.2460615393</x:v>
      </x:c>
    </x:row>
    <x:row r="2058" ht="19" customHeight="1">
      <x:c r="A2058" s="29" t="str">
        <x:v>stagger_1</x:v>
      </x:c>
      <x:c r="B2058" s="38" t="str">
        <x:v>F</x:v>
      </x:c>
      <x:c r="C2058" s="38" t="str">
        <x:v>Other FX</x:v>
      </x:c>
      <x:c r="D2058" s="30" t="n">
        <x:v>3</x:v>
      </x:c>
      <x:c r="E2058" s="38" t="str">
        <x:v>EUR/USD</x:v>
      </x:c>
      <x:c r="F2058" s="38" t="n">
        <x:v>-0.7030645857</x:v>
      </x:c>
      <x:c r="G2058" s="38" t="n">
        <x:v>-0.7690096294</x:v>
      </x:c>
      <x:c r="H2058" s="42" t="b">
        <x:v>0</x:v>
      </x:c>
      <x:c r="I2058" s="42" t="b">
        <x:v>0</x:v>
      </x:c>
      <x:c r="J2058" s="38" t="n">
        <x:v>0.2460615393</x:v>
      </x:c>
    </x:row>
    <x:row r="2059" ht="19" customHeight="1">
      <x:c r="A2059" s="29" t="str">
        <x:v>stagger_1</x:v>
      </x:c>
      <x:c r="B2059" s="38" t="str">
        <x:v>F</x:v>
      </x:c>
      <x:c r="C2059" s="38" t="str">
        <x:v>Other FX</x:v>
      </x:c>
      <x:c r="D2059" s="30" t="n">
        <x:v>3</x:v>
      </x:c>
      <x:c r="E2059" s="38" t="str">
        <x:v>MXN/USD</x:v>
      </x:c>
      <x:c r="F2059" s="38" t="n">
        <x:v>1.1125994299</x:v>
      </x:c>
      <x:c r="G2059" s="38" t="n">
        <x:v>2.3746111246</x:v>
      </x:c>
      <x:c r="H2059" s="42" t="b">
        <x:v>0</x:v>
      </x:c>
      <x:c r="I2059" s="42" t="b">
        <x:v>0</x:v>
      </x:c>
      <x:c r="J2059" s="38" t="n">
        <x:v>0.2460615393</x:v>
      </x:c>
    </x:row>
    <x:row r="2060" ht="19" customHeight="1">
      <x:c r="A2060" s="29" t="str">
        <x:v>stagger_1</x:v>
      </x:c>
      <x:c r="B2060" s="38" t="str">
        <x:v>F</x:v>
      </x:c>
      <x:c r="C2060" s="38" t="str">
        <x:v>Other FX</x:v>
      </x:c>
      <x:c r="D2060" s="30" t="n">
        <x:v>3</x:v>
      </x:c>
      <x:c r="E2060" s="38" t="str">
        <x:v>SGD/USD</x:v>
      </x:c>
      <x:c r="F2060" s="38" t="n">
        <x:v>-0.9342416026</x:v>
      </x:c>
      <x:c r="G2060" s="38" t="n">
        <x:v>-0.5451679823</x:v>
      </x:c>
      <x:c r="H2060" s="42" t="b">
        <x:v>1</x:v>
      </x:c>
      <x:c r="I2060" s="42" t="b">
        <x:v>0</x:v>
      </x:c>
      <x:c r="J2060" s="38" t="n">
        <x:v>0.2460615393</x:v>
      </x:c>
    </x:row>
    <x:row r="2061" ht="19" customHeight="1">
      <x:c r="A2061" s="29" t="str">
        <x:v>stagger_1</x:v>
      </x:c>
      <x:c r="B2061" s="38" t="str">
        <x:v>F</x:v>
      </x:c>
      <x:c r="C2061" s="38" t="str">
        <x:v>Other FX</x:v>
      </x:c>
      <x:c r="D2061" s="30" t="n">
        <x:v>4</x:v>
      </x:c>
      <x:c r="E2061" s="38" t="str">
        <x:v>AUD/USD</x:v>
      </x:c>
      <x:c r="F2061" s="38" t="n">
        <x:v>1.9015085217</x:v>
      </x:c>
      <x:c r="G2061" s="38" t="n">
        <x:v>3.0208708423</x:v>
      </x:c>
      <x:c r="H2061" s="42" t="b">
        <x:v>0</x:v>
      </x:c>
      <x:c r="I2061" s="42" t="b">
        <x:v>0</x:v>
      </x:c>
      <x:c r="J2061" s="38" t="n">
        <x:v>0.2430738507</x:v>
      </x:c>
    </x:row>
    <x:row r="2062" ht="19" customHeight="1">
      <x:c r="A2062" s="29" t="str">
        <x:v>stagger_1</x:v>
      </x:c>
      <x:c r="B2062" s="38" t="str">
        <x:v>F</x:v>
      </x:c>
      <x:c r="C2062" s="38" t="str">
        <x:v>Other FX</x:v>
      </x:c>
      <x:c r="D2062" s="30" t="n">
        <x:v>4</x:v>
      </x:c>
      <x:c r="E2062" s="38" t="str">
        <x:v>EUR/USD</x:v>
      </x:c>
      <x:c r="F2062" s="38" t="n">
        <x:v>-0.9914641401</x:v>
      </x:c>
      <x:c r="G2062" s="38" t="n">
        <x:v>-1.335853613</x:v>
      </x:c>
      <x:c r="H2062" s="42" t="b">
        <x:v>1</x:v>
      </x:c>
      <x:c r="I2062" s="42" t="b">
        <x:v>0</x:v>
      </x:c>
      <x:c r="J2062" s="38" t="n">
        <x:v>0.2430738507</x:v>
      </x:c>
    </x:row>
    <x:row r="2063" ht="19" customHeight="1">
      <x:c r="A2063" s="29" t="str">
        <x:v>stagger_1</x:v>
      </x:c>
      <x:c r="B2063" s="38" t="str">
        <x:v>F</x:v>
      </x:c>
      <x:c r="C2063" s="38" t="str">
        <x:v>Other FX</x:v>
      </x:c>
      <x:c r="D2063" s="30" t="n">
        <x:v>4</x:v>
      </x:c>
      <x:c r="E2063" s="38" t="str">
        <x:v>MXN/USD</x:v>
      </x:c>
      <x:c r="F2063" s="38" t="n">
        <x:v>1.1099727722</x:v>
      </x:c>
      <x:c r="G2063" s="38" t="n">
        <x:v>2.3801608805</x:v>
      </x:c>
      <x:c r="H2063" s="42" t="b">
        <x:v>0</x:v>
      </x:c>
      <x:c r="I2063" s="42" t="b">
        <x:v>0</x:v>
      </x:c>
      <x:c r="J2063" s="38" t="n">
        <x:v>0.2430738507</x:v>
      </x:c>
    </x:row>
    <x:row r="2064" ht="19" customHeight="1">
      <x:c r="A2064" s="29" t="str">
        <x:v>stagger_1</x:v>
      </x:c>
      <x:c r="B2064" s="38" t="str">
        <x:v>F</x:v>
      </x:c>
      <x:c r="C2064" s="38" t="str">
        <x:v>Other FX</x:v>
      </x:c>
      <x:c r="D2064" s="30" t="n">
        <x:v>5</x:v>
      </x:c>
      <x:c r="E2064" s="38" t="str">
        <x:v>AUD/USD</x:v>
      </x:c>
      <x:c r="F2064" s="38" t="n">
        <x:v>1.4746781711</x:v>
      </x:c>
      <x:c r="G2064" s="38" t="n">
        <x:v>2.7053962272</x:v>
      </x:c>
      <x:c r="H2064" s="42" t="b">
        <x:v>0</x:v>
      </x:c>
      <x:c r="I2064" s="42" t="b">
        <x:v>1</x:v>
      </x:c>
      <x:c r="J2064" s="38" t="n">
        <x:v>0.225300977</x:v>
      </x:c>
    </x:row>
    <x:row r="2065" ht="19" customHeight="1">
      <x:c r="A2065" s="29" t="str">
        <x:v>stagger_1</x:v>
      </x:c>
      <x:c r="B2065" s="38" t="str">
        <x:v>F</x:v>
      </x:c>
      <x:c r="C2065" s="38" t="str">
        <x:v>Other FX</x:v>
      </x:c>
      <x:c r="D2065" s="30" t="n">
        <x:v>5</x:v>
      </x:c>
      <x:c r="E2065" s="38" t="str">
        <x:v>MXN/USD</x:v>
      </x:c>
      <x:c r="F2065" s="38" t="n">
        <x:v>0.9194587731</x:v>
      </x:c>
      <x:c r="G2065" s="38" t="n">
        <x:v>2.0603782615</x:v>
      </x:c>
      <x:c r="H2065" s="42" t="b">
        <x:v>0</x:v>
      </x:c>
      <x:c r="I2065" s="42" t="b">
        <x:v>1</x:v>
      </x:c>
      <x:c r="J2065" s="38" t="n">
        <x:v>0.225300977</x:v>
      </x:c>
    </x:row>
    <x:row r="2066" ht="19" customHeight="1">
      <x:c r="A2066" s="29" t="str">
        <x:v>stagger_1</x:v>
      </x:c>
      <x:c r="B2066" s="38" t="str">
        <x:v>F</x:v>
      </x:c>
      <x:c r="C2066" s="38" t="str">
        <x:v>Other sectors</x:v>
      </x:c>
      <x:c r="D2066" s="30" t="n">
        <x:v>1</x:v>
      </x:c>
      <x:c r="E2066" s="38" t="str">
        <x:v>XLB</x:v>
      </x:c>
      <x:c r="F2066" s="38" t="n">
        <x:v>-1.2452282274</x:v>
      </x:c>
      <x:c r="G2066" s="38" t="n">
        <x:v>-2.9324841034</x:v>
      </x:c>
      <x:c r="H2066" s="42" t="b">
        <x:v>0</x:v>
      </x:c>
      <x:c r="I2066" s="42" t="b">
        <x:v>0</x:v>
      </x:c>
      <x:c r="J2066" s="38" t="n">
        <x:v>0.218633444</x:v>
      </x:c>
    </x:row>
    <x:row r="2067" ht="19" customHeight="1">
      <x:c r="A2067" s="29" t="str">
        <x:v>stagger_1</x:v>
      </x:c>
      <x:c r="B2067" s="38" t="str">
        <x:v>F</x:v>
      </x:c>
      <x:c r="C2067" s="38" t="str">
        <x:v>Other sectors</x:v>
      </x:c>
      <x:c r="D2067" s="30" t="n">
        <x:v>1</x:v>
      </x:c>
      <x:c r="E2067" s="38" t="str">
        <x:v>XLC</x:v>
      </x:c>
      <x:c r="F2067" s="38" t="n">
        <x:v>-0.6531775684</x:v>
      </x:c>
      <x:c r="G2067" s="38" t="n">
        <x:v>-1.6051252187</x:v>
      </x:c>
      <x:c r="H2067" s="42" t="b">
        <x:v>0</x:v>
      </x:c>
      <x:c r="I2067" s="42" t="b">
        <x:v>0</x:v>
      </x:c>
      <x:c r="J2067" s="38" t="n">
        <x:v>0.218633444</x:v>
      </x:c>
    </x:row>
    <x:row r="2068" ht="19" customHeight="1">
      <x:c r="A2068" s="29" t="str">
        <x:v>stagger_1</x:v>
      </x:c>
      <x:c r="B2068" s="38" t="str">
        <x:v>F</x:v>
      </x:c>
      <x:c r="C2068" s="38" t="str">
        <x:v>Other sectors</x:v>
      </x:c>
      <x:c r="D2068" s="30" t="n">
        <x:v>1</x:v>
      </x:c>
      <x:c r="E2068" s="38" t="str">
        <x:v>XLE</x:v>
      </x:c>
      <x:c r="F2068" s="38" t="n">
        <x:v>0.3211125315</x:v>
      </x:c>
      <x:c r="G2068" s="38" t="n">
        <x:v>2.253714584</x:v>
      </x:c>
      <x:c r="H2068" s="42" t="b">
        <x:v>0</x:v>
      </x:c>
      <x:c r="I2068" s="42" t="b">
        <x:v>0</x:v>
      </x:c>
      <x:c r="J2068" s="38" t="n">
        <x:v>0.218633444</x:v>
      </x:c>
    </x:row>
    <x:row r="2069" ht="19" customHeight="1">
      <x:c r="A2069" s="29" t="str">
        <x:v>stagger_1</x:v>
      </x:c>
      <x:c r="B2069" s="38" t="str">
        <x:v>F</x:v>
      </x:c>
      <x:c r="C2069" s="38" t="str">
        <x:v>Other sectors</x:v>
      </x:c>
      <x:c r="D2069" s="30" t="n">
        <x:v>1</x:v>
      </x:c>
      <x:c r="E2069" s="38" t="str">
        <x:v>XLF</x:v>
      </x:c>
      <x:c r="F2069" s="38" t="n">
        <x:v>-0.1077762735</x:v>
      </x:c>
      <x:c r="G2069" s="38" t="n">
        <x:v>-0.2497232851</x:v>
      </x:c>
      <x:c r="H2069" s="42" t="b">
        <x:v>1</x:v>
      </x:c>
      <x:c r="I2069" s="42" t="b">
        <x:v>0</x:v>
      </x:c>
      <x:c r="J2069" s="38" t="n">
        <x:v>0.218633444</x:v>
      </x:c>
    </x:row>
    <x:row r="2070" ht="19" customHeight="1">
      <x:c r="A2070" s="29" t="str">
        <x:v>stagger_1</x:v>
      </x:c>
      <x:c r="B2070" s="38" t="str">
        <x:v>F</x:v>
      </x:c>
      <x:c r="C2070" s="38" t="str">
        <x:v>Other sectors</x:v>
      </x:c>
      <x:c r="D2070" s="30" t="n">
        <x:v>1</x:v>
      </x:c>
      <x:c r="E2070" s="38" t="str">
        <x:v>XLI</x:v>
      </x:c>
      <x:c r="F2070" s="38" t="n">
        <x:v>1.0609210573</x:v>
      </x:c>
      <x:c r="G2070" s="38" t="n">
        <x:v>1.939487125</x:v>
      </x:c>
      <x:c r="H2070" s="42" t="b">
        <x:v>0</x:v>
      </x:c>
      <x:c r="I2070" s="42" t="b">
        <x:v>0</x:v>
      </x:c>
      <x:c r="J2070" s="38" t="n">
        <x:v>0.218633444</x:v>
      </x:c>
    </x:row>
    <x:row r="2071" ht="19" customHeight="1">
      <x:c r="A2071" s="29" t="str">
        <x:v>stagger_1</x:v>
      </x:c>
      <x:c r="B2071" s="38" t="str">
        <x:v>F</x:v>
      </x:c>
      <x:c r="C2071" s="38" t="str">
        <x:v>Other sectors</x:v>
      </x:c>
      <x:c r="D2071" s="30" t="n">
        <x:v>1</x:v>
      </x:c>
      <x:c r="E2071" s="38" t="str">
        <x:v>XLK</x:v>
      </x:c>
      <x:c r="F2071" s="38" t="n">
        <x:v>-0.4137984175</x:v>
      </x:c>
      <x:c r="G2071" s="38" t="n">
        <x:v>-0.7126786146</x:v>
      </x:c>
      <x:c r="H2071" s="42" t="b">
        <x:v>0</x:v>
      </x:c>
      <x:c r="I2071" s="42" t="b">
        <x:v>0</x:v>
      </x:c>
      <x:c r="J2071" s="38" t="n">
        <x:v>0.218633444</x:v>
      </x:c>
    </x:row>
    <x:row r="2072" ht="19" customHeight="1">
      <x:c r="A2072" s="29" t="str">
        <x:v>stagger_1</x:v>
      </x:c>
      <x:c r="B2072" s="38" t="str">
        <x:v>F</x:v>
      </x:c>
      <x:c r="C2072" s="38" t="str">
        <x:v>Other sectors</x:v>
      </x:c>
      <x:c r="D2072" s="30" t="n">
        <x:v>1</x:v>
      </x:c>
      <x:c r="E2072" s="38" t="str">
        <x:v>XLP</x:v>
      </x:c>
      <x:c r="F2072" s="38" t="n">
        <x:v>-0.2222235151</x:v>
      </x:c>
      <x:c r="G2072" s="38" t="n">
        <x:v>-0.5087126194</x:v>
      </x:c>
      <x:c r="H2072" s="42" t="b">
        <x:v>0</x:v>
      </x:c>
      <x:c r="I2072" s="42" t="b">
        <x:v>0</x:v>
      </x:c>
      <x:c r="J2072" s="38" t="n">
        <x:v>0.218633444</x:v>
      </x:c>
    </x:row>
    <x:row r="2073" ht="19" customHeight="1">
      <x:c r="A2073" s="29" t="str">
        <x:v>stagger_1</x:v>
      </x:c>
      <x:c r="B2073" s="38" t="str">
        <x:v>F</x:v>
      </x:c>
      <x:c r="C2073" s="38" t="str">
        <x:v>Other sectors</x:v>
      </x:c>
      <x:c r="D2073" s="30" t="n">
        <x:v>1</x:v>
      </x:c>
      <x:c r="E2073" s="38" t="str">
        <x:v>XLRE</x:v>
      </x:c>
      <x:c r="F2073" s="38" t="n">
        <x:v>0.4080852196</x:v>
      </x:c>
      <x:c r="G2073" s="38" t="n">
        <x:v>1.1716287186</x:v>
      </x:c>
      <x:c r="H2073" s="42" t="b">
        <x:v>0</x:v>
      </x:c>
      <x:c r="I2073" s="42" t="b">
        <x:v>0</x:v>
      </x:c>
      <x:c r="J2073" s="38" t="n">
        <x:v>0.218633444</x:v>
      </x:c>
    </x:row>
    <x:row r="2074" ht="19" customHeight="1">
      <x:c r="A2074" s="29" t="str">
        <x:v>stagger_1</x:v>
      </x:c>
      <x:c r="B2074" s="38" t="str">
        <x:v>F</x:v>
      </x:c>
      <x:c r="C2074" s="38" t="str">
        <x:v>Other sectors</x:v>
      </x:c>
      <x:c r="D2074" s="30" t="n">
        <x:v>1</x:v>
      </x:c>
      <x:c r="E2074" s="38" t="str">
        <x:v>XLU</x:v>
      </x:c>
      <x:c r="F2074" s="38" t="n">
        <x:v>-0.3214475622</x:v>
      </x:c>
      <x:c r="G2074" s="38" t="n">
        <x:v>-1.1382663039</x:v>
      </x:c>
      <x:c r="H2074" s="42" t="b">
        <x:v>0</x:v>
      </x:c>
      <x:c r="I2074" s="42" t="b">
        <x:v>0</x:v>
      </x:c>
      <x:c r="J2074" s="38" t="n">
        <x:v>0.218633444</x:v>
      </x:c>
    </x:row>
    <x:row r="2075" ht="19" customHeight="1">
      <x:c r="A2075" s="29" t="str">
        <x:v>stagger_1</x:v>
      </x:c>
      <x:c r="B2075" s="38" t="str">
        <x:v>F</x:v>
      </x:c>
      <x:c r="C2075" s="38" t="str">
        <x:v>Other sectors</x:v>
      </x:c>
      <x:c r="D2075" s="30" t="n">
        <x:v>1</x:v>
      </x:c>
      <x:c r="E2075" s="38" t="str">
        <x:v>XLV</x:v>
      </x:c>
      <x:c r="F2075" s="38" t="n">
        <x:v>0.3677481133</x:v>
      </x:c>
      <x:c r="G2075" s="38" t="n">
        <x:v>1.1030204468</x:v>
      </x:c>
      <x:c r="H2075" s="42" t="b">
        <x:v>0</x:v>
      </x:c>
      <x:c r="I2075" s="42" t="b">
        <x:v>0</x:v>
      </x:c>
      <x:c r="J2075" s="38" t="n">
        <x:v>0.218633444</x:v>
      </x:c>
    </x:row>
    <x:row r="2076" ht="19" customHeight="1">
      <x:c r="A2076" s="29" t="str">
        <x:v>stagger_1</x:v>
      </x:c>
      <x:c r="B2076" s="38" t="str">
        <x:v>F</x:v>
      </x:c>
      <x:c r="C2076" s="38" t="str">
        <x:v>Other sectors</x:v>
      </x:c>
      <x:c r="D2076" s="30" t="n">
        <x:v>2</x:v>
      </x:c>
      <x:c r="E2076" s="38" t="str">
        <x:v>XLB</x:v>
      </x:c>
      <x:c r="F2076" s="38" t="n">
        <x:v>-1.2508608604</x:v>
      </x:c>
      <x:c r="G2076" s="38" t="n">
        <x:v>-2.9698708568</x:v>
      </x:c>
      <x:c r="H2076" s="42" t="b">
        <x:v>0</x:v>
      </x:c>
      <x:c r="I2076" s="42" t="b">
        <x:v>0</x:v>
      </x:c>
      <x:c r="J2076" s="38" t="n">
        <x:v>0.2179272504</x:v>
      </x:c>
    </x:row>
    <x:row r="2077" ht="19" customHeight="1">
      <x:c r="A2077" s="29" t="str">
        <x:v>stagger_1</x:v>
      </x:c>
      <x:c r="B2077" s="38" t="str">
        <x:v>F</x:v>
      </x:c>
      <x:c r="C2077" s="38" t="str">
        <x:v>Other sectors</x:v>
      </x:c>
      <x:c r="D2077" s="30" t="n">
        <x:v>2</x:v>
      </x:c>
      <x:c r="E2077" s="38" t="str">
        <x:v>XLC</x:v>
      </x:c>
      <x:c r="F2077" s="38" t="n">
        <x:v>-0.6280300888</x:v>
      </x:c>
      <x:c r="G2077" s="38" t="n">
        <x:v>-1.6036472079</x:v>
      </x:c>
      <x:c r="H2077" s="42" t="b">
        <x:v>0</x:v>
      </x:c>
      <x:c r="I2077" s="42" t="b">
        <x:v>0</x:v>
      </x:c>
      <x:c r="J2077" s="38" t="n">
        <x:v>0.2179272504</x:v>
      </x:c>
    </x:row>
    <x:row r="2078" ht="19" customHeight="1">
      <x:c r="A2078" s="29" t="str">
        <x:v>stagger_1</x:v>
      </x:c>
      <x:c r="B2078" s="38" t="str">
        <x:v>F</x:v>
      </x:c>
      <x:c r="C2078" s="38" t="str">
        <x:v>Other sectors</x:v>
      </x:c>
      <x:c r="D2078" s="30" t="n">
        <x:v>2</x:v>
      </x:c>
      <x:c r="E2078" s="38" t="str">
        <x:v>XLE</x:v>
      </x:c>
      <x:c r="F2078" s="38" t="n">
        <x:v>0.3224070692</x:v>
      </x:c>
      <x:c r="G2078" s="38" t="n">
        <x:v>2.2796184064</x:v>
      </x:c>
      <x:c r="H2078" s="42" t="b">
        <x:v>0</x:v>
      </x:c>
      <x:c r="I2078" s="42" t="b">
        <x:v>0</x:v>
      </x:c>
      <x:c r="J2078" s="38" t="n">
        <x:v>0.2179272504</x:v>
      </x:c>
    </x:row>
    <x:row r="2079" ht="19" customHeight="1">
      <x:c r="A2079" s="29" t="str">
        <x:v>stagger_1</x:v>
      </x:c>
      <x:c r="B2079" s="38" t="str">
        <x:v>F</x:v>
      </x:c>
      <x:c r="C2079" s="38" t="str">
        <x:v>Other sectors</x:v>
      </x:c>
      <x:c r="D2079" s="30" t="n">
        <x:v>2</x:v>
      </x:c>
      <x:c r="E2079" s="38" t="str">
        <x:v>XLI</x:v>
      </x:c>
      <x:c r="F2079" s="38" t="n">
        <x:v>1.0416249631</x:v>
      </x:c>
      <x:c r="G2079" s="38" t="n">
        <x:v>1.9365123541</x:v>
      </x:c>
      <x:c r="H2079" s="42" t="b">
        <x:v>0</x:v>
      </x:c>
      <x:c r="I2079" s="42" t="b">
        <x:v>0</x:v>
      </x:c>
      <x:c r="J2079" s="38" t="n">
        <x:v>0.2179272504</x:v>
      </x:c>
    </x:row>
    <x:row r="2080" ht="19" customHeight="1">
      <x:c r="A2080" s="29" t="str">
        <x:v>stagger_1</x:v>
      </x:c>
      <x:c r="B2080" s="38" t="str">
        <x:v>F</x:v>
      </x:c>
      <x:c r="C2080" s="38" t="str">
        <x:v>Other sectors</x:v>
      </x:c>
      <x:c r="D2080" s="30" t="n">
        <x:v>2</x:v>
      </x:c>
      <x:c r="E2080" s="38" t="str">
        <x:v>XLK</x:v>
      </x:c>
      <x:c r="F2080" s="38" t="n">
        <x:v>-0.3298592049</x:v>
      </x:c>
      <x:c r="G2080" s="38" t="n">
        <x:v>-0.7014480537</x:v>
      </x:c>
      <x:c r="H2080" s="42" t="b">
        <x:v>0</x:v>
      </x:c>
      <x:c r="I2080" s="42" t="b">
        <x:v>0</x:v>
      </x:c>
      <x:c r="J2080" s="38" t="n">
        <x:v>0.2179272504</x:v>
      </x:c>
    </x:row>
    <x:row r="2081" ht="19" customHeight="1">
      <x:c r="A2081" s="29" t="str">
        <x:v>stagger_1</x:v>
      </x:c>
      <x:c r="B2081" s="38" t="str">
        <x:v>F</x:v>
      </x:c>
      <x:c r="C2081" s="38" t="str">
        <x:v>Other sectors</x:v>
      </x:c>
      <x:c r="D2081" s="30" t="n">
        <x:v>2</x:v>
      </x:c>
      <x:c r="E2081" s="38" t="str">
        <x:v>XLP</x:v>
      </x:c>
      <x:c r="F2081" s="38" t="n">
        <x:v>-0.1783456851</x:v>
      </x:c>
      <x:c r="G2081" s="38" t="n">
        <x:v>-0.4489475398</x:v>
      </x:c>
      <x:c r="H2081" s="42" t="b">
        <x:v>1</x:v>
      </x:c>
      <x:c r="I2081" s="42" t="b">
        <x:v>0</x:v>
      </x:c>
      <x:c r="J2081" s="38" t="n">
        <x:v>0.2179272504</x:v>
      </x:c>
    </x:row>
    <x:row r="2082" ht="19" customHeight="1">
      <x:c r="A2082" s="29" t="str">
        <x:v>stagger_1</x:v>
      </x:c>
      <x:c r="B2082" s="38" t="str">
        <x:v>F</x:v>
      </x:c>
      <x:c r="C2082" s="38" t="str">
        <x:v>Other sectors</x:v>
      </x:c>
      <x:c r="D2082" s="30" t="n">
        <x:v>2</x:v>
      </x:c>
      <x:c r="E2082" s="38" t="str">
        <x:v>XLRE</x:v>
      </x:c>
      <x:c r="F2082" s="38" t="n">
        <x:v>0.4007854495</x:v>
      </x:c>
      <x:c r="G2082" s="38" t="n">
        <x:v>1.1625569837</x:v>
      </x:c>
      <x:c r="H2082" s="42" t="b">
        <x:v>0</x:v>
      </x:c>
      <x:c r="I2082" s="42" t="b">
        <x:v>0</x:v>
      </x:c>
      <x:c r="J2082" s="38" t="n">
        <x:v>0.2179272504</x:v>
      </x:c>
    </x:row>
    <x:row r="2083" ht="19" customHeight="1">
      <x:c r="A2083" s="29" t="str">
        <x:v>stagger_1</x:v>
      </x:c>
      <x:c r="B2083" s="38" t="str">
        <x:v>F</x:v>
      </x:c>
      <x:c r="C2083" s="38" t="str">
        <x:v>Other sectors</x:v>
      </x:c>
      <x:c r="D2083" s="30" t="n">
        <x:v>2</x:v>
      </x:c>
      <x:c r="E2083" s="38" t="str">
        <x:v>XLU</x:v>
      </x:c>
      <x:c r="F2083" s="38" t="n">
        <x:v>-0.3101287161</x:v>
      </x:c>
      <x:c r="G2083" s="38" t="n">
        <x:v>-1.1201370363</x:v>
      </x:c>
      <x:c r="H2083" s="42" t="b">
        <x:v>0</x:v>
      </x:c>
      <x:c r="I2083" s="42" t="b">
        <x:v>0</x:v>
      </x:c>
      <x:c r="J2083" s="38" t="n">
        <x:v>0.2179272504</x:v>
      </x:c>
    </x:row>
    <x:row r="2084" ht="19" customHeight="1">
      <x:c r="A2084" s="29" t="str">
        <x:v>stagger_1</x:v>
      </x:c>
      <x:c r="B2084" s="38" t="str">
        <x:v>F</x:v>
      </x:c>
      <x:c r="C2084" s="38" t="str">
        <x:v>Other sectors</x:v>
      </x:c>
      <x:c r="D2084" s="30" t="n">
        <x:v>2</x:v>
      </x:c>
      <x:c r="E2084" s="38" t="str">
        <x:v>XLV</x:v>
      </x:c>
      <x:c r="F2084" s="38" t="n">
        <x:v>0.3722627729</x:v>
      </x:c>
      <x:c r="G2084" s="38" t="n">
        <x:v>1.1257720267</x:v>
      </x:c>
      <x:c r="H2084" s="42" t="b">
        <x:v>0</x:v>
      </x:c>
      <x:c r="I2084" s="42" t="b">
        <x:v>0</x:v>
      </x:c>
      <x:c r="J2084" s="38" t="n">
        <x:v>0.2179272504</x:v>
      </x:c>
    </x:row>
    <x:row r="2085" ht="19" customHeight="1">
      <x:c r="A2085" s="29" t="str">
        <x:v>stagger_1</x:v>
      </x:c>
      <x:c r="B2085" s="38" t="str">
        <x:v>F</x:v>
      </x:c>
      <x:c r="C2085" s="38" t="str">
        <x:v>Other sectors</x:v>
      </x:c>
      <x:c r="D2085" s="30" t="n">
        <x:v>3</x:v>
      </x:c>
      <x:c r="E2085" s="38" t="str">
        <x:v>XLB</x:v>
      </x:c>
      <x:c r="F2085" s="38" t="n">
        <x:v>-1.2632233219</x:v>
      </x:c>
      <x:c r="G2085" s="38" t="n">
        <x:v>-3.0226974032</x:v>
      </x:c>
      <x:c r="H2085" s="42" t="b">
        <x:v>0</x:v>
      </x:c>
      <x:c r="I2085" s="42" t="b">
        <x:v>0</x:v>
      </x:c>
      <x:c r="J2085" s="38" t="n">
        <x:v>0.215675396</x:v>
      </x:c>
    </x:row>
    <x:row r="2086" ht="19" customHeight="1">
      <x:c r="A2086" s="29" t="str">
        <x:v>stagger_1</x:v>
      </x:c>
      <x:c r="B2086" s="38" t="str">
        <x:v>F</x:v>
      </x:c>
      <x:c r="C2086" s="38" t="str">
        <x:v>Other sectors</x:v>
      </x:c>
      <x:c r="D2086" s="30" t="n">
        <x:v>3</x:v>
      </x:c>
      <x:c r="E2086" s="38" t="str">
        <x:v>XLC</x:v>
      </x:c>
      <x:c r="F2086" s="38" t="n">
        <x:v>-0.6506521865</x:v>
      </x:c>
      <x:c r="G2086" s="38" t="n">
        <x:v>-1.6848376785</x:v>
      </x:c>
      <x:c r="H2086" s="42" t="b">
        <x:v>0</x:v>
      </x:c>
      <x:c r="I2086" s="42" t="b">
        <x:v>0</x:v>
      </x:c>
      <x:c r="J2086" s="38" t="n">
        <x:v>0.215675396</x:v>
      </x:c>
    </x:row>
    <x:row r="2087" ht="19" customHeight="1">
      <x:c r="A2087" s="29" t="str">
        <x:v>stagger_1</x:v>
      </x:c>
      <x:c r="B2087" s="38" t="str">
        <x:v>F</x:v>
      </x:c>
      <x:c r="C2087" s="38" t="str">
        <x:v>Other sectors</x:v>
      </x:c>
      <x:c r="D2087" s="30" t="n">
        <x:v>3</x:v>
      </x:c>
      <x:c r="E2087" s="38" t="str">
        <x:v>XLE</x:v>
      </x:c>
      <x:c r="F2087" s="38" t="n">
        <x:v>0.3258373706</x:v>
      </x:c>
      <x:c r="G2087" s="38" t="n">
        <x:v>2.320326054</x:v>
      </x:c>
      <x:c r="H2087" s="42" t="b">
        <x:v>0</x:v>
      </x:c>
      <x:c r="I2087" s="42" t="b">
        <x:v>0</x:v>
      </x:c>
      <x:c r="J2087" s="38" t="n">
        <x:v>0.215675396</x:v>
      </x:c>
    </x:row>
    <x:row r="2088" ht="19" customHeight="1">
      <x:c r="A2088" s="29" t="str">
        <x:v>stagger_1</x:v>
      </x:c>
      <x:c r="B2088" s="38" t="str">
        <x:v>F</x:v>
      </x:c>
      <x:c r="C2088" s="38" t="str">
        <x:v>Other sectors</x:v>
      </x:c>
      <x:c r="D2088" s="30" t="n">
        <x:v>3</x:v>
      </x:c>
      <x:c r="E2088" s="38" t="str">
        <x:v>XLI</x:v>
      </x:c>
      <x:c r="F2088" s="38" t="n">
        <x:v>1.0048617194</x:v>
      </x:c>
      <x:c r="G2088" s="38" t="n">
        <x:v>1.9009164649</x:v>
      </x:c>
      <x:c r="H2088" s="42" t="b">
        <x:v>0</x:v>
      </x:c>
      <x:c r="I2088" s="42" t="b">
        <x:v>0</x:v>
      </x:c>
      <x:c r="J2088" s="38" t="n">
        <x:v>0.215675396</x:v>
      </x:c>
    </x:row>
    <x:row r="2089" ht="19" customHeight="1">
      <x:c r="A2089" s="29" t="str">
        <x:v>stagger_1</x:v>
      </x:c>
      <x:c r="B2089" s="38" t="str">
        <x:v>F</x:v>
      </x:c>
      <x:c r="C2089" s="38" t="str">
        <x:v>Other sectors</x:v>
      </x:c>
      <x:c r="D2089" s="30" t="n">
        <x:v>3</x:v>
      </x:c>
      <x:c r="E2089" s="38" t="str">
        <x:v>XLK</x:v>
      </x:c>
      <x:c r="F2089" s="38" t="n">
        <x:v>-0.3239608792</x:v>
      </x:c>
      <x:c r="G2089" s="38" t="n">
        <x:v>-0.6930823634</x:v>
      </x:c>
      <x:c r="H2089" s="42" t="b">
        <x:v>1</x:v>
      </x:c>
      <x:c r="I2089" s="42" t="b">
        <x:v>0</x:v>
      </x:c>
      <x:c r="J2089" s="38" t="n">
        <x:v>0.215675396</x:v>
      </x:c>
    </x:row>
    <x:row r="2090" ht="19" customHeight="1">
      <x:c r="A2090" s="29" t="str">
        <x:v>stagger_1</x:v>
      </x:c>
      <x:c r="B2090" s="38" t="str">
        <x:v>F</x:v>
      </x:c>
      <x:c r="C2090" s="38" t="str">
        <x:v>Other sectors</x:v>
      </x:c>
      <x:c r="D2090" s="30" t="n">
        <x:v>3</x:v>
      </x:c>
      <x:c r="E2090" s="38" t="str">
        <x:v>XLRE</x:v>
      </x:c>
      <x:c r="F2090" s="38" t="n">
        <x:v>0.3590460981</x:v>
      </x:c>
      <x:c r="G2090" s="38" t="n">
        <x:v>1.0876893531</x:v>
      </x:c>
      <x:c r="H2090" s="42" t="b">
        <x:v>0</x:v>
      </x:c>
      <x:c r="I2090" s="42" t="b">
        <x:v>0</x:v>
      </x:c>
      <x:c r="J2090" s="38" t="n">
        <x:v>0.215675396</x:v>
      </x:c>
    </x:row>
    <x:row r="2091" ht="19" customHeight="1">
      <x:c r="A2091" s="29" t="str">
        <x:v>stagger_1</x:v>
      </x:c>
      <x:c r="B2091" s="38" t="str">
        <x:v>F</x:v>
      </x:c>
      <x:c r="C2091" s="38" t="str">
        <x:v>Other sectors</x:v>
      </x:c>
      <x:c r="D2091" s="30" t="n">
        <x:v>3</x:v>
      </x:c>
      <x:c r="E2091" s="38" t="str">
        <x:v>XLU</x:v>
      </x:c>
      <x:c r="F2091" s="38" t="n">
        <x:v>-0.3387586991</x:v>
      </x:c>
      <x:c r="G2091" s="38" t="n">
        <x:v>-1.2644818226</x:v>
      </x:c>
      <x:c r="H2091" s="42" t="b">
        <x:v>0</x:v>
      </x:c>
      <x:c r="I2091" s="42" t="b">
        <x:v>0</x:v>
      </x:c>
      <x:c r="J2091" s="38" t="n">
        <x:v>0.215675396</x:v>
      </x:c>
    </x:row>
    <x:row r="2092" ht="19" customHeight="1">
      <x:c r="A2092" s="29" t="str">
        <x:v>stagger_1</x:v>
      </x:c>
      <x:c r="B2092" s="38" t="str">
        <x:v>F</x:v>
      </x:c>
      <x:c r="C2092" s="38" t="str">
        <x:v>Other sectors</x:v>
      </x:c>
      <x:c r="D2092" s="30" t="n">
        <x:v>3</x:v>
      </x:c>
      <x:c r="E2092" s="38" t="str">
        <x:v>XLV</x:v>
      </x:c>
      <x:c r="F2092" s="38" t="n">
        <x:v>0.3335511273</x:v>
      </x:c>
      <x:c r="G2092" s="38" t="n">
        <x:v>1.0507770065</x:v>
      </x:c>
      <x:c r="H2092" s="42" t="b">
        <x:v>0</x:v>
      </x:c>
      <x:c r="I2092" s="42" t="b">
        <x:v>0</x:v>
      </x:c>
      <x:c r="J2092" s="38" t="n">
        <x:v>0.215675396</x:v>
      </x:c>
    </x:row>
    <x:row r="2093" ht="19" customHeight="1">
      <x:c r="A2093" s="29" t="str">
        <x:v>stagger_1</x:v>
      </x:c>
      <x:c r="B2093" s="38" t="str">
        <x:v>F</x:v>
      </x:c>
      <x:c r="C2093" s="38" t="str">
        <x:v>Other sectors</x:v>
      </x:c>
      <x:c r="D2093" s="30" t="n">
        <x:v>4</x:v>
      </x:c>
      <x:c r="E2093" s="38" t="str">
        <x:v>XLB</x:v>
      </x:c>
      <x:c r="F2093" s="38" t="n">
        <x:v>-1.2327739121</x:v>
      </x:c>
      <x:c r="G2093" s="38" t="n">
        <x:v>-2.9770353067</x:v>
      </x:c>
      <x:c r="H2093" s="42" t="b">
        <x:v>0</x:v>
      </x:c>
      <x:c r="I2093" s="42" t="b">
        <x:v>0</x:v>
      </x:c>
      <x:c r="J2093" s="38" t="n">
        <x:v>0.210368908</x:v>
      </x:c>
    </x:row>
    <x:row r="2094" ht="19" customHeight="1">
      <x:c r="A2094" s="29" t="str">
        <x:v>stagger_1</x:v>
      </x:c>
      <x:c r="B2094" s="38" t="str">
        <x:v>F</x:v>
      </x:c>
      <x:c r="C2094" s="38" t="str">
        <x:v>Other sectors</x:v>
      </x:c>
      <x:c r="D2094" s="30" t="n">
        <x:v>4</x:v>
      </x:c>
      <x:c r="E2094" s="38" t="str">
        <x:v>XLC</x:v>
      </x:c>
      <x:c r="F2094" s="38" t="n">
        <x:v>-0.5015727746</x:v>
      </x:c>
      <x:c r="G2094" s="38" t="n">
        <x:v>-1.5695093037</x:v>
      </x:c>
      <x:c r="H2094" s="42" t="b">
        <x:v>0</x:v>
      </x:c>
      <x:c r="I2094" s="42" t="b">
        <x:v>0</x:v>
      </x:c>
      <x:c r="J2094" s="38" t="n">
        <x:v>0.210368908</x:v>
      </x:c>
    </x:row>
    <x:row r="2095" ht="19" customHeight="1">
      <x:c r="A2095" s="29" t="str">
        <x:v>stagger_1</x:v>
      </x:c>
      <x:c r="B2095" s="38" t="str">
        <x:v>F</x:v>
      </x:c>
      <x:c r="C2095" s="38" t="str">
        <x:v>Other sectors</x:v>
      </x:c>
      <x:c r="D2095" s="30" t="n">
        <x:v>4</x:v>
      </x:c>
      <x:c r="E2095" s="38" t="str">
        <x:v>XLE</x:v>
      </x:c>
      <x:c r="F2095" s="38" t="n">
        <x:v>0.3570521053</x:v>
      </x:c>
      <x:c r="G2095" s="38" t="n">
        <x:v>2.6941541863</x:v>
      </x:c>
      <x:c r="H2095" s="42" t="b">
        <x:v>0</x:v>
      </x:c>
      <x:c r="I2095" s="42" t="b">
        <x:v>0</x:v>
      </x:c>
      <x:c r="J2095" s="38" t="n">
        <x:v>0.210368908</x:v>
      </x:c>
    </x:row>
    <x:row r="2096" ht="19" customHeight="1">
      <x:c r="A2096" s="29" t="str">
        <x:v>stagger_1</x:v>
      </x:c>
      <x:c r="B2096" s="38" t="str">
        <x:v>F</x:v>
      </x:c>
      <x:c r="C2096" s="38" t="str">
        <x:v>Other sectors</x:v>
      </x:c>
      <x:c r="D2096" s="30" t="n">
        <x:v>4</x:v>
      </x:c>
      <x:c r="E2096" s="38" t="str">
        <x:v>XLI</x:v>
      </x:c>
      <x:c r="F2096" s="38" t="n">
        <x:v>1.05661044</x:v>
      </x:c>
      <x:c r="G2096" s="38" t="n">
        <x:v>2.0263776442</x:v>
      </x:c>
      <x:c r="H2096" s="42" t="b">
        <x:v>0</x:v>
      </x:c>
      <x:c r="I2096" s="42" t="b">
        <x:v>0</x:v>
      </x:c>
      <x:c r="J2096" s="38" t="n">
        <x:v>0.210368908</x:v>
      </x:c>
    </x:row>
    <x:row r="2097" ht="19" customHeight="1">
      <x:c r="A2097" s="29" t="str">
        <x:v>stagger_1</x:v>
      </x:c>
      <x:c r="B2097" s="38" t="str">
        <x:v>F</x:v>
      </x:c>
      <x:c r="C2097" s="38" t="str">
        <x:v>Other sectors</x:v>
      </x:c>
      <x:c r="D2097" s="30" t="n">
        <x:v>4</x:v>
      </x:c>
      <x:c r="E2097" s="38" t="str">
        <x:v>XLRE</x:v>
      </x:c>
      <x:c r="F2097" s="38" t="n">
        <x:v>0.4147616162</x:v>
      </x:c>
      <x:c r="G2097" s="38" t="n">
        <x:v>1.3001746695</x:v>
      </x:c>
      <x:c r="H2097" s="42" t="b">
        <x:v>0</x:v>
      </x:c>
      <x:c r="I2097" s="42" t="b">
        <x:v>0</x:v>
      </x:c>
      <x:c r="J2097" s="38" t="n">
        <x:v>0.210368908</x:v>
      </x:c>
    </x:row>
    <x:row r="2098" ht="19" customHeight="1">
      <x:c r="A2098" s="29" t="str">
        <x:v>stagger_1</x:v>
      </x:c>
      <x:c r="B2098" s="38" t="str">
        <x:v>F</x:v>
      </x:c>
      <x:c r="C2098" s="38" t="str">
        <x:v>Other sectors</x:v>
      </x:c>
      <x:c r="D2098" s="30" t="n">
        <x:v>4</x:v>
      </x:c>
      <x:c r="E2098" s="38" t="str">
        <x:v>XLU</x:v>
      </x:c>
      <x:c r="F2098" s="38" t="n">
        <x:v>-0.3082841491</x:v>
      </x:c>
      <x:c r="G2098" s="38" t="n">
        <x:v>-1.1707811521</x:v>
      </x:c>
      <x:c r="H2098" s="42" t="b">
        <x:v>1</x:v>
      </x:c>
      <x:c r="I2098" s="42" t="b">
        <x:v>0</x:v>
      </x:c>
      <x:c r="J2098" s="38" t="n">
        <x:v>0.210368908</x:v>
      </x:c>
    </x:row>
    <x:row r="2099" ht="19" customHeight="1">
      <x:c r="A2099" s="29" t="str">
        <x:v>stagger_1</x:v>
      </x:c>
      <x:c r="B2099" s="38" t="str">
        <x:v>F</x:v>
      </x:c>
      <x:c r="C2099" s="38" t="str">
        <x:v>Other sectors</x:v>
      </x:c>
      <x:c r="D2099" s="30" t="n">
        <x:v>4</x:v>
      </x:c>
      <x:c r="E2099" s="38" t="str">
        <x:v>XLV</x:v>
      </x:c>
      <x:c r="F2099" s="38" t="n">
        <x:v>0.4315754034</x:v>
      </x:c>
      <x:c r="G2099" s="38" t="n">
        <x:v>1.5241583021</x:v>
      </x:c>
      <x:c r="H2099" s="42" t="b">
        <x:v>0</x:v>
      </x:c>
      <x:c r="I2099" s="42" t="b">
        <x:v>0</x:v>
      </x:c>
      <x:c r="J2099" s="38" t="n">
        <x:v>0.210368908</x:v>
      </x:c>
    </x:row>
    <x:row r="2100" ht="19" customHeight="1">
      <x:c r="A2100" s="29" t="str">
        <x:v>stagger_1</x:v>
      </x:c>
      <x:c r="B2100" s="38" t="str">
        <x:v>F</x:v>
      </x:c>
      <x:c r="C2100" s="38" t="str">
        <x:v>Other sectors</x:v>
      </x:c>
      <x:c r="D2100" s="30" t="n">
        <x:v>5</x:v>
      </x:c>
      <x:c r="E2100" s="38" t="str">
        <x:v>XLB</x:v>
      </x:c>
      <x:c r="F2100" s="38" t="n">
        <x:v>-1.2522006624</x:v>
      </x:c>
      <x:c r="G2100" s="38" t="n">
        <x:v>-3.0187241944</x:v>
      </x:c>
      <x:c r="H2100" s="42" t="b">
        <x:v>0</x:v>
      </x:c>
      <x:c r="I2100" s="42" t="b">
        <x:v>0</x:v>
      </x:c>
      <x:c r="J2100" s="38" t="n">
        <x:v>0.1953359935</x:v>
      </x:c>
    </x:row>
    <x:row r="2101" ht="19" customHeight="1">
      <x:c r="A2101" s="29" t="str">
        <x:v>stagger_1</x:v>
      </x:c>
      <x:c r="B2101" s="38" t="str">
        <x:v>F</x:v>
      </x:c>
      <x:c r="C2101" s="38" t="str">
        <x:v>Other sectors</x:v>
      </x:c>
      <x:c r="D2101" s="30" t="n">
        <x:v>5</x:v>
      </x:c>
      <x:c r="E2101" s="38" t="str">
        <x:v>XLC</x:v>
      </x:c>
      <x:c r="F2101" s="38" t="n">
        <x:v>-0.4672228092</x:v>
      </x:c>
      <x:c r="G2101" s="38" t="n">
        <x:v>-1.4645089096</x:v>
      </x:c>
      <x:c r="H2101" s="42" t="b">
        <x:v>0</x:v>
      </x:c>
      <x:c r="I2101" s="42" t="b">
        <x:v>0</x:v>
      </x:c>
      <x:c r="J2101" s="38" t="n">
        <x:v>0.1953359935</x:v>
      </x:c>
    </x:row>
    <x:row r="2102" ht="19" customHeight="1">
      <x:c r="A2102" s="29" t="str">
        <x:v>stagger_1</x:v>
      </x:c>
      <x:c r="B2102" s="38" t="str">
        <x:v>F</x:v>
      </x:c>
      <x:c r="C2102" s="38" t="str">
        <x:v>Other sectors</x:v>
      </x:c>
      <x:c r="D2102" s="30" t="n">
        <x:v>5</x:v>
      </x:c>
      <x:c r="E2102" s="38" t="str">
        <x:v>XLE</x:v>
      </x:c>
      <x:c r="F2102" s="38" t="n">
        <x:v>0.3641442125</x:v>
      </x:c>
      <x:c r="G2102" s="38" t="n">
        <x:v>2.7435849652</x:v>
      </x:c>
      <x:c r="H2102" s="42" t="b">
        <x:v>0</x:v>
      </x:c>
      <x:c r="I2102" s="42" t="b">
        <x:v>0</x:v>
      </x:c>
      <x:c r="J2102" s="38" t="n">
        <x:v>0.1953359935</x:v>
      </x:c>
    </x:row>
    <x:row r="2103" ht="19" customHeight="1">
      <x:c r="A2103" s="29" t="str">
        <x:v>stagger_1</x:v>
      </x:c>
      <x:c r="B2103" s="38" t="str">
        <x:v>F</x:v>
      </x:c>
      <x:c r="C2103" s="38" t="str">
        <x:v>Other sectors</x:v>
      </x:c>
      <x:c r="D2103" s="30" t="n">
        <x:v>5</x:v>
      </x:c>
      <x:c r="E2103" s="38" t="str">
        <x:v>XLI</x:v>
      </x:c>
      <x:c r="F2103" s="38" t="n">
        <x:v>0.9645503591</x:v>
      </x:c>
      <x:c r="G2103" s="38" t="n">
        <x:v>1.8664892156</x:v>
      </x:c>
      <x:c r="H2103" s="42" t="b">
        <x:v>0</x:v>
      </x:c>
      <x:c r="I2103" s="42" t="b">
        <x:v>0</x:v>
      </x:c>
      <x:c r="J2103" s="38" t="n">
        <x:v>0.1953359935</x:v>
      </x:c>
    </x:row>
    <x:row r="2104" ht="19" customHeight="1">
      <x:c r="A2104" s="29" t="str">
        <x:v>stagger_1</x:v>
      </x:c>
      <x:c r="B2104" s="38" t="str">
        <x:v>F</x:v>
      </x:c>
      <x:c r="C2104" s="38" t="str">
        <x:v>Other sectors</x:v>
      </x:c>
      <x:c r="D2104" s="30" t="n">
        <x:v>5</x:v>
      </x:c>
      <x:c r="E2104" s="38" t="str">
        <x:v>XLRE</x:v>
      </x:c>
      <x:c r="F2104" s="38" t="n">
        <x:v>0.2640218959</x:v>
      </x:c>
      <x:c r="G2104" s="38" t="n">
        <x:v>0.9023050276</x:v>
      </x:c>
      <x:c r="H2104" s="42" t="b">
        <x:v>1</x:v>
      </x:c>
      <x:c r="I2104" s="42" t="b">
        <x:v>0</x:v>
      </x:c>
      <x:c r="J2104" s="38" t="n">
        <x:v>0.1953359935</x:v>
      </x:c>
    </x:row>
    <x:row r="2105" ht="19" customHeight="1">
      <x:c r="A2105" s="29" t="str">
        <x:v>stagger_1</x:v>
      </x:c>
      <x:c r="B2105" s="38" t="str">
        <x:v>F</x:v>
      </x:c>
      <x:c r="C2105" s="38" t="str">
        <x:v>Other sectors</x:v>
      </x:c>
      <x:c r="D2105" s="30" t="n">
        <x:v>5</x:v>
      </x:c>
      <x:c r="E2105" s="38" t="str">
        <x:v>XLV</x:v>
      </x:c>
      <x:c r="F2105" s="38" t="n">
        <x:v>0.4083931052</x:v>
      </x:c>
      <x:c r="G2105" s="38" t="n">
        <x:v>1.4421693458</x:v>
      </x:c>
      <x:c r="H2105" s="42" t="b">
        <x:v>0</x:v>
      </x:c>
      <x:c r="I2105" s="42" t="b">
        <x:v>0</x:v>
      </x:c>
      <x:c r="J2105" s="38" t="n">
        <x:v>0.1953359935</x:v>
      </x:c>
    </x:row>
    <x:row r="2106" ht="19" customHeight="1">
      <x:c r="A2106" s="29" t="str">
        <x:v>stagger_1</x:v>
      </x:c>
      <x:c r="B2106" s="38" t="str">
        <x:v>F</x:v>
      </x:c>
      <x:c r="C2106" s="38" t="str">
        <x:v>Other sectors</x:v>
      </x:c>
      <x:c r="D2106" s="30" t="n">
        <x:v>6</x:v>
      </x:c>
      <x:c r="E2106" s="38" t="str">
        <x:v>XLB</x:v>
      </x:c>
      <x:c r="F2106" s="38" t="n">
        <x:v>-1.1626126743</x:v>
      </x:c>
      <x:c r="G2106" s="38" t="n">
        <x:v>-2.890293413</x:v>
      </x:c>
      <x:c r="H2106" s="42" t="b">
        <x:v>0</x:v>
      </x:c>
      <x:c r="I2106" s="42" t="b">
        <x:v>0</x:v>
      </x:c>
      <x:c r="J2106" s="38" t="n">
        <x:v>0.1863617371</x:v>
      </x:c>
    </x:row>
    <x:row r="2107" ht="19" customHeight="1">
      <x:c r="A2107" s="29" t="str">
        <x:v>stagger_1</x:v>
      </x:c>
      <x:c r="B2107" s="38" t="str">
        <x:v>F</x:v>
      </x:c>
      <x:c r="C2107" s="38" t="str">
        <x:v>Other sectors</x:v>
      </x:c>
      <x:c r="D2107" s="30" t="n">
        <x:v>6</x:v>
      </x:c>
      <x:c r="E2107" s="38" t="str">
        <x:v>XLC</x:v>
      </x:c>
      <x:c r="F2107" s="38" t="n">
        <x:v>-0.4684598676</x:v>
      </x:c>
      <x:c r="G2107" s="38" t="n">
        <x:v>-1.470247396</x:v>
      </x:c>
      <x:c r="H2107" s="42" t="b">
        <x:v>1</x:v>
      </x:c>
      <x:c r="I2107" s="42" t="b">
        <x:v>0</x:v>
      </x:c>
      <x:c r="J2107" s="38" t="n">
        <x:v>0.1863617371</x:v>
      </x:c>
    </x:row>
    <x:row r="2108" ht="19" customHeight="1">
      <x:c r="A2108" s="29" t="str">
        <x:v>stagger_1</x:v>
      </x:c>
      <x:c r="B2108" s="38" t="str">
        <x:v>F</x:v>
      </x:c>
      <x:c r="C2108" s="38" t="str">
        <x:v>Other sectors</x:v>
      </x:c>
      <x:c r="D2108" s="30" t="n">
        <x:v>6</x:v>
      </x:c>
      <x:c r="E2108" s="38" t="str">
        <x:v>XLE</x:v>
      </x:c>
      <x:c r="F2108" s="38" t="n">
        <x:v>0.3616445607</x:v>
      </x:c>
      <x:c r="G2108" s="38" t="n">
        <x:v>2.7287741811</x:v>
      </x:c>
      <x:c r="H2108" s="42" t="b">
        <x:v>0</x:v>
      </x:c>
      <x:c r="I2108" s="42" t="b">
        <x:v>0</x:v>
      </x:c>
      <x:c r="J2108" s="38" t="n">
        <x:v>0.1863617371</x:v>
      </x:c>
    </x:row>
    <x:row r="2109" ht="19" customHeight="1">
      <x:c r="A2109" s="29" t="str">
        <x:v>stagger_1</x:v>
      </x:c>
      <x:c r="B2109" s="38" t="str">
        <x:v>F</x:v>
      </x:c>
      <x:c r="C2109" s="38" t="str">
        <x:v>Other sectors</x:v>
      </x:c>
      <x:c r="D2109" s="30" t="n">
        <x:v>6</x:v>
      </x:c>
      <x:c r="E2109" s="38" t="str">
        <x:v>XLI</x:v>
      </x:c>
      <x:c r="F2109" s="38" t="n">
        <x:v>0.9406911746</x:v>
      </x:c>
      <x:c r="G2109" s="38" t="n">
        <x:v>1.8250004129</x:v>
      </x:c>
      <x:c r="H2109" s="42" t="b">
        <x:v>0</x:v>
      </x:c>
      <x:c r="I2109" s="42" t="b">
        <x:v>0</x:v>
      </x:c>
      <x:c r="J2109" s="38" t="n">
        <x:v>0.1863617371</x:v>
      </x:c>
    </x:row>
    <x:row r="2110" ht="19" customHeight="1">
      <x:c r="A2110" s="29" t="str">
        <x:v>stagger_1</x:v>
      </x:c>
      <x:c r="B2110" s="38" t="str">
        <x:v>F</x:v>
      </x:c>
      <x:c r="C2110" s="38" t="str">
        <x:v>Other sectors</x:v>
      </x:c>
      <x:c r="D2110" s="30" t="n">
        <x:v>6</x:v>
      </x:c>
      <x:c r="E2110" s="38" t="str">
        <x:v>XLV</x:v>
      </x:c>
      <x:c r="F2110" s="38" t="n">
        <x:v>0.4945537268</x:v>
      </x:c>
      <x:c r="G2110" s="38" t="n">
        <x:v>1.857413833</x:v>
      </x:c>
      <x:c r="H2110" s="42" t="b">
        <x:v>0</x:v>
      </x:c>
      <x:c r="I2110" s="42" t="b">
        <x:v>0</x:v>
      </x:c>
      <x:c r="J2110" s="38" t="n">
        <x:v>0.1863617371</x:v>
      </x:c>
    </x:row>
    <x:row r="2111" ht="19" customHeight="1">
      <x:c r="A2111" s="29" t="str">
        <x:v>stagger_1</x:v>
      </x:c>
      <x:c r="B2111" s="38" t="str">
        <x:v>F</x:v>
      </x:c>
      <x:c r="C2111" s="38" t="str">
        <x:v>Other sectors</x:v>
      </x:c>
      <x:c r="D2111" s="30" t="n">
        <x:v>7</x:v>
      </x:c>
      <x:c r="E2111" s="38" t="str">
        <x:v>XLB</x:v>
      </x:c>
      <x:c r="F2111" s="38" t="n">
        <x:v>-1.1967309673</x:v>
      </x:c>
      <x:c r="G2111" s="38" t="n">
        <x:v>-2.9572622865</x:v>
      </x:c>
      <x:c r="H2111" s="42" t="b">
        <x:v>0</x:v>
      </x:c>
      <x:c r="I2111" s="42" t="b">
        <x:v>0</x:v>
      </x:c>
      <x:c r="J2111" s="38" t="n">
        <x:v>0.1625944024</x:v>
      </x:c>
    </x:row>
    <x:row r="2112" ht="19" customHeight="1">
      <x:c r="A2112" s="29" t="str">
        <x:v>stagger_1</x:v>
      </x:c>
      <x:c r="B2112" s="38" t="str">
        <x:v>F</x:v>
      </x:c>
      <x:c r="C2112" s="38" t="str">
        <x:v>Other sectors</x:v>
      </x:c>
      <x:c r="D2112" s="30" t="n">
        <x:v>7</x:v>
      </x:c>
      <x:c r="E2112" s="38" t="str">
        <x:v>XLE</x:v>
      </x:c>
      <x:c r="F2112" s="38" t="n">
        <x:v>0.3473162568</x:v>
      </x:c>
      <x:c r="G2112" s="38" t="n">
        <x:v>2.6076581712</x:v>
      </x:c>
      <x:c r="H2112" s="42" t="b">
        <x:v>0</x:v>
      </x:c>
      <x:c r="I2112" s="42" t="b">
        <x:v>0</x:v>
      </x:c>
      <x:c r="J2112" s="38" t="n">
        <x:v>0.1625944024</x:v>
      </x:c>
    </x:row>
    <x:row r="2113" ht="19" customHeight="1">
      <x:c r="A2113" s="29" t="str">
        <x:v>stagger_1</x:v>
      </x:c>
      <x:c r="B2113" s="38" t="str">
        <x:v>F</x:v>
      </x:c>
      <x:c r="C2113" s="38" t="str">
        <x:v>Other sectors</x:v>
      </x:c>
      <x:c r="D2113" s="30" t="n">
        <x:v>7</x:v>
      </x:c>
      <x:c r="E2113" s="38" t="str">
        <x:v>XLI</x:v>
      </x:c>
      <x:c r="F2113" s="38" t="n">
        <x:v>1.0480619826</x:v>
      </x:c>
      <x:c r="G2113" s="38" t="n">
        <x:v>2.0383025184</x:v>
      </x:c>
      <x:c r="H2113" s="42" t="b">
        <x:v>0</x:v>
      </x:c>
      <x:c r="I2113" s="42" t="b">
        <x:v>0</x:v>
      </x:c>
      <x:c r="J2113" s="38" t="n">
        <x:v>0.1625944024</x:v>
      </x:c>
    </x:row>
    <x:row r="2114" ht="19" customHeight="1">
      <x:c r="A2114" s="29" t="str">
        <x:v>stagger_1</x:v>
      </x:c>
      <x:c r="B2114" s="38" t="str">
        <x:v>F</x:v>
      </x:c>
      <x:c r="C2114" s="38" t="str">
        <x:v>Other sectors</x:v>
      </x:c>
      <x:c r="D2114" s="30" t="n">
        <x:v>7</x:v>
      </x:c>
      <x:c r="E2114" s="38" t="str">
        <x:v>XLV</x:v>
      </x:c>
      <x:c r="F2114" s="38" t="n">
        <x:v>0.4966134879</x:v>
      </x:c>
      <x:c r="G2114" s="38" t="n">
        <x:v>1.8508969648</x:v>
      </x:c>
      <x:c r="H2114" s="42" t="b">
        <x:v>1</x:v>
      </x:c>
      <x:c r="I2114" s="42" t="b">
        <x:v>0</x:v>
      </x:c>
      <x:c r="J2114" s="38" t="n">
        <x:v>0.1625944024</x:v>
      </x:c>
    </x:row>
    <x:row r="2115" ht="19" customHeight="1">
      <x:c r="A2115" s="29" t="str">
        <x:v>stagger_1</x:v>
      </x:c>
      <x:c r="B2115" s="38" t="str">
        <x:v>F</x:v>
      </x:c>
      <x:c r="C2115" s="38" t="str">
        <x:v>Other sectors</x:v>
      </x:c>
      <x:c r="D2115" s="30" t="n">
        <x:v>8</x:v>
      </x:c>
      <x:c r="E2115" s="38" t="str">
        <x:v>XLB</x:v>
      </x:c>
      <x:c r="F2115" s="38" t="n">
        <x:v>-1.0305751838</x:v>
      </x:c>
      <x:c r="G2115" s="38" t="n">
        <x:v>-2.5710347639</x:v>
      </x:c>
      <x:c r="H2115" s="42" t="b">
        <x:v>0</x:v>
      </x:c>
      <x:c r="I2115" s="42" t="b">
        <x:v>0</x:v>
      </x:c>
      <x:c r="J2115" s="38" t="n">
        <x:v>0.1243437293</x:v>
      </x:c>
    </x:row>
    <x:row r="2116" ht="19" customHeight="1">
      <x:c r="A2116" s="29" t="str">
        <x:v>stagger_1</x:v>
      </x:c>
      <x:c r="B2116" s="38" t="str">
        <x:v>F</x:v>
      </x:c>
      <x:c r="C2116" s="38" t="str">
        <x:v>Other sectors</x:v>
      </x:c>
      <x:c r="D2116" s="30" t="n">
        <x:v>8</x:v>
      </x:c>
      <x:c r="E2116" s="38" t="str">
        <x:v>XLE</x:v>
      </x:c>
      <x:c r="F2116" s="38" t="n">
        <x:v>0.3659664515</x:v>
      </x:c>
      <x:c r="G2116" s="38" t="n">
        <x:v>2.7126294709</x:v>
      </x:c>
      <x:c r="H2116" s="42" t="b">
        <x:v>0</x:v>
      </x:c>
      <x:c r="I2116" s="42" t="b">
        <x:v>0</x:v>
      </x:c>
      <x:c r="J2116" s="38" t="n">
        <x:v>0.1243437293</x:v>
      </x:c>
    </x:row>
    <x:row r="2117" ht="19" customHeight="1">
      <x:c r="A2117" s="29" t="str">
        <x:v>stagger_1</x:v>
      </x:c>
      <x:c r="B2117" s="38" t="str">
        <x:v>F</x:v>
      </x:c>
      <x:c r="C2117" s="38" t="str">
        <x:v>Other sectors</x:v>
      </x:c>
      <x:c r="D2117" s="30" t="n">
        <x:v>8</x:v>
      </x:c>
      <x:c r="E2117" s="38" t="str">
        <x:v>XLI</x:v>
      </x:c>
      <x:c r="F2117" s="38" t="n">
        <x:v>0.9585728408</x:v>
      </x:c>
      <x:c r="G2117" s="38" t="n">
        <x:v>1.8433701996</x:v>
      </x:c>
      <x:c r="H2117" s="42" t="b">
        <x:v>1</x:v>
      </x:c>
      <x:c r="I2117" s="42" t="b">
        <x:v>0</x:v>
      </x:c>
      <x:c r="J2117" s="38" t="n">
        <x:v>0.1243437293</x:v>
      </x:c>
    </x:row>
    <x:row r="2118" ht="19" customHeight="1">
      <x:c r="A2118" s="29" t="str">
        <x:v>stagger_1</x:v>
      </x:c>
      <x:c r="B2118" s="38" t="str">
        <x:v>F</x:v>
      </x:c>
      <x:c r="C2118" s="38" t="str">
        <x:v>Other sectors</x:v>
      </x:c>
      <x:c r="D2118" s="30" t="n">
        <x:v>9</x:v>
      </x:c>
      <x:c r="E2118" s="38" t="str">
        <x:v>XLB</x:v>
      </x:c>
      <x:c r="F2118" s="38" t="n">
        <x:v>-0.4496680358</x:v>
      </x:c>
      <x:c r="G2118" s="38" t="n">
        <x:v>-1.787618169</x:v>
      </x:c>
      <x:c r="H2118" s="42" t="b">
        <x:v>1</x:v>
      </x:c>
      <x:c r="I2118" s="42" t="b">
        <x:v>0</x:v>
      </x:c>
      <x:c r="J2118" s="38" t="n">
        <x:v>0.0851925188</x:v>
      </x:c>
    </x:row>
    <x:row r="2119" ht="19" customHeight="1">
      <x:c r="A2119" s="29" t="str">
        <x:v>stagger_1</x:v>
      </x:c>
      <x:c r="B2119" s="38" t="str">
        <x:v>F</x:v>
      </x:c>
      <x:c r="C2119" s="38" t="str">
        <x:v>Other sectors</x:v>
      </x:c>
      <x:c r="D2119" s="30" t="n">
        <x:v>9</x:v>
      </x:c>
      <x:c r="E2119" s="38" t="str">
        <x:v>XLE</x:v>
      </x:c>
      <x:c r="F2119" s="38" t="n">
        <x:v>0.334066854</x:v>
      </x:c>
      <x:c r="G2119" s="38" t="n">
        <x:v>2.4588133404</x:v>
      </x:c>
      <x:c r="H2119" s="42" t="b">
        <x:v>0</x:v>
      </x:c>
      <x:c r="I2119" s="42" t="b">
        <x:v>0</x:v>
      </x:c>
      <x:c r="J2119" s="38" t="n">
        <x:v>0.0851925188</x:v>
      </x:c>
    </x:row>
    <x:row r="2120" ht="19" customHeight="1">
      <x:c r="A2120" s="29" t="str">
        <x:v>stagger_1</x:v>
      </x:c>
      <x:c r="B2120" s="38" t="str">
        <x:v>F</x:v>
      </x:c>
      <x:c r="C2120" s="38" t="str">
        <x:v>Other sectors</x:v>
      </x:c>
      <x:c r="D2120" s="30" t="n">
        <x:v>10</x:v>
      </x:c>
      <x:c r="E2120" s="38" t="str">
        <x:v>XLE</x:v>
      </x:c>
      <x:c r="F2120" s="38" t="n">
        <x:v>0.2568170726</x:v>
      </x:c>
      <x:c r="G2120" s="38" t="n">
        <x:v>1.9662924548</x:v>
      </x:c>
      <x:c r="H2120" s="42" t="b">
        <x:v>1</x:v>
      </x:c>
      <x:c r="I2120" s="42" t="b">
        <x:v>0</x:v>
      </x:c>
      <x:c r="J2120" s="38" t="n">
        <x:v>0.0472270731</x:v>
      </x:c>
    </x:row>
    <x:row r="2121" ht="19" customHeight="1">
      <x:c r="A2121" s="29" t="str">
        <x:v>stagger_1</x:v>
      </x:c>
      <x:c r="B2121" s="38" t="str">
        <x:v>HPE</x:v>
      </x:c>
      <x:c r="C2121" s="38" t="str">
        <x:v>Other FX</x:v>
      </x:c>
      <x:c r="D2121" s="30" t="n">
        <x:v>1</x:v>
      </x:c>
      <x:c r="E2121" s="38" t="str">
        <x:v>AUD/USD</x:v>
      </x:c>
      <x:c r="F2121" s="38" t="n">
        <x:v>1.2345268636</x:v>
      </x:c>
      <x:c r="G2121" s="38" t="n">
        <x:v>1.2962846791</x:v>
      </x:c>
      <x:c r="H2121" s="42" t="b">
        <x:v>0</x:v>
      </x:c>
      <x:c r="I2121" s="42" t="b">
        <x:v>0</x:v>
      </x:c>
      <x:c r="J2121" s="38" t="n">
        <x:v>0.0996645139</x:v>
      </x:c>
    </x:row>
    <x:row r="2122" ht="19" customHeight="1">
      <x:c r="A2122" s="29" t="str">
        <x:v>stagger_1</x:v>
      </x:c>
      <x:c r="B2122" s="38" t="str">
        <x:v>HPE</x:v>
      </x:c>
      <x:c r="C2122" s="38" t="str">
        <x:v>Other FX</x:v>
      </x:c>
      <x:c r="D2122" s="30" t="n">
        <x:v>1</x:v>
      </x:c>
      <x:c r="E2122" s="38" t="str">
        <x:v>CAD/USD</x:v>
      </x:c>
      <x:c r="F2122" s="38" t="n">
        <x:v>0.9256002039</x:v>
      </x:c>
      <x:c r="G2122" s="38" t="n">
        <x:v>0.8048589847</x:v>
      </x:c>
      <x:c r="H2122" s="42" t="b">
        <x:v>0</x:v>
      </x:c>
      <x:c r="I2122" s="42" t="b">
        <x:v>0</x:v>
      </x:c>
      <x:c r="J2122" s="38" t="n">
        <x:v>0.0996645139</x:v>
      </x:c>
    </x:row>
    <x:row r="2123" ht="19" customHeight="1">
      <x:c r="A2123" s="29" t="str">
        <x:v>stagger_1</x:v>
      </x:c>
      <x:c r="B2123" s="38" t="str">
        <x:v>HPE</x:v>
      </x:c>
      <x:c r="C2123" s="38" t="str">
        <x:v>Other FX</x:v>
      </x:c>
      <x:c r="D2123" s="30" t="n">
        <x:v>1</x:v>
      </x:c>
      <x:c r="E2123" s="38" t="str">
        <x:v>DKK/USD</x:v>
      </x:c>
      <x:c r="F2123" s="38" t="n">
        <x:v>5.2517353595</x:v>
      </x:c>
      <x:c r="G2123" s="38" t="n">
        <x:v>0.6559613543</x:v>
      </x:c>
      <x:c r="H2123" s="42" t="b">
        <x:v>1</x:v>
      </x:c>
      <x:c r="I2123" s="42" t="b">
        <x:v>0</x:v>
      </x:c>
      <x:c r="J2123" s="38" t="n">
        <x:v>0.0996645139</x:v>
      </x:c>
    </x:row>
    <x:row r="2124" ht="19" customHeight="1">
      <x:c r="A2124" s="29" t="str">
        <x:v>stagger_1</x:v>
      </x:c>
      <x:c r="B2124" s="38" t="str">
        <x:v>HPE</x:v>
      </x:c>
      <x:c r="C2124" s="38" t="str">
        <x:v>Other FX</x:v>
      </x:c>
      <x:c r="D2124" s="30" t="n">
        <x:v>1</x:v>
      </x:c>
      <x:c r="E2124" s="38" t="str">
        <x:v>EUR/USD</x:v>
      </x:c>
      <x:c r="F2124" s="38" t="n">
        <x:v>-6.5463374846</x:v>
      </x:c>
      <x:c r="G2124" s="38" t="n">
        <x:v>-0.8939007073</x:v>
      </x:c>
      <x:c r="H2124" s="42" t="b">
        <x:v>0</x:v>
      </x:c>
      <x:c r="I2124" s="42" t="b">
        <x:v>0</x:v>
      </x:c>
      <x:c r="J2124" s="38" t="n">
        <x:v>0.0996645139</x:v>
      </x:c>
    </x:row>
    <x:row r="2125" ht="19" customHeight="1">
      <x:c r="A2125" s="29" t="str">
        <x:v>stagger_1</x:v>
      </x:c>
      <x:c r="B2125" s="38" t="str">
        <x:v>HPE</x:v>
      </x:c>
      <x:c r="C2125" s="38" t="str">
        <x:v>Other FX</x:v>
      </x:c>
      <x:c r="D2125" s="30" t="n">
        <x:v>1</x:v>
      </x:c>
      <x:c r="E2125" s="38" t="str">
        <x:v>MXN/USD</x:v>
      </x:c>
      <x:c r="F2125" s="38" t="n">
        <x:v>0.791849062</x:v>
      </x:c>
      <x:c r="G2125" s="38" t="n">
        <x:v>1.2978462874</x:v>
      </x:c>
      <x:c r="H2125" s="42" t="b">
        <x:v>0</x:v>
      </x:c>
      <x:c r="I2125" s="42" t="b">
        <x:v>0</x:v>
      </x:c>
      <x:c r="J2125" s="38" t="n">
        <x:v>0.0996645139</x:v>
      </x:c>
    </x:row>
    <x:row r="2126" ht="19" customHeight="1">
      <x:c r="A2126" s="29" t="str">
        <x:v>stagger_1</x:v>
      </x:c>
      <x:c r="B2126" s="38" t="str">
        <x:v>HPE</x:v>
      </x:c>
      <x:c r="C2126" s="38" t="str">
        <x:v>Other FX</x:v>
      </x:c>
      <x:c r="D2126" s="30" t="n">
        <x:v>1</x:v>
      </x:c>
      <x:c r="E2126" s="38" t="str">
        <x:v>SGD/USD</x:v>
      </x:c>
      <x:c r="F2126" s="38" t="n">
        <x:v>-1.9177667597</x:v>
      </x:c>
      <x:c r="G2126" s="38" t="n">
        <x:v>-0.8316988721</x:v>
      </x:c>
      <x:c r="H2126" s="42" t="b">
        <x:v>0</x:v>
      </x:c>
      <x:c r="I2126" s="42" t="b">
        <x:v>0</x:v>
      </x:c>
      <x:c r="J2126" s="38" t="n">
        <x:v>0.0996645139</x:v>
      </x:c>
    </x:row>
    <x:row r="2127" ht="19" customHeight="1">
      <x:c r="A2127" s="29" t="str">
        <x:v>stagger_1</x:v>
      </x:c>
      <x:c r="B2127" s="38" t="str">
        <x:v>HPE</x:v>
      </x:c>
      <x:c r="C2127" s="38" t="str">
        <x:v>Other FX</x:v>
      </x:c>
      <x:c r="D2127" s="30" t="n">
        <x:v>2</x:v>
      </x:c>
      <x:c r="E2127" s="38" t="str">
        <x:v>AUD/USD</x:v>
      </x:c>
      <x:c r="F2127" s="38" t="n">
        <x:v>1.2316217467</x:v>
      </x:c>
      <x:c r="G2127" s="38" t="n">
        <x:v>1.2982554072</x:v>
      </x:c>
      <x:c r="H2127" s="42" t="b">
        <x:v>0</x:v>
      </x:c>
      <x:c r="I2127" s="42" t="b">
        <x:v>0</x:v>
      </x:c>
      <x:c r="J2127" s="38" t="n">
        <x:v>0.0943576492</x:v>
      </x:c>
    </x:row>
    <x:row r="2128" ht="19" customHeight="1">
      <x:c r="A2128" s="29" t="str">
        <x:v>stagger_1</x:v>
      </x:c>
      <x:c r="B2128" s="38" t="str">
        <x:v>HPE</x:v>
      </x:c>
      <x:c r="C2128" s="38" t="str">
        <x:v>Other FX</x:v>
      </x:c>
      <x:c r="D2128" s="30" t="n">
        <x:v>2</x:v>
      </x:c>
      <x:c r="E2128" s="38" t="str">
        <x:v>CAD/USD</x:v>
      </x:c>
      <x:c r="F2128" s="38" t="n">
        <x:v>1.000662727</x:v>
      </x:c>
      <x:c r="G2128" s="38" t="n">
        <x:v>0.8778555045</x:v>
      </x:c>
      <x:c r="H2128" s="42" t="b">
        <x:v>0</x:v>
      </x:c>
      <x:c r="I2128" s="42" t="b">
        <x:v>0</x:v>
      </x:c>
      <x:c r="J2128" s="38" t="n">
        <x:v>0.0943576492</x:v>
      </x:c>
    </x:row>
    <x:row r="2129" ht="19" customHeight="1">
      <x:c r="A2129" s="29" t="str">
        <x:v>stagger_1</x:v>
      </x:c>
      <x:c r="B2129" s="38" t="str">
        <x:v>HPE</x:v>
      </x:c>
      <x:c r="C2129" s="38" t="str">
        <x:v>Other FX</x:v>
      </x:c>
      <x:c r="D2129" s="30" t="n">
        <x:v>2</x:v>
      </x:c>
      <x:c r="E2129" s="38" t="str">
        <x:v>EUR/USD</x:v>
      </x:c>
      <x:c r="F2129" s="38" t="n">
        <x:v>-1.8039778557</x:v>
      </x:c>
      <x:c r="G2129" s="38" t="n">
        <x:v>-1.5507801495</x:v>
      </x:c>
      <x:c r="H2129" s="42" t="b">
        <x:v>0</x:v>
      </x:c>
      <x:c r="I2129" s="42" t="b">
        <x:v>0</x:v>
      </x:c>
      <x:c r="J2129" s="38" t="n">
        <x:v>0.0943576492</x:v>
      </x:c>
    </x:row>
    <x:row r="2130" ht="19" customHeight="1">
      <x:c r="A2130" s="29" t="str">
        <x:v>stagger_1</x:v>
      </x:c>
      <x:c r="B2130" s="38" t="str">
        <x:v>HPE</x:v>
      </x:c>
      <x:c r="C2130" s="38" t="str">
        <x:v>Other FX</x:v>
      </x:c>
      <x:c r="D2130" s="30" t="n">
        <x:v>2</x:v>
      </x:c>
      <x:c r="E2130" s="38" t="str">
        <x:v>MXN/USD</x:v>
      </x:c>
      <x:c r="F2130" s="38" t="n">
        <x:v>0.9129076228</x:v>
      </x:c>
      <x:c r="G2130" s="38" t="n">
        <x:v>1.5758766452</x:v>
      </x:c>
      <x:c r="H2130" s="42" t="b">
        <x:v>0</x:v>
      </x:c>
      <x:c r="I2130" s="42" t="b">
        <x:v>0</x:v>
      </x:c>
      <x:c r="J2130" s="38" t="n">
        <x:v>0.0943576492</x:v>
      </x:c>
    </x:row>
    <x:row r="2131" ht="19" customHeight="1">
      <x:c r="A2131" s="29" t="str">
        <x:v>stagger_1</x:v>
      </x:c>
      <x:c r="B2131" s="38" t="str">
        <x:v>HPE</x:v>
      </x:c>
      <x:c r="C2131" s="38" t="str">
        <x:v>Other FX</x:v>
      </x:c>
      <x:c r="D2131" s="30" t="n">
        <x:v>2</x:v>
      </x:c>
      <x:c r="E2131" s="38" t="str">
        <x:v>SGD/USD</x:v>
      </x:c>
      <x:c r="F2131" s="38" t="n">
        <x:v>-1.3367859846</x:v>
      </x:c>
      <x:c r="G2131" s="38" t="n">
        <x:v>-0.630337687</x:v>
      </x:c>
      <x:c r="H2131" s="42" t="b">
        <x:v>1</x:v>
      </x:c>
      <x:c r="I2131" s="42" t="b">
        <x:v>0</x:v>
      </x:c>
      <x:c r="J2131" s="38" t="n">
        <x:v>0.0943576492</x:v>
      </x:c>
    </x:row>
    <x:row r="2132" ht="19" customHeight="1">
      <x:c r="A2132" s="29" t="str">
        <x:v>stagger_1</x:v>
      </x:c>
      <x:c r="B2132" s="38" t="str">
        <x:v>HPE</x:v>
      </x:c>
      <x:c r="C2132" s="38" t="str">
        <x:v>Other FX</x:v>
      </x:c>
      <x:c r="D2132" s="30" t="n">
        <x:v>3</x:v>
      </x:c>
      <x:c r="E2132" s="38" t="str">
        <x:v>AUD/USD</x:v>
      </x:c>
      <x:c r="F2132" s="38" t="n">
        <x:v>0.9327577579</x:v>
      </x:c>
      <x:c r="G2132" s="38" t="n">
        <x:v>1.1397529781</x:v>
      </x:c>
      <x:c r="H2132" s="42" t="b">
        <x:v>0</x:v>
      </x:c>
      <x:c r="I2132" s="42" t="b">
        <x:v>0</x:v>
      </x:c>
      <x:c r="J2132" s="38" t="n">
        <x:v>0.0894950155</x:v>
      </x:c>
    </x:row>
    <x:row r="2133" ht="19" customHeight="1">
      <x:c r="A2133" s="29" t="str">
        <x:v>stagger_1</x:v>
      </x:c>
      <x:c r="B2133" s="38" t="str">
        <x:v>HPE</x:v>
      </x:c>
      <x:c r="C2133" s="38" t="str">
        <x:v>Other FX</x:v>
      </x:c>
      <x:c r="D2133" s="30" t="n">
        <x:v>3</x:v>
      </x:c>
      <x:c r="E2133" s="38" t="str">
        <x:v>CAD/USD</x:v>
      </x:c>
      <x:c r="F2133" s="38" t="n">
        <x:v>0.9688544712</x:v>
      </x:c>
      <x:c r="G2133" s="38" t="n">
        <x:v>0.8542240722</x:v>
      </x:c>
      <x:c r="H2133" s="42" t="b">
        <x:v>1</x:v>
      </x:c>
      <x:c r="I2133" s="42" t="b">
        <x:v>0</x:v>
      </x:c>
      <x:c r="J2133" s="38" t="n">
        <x:v>0.0894950155</x:v>
      </x:c>
    </x:row>
    <x:row r="2134" ht="19" customHeight="1">
      <x:c r="A2134" s="29" t="str">
        <x:v>stagger_1</x:v>
      </x:c>
      <x:c r="B2134" s="38" t="str">
        <x:v>HPE</x:v>
      </x:c>
      <x:c r="C2134" s="38" t="str">
        <x:v>Other FX</x:v>
      </x:c>
      <x:c r="D2134" s="30" t="n">
        <x:v>3</x:v>
      </x:c>
      <x:c r="E2134" s="38" t="str">
        <x:v>EUR/USD</x:v>
      </x:c>
      <x:c r="F2134" s="38" t="n">
        <x:v>-2.2081612317</x:v>
      </x:c>
      <x:c r="G2134" s="38" t="n">
        <x:v>-2.2842729874</x:v>
      </x:c>
      <x:c r="H2134" s="42" t="b">
        <x:v>0</x:v>
      </x:c>
      <x:c r="I2134" s="42" t="b">
        <x:v>0</x:v>
      </x:c>
      <x:c r="J2134" s="38" t="n">
        <x:v>0.0894950155</x:v>
      </x:c>
    </x:row>
    <x:row r="2135" ht="19" customHeight="1">
      <x:c r="A2135" s="29" t="str">
        <x:v>stagger_1</x:v>
      </x:c>
      <x:c r="B2135" s="38" t="str">
        <x:v>HPE</x:v>
      </x:c>
      <x:c r="C2135" s="38" t="str">
        <x:v>Other FX</x:v>
      </x:c>
      <x:c r="D2135" s="30" t="n">
        <x:v>3</x:v>
      </x:c>
      <x:c r="E2135" s="38" t="str">
        <x:v>MXN/USD</x:v>
      </x:c>
      <x:c r="F2135" s="38" t="n">
        <x:v>0.9093282813</x:v>
      </x:c>
      <x:c r="G2135" s="38" t="n">
        <x:v>1.5761186906</x:v>
      </x:c>
      <x:c r="H2135" s="42" t="b">
        <x:v>0</x:v>
      </x:c>
      <x:c r="I2135" s="42" t="b">
        <x:v>0</x:v>
      </x:c>
      <x:c r="J2135" s="38" t="n">
        <x:v>0.0894950155</x:v>
      </x:c>
    </x:row>
    <x:row r="2136" ht="19" customHeight="1">
      <x:c r="A2136" s="29" t="str">
        <x:v>stagger_1</x:v>
      </x:c>
      <x:c r="B2136" s="38" t="str">
        <x:v>HPE</x:v>
      </x:c>
      <x:c r="C2136" s="38" t="str">
        <x:v>Other FX</x:v>
      </x:c>
      <x:c r="D2136" s="30" t="n">
        <x:v>4</x:v>
      </x:c>
      <x:c r="E2136" s="38" t="str">
        <x:v>AUD/USD</x:v>
      </x:c>
      <x:c r="F2136" s="38" t="n">
        <x:v>1.1478381496</x:v>
      </x:c>
      <x:c r="G2136" s="38" t="n">
        <x:v>1.4766890491</x:v>
      </x:c>
      <x:c r="H2136" s="42" t="b">
        <x:v>1</x:v>
      </x:c>
      <x:c r="I2136" s="42" t="b">
        <x:v>0</x:v>
      </x:c>
      <x:c r="J2136" s="38" t="n">
        <x:v>0.080636424</x:v>
      </x:c>
    </x:row>
    <x:row r="2137" ht="19" customHeight="1">
      <x:c r="A2137" s="29" t="str">
        <x:v>stagger_1</x:v>
      </x:c>
      <x:c r="B2137" s="38" t="str">
        <x:v>HPE</x:v>
      </x:c>
      <x:c r="C2137" s="38" t="str">
        <x:v>Other FX</x:v>
      </x:c>
      <x:c r="D2137" s="30" t="n">
        <x:v>4</x:v>
      </x:c>
      <x:c r="E2137" s="38" t="str">
        <x:v>EUR/USD</x:v>
      </x:c>
      <x:c r="F2137" s="38" t="n">
        <x:v>-1.949828347</x:v>
      </x:c>
      <x:c r="G2137" s="38" t="n">
        <x:v>-2.1274176422</x:v>
      </x:c>
      <x:c r="H2137" s="42" t="b">
        <x:v>0</x:v>
      </x:c>
      <x:c r="I2137" s="42" t="b">
        <x:v>0</x:v>
      </x:c>
      <x:c r="J2137" s="38" t="n">
        <x:v>0.080636424</x:v>
      </x:c>
    </x:row>
    <x:row r="2138" ht="19" customHeight="1">
      <x:c r="A2138" s="29" t="str">
        <x:v>stagger_1</x:v>
      </x:c>
      <x:c r="B2138" s="38" t="str">
        <x:v>HPE</x:v>
      </x:c>
      <x:c r="C2138" s="38" t="str">
        <x:v>Other FX</x:v>
      </x:c>
      <x:c r="D2138" s="30" t="n">
        <x:v>4</x:v>
      </x:c>
      <x:c r="E2138" s="38" t="str">
        <x:v>MXN/USD</x:v>
      </x:c>
      <x:c r="F2138" s="38" t="n">
        <x:v>0.9147830913</x:v>
      </x:c>
      <x:c r="G2138" s="38" t="n">
        <x:v>1.5884978597</x:v>
      </x:c>
      <x:c r="H2138" s="42" t="b">
        <x:v>0</x:v>
      </x:c>
      <x:c r="I2138" s="42" t="b">
        <x:v>0</x:v>
      </x:c>
      <x:c r="J2138" s="38" t="n">
        <x:v>0.080636424</x:v>
      </x:c>
    </x:row>
    <x:row r="2139" ht="19" customHeight="1">
      <x:c r="A2139" s="29" t="str">
        <x:v>stagger_1</x:v>
      </x:c>
      <x:c r="B2139" s="38" t="str">
        <x:v>HPE</x:v>
      </x:c>
      <x:c r="C2139" s="38" t="str">
        <x:v>Other FX</x:v>
      </x:c>
      <x:c r="D2139" s="30" t="n">
        <x:v>5</x:v>
      </x:c>
      <x:c r="E2139" s="38" t="str">
        <x:v>EUR/USD</x:v>
      </x:c>
      <x:c r="F2139" s="38" t="n">
        <x:v>-1.2628184669</x:v>
      </x:c>
      <x:c r="G2139" s="38" t="n">
        <x:v>-1.5870626269</x:v>
      </x:c>
      <x:c r="H2139" s="42" t="b">
        <x:v>1</x:v>
      </x:c>
      <x:c r="I2139" s="42" t="b">
        <x:v>0</x:v>
      </x:c>
      <x:c r="J2139" s="38" t="n">
        <x:v>0.0542578199</x:v>
      </x:c>
    </x:row>
    <x:row r="2140" ht="19" customHeight="1">
      <x:c r="A2140" s="29" t="str">
        <x:v>stagger_1</x:v>
      </x:c>
      <x:c r="B2140" s="38" t="str">
        <x:v>HPE</x:v>
      </x:c>
      <x:c r="C2140" s="38" t="str">
        <x:v>Other FX</x:v>
      </x:c>
      <x:c r="D2140" s="30" t="n">
        <x:v>5</x:v>
      </x:c>
      <x:c r="E2140" s="38" t="str">
        <x:v>MXN/USD</x:v>
      </x:c>
      <x:c r="F2140" s="38" t="n">
        <x:v>1.1243731127</x:v>
      </x:c>
      <x:c r="G2140" s="38" t="n">
        <x:v>1.9993217739</x:v>
      </x:c>
      <x:c r="H2140" s="42" t="b">
        <x:v>0</x:v>
      </x:c>
      <x:c r="I2140" s="42" t="b">
        <x:v>0</x:v>
      </x:c>
      <x:c r="J2140" s="38" t="n">
        <x:v>0.0542578199</x:v>
      </x:c>
    </x:row>
    <x:row r="2141" ht="19" customHeight="1">
      <x:c r="A2141" s="29" t="str">
        <x:v>stagger_1</x:v>
      </x:c>
      <x:c r="B2141" s="38" t="str">
        <x:v>HPE</x:v>
      </x:c>
      <x:c r="C2141" s="38" t="str">
        <x:v>Other FX</x:v>
      </x:c>
      <x:c r="D2141" s="30" t="n">
        <x:v>6</x:v>
      </x:c>
      <x:c r="E2141" s="38" t="str">
        <x:v>MXN/USD</x:v>
      </x:c>
      <x:c r="F2141" s="38" t="n">
        <x:v>0.663765353</x:v>
      </x:c>
      <x:c r="G2141" s="38" t="n">
        <x:v>1.3647361648</x:v>
      </x:c>
      <x:c r="H2141" s="42" t="b">
        <x:v>1</x:v>
      </x:c>
      <x:c r="I2141" s="42" t="b">
        <x:v>0</x:v>
      </x:c>
      <x:c r="J2141" s="38" t="n">
        <x:v>0.0233213922</x:v>
      </x:c>
    </x:row>
    <x:row r="2142" ht="19" customHeight="1">
      <x:c r="A2142" s="29" t="str">
        <x:v>stagger_1</x:v>
      </x:c>
      <x:c r="B2142" s="38" t="str">
        <x:v>HPE</x:v>
      </x:c>
      <x:c r="C2142" s="38" t="str">
        <x:v>Other sectors</x:v>
      </x:c>
      <x:c r="D2142" s="30" t="n">
        <x:v>1</x:v>
      </x:c>
      <x:c r="E2142" s="38" t="str">
        <x:v>XLB</x:v>
      </x:c>
      <x:c r="F2142" s="38" t="n">
        <x:v>0.1651939563</x:v>
      </x:c>
      <x:c r="G2142" s="38" t="n">
        <x:v>0.3591351715</x:v>
      </x:c>
      <x:c r="H2142" s="42" t="b">
        <x:v>0</x:v>
      </x:c>
      <x:c r="I2142" s="42" t="b">
        <x:v>0</x:v>
      </x:c>
      <x:c r="J2142" s="38" t="n">
        <x:v>0.2954606178</x:v>
      </x:c>
    </x:row>
    <x:row r="2143" ht="19" customHeight="1">
      <x:c r="A2143" s="29" t="str">
        <x:v>stagger_1</x:v>
      </x:c>
      <x:c r="B2143" s="38" t="str">
        <x:v>HPE</x:v>
      </x:c>
      <x:c r="C2143" s="38" t="str">
        <x:v>Other sectors</x:v>
      </x:c>
      <x:c r="D2143" s="30" t="n">
        <x:v>1</x:v>
      </x:c>
      <x:c r="E2143" s="38" t="str">
        <x:v>XLC</x:v>
      </x:c>
      <x:c r="F2143" s="38" t="n">
        <x:v>-0.9708340432</x:v>
      </x:c>
      <x:c r="G2143" s="38" t="n">
        <x:v>-2.5193456741</x:v>
      </x:c>
      <x:c r="H2143" s="42" t="b">
        <x:v>0</x:v>
      </x:c>
      <x:c r="I2143" s="42" t="b">
        <x:v>0</x:v>
      </x:c>
      <x:c r="J2143" s="38" t="n">
        <x:v>0.2954606178</x:v>
      </x:c>
    </x:row>
    <x:row r="2144" ht="19" customHeight="1">
      <x:c r="A2144" s="29" t="str">
        <x:v>stagger_1</x:v>
      </x:c>
      <x:c r="B2144" s="38" t="str">
        <x:v>HPE</x:v>
      </x:c>
      <x:c r="C2144" s="38" t="str">
        <x:v>Other sectors</x:v>
      </x:c>
      <x:c r="D2144" s="30" t="n">
        <x:v>1</x:v>
      </x:c>
      <x:c r="E2144" s="38" t="str">
        <x:v>XLE</x:v>
      </x:c>
      <x:c r="F2144" s="38" t="n">
        <x:v>0.3171282837</x:v>
      </x:c>
      <x:c r="G2144" s="38" t="n">
        <x:v>2.0612043007</x:v>
      </x:c>
      <x:c r="H2144" s="42" t="b">
        <x:v>0</x:v>
      </x:c>
      <x:c r="I2144" s="42" t="b">
        <x:v>0</x:v>
      </x:c>
      <x:c r="J2144" s="38" t="n">
        <x:v>0.2954606178</x:v>
      </x:c>
    </x:row>
    <x:row r="2145" ht="19" customHeight="1">
      <x:c r="A2145" s="29" t="str">
        <x:v>stagger_1</x:v>
      </x:c>
      <x:c r="B2145" s="38" t="str">
        <x:v>HPE</x:v>
      </x:c>
      <x:c r="C2145" s="38" t="str">
        <x:v>Other sectors</x:v>
      </x:c>
      <x:c r="D2145" s="30" t="n">
        <x:v>1</x:v>
      </x:c>
      <x:c r="E2145" s="38" t="str">
        <x:v>XLF</x:v>
      </x:c>
      <x:c r="F2145" s="38" t="n">
        <x:v>1.0301194853</x:v>
      </x:c>
      <x:c r="G2145" s="38" t="n">
        <x:v>2.7150333301</x:v>
      </x:c>
      <x:c r="H2145" s="42" t="b">
        <x:v>0</x:v>
      </x:c>
      <x:c r="I2145" s="42" t="b">
        <x:v>0</x:v>
      </x:c>
      <x:c r="J2145" s="38" t="n">
        <x:v>0.2954606178</x:v>
      </x:c>
    </x:row>
    <x:row r="2146" ht="19" customHeight="1">
      <x:c r="A2146" s="29" t="str">
        <x:v>stagger_1</x:v>
      </x:c>
      <x:c r="B2146" s="38" t="str">
        <x:v>HPE</x:v>
      </x:c>
      <x:c r="C2146" s="38" t="str">
        <x:v>Other sectors</x:v>
      </x:c>
      <x:c r="D2146" s="30" t="n">
        <x:v>1</x:v>
      </x:c>
      <x:c r="E2146" s="38" t="str">
        <x:v>XLI</x:v>
      </x:c>
      <x:c r="F2146" s="38" t="n">
        <x:v>-0.1294385664</x:v>
      </x:c>
      <x:c r="G2146" s="38" t="n">
        <x:v>-0.2187267268</x:v>
      </x:c>
      <x:c r="H2146" s="42" t="b">
        <x:v>0</x:v>
      </x:c>
      <x:c r="I2146" s="42" t="b">
        <x:v>0</x:v>
      </x:c>
      <x:c r="J2146" s="38" t="n">
        <x:v>0.2954606178</x:v>
      </x:c>
    </x:row>
    <x:row r="2147" ht="19" customHeight="1">
      <x:c r="A2147" s="29" t="str">
        <x:v>stagger_1</x:v>
      </x:c>
      <x:c r="B2147" s="38" t="str">
        <x:v>HPE</x:v>
      </x:c>
      <x:c r="C2147" s="38" t="str">
        <x:v>Other sectors</x:v>
      </x:c>
      <x:c r="D2147" s="30" t="n">
        <x:v>1</x:v>
      </x:c>
      <x:c r="E2147" s="38" t="str">
        <x:v>XLP</x:v>
      </x:c>
      <x:c r="F2147" s="38" t="n">
        <x:v>-0.2109278238</x:v>
      </x:c>
      <x:c r="G2147" s="38" t="n">
        <x:v>-0.458836007</x:v>
      </x:c>
      <x:c r="H2147" s="42" t="b">
        <x:v>0</x:v>
      </x:c>
      <x:c r="I2147" s="42" t="b">
        <x:v>0</x:v>
      </x:c>
      <x:c r="J2147" s="38" t="n">
        <x:v>0.2954606178</x:v>
      </x:c>
    </x:row>
    <x:row r="2148" ht="19" customHeight="1">
      <x:c r="A2148" s="29" t="str">
        <x:v>stagger_1</x:v>
      </x:c>
      <x:c r="B2148" s="38" t="str">
        <x:v>HPE</x:v>
      </x:c>
      <x:c r="C2148" s="38" t="str">
        <x:v>Other sectors</x:v>
      </x:c>
      <x:c r="D2148" s="30" t="n">
        <x:v>1</x:v>
      </x:c>
      <x:c r="E2148" s="38" t="str">
        <x:v>XLRE</x:v>
      </x:c>
      <x:c r="F2148" s="38" t="n">
        <x:v>-0.6363284652</x:v>
      </x:c>
      <x:c r="G2148" s="38" t="n">
        <x:v>-1.6255872309</x:v>
      </x:c>
      <x:c r="H2148" s="42" t="b">
        <x:v>0</x:v>
      </x:c>
      <x:c r="I2148" s="42" t="b">
        <x:v>0</x:v>
      </x:c>
      <x:c r="J2148" s="38" t="n">
        <x:v>0.2954606178</x:v>
      </x:c>
    </x:row>
    <x:row r="2149" ht="19" customHeight="1">
      <x:c r="A2149" s="29" t="str">
        <x:v>stagger_1</x:v>
      </x:c>
      <x:c r="B2149" s="38" t="str">
        <x:v>HPE</x:v>
      </x:c>
      <x:c r="C2149" s="38" t="str">
        <x:v>Other sectors</x:v>
      </x:c>
      <x:c r="D2149" s="30" t="n">
        <x:v>1</x:v>
      </x:c>
      <x:c r="E2149" s="38" t="str">
        <x:v>XLU</x:v>
      </x:c>
      <x:c r="F2149" s="38" t="n">
        <x:v>0.1135631332</x:v>
      </x:c>
      <x:c r="G2149" s="38" t="n">
        <x:v>0.3819518401</x:v>
      </x:c>
      <x:c r="H2149" s="42" t="b">
        <x:v>0</x:v>
      </x:c>
      <x:c r="I2149" s="42" t="b">
        <x:v>0</x:v>
      </x:c>
      <x:c r="J2149" s="38" t="n">
        <x:v>0.2954606178</x:v>
      </x:c>
    </x:row>
    <x:row r="2150" ht="19" customHeight="1">
      <x:c r="A2150" s="29" t="str">
        <x:v>stagger_1</x:v>
      </x:c>
      <x:c r="B2150" s="38" t="str">
        <x:v>HPE</x:v>
      </x:c>
      <x:c r="C2150" s="38" t="str">
        <x:v>Other sectors</x:v>
      </x:c>
      <x:c r="D2150" s="30" t="n">
        <x:v>1</x:v>
      </x:c>
      <x:c r="E2150" s="38" t="str">
        <x:v>XLV</x:v>
      </x:c>
      <x:c r="F2150" s="38" t="n">
        <x:v>-0.0143486113</x:v>
      </x:c>
      <x:c r="G2150" s="38" t="n">
        <x:v>-0.040871719</x:v>
      </x:c>
      <x:c r="H2150" s="42" t="b">
        <x:v>1</x:v>
      </x:c>
      <x:c r="I2150" s="42" t="b">
        <x:v>0</x:v>
      </x:c>
      <x:c r="J2150" s="38" t="n">
        <x:v>0.2954606178</x:v>
      </x:c>
    </x:row>
    <x:row r="2151" ht="19" customHeight="1">
      <x:c r="A2151" s="29" t="str">
        <x:v>stagger_1</x:v>
      </x:c>
      <x:c r="B2151" s="38" t="str">
        <x:v>HPE</x:v>
      </x:c>
      <x:c r="C2151" s="38" t="str">
        <x:v>Other sectors</x:v>
      </x:c>
      <x:c r="D2151" s="30" t="n">
        <x:v>1</x:v>
      </x:c>
      <x:c r="E2151" s="38" t="str">
        <x:v>XLY</x:v>
      </x:c>
      <x:c r="F2151" s="38" t="n">
        <x:v>-0.0457881635</x:v>
      </x:c>
      <x:c r="G2151" s="38" t="n">
        <x:v>-0.1137853265</x:v>
      </x:c>
      <x:c r="H2151" s="42" t="b">
        <x:v>0</x:v>
      </x:c>
      <x:c r="I2151" s="42" t="b">
        <x:v>0</x:v>
      </x:c>
      <x:c r="J2151" s="38" t="n">
        <x:v>0.2954606178</x:v>
      </x:c>
    </x:row>
    <x:row r="2152" ht="19" customHeight="1">
      <x:c r="A2152" s="29" t="str">
        <x:v>stagger_1</x:v>
      </x:c>
      <x:c r="B2152" s="38" t="str">
        <x:v>HPE</x:v>
      </x:c>
      <x:c r="C2152" s="38" t="str">
        <x:v>Other sectors</x:v>
      </x:c>
      <x:c r="D2152" s="30" t="n">
        <x:v>2</x:v>
      </x:c>
      <x:c r="E2152" s="38" t="str">
        <x:v>XLB</x:v>
      </x:c>
      <x:c r="F2152" s="38" t="n">
        <x:v>0.1633439501</x:v>
      </x:c>
      <x:c r="G2152" s="38" t="n">
        <x:v>0.359417342</x:v>
      </x:c>
      <x:c r="H2152" s="42" t="b">
        <x:v>0</x:v>
      </x:c>
      <x:c r="I2152" s="42" t="b">
        <x:v>0</x:v>
      </x:c>
      <x:c r="J2152" s="38" t="n">
        <x:v>0.2954435609</x:v>
      </x:c>
    </x:row>
    <x:row r="2153" ht="19" customHeight="1">
      <x:c r="A2153" s="29" t="str">
        <x:v>stagger_1</x:v>
      </x:c>
      <x:c r="B2153" s="38" t="str">
        <x:v>HPE</x:v>
      </x:c>
      <x:c r="C2153" s="38" t="str">
        <x:v>Other sectors</x:v>
      </x:c>
      <x:c r="D2153" s="30" t="n">
        <x:v>2</x:v>
      </x:c>
      <x:c r="E2153" s="38" t="str">
        <x:v>XLC</x:v>
      </x:c>
      <x:c r="F2153" s="38" t="n">
        <x:v>-0.9716076809</x:v>
      </x:c>
      <x:c r="G2153" s="38" t="n">
        <x:v>-2.5425966973</x:v>
      </x:c>
      <x:c r="H2153" s="42" t="b">
        <x:v>0</x:v>
      </x:c>
      <x:c r="I2153" s="42" t="b">
        <x:v>0</x:v>
      </x:c>
      <x:c r="J2153" s="38" t="n">
        <x:v>0.2954435609</x:v>
      </x:c>
    </x:row>
    <x:row r="2154" ht="19" customHeight="1">
      <x:c r="A2154" s="29" t="str">
        <x:v>stagger_1</x:v>
      </x:c>
      <x:c r="B2154" s="38" t="str">
        <x:v>HPE</x:v>
      </x:c>
      <x:c r="C2154" s="38" t="str">
        <x:v>Other sectors</x:v>
      </x:c>
      <x:c r="D2154" s="30" t="n">
        <x:v>2</x:v>
      </x:c>
      <x:c r="E2154" s="38" t="str">
        <x:v>XLE</x:v>
      </x:c>
      <x:c r="F2154" s="38" t="n">
        <x:v>0.3173956052</x:v>
      </x:c>
      <x:c r="G2154" s="38" t="n">
        <x:v>2.0796917154</x:v>
      </x:c>
      <x:c r="H2154" s="42" t="b">
        <x:v>0</x:v>
      </x:c>
      <x:c r="I2154" s="42" t="b">
        <x:v>0</x:v>
      </x:c>
      <x:c r="J2154" s="38" t="n">
        <x:v>0.2954435609</x:v>
      </x:c>
    </x:row>
    <x:row r="2155" ht="19" customHeight="1">
      <x:c r="A2155" s="29" t="str">
        <x:v>stagger_1</x:v>
      </x:c>
      <x:c r="B2155" s="38" t="str">
        <x:v>HPE</x:v>
      </x:c>
      <x:c r="C2155" s="38" t="str">
        <x:v>Other sectors</x:v>
      </x:c>
      <x:c r="D2155" s="30" t="n">
        <x:v>2</x:v>
      </x:c>
      <x:c r="E2155" s="38" t="str">
        <x:v>XLF</x:v>
      </x:c>
      <x:c r="F2155" s="38" t="n">
        <x:v>1.0269327356</x:v>
      </x:c>
      <x:c r="G2155" s="38" t="n">
        <x:v>2.7855968034</x:v>
      </x:c>
      <x:c r="H2155" s="42" t="b">
        <x:v>0</x:v>
      </x:c>
      <x:c r="I2155" s="42" t="b">
        <x:v>0</x:v>
      </x:c>
      <x:c r="J2155" s="38" t="n">
        <x:v>0.2954435609</x:v>
      </x:c>
    </x:row>
    <x:row r="2156" ht="19" customHeight="1">
      <x:c r="A2156" s="29" t="str">
        <x:v>stagger_1</x:v>
      </x:c>
      <x:c r="B2156" s="38" t="str">
        <x:v>HPE</x:v>
      </x:c>
      <x:c r="C2156" s="38" t="str">
        <x:v>Other sectors</x:v>
      </x:c>
      <x:c r="D2156" s="30" t="n">
        <x:v>2</x:v>
      </x:c>
      <x:c r="E2156" s="38" t="str">
        <x:v>XLI</x:v>
      </x:c>
      <x:c r="F2156" s="38" t="n">
        <x:v>-0.1251237786</x:v>
      </x:c>
      <x:c r="G2156" s="38" t="n">
        <x:v>-0.2164312579</x:v>
      </x:c>
      <x:c r="H2156" s="42" t="b">
        <x:v>0</x:v>
      </x:c>
      <x:c r="I2156" s="42" t="b">
        <x:v>0</x:v>
      </x:c>
      <x:c r="J2156" s="38" t="n">
        <x:v>0.2954435609</x:v>
      </x:c>
    </x:row>
    <x:row r="2157" ht="19" customHeight="1">
      <x:c r="A2157" s="29" t="str">
        <x:v>stagger_1</x:v>
      </x:c>
      <x:c r="B2157" s="38" t="str">
        <x:v>HPE</x:v>
      </x:c>
      <x:c r="C2157" s="38" t="str">
        <x:v>Other sectors</x:v>
      </x:c>
      <x:c r="D2157" s="30" t="n">
        <x:v>2</x:v>
      </x:c>
      <x:c r="E2157" s="38" t="str">
        <x:v>XLP</x:v>
      </x:c>
      <x:c r="F2157" s="38" t="n">
        <x:v>-0.216281341</x:v>
      </x:c>
      <x:c r="G2157" s="38" t="n">
        <x:v>-0.4943653584</x:v>
      </x:c>
      <x:c r="H2157" s="42" t="b">
        <x:v>0</x:v>
      </x:c>
      <x:c r="I2157" s="42" t="b">
        <x:v>0</x:v>
      </x:c>
      <x:c r="J2157" s="38" t="n">
        <x:v>0.2954435609</x:v>
      </x:c>
    </x:row>
    <x:row r="2158" ht="19" customHeight="1">
      <x:c r="A2158" s="29" t="str">
        <x:v>stagger_1</x:v>
      </x:c>
      <x:c r="B2158" s="38" t="str">
        <x:v>HPE</x:v>
      </x:c>
      <x:c r="C2158" s="38" t="str">
        <x:v>Other sectors</x:v>
      </x:c>
      <x:c r="D2158" s="30" t="n">
        <x:v>2</x:v>
      </x:c>
      <x:c r="E2158" s="38" t="str">
        <x:v>XLRE</x:v>
      </x:c>
      <x:c r="F2158" s="38" t="n">
        <x:v>-0.6396212193</x:v>
      </x:c>
      <x:c r="G2158" s="38" t="n">
        <x:v>-1.6817804898</x:v>
      </x:c>
      <x:c r="H2158" s="42" t="b">
        <x:v>0</x:v>
      </x:c>
      <x:c r="I2158" s="42" t="b">
        <x:v>0</x:v>
      </x:c>
      <x:c r="J2158" s="38" t="n">
        <x:v>0.2954435609</x:v>
      </x:c>
    </x:row>
    <x:row r="2159" ht="19" customHeight="1">
      <x:c r="A2159" s="29" t="str">
        <x:v>stagger_1</x:v>
      </x:c>
      <x:c r="B2159" s="38" t="str">
        <x:v>HPE</x:v>
      </x:c>
      <x:c r="C2159" s="38" t="str">
        <x:v>Other sectors</x:v>
      </x:c>
      <x:c r="D2159" s="30" t="n">
        <x:v>2</x:v>
      </x:c>
      <x:c r="E2159" s="38" t="str">
        <x:v>XLU</x:v>
      </x:c>
      <x:c r="F2159" s="38" t="n">
        <x:v>0.113600741</x:v>
      </x:c>
      <x:c r="G2159" s="38" t="n">
        <x:v>0.3848342364</x:v>
      </x:c>
      <x:c r="H2159" s="42" t="b">
        <x:v>0</x:v>
      </x:c>
      <x:c r="I2159" s="42" t="b">
        <x:v>0</x:v>
      </x:c>
      <x:c r="J2159" s="38" t="n">
        <x:v>0.2954435609</x:v>
      </x:c>
    </x:row>
    <x:row r="2160" ht="19" customHeight="1">
      <x:c r="A2160" s="29" t="str">
        <x:v>stagger_1</x:v>
      </x:c>
      <x:c r="B2160" s="38" t="str">
        <x:v>HPE</x:v>
      </x:c>
      <x:c r="C2160" s="38" t="str">
        <x:v>Other sectors</x:v>
      </x:c>
      <x:c r="D2160" s="30" t="n">
        <x:v>2</x:v>
      </x:c>
      <x:c r="E2160" s="38" t="str">
        <x:v>XLY</x:v>
      </x:c>
      <x:c r="F2160" s="38" t="n">
        <x:v>-0.0406011166</x:v>
      </x:c>
      <x:c r="G2160" s="38" t="n">
        <x:v>-0.1070876523</x:v>
      </x:c>
      <x:c r="H2160" s="42" t="b">
        <x:v>1</x:v>
      </x:c>
      <x:c r="I2160" s="42" t="b">
        <x:v>0</x:v>
      </x:c>
      <x:c r="J2160" s="38" t="n">
        <x:v>0.2954435609</x:v>
      </x:c>
    </x:row>
    <x:row r="2161" ht="19" customHeight="1">
      <x:c r="A2161" s="29" t="str">
        <x:v>stagger_1</x:v>
      </x:c>
      <x:c r="B2161" s="38" t="str">
        <x:v>HPE</x:v>
      </x:c>
      <x:c r="C2161" s="38" t="str">
        <x:v>Other sectors</x:v>
      </x:c>
      <x:c r="D2161" s="30" t="n">
        <x:v>3</x:v>
      </x:c>
      <x:c r="E2161" s="38" t="str">
        <x:v>XLB</x:v>
      </x:c>
      <x:c r="F2161" s="38" t="n">
        <x:v>0.1592613145</x:v>
      </x:c>
      <x:c r="G2161" s="38" t="n">
        <x:v>0.3541476338</x:v>
      </x:c>
      <x:c r="H2161" s="42" t="b">
        <x:v>0</x:v>
      </x:c>
      <x:c r="I2161" s="42" t="b">
        <x:v>0</x:v>
      </x:c>
      <x:c r="J2161" s="38" t="n">
        <x:v>0.2953281367</x:v>
      </x:c>
    </x:row>
    <x:row r="2162" ht="19" customHeight="1">
      <x:c r="A2162" s="29" t="str">
        <x:v>stagger_1</x:v>
      </x:c>
      <x:c r="B2162" s="38" t="str">
        <x:v>HPE</x:v>
      </x:c>
      <x:c r="C2162" s="38" t="str">
        <x:v>Other sectors</x:v>
      </x:c>
      <x:c r="D2162" s="30" t="n">
        <x:v>3</x:v>
      </x:c>
      <x:c r="E2162" s="38" t="str">
        <x:v>XLC</x:v>
      </x:c>
      <x:c r="F2162" s="38" t="n">
        <x:v>-0.9867869399</x:v>
      </x:c>
      <x:c r="G2162" s="38" t="n">
        <x:v>-2.8002596701</x:v>
      </x:c>
      <x:c r="H2162" s="42" t="b">
        <x:v>0</x:v>
      </x:c>
      <x:c r="I2162" s="42" t="b">
        <x:v>0</x:v>
      </x:c>
      <x:c r="J2162" s="38" t="n">
        <x:v>0.2953281367</x:v>
      </x:c>
    </x:row>
    <x:row r="2163" ht="19" customHeight="1">
      <x:c r="A2163" s="29" t="str">
        <x:v>stagger_1</x:v>
      </x:c>
      <x:c r="B2163" s="38" t="str">
        <x:v>HPE</x:v>
      </x:c>
      <x:c r="C2163" s="38" t="str">
        <x:v>Other sectors</x:v>
      </x:c>
      <x:c r="D2163" s="30" t="n">
        <x:v>3</x:v>
      </x:c>
      <x:c r="E2163" s="38" t="str">
        <x:v>XLE</x:v>
      </x:c>
      <x:c r="F2163" s="38" t="n">
        <x:v>0.3221313936</x:v>
      </x:c>
      <x:c r="G2163" s="38" t="n">
        <x:v>2.2208530277</x:v>
      </x:c>
      <x:c r="H2163" s="42" t="b">
        <x:v>0</x:v>
      </x:c>
      <x:c r="I2163" s="42" t="b">
        <x:v>0</x:v>
      </x:c>
      <x:c r="J2163" s="38" t="n">
        <x:v>0.2953281367</x:v>
      </x:c>
    </x:row>
    <x:row r="2164" ht="19" customHeight="1">
      <x:c r="A2164" s="29" t="str">
        <x:v>stagger_1</x:v>
      </x:c>
      <x:c r="B2164" s="38" t="str">
        <x:v>HPE</x:v>
      </x:c>
      <x:c r="C2164" s="38" t="str">
        <x:v>Other sectors</x:v>
      </x:c>
      <x:c r="D2164" s="30" t="n">
        <x:v>3</x:v>
      </x:c>
      <x:c r="E2164" s="38" t="str">
        <x:v>XLF</x:v>
      </x:c>
      <x:c r="F2164" s="38" t="n">
        <x:v>1.0296074498</x:v>
      </x:c>
      <x:c r="G2164" s="38" t="n">
        <x:v>2.818977135</x:v>
      </x:c>
      <x:c r="H2164" s="42" t="b">
        <x:v>0</x:v>
      </x:c>
      <x:c r="I2164" s="42" t="b">
        <x:v>0</x:v>
      </x:c>
      <x:c r="J2164" s="38" t="n">
        <x:v>0.2953281367</x:v>
      </x:c>
    </x:row>
    <x:row r="2165" ht="19" customHeight="1">
      <x:c r="A2165" s="29" t="str">
        <x:v>stagger_1</x:v>
      </x:c>
      <x:c r="B2165" s="38" t="str">
        <x:v>HPE</x:v>
      </x:c>
      <x:c r="C2165" s="38" t="str">
        <x:v>Other sectors</x:v>
      </x:c>
      <x:c r="D2165" s="30" t="n">
        <x:v>3</x:v>
      </x:c>
      <x:c r="E2165" s="38" t="str">
        <x:v>XLI</x:v>
      </x:c>
      <x:c r="F2165" s="38" t="n">
        <x:v>-0.1230890382</x:v>
      </x:c>
      <x:c r="G2165" s="38" t="n">
        <x:v>-0.2145254298</x:v>
      </x:c>
      <x:c r="H2165" s="42" t="b">
        <x:v>1</x:v>
      </x:c>
      <x:c r="I2165" s="42" t="b">
        <x:v>0</x:v>
      </x:c>
      <x:c r="J2165" s="38" t="n">
        <x:v>0.2953281367</x:v>
      </x:c>
    </x:row>
    <x:row r="2166" ht="19" customHeight="1">
      <x:c r="A2166" s="29" t="str">
        <x:v>stagger_1</x:v>
      </x:c>
      <x:c r="B2166" s="38" t="str">
        <x:v>HPE</x:v>
      </x:c>
      <x:c r="C2166" s="38" t="str">
        <x:v>Other sectors</x:v>
      </x:c>
      <x:c r="D2166" s="30" t="n">
        <x:v>3</x:v>
      </x:c>
      <x:c r="E2166" s="38" t="str">
        <x:v>XLP</x:v>
      </x:c>
      <x:c r="F2166" s="38" t="n">
        <x:v>-0.2047596986</x:v>
      </x:c>
      <x:c r="G2166" s="38" t="n">
        <x:v>-0.486255922</x:v>
      </x:c>
      <x:c r="H2166" s="42" t="b">
        <x:v>0</x:v>
      </x:c>
      <x:c r="I2166" s="42" t="b">
        <x:v>0</x:v>
      </x:c>
      <x:c r="J2166" s="38" t="n">
        <x:v>0.2953281367</x:v>
      </x:c>
    </x:row>
    <x:row r="2167" ht="19" customHeight="1">
      <x:c r="A2167" s="29" t="str">
        <x:v>stagger_1</x:v>
      </x:c>
      <x:c r="B2167" s="38" t="str">
        <x:v>HPE</x:v>
      </x:c>
      <x:c r="C2167" s="38" t="str">
        <x:v>Other sectors</x:v>
      </x:c>
      <x:c r="D2167" s="30" t="n">
        <x:v>3</x:v>
      </x:c>
      <x:c r="E2167" s="38" t="str">
        <x:v>XLRE</x:v>
      </x:c>
      <x:c r="F2167" s="38" t="n">
        <x:v>-0.6504080487</x:v>
      </x:c>
      <x:c r="G2167" s="38" t="n">
        <x:v>-1.785950881</x:v>
      </x:c>
      <x:c r="H2167" s="42" t="b">
        <x:v>0</x:v>
      </x:c>
      <x:c r="I2167" s="42" t="b">
        <x:v>0</x:v>
      </x:c>
      <x:c r="J2167" s="38" t="n">
        <x:v>0.2953281367</x:v>
      </x:c>
    </x:row>
    <x:row r="2168" ht="19" customHeight="1">
      <x:c r="A2168" s="29" t="str">
        <x:v>stagger_1</x:v>
      </x:c>
      <x:c r="B2168" s="38" t="str">
        <x:v>HPE</x:v>
      </x:c>
      <x:c r="C2168" s="38" t="str">
        <x:v>Other sectors</x:v>
      </x:c>
      <x:c r="D2168" s="30" t="n">
        <x:v>3</x:v>
      </x:c>
      <x:c r="E2168" s="38" t="str">
        <x:v>XLU</x:v>
      </x:c>
      <x:c r="F2168" s="38" t="n">
        <x:v>0.1142021859</x:v>
      </x:c>
      <x:c r="G2168" s="38" t="n">
        <x:v>0.3896638856</x:v>
      </x:c>
      <x:c r="H2168" s="42" t="b">
        <x:v>0</x:v>
      </x:c>
      <x:c r="I2168" s="42" t="b">
        <x:v>0</x:v>
      </x:c>
      <x:c r="J2168" s="38" t="n">
        <x:v>0.2953281367</x:v>
      </x:c>
    </x:row>
    <x:row r="2169" ht="19" customHeight="1">
      <x:c r="A2169" s="29" t="str">
        <x:v>stagger_1</x:v>
      </x:c>
      <x:c r="B2169" s="38" t="str">
        <x:v>HPE</x:v>
      </x:c>
      <x:c r="C2169" s="38" t="str">
        <x:v>Other sectors</x:v>
      </x:c>
      <x:c r="D2169" s="30" t="n">
        <x:v>4</x:v>
      </x:c>
      <x:c r="E2169" s="38" t="str">
        <x:v>XLB</x:v>
      </x:c>
      <x:c r="F2169" s="38" t="n">
        <x:v>0.092088421</x:v>
      </x:c>
      <x:c r="G2169" s="38" t="n">
        <x:v>0.2872070266</x:v>
      </x:c>
      <x:c r="H2169" s="42" t="b">
        <x:v>1</x:v>
      </x:c>
      <x:c r="I2169" s="42" t="b">
        <x:v>0</x:v>
      </x:c>
      <x:c r="J2169" s="38" t="n">
        <x:v>0.2948713788</x:v>
      </x:c>
    </x:row>
    <x:row r="2170" ht="19" customHeight="1">
      <x:c r="A2170" s="29" t="str">
        <x:v>stagger_1</x:v>
      </x:c>
      <x:c r="B2170" s="38" t="str">
        <x:v>HPE</x:v>
      </x:c>
      <x:c r="C2170" s="38" t="str">
        <x:v>Other sectors</x:v>
      </x:c>
      <x:c r="D2170" s="30" t="n">
        <x:v>4</x:v>
      </x:c>
      <x:c r="E2170" s="38" t="str">
        <x:v>XLC</x:v>
      </x:c>
      <x:c r="F2170" s="38" t="n">
        <x:v>-0.9746323385</x:v>
      </x:c>
      <x:c r="G2170" s="38" t="n">
        <x:v>-2.8209757633</x:v>
      </x:c>
      <x:c r="H2170" s="42" t="b">
        <x:v>0</x:v>
      </x:c>
      <x:c r="I2170" s="42" t="b">
        <x:v>0</x:v>
      </x:c>
      <x:c r="J2170" s="38" t="n">
        <x:v>0.2948713788</x:v>
      </x:c>
    </x:row>
    <x:row r="2171" ht="19" customHeight="1">
      <x:c r="A2171" s="29" t="str">
        <x:v>stagger_1</x:v>
      </x:c>
      <x:c r="B2171" s="38" t="str">
        <x:v>HPE</x:v>
      </x:c>
      <x:c r="C2171" s="38" t="str">
        <x:v>Other sectors</x:v>
      </x:c>
      <x:c r="D2171" s="30" t="n">
        <x:v>4</x:v>
      </x:c>
      <x:c r="E2171" s="38" t="str">
        <x:v>XLE</x:v>
      </x:c>
      <x:c r="F2171" s="38" t="n">
        <x:v>0.3262049844</x:v>
      </x:c>
      <x:c r="G2171" s="38" t="n">
        <x:v>2.2836395107</x:v>
      </x:c>
      <x:c r="H2171" s="42" t="b">
        <x:v>0</x:v>
      </x:c>
      <x:c r="I2171" s="42" t="b">
        <x:v>0</x:v>
      </x:c>
      <x:c r="J2171" s="38" t="n">
        <x:v>0.2948713788</x:v>
      </x:c>
    </x:row>
    <x:row r="2172" ht="19" customHeight="1">
      <x:c r="A2172" s="29" t="str">
        <x:v>stagger_1</x:v>
      </x:c>
      <x:c r="B2172" s="38" t="str">
        <x:v>HPE</x:v>
      </x:c>
      <x:c r="C2172" s="38" t="str">
        <x:v>Other sectors</x:v>
      </x:c>
      <x:c r="D2172" s="30" t="n">
        <x:v>4</x:v>
      </x:c>
      <x:c r="E2172" s="38" t="str">
        <x:v>XLF</x:v>
      </x:c>
      <x:c r="F2172" s="38" t="n">
        <x:v>1.0167386822</x:v>
      </x:c>
      <x:c r="G2172" s="38" t="n">
        <x:v>2.8409495273</x:v>
      </x:c>
      <x:c r="H2172" s="42" t="b">
        <x:v>0</x:v>
      </x:c>
      <x:c r="I2172" s="42" t="b">
        <x:v>0</x:v>
      </x:c>
      <x:c r="J2172" s="38" t="n">
        <x:v>0.2948713788</x:v>
      </x:c>
    </x:row>
    <x:row r="2173" ht="19" customHeight="1">
      <x:c r="A2173" s="29" t="str">
        <x:v>stagger_1</x:v>
      </x:c>
      <x:c r="B2173" s="38" t="str">
        <x:v>HPE</x:v>
      </x:c>
      <x:c r="C2173" s="38" t="str">
        <x:v>Other sectors</x:v>
      </x:c>
      <x:c r="D2173" s="30" t="n">
        <x:v>4</x:v>
      </x:c>
      <x:c r="E2173" s="38" t="str">
        <x:v>XLP</x:v>
      </x:c>
      <x:c r="F2173" s="38" t="n">
        <x:v>-0.2197044138</x:v>
      </x:c>
      <x:c r="G2173" s="38" t="n">
        <x:v>-0.5325759036</x:v>
      </x:c>
      <x:c r="H2173" s="42" t="b">
        <x:v>0</x:v>
      </x:c>
      <x:c r="I2173" s="42" t="b">
        <x:v>0</x:v>
      </x:c>
      <x:c r="J2173" s="38" t="n">
        <x:v>0.2948713788</x:v>
      </x:c>
    </x:row>
    <x:row r="2174" ht="19" customHeight="1">
      <x:c r="A2174" s="29" t="str">
        <x:v>stagger_1</x:v>
      </x:c>
      <x:c r="B2174" s="38" t="str">
        <x:v>HPE</x:v>
      </x:c>
      <x:c r="C2174" s="38" t="str">
        <x:v>Other sectors</x:v>
      </x:c>
      <x:c r="D2174" s="30" t="n">
        <x:v>4</x:v>
      </x:c>
      <x:c r="E2174" s="38" t="str">
        <x:v>XLRE</x:v>
      </x:c>
      <x:c r="F2174" s="38" t="n">
        <x:v>-0.6345994774</x:v>
      </x:c>
      <x:c r="G2174" s="38" t="n">
        <x:v>-1.7912565711</x:v>
      </x:c>
      <x:c r="H2174" s="42" t="b">
        <x:v>0</x:v>
      </x:c>
      <x:c r="I2174" s="42" t="b">
        <x:v>0</x:v>
      </x:c>
      <x:c r="J2174" s="38" t="n">
        <x:v>0.2948713788</x:v>
      </x:c>
    </x:row>
    <x:row r="2175" ht="19" customHeight="1">
      <x:c r="A2175" s="29" t="str">
        <x:v>stagger_1</x:v>
      </x:c>
      <x:c r="B2175" s="38" t="str">
        <x:v>HPE</x:v>
      </x:c>
      <x:c r="C2175" s="38" t="str">
        <x:v>Other sectors</x:v>
      </x:c>
      <x:c r="D2175" s="30" t="n">
        <x:v>4</x:v>
      </x:c>
      <x:c r="E2175" s="38" t="str">
        <x:v>XLU</x:v>
      </x:c>
      <x:c r="F2175" s="38" t="n">
        <x:v>0.1069929697</x:v>
      </x:c>
      <x:c r="G2175" s="38" t="n">
        <x:v>0.3699485017</x:v>
      </x:c>
      <x:c r="H2175" s="42" t="b">
        <x:v>0</x:v>
      </x:c>
      <x:c r="I2175" s="42" t="b">
        <x:v>0</x:v>
      </x:c>
      <x:c r="J2175" s="38" t="n">
        <x:v>0.2948713788</x:v>
      </x:c>
    </x:row>
    <x:row r="2176" ht="19" customHeight="1">
      <x:c r="A2176" s="29" t="str">
        <x:v>stagger_1</x:v>
      </x:c>
      <x:c r="B2176" s="38" t="str">
        <x:v>HPE</x:v>
      </x:c>
      <x:c r="C2176" s="38" t="str">
        <x:v>Other sectors</x:v>
      </x:c>
      <x:c r="D2176" s="30" t="n">
        <x:v>5</x:v>
      </x:c>
      <x:c r="E2176" s="38" t="str">
        <x:v>XLC</x:v>
      </x:c>
      <x:c r="F2176" s="38" t="n">
        <x:v>-0.9863057661</x:v>
      </x:c>
      <x:c r="G2176" s="38" t="n">
        <x:v>-2.8929629908</x:v>
      </x:c>
      <x:c r="H2176" s="42" t="b">
        <x:v>0</x:v>
      </x:c>
      <x:c r="I2176" s="42" t="b">
        <x:v>0</x:v>
      </x:c>
      <x:c r="J2176" s="38" t="n">
        <x:v>0.2940635376</x:v>
      </x:c>
    </x:row>
    <x:row r="2177" ht="19" customHeight="1">
      <x:c r="A2177" s="29" t="str">
        <x:v>stagger_1</x:v>
      </x:c>
      <x:c r="B2177" s="38" t="str">
        <x:v>HPE</x:v>
      </x:c>
      <x:c r="C2177" s="38" t="str">
        <x:v>Other sectors</x:v>
      </x:c>
      <x:c r="D2177" s="30" t="n">
        <x:v>5</x:v>
      </x:c>
      <x:c r="E2177" s="38" t="str">
        <x:v>XLE</x:v>
      </x:c>
      <x:c r="F2177" s="38" t="n">
        <x:v>0.3353079297</x:v>
      </x:c>
      <x:c r="G2177" s="38" t="n">
        <x:v>2.4226465205</x:v>
      </x:c>
      <x:c r="H2177" s="42" t="b">
        <x:v>0</x:v>
      </x:c>
      <x:c r="I2177" s="42" t="b">
        <x:v>0</x:v>
      </x:c>
      <x:c r="J2177" s="38" t="n">
        <x:v>0.2940635376</x:v>
      </x:c>
    </x:row>
    <x:row r="2178" ht="19" customHeight="1">
      <x:c r="A2178" s="29" t="str">
        <x:v>stagger_1</x:v>
      </x:c>
      <x:c r="B2178" s="38" t="str">
        <x:v>HPE</x:v>
      </x:c>
      <x:c r="C2178" s="38" t="str">
        <x:v>Other sectors</x:v>
      </x:c>
      <x:c r="D2178" s="30" t="n">
        <x:v>5</x:v>
      </x:c>
      <x:c r="E2178" s="38" t="str">
        <x:v>XLF</x:v>
      </x:c>
      <x:c r="F2178" s="38" t="n">
        <x:v>1.0508642744</x:v>
      </x:c>
      <x:c r="G2178" s="38" t="n">
        <x:v>3.1326159381</x:v>
      </x:c>
      <x:c r="H2178" s="42" t="b">
        <x:v>0</x:v>
      </x:c>
      <x:c r="I2178" s="42" t="b">
        <x:v>0</x:v>
      </x:c>
      <x:c r="J2178" s="38" t="n">
        <x:v>0.2940635376</x:v>
      </x:c>
    </x:row>
    <x:row r="2179" ht="19" customHeight="1">
      <x:c r="A2179" s="29" t="str">
        <x:v>stagger_1</x:v>
      </x:c>
      <x:c r="B2179" s="38" t="str">
        <x:v>HPE</x:v>
      </x:c>
      <x:c r="C2179" s="38" t="str">
        <x:v>Other sectors</x:v>
      </x:c>
      <x:c r="D2179" s="30" t="n">
        <x:v>5</x:v>
      </x:c>
      <x:c r="E2179" s="38" t="str">
        <x:v>XLP</x:v>
      </x:c>
      <x:c r="F2179" s="38" t="n">
        <x:v>-0.1786960709</x:v>
      </x:c>
      <x:c r="G2179" s="38" t="n">
        <x:v>-0.4646355542</x:v>
      </x:c>
      <x:c r="H2179" s="42" t="b">
        <x:v>0</x:v>
      </x:c>
      <x:c r="I2179" s="42" t="b">
        <x:v>0</x:v>
      </x:c>
      <x:c r="J2179" s="38" t="n">
        <x:v>0.2940635376</x:v>
      </x:c>
    </x:row>
    <x:row r="2180" ht="19" customHeight="1">
      <x:c r="A2180" s="29" t="str">
        <x:v>stagger_1</x:v>
      </x:c>
      <x:c r="B2180" s="38" t="str">
        <x:v>HPE</x:v>
      </x:c>
      <x:c r="C2180" s="38" t="str">
        <x:v>Other sectors</x:v>
      </x:c>
      <x:c r="D2180" s="30" t="n">
        <x:v>5</x:v>
      </x:c>
      <x:c r="E2180" s="38" t="str">
        <x:v>XLRE</x:v>
      </x:c>
      <x:c r="F2180" s="38" t="n">
        <x:v>-0.6320118368</x:v>
      </x:c>
      <x:c r="G2180" s="38" t="n">
        <x:v>-1.7958511187</x:v>
      </x:c>
      <x:c r="H2180" s="42" t="b">
        <x:v>0</x:v>
      </x:c>
      <x:c r="I2180" s="42" t="b">
        <x:v>0</x:v>
      </x:c>
      <x:c r="J2180" s="38" t="n">
        <x:v>0.2940635376</x:v>
      </x:c>
    </x:row>
    <x:row r="2181" ht="19" customHeight="1">
      <x:c r="A2181" s="29" t="str">
        <x:v>stagger_1</x:v>
      </x:c>
      <x:c r="B2181" s="38" t="str">
        <x:v>HPE</x:v>
      </x:c>
      <x:c r="C2181" s="38" t="str">
        <x:v>Other sectors</x:v>
      </x:c>
      <x:c r="D2181" s="30" t="n">
        <x:v>5</x:v>
      </x:c>
      <x:c r="E2181" s="38" t="str">
        <x:v>XLU</x:v>
      </x:c>
      <x:c r="F2181" s="38" t="n">
        <x:v>0.1194652978</x:v>
      </x:c>
      <x:c r="G2181" s="38" t="n">
        <x:v>0.4204615331</x:v>
      </x:c>
      <x:c r="H2181" s="42" t="b">
        <x:v>1</x:v>
      </x:c>
      <x:c r="I2181" s="42" t="b">
        <x:v>0</x:v>
      </x:c>
      <x:c r="J2181" s="38" t="n">
        <x:v>0.2940635376</x:v>
      </x:c>
    </x:row>
    <x:row r="2182" ht="19" customHeight="1">
      <x:c r="A2182" s="29" t="str">
        <x:v>stagger_1</x:v>
      </x:c>
      <x:c r="B2182" s="38" t="str">
        <x:v>HPE</x:v>
      </x:c>
      <x:c r="C2182" s="38" t="str">
        <x:v>Other sectors</x:v>
      </x:c>
      <x:c r="D2182" s="30" t="n">
        <x:v>6</x:v>
      </x:c>
      <x:c r="E2182" s="38" t="str">
        <x:v>XLC</x:v>
      </x:c>
      <x:c r="F2182" s="38" t="n">
        <x:v>-1.0098547859</x:v>
      </x:c>
      <x:c r="G2182" s="38" t="n">
        <x:v>-3.0196743979</x:v>
      </x:c>
      <x:c r="H2182" s="42" t="b">
        <x:v>0</x:v>
      </x:c>
      <x:c r="I2182" s="42" t="b">
        <x:v>0</x:v>
      </x:c>
      <x:c r="J2182" s="38" t="n">
        <x:v>0.2923539345</x:v>
      </x:c>
    </x:row>
    <x:row r="2183" ht="19" customHeight="1">
      <x:c r="A2183" s="29" t="str">
        <x:v>stagger_1</x:v>
      </x:c>
      <x:c r="B2183" s="38" t="str">
        <x:v>HPE</x:v>
      </x:c>
      <x:c r="C2183" s="38" t="str">
        <x:v>Other sectors</x:v>
      </x:c>
      <x:c r="D2183" s="30" t="n">
        <x:v>6</x:v>
      </x:c>
      <x:c r="E2183" s="38" t="str">
        <x:v>XLE</x:v>
      </x:c>
      <x:c r="F2183" s="38" t="n">
        <x:v>0.3348538327</x:v>
      </x:c>
      <x:c r="G2183" s="38" t="n">
        <x:v>2.4330101094</x:v>
      </x:c>
      <x:c r="H2183" s="42" t="b">
        <x:v>0</x:v>
      </x:c>
      <x:c r="I2183" s="42" t="b">
        <x:v>0</x:v>
      </x:c>
      <x:c r="J2183" s="38" t="n">
        <x:v>0.2923539345</x:v>
      </x:c>
    </x:row>
    <x:row r="2184" ht="19" customHeight="1">
      <x:c r="A2184" s="29" t="str">
        <x:v>stagger_1</x:v>
      </x:c>
      <x:c r="B2184" s="38" t="str">
        <x:v>HPE</x:v>
      </x:c>
      <x:c r="C2184" s="38" t="str">
        <x:v>Other sectors</x:v>
      </x:c>
      <x:c r="D2184" s="30" t="n">
        <x:v>6</x:v>
      </x:c>
      <x:c r="E2184" s="38" t="str">
        <x:v>XLF</x:v>
      </x:c>
      <x:c r="F2184" s="38" t="n">
        <x:v>1.0544010031</x:v>
      </x:c>
      <x:c r="G2184" s="38" t="n">
        <x:v>3.1617832686</x:v>
      </x:c>
      <x:c r="H2184" s="42" t="b">
        <x:v>0</x:v>
      </x:c>
      <x:c r="I2184" s="42" t="b">
        <x:v>0</x:v>
      </x:c>
      <x:c r="J2184" s="38" t="n">
        <x:v>0.2923539345</x:v>
      </x:c>
    </x:row>
    <x:row r="2185" ht="19" customHeight="1">
      <x:c r="A2185" s="29" t="str">
        <x:v>stagger_1</x:v>
      </x:c>
      <x:c r="B2185" s="38" t="str">
        <x:v>HPE</x:v>
      </x:c>
      <x:c r="C2185" s="38" t="str">
        <x:v>Other sectors</x:v>
      </x:c>
      <x:c r="D2185" s="30" t="n">
        <x:v>6</x:v>
      </x:c>
      <x:c r="E2185" s="38" t="str">
        <x:v>XLP</x:v>
      </x:c>
      <x:c r="F2185" s="38" t="n">
        <x:v>-0.1261750773</x:v>
      </x:c>
      <x:c r="G2185" s="38" t="n">
        <x:v>-0.3488248544</x:v>
      </x:c>
      <x:c r="H2185" s="42" t="b">
        <x:v>1</x:v>
      </x:c>
      <x:c r="I2185" s="42" t="b">
        <x:v>0</x:v>
      </x:c>
      <x:c r="J2185" s="38" t="n">
        <x:v>0.2923539345</x:v>
      </x:c>
    </x:row>
    <x:row r="2186" ht="19" customHeight="1">
      <x:c r="A2186" s="29" t="str">
        <x:v>stagger_1</x:v>
      </x:c>
      <x:c r="B2186" s="38" t="str">
        <x:v>HPE</x:v>
      </x:c>
      <x:c r="C2186" s="38" t="str">
        <x:v>Other sectors</x:v>
      </x:c>
      <x:c r="D2186" s="30" t="n">
        <x:v>6</x:v>
      </x:c>
      <x:c r="E2186" s="38" t="str">
        <x:v>XLRE</x:v>
      </x:c>
      <x:c r="F2186" s="38" t="n">
        <x:v>-0.5867551289</x:v>
      </x:c>
      <x:c r="G2186" s="38" t="n">
        <x:v>-1.7609912613</x:v>
      </x:c>
      <x:c r="H2186" s="42" t="b">
        <x:v>0</x:v>
      </x:c>
      <x:c r="I2186" s="42" t="b">
        <x:v>0</x:v>
      </x:c>
      <x:c r="J2186" s="38" t="n">
        <x:v>0.2923539345</x:v>
      </x:c>
    </x:row>
    <x:row r="2187" ht="19" customHeight="1">
      <x:c r="A2187" s="29" t="str">
        <x:v>stagger_1</x:v>
      </x:c>
      <x:c r="B2187" s="38" t="str">
        <x:v>HPE</x:v>
      </x:c>
      <x:c r="C2187" s="38" t="str">
        <x:v>Other sectors</x:v>
      </x:c>
      <x:c r="D2187" s="30" t="n">
        <x:v>7</x:v>
      </x:c>
      <x:c r="E2187" s="38" t="str">
        <x:v>XLC</x:v>
      </x:c>
      <x:c r="F2187" s="38" t="n">
        <x:v>-1.0202042528</x:v>
      </x:c>
      <x:c r="G2187" s="38" t="n">
        <x:v>-3.0807909442</x:v>
      </x:c>
      <x:c r="H2187" s="42" t="b">
        <x:v>0</x:v>
      </x:c>
      <x:c r="I2187" s="42" t="b">
        <x:v>1</x:v>
      </x:c>
      <x:c r="J2187" s="38" t="n">
        <x:v>0.2911903466</x:v>
      </x:c>
    </x:row>
    <x:row r="2188" ht="19" customHeight="1">
      <x:c r="A2188" s="29" t="str">
        <x:v>stagger_1</x:v>
      </x:c>
      <x:c r="B2188" s="38" t="str">
        <x:v>HPE</x:v>
      </x:c>
      <x:c r="C2188" s="38" t="str">
        <x:v>Other sectors</x:v>
      </x:c>
      <x:c r="D2188" s="30" t="n">
        <x:v>7</x:v>
      </x:c>
      <x:c r="E2188" s="38" t="str">
        <x:v>XLE</x:v>
      </x:c>
      <x:c r="F2188" s="38" t="n">
        <x:v>0.3303200197</x:v>
      </x:c>
      <x:c r="G2188" s="38" t="n">
        <x:v>2.4250843484</x:v>
      </x:c>
      <x:c r="H2188" s="42" t="b">
        <x:v>0</x:v>
      </x:c>
      <x:c r="I2188" s="42" t="b">
        <x:v>1</x:v>
      </x:c>
      <x:c r="J2188" s="38" t="n">
        <x:v>0.2911903466</x:v>
      </x:c>
    </x:row>
    <x:row r="2189" ht="19" customHeight="1">
      <x:c r="A2189" s="29" t="str">
        <x:v>stagger_1</x:v>
      </x:c>
      <x:c r="B2189" s="38" t="str">
        <x:v>HPE</x:v>
      </x:c>
      <x:c r="C2189" s="38" t="str">
        <x:v>Other sectors</x:v>
      </x:c>
      <x:c r="D2189" s="30" t="n">
        <x:v>7</x:v>
      </x:c>
      <x:c r="E2189" s="38" t="str">
        <x:v>XLF</x:v>
      </x:c>
      <x:c r="F2189" s="38" t="n">
        <x:v>1.0723565201</x:v>
      </x:c>
      <x:c r="G2189" s="38" t="n">
        <x:v>3.2738566455</x:v>
      </x:c>
      <x:c r="H2189" s="42" t="b">
        <x:v>0</x:v>
      </x:c>
      <x:c r="I2189" s="42" t="b">
        <x:v>1</x:v>
      </x:c>
      <x:c r="J2189" s="38" t="n">
        <x:v>0.2911903466</x:v>
      </x:c>
    </x:row>
    <x:row r="2190" ht="19" customHeight="1">
      <x:c r="A2190" s="29" t="str">
        <x:v>stagger_1</x:v>
      </x:c>
      <x:c r="B2190" s="38" t="str">
        <x:v>HPE</x:v>
      </x:c>
      <x:c r="C2190" s="38" t="str">
        <x:v>Other sectors</x:v>
      </x:c>
      <x:c r="D2190" s="30" t="n">
        <x:v>7</x:v>
      </x:c>
      <x:c r="E2190" s="38" t="str">
        <x:v>XLRE</x:v>
      </x:c>
      <x:c r="F2190" s="38" t="n">
        <x:v>-0.6525762875</x:v>
      </x:c>
      <x:c r="G2190" s="38" t="n">
        <x:v>-2.3903583377</x:v>
      </x:c>
      <x:c r="H2190" s="42" t="b">
        <x:v>0</x:v>
      </x:c>
      <x:c r="I2190" s="42" t="b">
        <x:v>1</x:v>
      </x:c>
      <x:c r="J2190" s="38" t="n">
        <x:v>0.2911903466</x:v>
      </x:c>
    </x:row>
    <x:row r="2191" ht="19" customHeight="1">
      <x:c r="A2191" s="29" t="str">
        <x:v>stagger_1</x:v>
      </x:c>
      <x:c r="B2191" s="38" t="str">
        <x:v>BA</x:v>
      </x:c>
      <x:c r="C2191" s="38" t="str">
        <x:v>Other FX</x:v>
      </x:c>
      <x:c r="D2191" s="30" t="n">
        <x:v>1</x:v>
      </x:c>
      <x:c r="E2191" s="38" t="str">
        <x:v>AUD/USD</x:v>
      </x:c>
      <x:c r="F2191" s="38" t="n">
        <x:v>0.731976656</x:v>
      </x:c>
      <x:c r="G2191" s="38" t="n">
        <x:v>1.1001767991</x:v>
      </x:c>
      <x:c r="H2191" s="42" t="b">
        <x:v>0</x:v>
      </x:c>
      <x:c r="I2191" s="42" t="b">
        <x:v>0</x:v>
      </x:c>
      <x:c r="J2191" s="38" t="n">
        <x:v>0.3517190624</x:v>
      </x:c>
    </x:row>
    <x:row r="2192" ht="19" customHeight="1">
      <x:c r="A2192" s="29" t="str">
        <x:v>stagger_1</x:v>
      </x:c>
      <x:c r="B2192" s="38" t="str">
        <x:v>BA</x:v>
      </x:c>
      <x:c r="C2192" s="38" t="str">
        <x:v>Other FX</x:v>
      </x:c>
      <x:c r="D2192" s="30" t="n">
        <x:v>1</x:v>
      </x:c>
      <x:c r="E2192" s="38" t="str">
        <x:v>CAD/USD</x:v>
      </x:c>
      <x:c r="F2192" s="38" t="n">
        <x:v>-0.724392145</x:v>
      </x:c>
      <x:c r="G2192" s="38" t="n">
        <x:v>-0.9016448265</x:v>
      </x:c>
      <x:c r="H2192" s="42" t="b">
        <x:v>1</x:v>
      </x:c>
      <x:c r="I2192" s="42" t="b">
        <x:v>0</x:v>
      </x:c>
      <x:c r="J2192" s="38" t="n">
        <x:v>0.3517190624</x:v>
      </x:c>
    </x:row>
    <x:row r="2193" ht="19" customHeight="1">
      <x:c r="A2193" s="29" t="str">
        <x:v>stagger_1</x:v>
      </x:c>
      <x:c r="B2193" s="38" t="str">
        <x:v>BA</x:v>
      </x:c>
      <x:c r="C2193" s="38" t="str">
        <x:v>Other FX</x:v>
      </x:c>
      <x:c r="D2193" s="30" t="n">
        <x:v>1</x:v>
      </x:c>
      <x:c r="E2193" s="38" t="str">
        <x:v>DKK/USD</x:v>
      </x:c>
      <x:c r="F2193" s="38" t="n">
        <x:v>7.3567396571</x:v>
      </x:c>
      <x:c r="G2193" s="38" t="n">
        <x:v>1.3153042265</x:v>
      </x:c>
      <x:c r="H2193" s="42" t="b">
        <x:v>0</x:v>
      </x:c>
      <x:c r="I2193" s="42" t="b">
        <x:v>0</x:v>
      </x:c>
      <x:c r="J2193" s="38" t="n">
        <x:v>0.3517190624</x:v>
      </x:c>
    </x:row>
    <x:row r="2194" ht="19" customHeight="1">
      <x:c r="A2194" s="29" t="str">
        <x:v>stagger_1</x:v>
      </x:c>
      <x:c r="B2194" s="38" t="str">
        <x:v>BA</x:v>
      </x:c>
      <x:c r="C2194" s="38" t="str">
        <x:v>Other FX</x:v>
      </x:c>
      <x:c r="D2194" s="30" t="n">
        <x:v>1</x:v>
      </x:c>
      <x:c r="E2194" s="38" t="str">
        <x:v>EUR/USD</x:v>
      </x:c>
      <x:c r="F2194" s="38" t="n">
        <x:v>-7.0866190547</x:v>
      </x:c>
      <x:c r="G2194" s="38" t="n">
        <x:v>-1.3851454686</x:v>
      </x:c>
      <x:c r="H2194" s="42" t="b">
        <x:v>0</x:v>
      </x:c>
      <x:c r="I2194" s="42" t="b">
        <x:v>0</x:v>
      </x:c>
      <x:c r="J2194" s="38" t="n">
        <x:v>0.3517190624</x:v>
      </x:c>
    </x:row>
    <x:row r="2195" ht="19" customHeight="1">
      <x:c r="A2195" s="29" t="str">
        <x:v>stagger_1</x:v>
      </x:c>
      <x:c r="B2195" s="38" t="str">
        <x:v>BA</x:v>
      </x:c>
      <x:c r="C2195" s="38" t="str">
        <x:v>Other FX</x:v>
      </x:c>
      <x:c r="D2195" s="30" t="n">
        <x:v>1</x:v>
      </x:c>
      <x:c r="E2195" s="38" t="str">
        <x:v>MXN/USD</x:v>
      </x:c>
      <x:c r="F2195" s="38" t="n">
        <x:v>1.0046661618</x:v>
      </x:c>
      <x:c r="G2195" s="38" t="n">
        <x:v>2.357045876</x:v>
      </x:c>
      <x:c r="H2195" s="42" t="b">
        <x:v>0</x:v>
      </x:c>
      <x:c r="I2195" s="42" t="b">
        <x:v>0</x:v>
      </x:c>
      <x:c r="J2195" s="38" t="n">
        <x:v>0.3517190624</x:v>
      </x:c>
    </x:row>
    <x:row r="2196" ht="19" customHeight="1">
      <x:c r="A2196" s="29" t="str">
        <x:v>stagger_1</x:v>
      </x:c>
      <x:c r="B2196" s="38" t="str">
        <x:v>BA</x:v>
      </x:c>
      <x:c r="C2196" s="38" t="str">
        <x:v>Other FX</x:v>
      </x:c>
      <x:c r="D2196" s="30" t="n">
        <x:v>1</x:v>
      </x:c>
      <x:c r="E2196" s="38" t="str">
        <x:v>SGD/USD</x:v>
      </x:c>
      <x:c r="F2196" s="38" t="n">
        <x:v>1.8538274239</x:v>
      </x:c>
      <x:c r="G2196" s="38" t="n">
        <x:v>1.1508137336</x:v>
      </x:c>
      <x:c r="H2196" s="42" t="b">
        <x:v>0</x:v>
      </x:c>
      <x:c r="I2196" s="42" t="b">
        <x:v>0</x:v>
      </x:c>
      <x:c r="J2196" s="38" t="n">
        <x:v>0.3517190624</x:v>
      </x:c>
    </x:row>
    <x:row r="2197" ht="19" customHeight="1">
      <x:c r="A2197" s="29" t="str">
        <x:v>stagger_1</x:v>
      </x:c>
      <x:c r="B2197" s="38" t="str">
        <x:v>BA</x:v>
      </x:c>
      <x:c r="C2197" s="38" t="str">
        <x:v>Other FX</x:v>
      </x:c>
      <x:c r="D2197" s="30" t="n">
        <x:v>2</x:v>
      </x:c>
      <x:c r="E2197" s="38" t="str">
        <x:v>AUD/USD</x:v>
      </x:c>
      <x:c r="F2197" s="38" t="n">
        <x:v>0.5859987767</x:v>
      </x:c>
      <x:c r="G2197" s="38" t="n">
        <x:v>0.9092145284</x:v>
      </x:c>
      <x:c r="H2197" s="42" t="b">
        <x:v>1</x:v>
      </x:c>
      <x:c r="I2197" s="42" t="b">
        <x:v>0</x:v>
      </x:c>
      <x:c r="J2197" s="38" t="n">
        <x:v>0.3444994916</x:v>
      </x:c>
    </x:row>
    <x:row r="2198" ht="19" customHeight="1">
      <x:c r="A2198" s="29" t="str">
        <x:v>stagger_1</x:v>
      </x:c>
      <x:c r="B2198" s="38" t="str">
        <x:v>BA</x:v>
      </x:c>
      <x:c r="C2198" s="38" t="str">
        <x:v>Other FX</x:v>
      </x:c>
      <x:c r="D2198" s="30" t="n">
        <x:v>2</x:v>
      </x:c>
      <x:c r="E2198" s="38" t="str">
        <x:v>DKK/USD</x:v>
      </x:c>
      <x:c r="F2198" s="38" t="n">
        <x:v>6.8549335683</x:v>
      </x:c>
      <x:c r="G2198" s="38" t="n">
        <x:v>1.2332590871</x:v>
      </x:c>
      <x:c r="H2198" s="42" t="b">
        <x:v>0</x:v>
      </x:c>
      <x:c r="I2198" s="42" t="b">
        <x:v>0</x:v>
      </x:c>
      <x:c r="J2198" s="38" t="n">
        <x:v>0.3444994916</x:v>
      </x:c>
    </x:row>
    <x:row r="2199" ht="19" customHeight="1">
      <x:c r="A2199" s="29" t="str">
        <x:v>stagger_1</x:v>
      </x:c>
      <x:c r="B2199" s="38" t="str">
        <x:v>BA</x:v>
      </x:c>
      <x:c r="C2199" s="38" t="str">
        <x:v>Other FX</x:v>
      </x:c>
      <x:c r="D2199" s="30" t="n">
        <x:v>2</x:v>
      </x:c>
      <x:c r="E2199" s="38" t="str">
        <x:v>EUR/USD</x:v>
      </x:c>
      <x:c r="F2199" s="38" t="n">
        <x:v>-6.8064864401</x:v>
      </x:c>
      <x:c r="G2199" s="38" t="n">
        <x:v>-1.3345384764</x:v>
      </x:c>
      <x:c r="H2199" s="42" t="b">
        <x:v>0</x:v>
      </x:c>
      <x:c r="I2199" s="42" t="b">
        <x:v>0</x:v>
      </x:c>
      <x:c r="J2199" s="38" t="n">
        <x:v>0.3444994916</x:v>
      </x:c>
    </x:row>
    <x:row r="2200" ht="19" customHeight="1">
      <x:c r="A2200" s="29" t="str">
        <x:v>stagger_1</x:v>
      </x:c>
      <x:c r="B2200" s="38" t="str">
        <x:v>BA</x:v>
      </x:c>
      <x:c r="C2200" s="38" t="str">
        <x:v>Other FX</x:v>
      </x:c>
      <x:c r="D2200" s="30" t="n">
        <x:v>2</x:v>
      </x:c>
      <x:c r="E2200" s="38" t="str">
        <x:v>MXN/USD</x:v>
      </x:c>
      <x:c r="F2200" s="38" t="n">
        <x:v>1.0123613873</x:v>
      </x:c>
      <x:c r="G2200" s="38" t="n">
        <x:v>2.3785837594</x:v>
      </x:c>
      <x:c r="H2200" s="42" t="b">
        <x:v>0</x:v>
      </x:c>
      <x:c r="I2200" s="42" t="b">
        <x:v>0</x:v>
      </x:c>
      <x:c r="J2200" s="38" t="n">
        <x:v>0.3444994916</x:v>
      </x:c>
    </x:row>
    <x:row r="2201" ht="19" customHeight="1">
      <x:c r="A2201" s="29" t="str">
        <x:v>stagger_1</x:v>
      </x:c>
      <x:c r="B2201" s="38" t="str">
        <x:v>BA</x:v>
      </x:c>
      <x:c r="C2201" s="38" t="str">
        <x:v>Other FX</x:v>
      </x:c>
      <x:c r="D2201" s="30" t="n">
        <x:v>2</x:v>
      </x:c>
      <x:c r="E2201" s="38" t="str">
        <x:v>SGD/USD</x:v>
      </x:c>
      <x:c r="F2201" s="38" t="n">
        <x:v>1.850268925</x:v>
      </x:c>
      <x:c r="G2201" s="38" t="n">
        <x:v>1.1500624695</x:v>
      </x:c>
      <x:c r="H2201" s="42" t="b">
        <x:v>0</x:v>
      </x:c>
      <x:c r="I2201" s="42" t="b">
        <x:v>0</x:v>
      </x:c>
      <x:c r="J2201" s="38" t="n">
        <x:v>0.3444994916</x:v>
      </x:c>
    </x:row>
    <x:row r="2202" ht="19" customHeight="1">
      <x:c r="A2202" s="29" t="str">
        <x:v>stagger_1</x:v>
      </x:c>
      <x:c r="B2202" s="38" t="str">
        <x:v>BA</x:v>
      </x:c>
      <x:c r="C2202" s="38" t="str">
        <x:v>Other FX</x:v>
      </x:c>
      <x:c r="D2202" s="30" t="n">
        <x:v>3</x:v>
      </x:c>
      <x:c r="E2202" s="38" t="str">
        <x:v>DKK/USD</x:v>
      </x:c>
      <x:c r="F2202" s="38" t="n">
        <x:v>6.9573737567</x:v>
      </x:c>
      <x:c r="G2202" s="38" t="n">
        <x:v>1.2533953142</x:v>
      </x:c>
      <x:c r="H2202" s="42" t="b">
        <x:v>1</x:v>
      </x:c>
      <x:c r="I2202" s="42" t="b">
        <x:v>0</x:v>
      </x:c>
      <x:c r="J2202" s="38" t="n">
        <x:v>0.3371767443</x:v>
      </x:c>
    </x:row>
    <x:row r="2203" ht="19" customHeight="1">
      <x:c r="A2203" s="29" t="str">
        <x:v>stagger_1</x:v>
      </x:c>
      <x:c r="B2203" s="38" t="str">
        <x:v>BA</x:v>
      </x:c>
      <x:c r="C2203" s="38" t="str">
        <x:v>Other FX</x:v>
      </x:c>
      <x:c r="D2203" s="30" t="n">
        <x:v>3</x:v>
      </x:c>
      <x:c r="E2203" s="38" t="str">
        <x:v>EUR/USD</x:v>
      </x:c>
      <x:c r="F2203" s="38" t="n">
        <x:v>-6.8656055335</x:v>
      </x:c>
      <x:c r="G2203" s="38" t="n">
        <x:v>-1.3477976004</x:v>
      </x:c>
      <x:c r="H2203" s="42" t="b">
        <x:v>0</x:v>
      </x:c>
      <x:c r="I2203" s="42" t="b">
        <x:v>0</x:v>
      </x:c>
      <x:c r="J2203" s="38" t="n">
        <x:v>0.3371767443</x:v>
      </x:c>
    </x:row>
    <x:row r="2204" ht="19" customHeight="1">
      <x:c r="A2204" s="29" t="str">
        <x:v>stagger_1</x:v>
      </x:c>
      <x:c r="B2204" s="38" t="str">
        <x:v>BA</x:v>
      </x:c>
      <x:c r="C2204" s="38" t="str">
        <x:v>Other FX</x:v>
      </x:c>
      <x:c r="D2204" s="30" t="n">
        <x:v>3</x:v>
      </x:c>
      <x:c r="E2204" s="38" t="str">
        <x:v>MXN/USD</x:v>
      </x:c>
      <x:c r="F2204" s="38" t="n">
        <x:v>1.0852412151</x:v>
      </x:c>
      <x:c r="G2204" s="38" t="n">
        <x:v>2.5992823468</x:v>
      </x:c>
      <x:c r="H2204" s="42" t="b">
        <x:v>0</x:v>
      </x:c>
      <x:c r="I2204" s="42" t="b">
        <x:v>0</x:v>
      </x:c>
      <x:c r="J2204" s="38" t="n">
        <x:v>0.3371767443</x:v>
      </x:c>
    </x:row>
    <x:row r="2205" ht="19" customHeight="1">
      <x:c r="A2205" s="29" t="str">
        <x:v>stagger_1</x:v>
      </x:c>
      <x:c r="B2205" s="38" t="str">
        <x:v>BA</x:v>
      </x:c>
      <x:c r="C2205" s="38" t="str">
        <x:v>Other FX</x:v>
      </x:c>
      <x:c r="D2205" s="30" t="n">
        <x:v>3</x:v>
      </x:c>
      <x:c r="E2205" s="38" t="str">
        <x:v>SGD/USD</x:v>
      </x:c>
      <x:c r="F2205" s="38" t="n">
        <x:v>2.5497694763</x:v>
      </x:c>
      <x:c r="G2205" s="38" t="n">
        <x:v>1.8066369624</x:v>
      </x:c>
      <x:c r="H2205" s="42" t="b">
        <x:v>0</x:v>
      </x:c>
      <x:c r="I2205" s="42" t="b">
        <x:v>0</x:v>
      </x:c>
      <x:c r="J2205" s="38" t="n">
        <x:v>0.3371767443</x:v>
      </x:c>
    </x:row>
    <x:row r="2206" ht="19" customHeight="1">
      <x:c r="A2206" s="29" t="str">
        <x:v>stagger_1</x:v>
      </x:c>
      <x:c r="B2206" s="38" t="str">
        <x:v>BA</x:v>
      </x:c>
      <x:c r="C2206" s="38" t="str">
        <x:v>Other FX</x:v>
      </x:c>
      <x:c r="D2206" s="30" t="n">
        <x:v>4</x:v>
      </x:c>
      <x:c r="E2206" s="38" t="str">
        <x:v>EUR/USD</x:v>
      </x:c>
      <x:c r="F2206" s="38" t="n">
        <x:v>-0.5581123172</x:v>
      </x:c>
      <x:c r="G2206" s="38" t="n">
        <x:v>-0.7039079919</x:v>
      </x:c>
      <x:c r="H2206" s="42" t="b">
        <x:v>1</x:v>
      </x:c>
      <x:c r="I2206" s="42" t="b">
        <x:v>0</x:v>
      </x:c>
      <x:c r="J2206" s="38" t="n">
        <x:v>0.3232928081</x:v>
      </x:c>
    </x:row>
    <x:row r="2207" ht="19" customHeight="1">
      <x:c r="A2207" s="29" t="str">
        <x:v>stagger_1</x:v>
      </x:c>
      <x:c r="B2207" s="38" t="str">
        <x:v>BA</x:v>
      </x:c>
      <x:c r="C2207" s="38" t="str">
        <x:v>Other FX</x:v>
      </x:c>
      <x:c r="D2207" s="30" t="n">
        <x:v>4</x:v>
      </x:c>
      <x:c r="E2207" s="38" t="str">
        <x:v>MXN/USD</x:v>
      </x:c>
      <x:c r="F2207" s="38" t="n">
        <x:v>1.2482542561</x:v>
      </x:c>
      <x:c r="G2207" s="38" t="n">
        <x:v>3.1345060877</x:v>
      </x:c>
      <x:c r="H2207" s="42" t="b">
        <x:v>0</x:v>
      </x:c>
      <x:c r="I2207" s="42" t="b">
        <x:v>0</x:v>
      </x:c>
      <x:c r="J2207" s="38" t="n">
        <x:v>0.3232928081</x:v>
      </x:c>
    </x:row>
    <x:row r="2208" ht="19" customHeight="1">
      <x:c r="A2208" s="29" t="str">
        <x:v>stagger_1</x:v>
      </x:c>
      <x:c r="B2208" s="38" t="str">
        <x:v>BA</x:v>
      </x:c>
      <x:c r="C2208" s="38" t="str">
        <x:v>Other FX</x:v>
      </x:c>
      <x:c r="D2208" s="30" t="n">
        <x:v>4</x:v>
      </x:c>
      <x:c r="E2208" s="38" t="str">
        <x:v>SGD/USD</x:v>
      </x:c>
      <x:c r="F2208" s="38" t="n">
        <x:v>3.3474765543</x:v>
      </x:c>
      <x:c r="G2208" s="38" t="n">
        <x:v>2.647458783</x:v>
      </x:c>
      <x:c r="H2208" s="42" t="b">
        <x:v>0</x:v>
      </x:c>
      <x:c r="I2208" s="42" t="b">
        <x:v>0</x:v>
      </x:c>
      <x:c r="J2208" s="38" t="n">
        <x:v>0.3232928081</x:v>
      </x:c>
    </x:row>
    <x:row r="2209" ht="19" customHeight="1">
      <x:c r="A2209" s="29" t="str">
        <x:v>stagger_1</x:v>
      </x:c>
      <x:c r="B2209" s="38" t="str">
        <x:v>BA</x:v>
      </x:c>
      <x:c r="C2209" s="38" t="str">
        <x:v>Other FX</x:v>
      </x:c>
      <x:c r="D2209" s="30" t="n">
        <x:v>5</x:v>
      </x:c>
      <x:c r="E2209" s="38" t="str">
        <x:v>MXN/USD</x:v>
      </x:c>
      <x:c r="F2209" s="38" t="n">
        <x:v>1.1757238986</x:v>
      </x:c>
      <x:c r="G2209" s="38" t="n">
        <x:v>3.0665215852</x:v>
      </x:c>
      <x:c r="H2209" s="42" t="b">
        <x:v>0</x:v>
      </x:c>
      <x:c r="I2209" s="42" t="b">
        <x:v>1</x:v>
      </x:c>
      <x:c r="J2209" s="38" t="n">
        <x:v>0.3188809759</x:v>
      </x:c>
    </x:row>
    <x:row r="2210" ht="19" customHeight="1">
      <x:c r="A2210" s="29" t="str">
        <x:v>stagger_1</x:v>
      </x:c>
      <x:c r="B2210" s="38" t="str">
        <x:v>BA</x:v>
      </x:c>
      <x:c r="C2210" s="38" t="str">
        <x:v>Other FX</x:v>
      </x:c>
      <x:c r="D2210" s="30" t="n">
        <x:v>5</x:v>
      </x:c>
      <x:c r="E2210" s="38" t="str">
        <x:v>SGD/USD</x:v>
      </x:c>
      <x:c r="F2210" s="38" t="n">
        <x:v>2.7149153353</x:v>
      </x:c>
      <x:c r="G2210" s="38" t="n">
        <x:v>3.0622915068</x:v>
      </x:c>
      <x:c r="H2210" s="42" t="b">
        <x:v>0</x:v>
      </x:c>
      <x:c r="I2210" s="42" t="b">
        <x:v>1</x:v>
      </x:c>
      <x:c r="J2210" s="38" t="n">
        <x:v>0.3188809759</x:v>
      </x:c>
    </x:row>
    <x:row r="2211" ht="19" customHeight="1">
      <x:c r="A2211" s="29" t="str">
        <x:v>stagger_1</x:v>
      </x:c>
      <x:c r="B2211" s="38" t="str">
        <x:v>BA</x:v>
      </x:c>
      <x:c r="C2211" s="38" t="str">
        <x:v>Other sectors</x:v>
      </x:c>
      <x:c r="D2211" s="30" t="n">
        <x:v>1</x:v>
      </x:c>
      <x:c r="E2211" s="38" t="str">
        <x:v>XLB</x:v>
      </x:c>
      <x:c r="F2211" s="38" t="n">
        <x:v>-0.249882837</x:v>
      </x:c>
      <x:c r="G2211" s="38" t="n">
        <x:v>-0.8708715328</x:v>
      </x:c>
      <x:c r="H2211" s="42" t="b">
        <x:v>0</x:v>
      </x:c>
      <x:c r="I2211" s="42" t="b">
        <x:v>0</x:v>
      </x:c>
      <x:c r="J2211" s="38" t="n">
        <x:v>0.1471036407</x:v>
      </x:c>
    </x:row>
    <x:row r="2212" ht="19" customHeight="1">
      <x:c r="A2212" s="29" t="str">
        <x:v>stagger_1</x:v>
      </x:c>
      <x:c r="B2212" s="38" t="str">
        <x:v>BA</x:v>
      </x:c>
      <x:c r="C2212" s="38" t="str">
        <x:v>Other sectors</x:v>
      </x:c>
      <x:c r="D2212" s="30" t="n">
        <x:v>1</x:v>
      </x:c>
      <x:c r="E2212" s="38" t="str">
        <x:v>XLC</x:v>
      </x:c>
      <x:c r="F2212" s="38" t="n">
        <x:v>-0.4504681634</x:v>
      </x:c>
      <x:c r="G2212" s="38" t="n">
        <x:v>-1.1936095878</x:v>
      </x:c>
      <x:c r="H2212" s="42" t="b">
        <x:v>0</x:v>
      </x:c>
      <x:c r="I2212" s="42" t="b">
        <x:v>0</x:v>
      </x:c>
      <x:c r="J2212" s="38" t="n">
        <x:v>0.1471036407</x:v>
      </x:c>
    </x:row>
    <x:row r="2213" ht="19" customHeight="1">
      <x:c r="A2213" s="29" t="str">
        <x:v>stagger_1</x:v>
      </x:c>
      <x:c r="B2213" s="38" t="str">
        <x:v>BA</x:v>
      </x:c>
      <x:c r="C2213" s="38" t="str">
        <x:v>Other sectors</x:v>
      </x:c>
      <x:c r="D2213" s="30" t="n">
        <x:v>1</x:v>
      </x:c>
      <x:c r="E2213" s="38" t="str">
        <x:v>XLE</x:v>
      </x:c>
      <x:c r="F2213" s="38" t="n">
        <x:v>-0.2591623466</x:v>
      </x:c>
      <x:c r="G2213" s="38" t="n">
        <x:v>-1.74270163</x:v>
      </x:c>
      <x:c r="H2213" s="42" t="b">
        <x:v>0</x:v>
      </x:c>
      <x:c r="I2213" s="42" t="b">
        <x:v>0</x:v>
      </x:c>
      <x:c r="J2213" s="38" t="n">
        <x:v>0.1471036407</x:v>
      </x:c>
    </x:row>
    <x:row r="2214" ht="19" customHeight="1">
      <x:c r="A2214" s="29" t="str">
        <x:v>stagger_1</x:v>
      </x:c>
      <x:c r="B2214" s="38" t="str">
        <x:v>BA</x:v>
      </x:c>
      <x:c r="C2214" s="38" t="str">
        <x:v>Other sectors</x:v>
      </x:c>
      <x:c r="D2214" s="30" t="n">
        <x:v>1</x:v>
      </x:c>
      <x:c r="E2214" s="38" t="str">
        <x:v>XLF</x:v>
      </x:c>
      <x:c r="F2214" s="38" t="n">
        <x:v>0.3353952008</x:v>
      </x:c>
      <x:c r="G2214" s="38" t="n">
        <x:v>0.7812125625</x:v>
      </x:c>
      <x:c r="H2214" s="42" t="b">
        <x:v>0</x:v>
      </x:c>
      <x:c r="I2214" s="42" t="b">
        <x:v>0</x:v>
      </x:c>
      <x:c r="J2214" s="38" t="n">
        <x:v>0.1471036407</x:v>
      </x:c>
    </x:row>
    <x:row r="2215" ht="19" customHeight="1">
      <x:c r="A2215" s="29" t="str">
        <x:v>stagger_1</x:v>
      </x:c>
      <x:c r="B2215" s="38" t="str">
        <x:v>BA</x:v>
      </x:c>
      <x:c r="C2215" s="38" t="str">
        <x:v>Other sectors</x:v>
      </x:c>
      <x:c r="D2215" s="30" t="n">
        <x:v>1</x:v>
      </x:c>
      <x:c r="E2215" s="38" t="str">
        <x:v>XLK</x:v>
      </x:c>
      <x:c r="F2215" s="38" t="n">
        <x:v>-0.7538083048</x:v>
      </x:c>
      <x:c r="G2215" s="38" t="n">
        <x:v>-1.17295395</x:v>
      </x:c>
      <x:c r="H2215" s="42" t="b">
        <x:v>0</x:v>
      </x:c>
      <x:c r="I2215" s="42" t="b">
        <x:v>0</x:v>
      </x:c>
      <x:c r="J2215" s="38" t="n">
        <x:v>0.1471036407</x:v>
      </x:c>
    </x:row>
    <x:row r="2216" ht="19" customHeight="1">
      <x:c r="A2216" s="29" t="str">
        <x:v>stagger_1</x:v>
      </x:c>
      <x:c r="B2216" s="38" t="str">
        <x:v>BA</x:v>
      </x:c>
      <x:c r="C2216" s="38" t="str">
        <x:v>Other sectors</x:v>
      </x:c>
      <x:c r="D2216" s="30" t="n">
        <x:v>1</x:v>
      </x:c>
      <x:c r="E2216" s="38" t="str">
        <x:v>XLP</x:v>
      </x:c>
      <x:c r="F2216" s="38" t="n">
        <x:v>-0.1340421802</x:v>
      </x:c>
      <x:c r="G2216" s="38" t="n">
        <x:v>-0.3153830761</x:v>
      </x:c>
      <x:c r="H2216" s="42" t="b">
        <x:v>0</x:v>
      </x:c>
      <x:c r="I2216" s="42" t="b">
        <x:v>0</x:v>
      </x:c>
      <x:c r="J2216" s="38" t="n">
        <x:v>0.1471036407</x:v>
      </x:c>
    </x:row>
    <x:row r="2217" ht="19" customHeight="1">
      <x:c r="A2217" s="29" t="str">
        <x:v>stagger_1</x:v>
      </x:c>
      <x:c r="B2217" s="38" t="str">
        <x:v>BA</x:v>
      </x:c>
      <x:c r="C2217" s="38" t="str">
        <x:v>Other sectors</x:v>
      </x:c>
      <x:c r="D2217" s="30" t="n">
        <x:v>1</x:v>
      </x:c>
      <x:c r="E2217" s="38" t="str">
        <x:v>XLRE</x:v>
      </x:c>
      <x:c r="F2217" s="38" t="n">
        <x:v>-0.0645772602</x:v>
      </x:c>
      <x:c r="G2217" s="38" t="n">
        <x:v>-0.1912447029</x:v>
      </x:c>
      <x:c r="H2217" s="42" t="b">
        <x:v>1</x:v>
      </x:c>
      <x:c r="I2217" s="42" t="b">
        <x:v>0</x:v>
      </x:c>
      <x:c r="J2217" s="38" t="n">
        <x:v>0.1471036407</x:v>
      </x:c>
    </x:row>
    <x:row r="2218" ht="19" customHeight="1">
      <x:c r="A2218" s="29" t="str">
        <x:v>stagger_1</x:v>
      </x:c>
      <x:c r="B2218" s="38" t="str">
        <x:v>BA</x:v>
      </x:c>
      <x:c r="C2218" s="38" t="str">
        <x:v>Other sectors</x:v>
      </x:c>
      <x:c r="D2218" s="30" t="n">
        <x:v>1</x:v>
      </x:c>
      <x:c r="E2218" s="38" t="str">
        <x:v>XLU</x:v>
      </x:c>
      <x:c r="F2218" s="38" t="n">
        <x:v>-0.2426422077</x:v>
      </x:c>
      <x:c r="G2218" s="38" t="n">
        <x:v>-0.9076473095</x:v>
      </x:c>
      <x:c r="H2218" s="42" t="b">
        <x:v>0</x:v>
      </x:c>
      <x:c r="I2218" s="42" t="b">
        <x:v>0</x:v>
      </x:c>
      <x:c r="J2218" s="38" t="n">
        <x:v>0.1471036407</x:v>
      </x:c>
    </x:row>
    <x:row r="2219" ht="19" customHeight="1">
      <x:c r="A2219" s="29" t="str">
        <x:v>stagger_1</x:v>
      </x:c>
      <x:c r="B2219" s="38" t="str">
        <x:v>BA</x:v>
      </x:c>
      <x:c r="C2219" s="38" t="str">
        <x:v>Other sectors</x:v>
      </x:c>
      <x:c r="D2219" s="30" t="n">
        <x:v>1</x:v>
      </x:c>
      <x:c r="E2219" s="38" t="str">
        <x:v>XLV</x:v>
      </x:c>
      <x:c r="F2219" s="38" t="n">
        <x:v>-0.5669954304</x:v>
      </x:c>
      <x:c r="G2219" s="38" t="n">
        <x:v>-1.5831333147</x:v>
      </x:c>
      <x:c r="H2219" s="42" t="b">
        <x:v>0</x:v>
      </x:c>
      <x:c r="I2219" s="42" t="b">
        <x:v>0</x:v>
      </x:c>
      <x:c r="J2219" s="38" t="n">
        <x:v>0.1471036407</x:v>
      </x:c>
    </x:row>
    <x:row r="2220" ht="19" customHeight="1">
      <x:c r="A2220" s="29" t="str">
        <x:v>stagger_1</x:v>
      </x:c>
      <x:c r="B2220" s="38" t="str">
        <x:v>BA</x:v>
      </x:c>
      <x:c r="C2220" s="38" t="str">
        <x:v>Other sectors</x:v>
      </x:c>
      <x:c r="D2220" s="30" t="n">
        <x:v>1</x:v>
      </x:c>
      <x:c r="E2220" s="38" t="str">
        <x:v>XLY</x:v>
      </x:c>
      <x:c r="F2220" s="38" t="n">
        <x:v>-0.2337730192</x:v>
      </x:c>
      <x:c r="G2220" s="38" t="n">
        <x:v>-0.5678167966</x:v>
      </x:c>
      <x:c r="H2220" s="42" t="b">
        <x:v>0</x:v>
      </x:c>
      <x:c r="I2220" s="42" t="b">
        <x:v>0</x:v>
      </x:c>
      <x:c r="J2220" s="38" t="n">
        <x:v>0.1471036407</x:v>
      </x:c>
    </x:row>
    <x:row r="2221" ht="19" customHeight="1">
      <x:c r="A2221" s="29" t="str">
        <x:v>stagger_1</x:v>
      </x:c>
      <x:c r="B2221" s="38" t="str">
        <x:v>BA</x:v>
      </x:c>
      <x:c r="C2221" s="38" t="str">
        <x:v>Other sectors</x:v>
      </x:c>
      <x:c r="D2221" s="30" t="n">
        <x:v>2</x:v>
      </x:c>
      <x:c r="E2221" s="38" t="str">
        <x:v>XLB</x:v>
      </x:c>
      <x:c r="F2221" s="38" t="n">
        <x:v>-0.2506450986</x:v>
      </x:c>
      <x:c r="G2221" s="38" t="n">
        <x:v>-0.8796870326</x:v>
      </x:c>
      <x:c r="H2221" s="42" t="b">
        <x:v>0</x:v>
      </x:c>
      <x:c r="I2221" s="42" t="b">
        <x:v>0</x:v>
      </x:c>
      <x:c r="J2221" s="38" t="n">
        <x:v>0.1466515496</x:v>
      </x:c>
    </x:row>
    <x:row r="2222" ht="19" customHeight="1">
      <x:c r="A2222" s="29" t="str">
        <x:v>stagger_1</x:v>
      </x:c>
      <x:c r="B2222" s="38" t="str">
        <x:v>BA</x:v>
      </x:c>
      <x:c r="C2222" s="38" t="str">
        <x:v>Other sectors</x:v>
      </x:c>
      <x:c r="D2222" s="30" t="n">
        <x:v>2</x:v>
      </x:c>
      <x:c r="E2222" s="38" t="str">
        <x:v>XLC</x:v>
      </x:c>
      <x:c r="F2222" s="38" t="n">
        <x:v>-0.4436830737</x:v>
      </x:c>
      <x:c r="G2222" s="38" t="n">
        <x:v>-1.1890716514</x:v>
      </x:c>
      <x:c r="H2222" s="42" t="b">
        <x:v>0</x:v>
      </x:c>
      <x:c r="I2222" s="42" t="b">
        <x:v>0</x:v>
      </x:c>
      <x:c r="J2222" s="38" t="n">
        <x:v>0.1466515496</x:v>
      </x:c>
    </x:row>
    <x:row r="2223" ht="19" customHeight="1">
      <x:c r="A2223" s="29" t="str">
        <x:v>stagger_1</x:v>
      </x:c>
      <x:c r="B2223" s="38" t="str">
        <x:v>BA</x:v>
      </x:c>
      <x:c r="C2223" s="38" t="str">
        <x:v>Other sectors</x:v>
      </x:c>
      <x:c r="D2223" s="30" t="n">
        <x:v>2</x:v>
      </x:c>
      <x:c r="E2223" s="38" t="str">
        <x:v>XLE</x:v>
      </x:c>
      <x:c r="F2223" s="38" t="n">
        <x:v>-0.2622321787</x:v>
      </x:c>
      <x:c r="G2223" s="38" t="n">
        <x:v>-1.7860404645</x:v>
      </x:c>
      <x:c r="H2223" s="42" t="b">
        <x:v>0</x:v>
      </x:c>
      <x:c r="I2223" s="42" t="b">
        <x:v>0</x:v>
      </x:c>
      <x:c r="J2223" s="38" t="n">
        <x:v>0.1466515496</x:v>
      </x:c>
    </x:row>
    <x:row r="2224" ht="19" customHeight="1">
      <x:c r="A2224" s="29" t="str">
        <x:v>stagger_1</x:v>
      </x:c>
      <x:c r="B2224" s="38" t="str">
        <x:v>BA</x:v>
      </x:c>
      <x:c r="C2224" s="38" t="str">
        <x:v>Other sectors</x:v>
      </x:c>
      <x:c r="D2224" s="30" t="n">
        <x:v>2</x:v>
      </x:c>
      <x:c r="E2224" s="38" t="str">
        <x:v>XLF</x:v>
      </x:c>
      <x:c r="F2224" s="38" t="n">
        <x:v>0.321997712</x:v>
      </x:c>
      <x:c r="G2224" s="38" t="n">
        <x:v>0.7654811695</x:v>
      </x:c>
      <x:c r="H2224" s="42" t="b">
        <x:v>0</x:v>
      </x:c>
      <x:c r="I2224" s="42" t="b">
        <x:v>0</x:v>
      </x:c>
      <x:c r="J2224" s="38" t="n">
        <x:v>0.1466515496</x:v>
      </x:c>
    </x:row>
    <x:row r="2225" ht="19" customHeight="1">
      <x:c r="A2225" s="29" t="str">
        <x:v>stagger_1</x:v>
      </x:c>
      <x:c r="B2225" s="38" t="str">
        <x:v>BA</x:v>
      </x:c>
      <x:c r="C2225" s="38" t="str">
        <x:v>Other sectors</x:v>
      </x:c>
      <x:c r="D2225" s="30" t="n">
        <x:v>2</x:v>
      </x:c>
      <x:c r="E2225" s="38" t="str">
        <x:v>XLK</x:v>
      </x:c>
      <x:c r="F2225" s="38" t="n">
        <x:v>-0.7606600202</x:v>
      </x:c>
      <x:c r="G2225" s="38" t="n">
        <x:v>-1.1937020768</x:v>
      </x:c>
      <x:c r="H2225" s="42" t="b">
        <x:v>0</x:v>
      </x:c>
      <x:c r="I2225" s="42" t="b">
        <x:v>0</x:v>
      </x:c>
      <x:c r="J2225" s="38" t="n">
        <x:v>0.1466515496</x:v>
      </x:c>
    </x:row>
    <x:row r="2226" ht="19" customHeight="1">
      <x:c r="A2226" s="29" t="str">
        <x:v>stagger_1</x:v>
      </x:c>
      <x:c r="B2226" s="38" t="str">
        <x:v>BA</x:v>
      </x:c>
      <x:c r="C2226" s="38" t="str">
        <x:v>Other sectors</x:v>
      </x:c>
      <x:c r="D2226" s="30" t="n">
        <x:v>2</x:v>
      </x:c>
      <x:c r="E2226" s="38" t="str">
        <x:v>XLP</x:v>
      </x:c>
      <x:c r="F2226" s="38" t="n">
        <x:v>-0.1606884934</x:v>
      </x:c>
      <x:c r="G2226" s="38" t="n">
        <x:v>-0.4029765655</x:v>
      </x:c>
      <x:c r="H2226" s="42" t="b">
        <x:v>1</x:v>
      </x:c>
      <x:c r="I2226" s="42" t="b">
        <x:v>0</x:v>
      </x:c>
      <x:c r="J2226" s="38" t="n">
        <x:v>0.1466515496</x:v>
      </x:c>
    </x:row>
    <x:row r="2227" ht="19" customHeight="1">
      <x:c r="A2227" s="29" t="str">
        <x:v>stagger_1</x:v>
      </x:c>
      <x:c r="B2227" s="38" t="str">
        <x:v>BA</x:v>
      </x:c>
      <x:c r="C2227" s="38" t="str">
        <x:v>Other sectors</x:v>
      </x:c>
      <x:c r="D2227" s="30" t="n">
        <x:v>2</x:v>
      </x:c>
      <x:c r="E2227" s="38" t="str">
        <x:v>XLU</x:v>
      </x:c>
      <x:c r="F2227" s="38" t="n">
        <x:v>-0.2576723219</x:v>
      </x:c>
      <x:c r="G2227" s="38" t="n">
        <x:v>-1.0154445656</x:v>
      </x:c>
      <x:c r="H2227" s="42" t="b">
        <x:v>0</x:v>
      </x:c>
      <x:c r="I2227" s="42" t="b">
        <x:v>0</x:v>
      </x:c>
      <x:c r="J2227" s="38" t="n">
        <x:v>0.1466515496</x:v>
      </x:c>
    </x:row>
    <x:row r="2228" ht="19" customHeight="1">
      <x:c r="A2228" s="29" t="str">
        <x:v>stagger_1</x:v>
      </x:c>
      <x:c r="B2228" s="38" t="str">
        <x:v>BA</x:v>
      </x:c>
      <x:c r="C2228" s="38" t="str">
        <x:v>Other sectors</x:v>
      </x:c>
      <x:c r="D2228" s="30" t="n">
        <x:v>2</x:v>
      </x:c>
      <x:c r="E2228" s="38" t="str">
        <x:v>XLV</x:v>
      </x:c>
      <x:c r="F2228" s="38" t="n">
        <x:v>-0.5827010251</x:v>
      </x:c>
      <x:c r="G2228" s="38" t="n">
        <x:v>-1.6831446069</x:v>
      </x:c>
      <x:c r="H2228" s="42" t="b">
        <x:v>0</x:v>
      </x:c>
      <x:c r="I2228" s="42" t="b">
        <x:v>0</x:v>
      </x:c>
      <x:c r="J2228" s="38" t="n">
        <x:v>0.1466515496</x:v>
      </x:c>
    </x:row>
    <x:row r="2229" ht="19" customHeight="1">
      <x:c r="A2229" s="29" t="str">
        <x:v>stagger_1</x:v>
      </x:c>
      <x:c r="B2229" s="38" t="str">
        <x:v>BA</x:v>
      </x:c>
      <x:c r="C2229" s="38" t="str">
        <x:v>Other sectors</x:v>
      </x:c>
      <x:c r="D2229" s="30" t="n">
        <x:v>2</x:v>
      </x:c>
      <x:c r="E2229" s="38" t="str">
        <x:v>XLY</x:v>
      </x:c>
      <x:c r="F2229" s="38" t="n">
        <x:v>-0.2579425156</x:v>
      </x:c>
      <x:c r="G2229" s="38" t="n">
        <x:v>-0.6628831058</x:v>
      </x:c>
      <x:c r="H2229" s="42" t="b">
        <x:v>0</x:v>
      </x:c>
      <x:c r="I2229" s="42" t="b">
        <x:v>0</x:v>
      </x:c>
      <x:c r="J2229" s="38" t="n">
        <x:v>0.1466515496</x:v>
      </x:c>
    </x:row>
    <x:row r="2230" ht="19" customHeight="1">
      <x:c r="A2230" s="29" t="str">
        <x:v>stagger_1</x:v>
      </x:c>
      <x:c r="B2230" s="38" t="str">
        <x:v>BA</x:v>
      </x:c>
      <x:c r="C2230" s="38" t="str">
        <x:v>Other sectors</x:v>
      </x:c>
      <x:c r="D2230" s="30" t="n">
        <x:v>3</x:v>
      </x:c>
      <x:c r="E2230" s="38" t="str">
        <x:v>XLB</x:v>
      </x:c>
      <x:c r="F2230" s="38" t="n">
        <x:v>-0.2871429903</x:v>
      </x:c>
      <x:c r="G2230" s="38" t="n">
        <x:v>-1.0692398894</x:v>
      </x:c>
      <x:c r="H2230" s="42" t="b">
        <x:v>0</x:v>
      </x:c>
      <x:c r="I2230" s="42" t="b">
        <x:v>0</x:v>
      </x:c>
      <x:c r="J2230" s="38" t="n">
        <x:v>0.1446719017</x:v>
      </x:c>
    </x:row>
    <x:row r="2231" ht="19" customHeight="1">
      <x:c r="A2231" s="29" t="str">
        <x:v>stagger_1</x:v>
      </x:c>
      <x:c r="B2231" s="38" t="str">
        <x:v>BA</x:v>
      </x:c>
      <x:c r="C2231" s="38" t="str">
        <x:v>Other sectors</x:v>
      </x:c>
      <x:c r="D2231" s="30" t="n">
        <x:v>3</x:v>
      </x:c>
      <x:c r="E2231" s="38" t="str">
        <x:v>XLC</x:v>
      </x:c>
      <x:c r="F2231" s="38" t="n">
        <x:v>-0.4381353197</x:v>
      </x:c>
      <x:c r="G2231" s="38" t="n">
        <x:v>-1.1819965634</x:v>
      </x:c>
      <x:c r="H2231" s="42" t="b">
        <x:v>0</x:v>
      </x:c>
      <x:c r="I2231" s="42" t="b">
        <x:v>0</x:v>
      </x:c>
      <x:c r="J2231" s="38" t="n">
        <x:v>0.1446719017</x:v>
      </x:c>
    </x:row>
    <x:row r="2232" ht="19" customHeight="1">
      <x:c r="A2232" s="29" t="str">
        <x:v>stagger_1</x:v>
      </x:c>
      <x:c r="B2232" s="38" t="str">
        <x:v>BA</x:v>
      </x:c>
      <x:c r="C2232" s="38" t="str">
        <x:v>Other sectors</x:v>
      </x:c>
      <x:c r="D2232" s="30" t="n">
        <x:v>3</x:v>
      </x:c>
      <x:c r="E2232" s="38" t="str">
        <x:v>XLE</x:v>
      </x:c>
      <x:c r="F2232" s="38" t="n">
        <x:v>-0.2504052034</x:v>
      </x:c>
      <x:c r="G2232" s="38" t="n">
        <x:v>-1.750976912</x:v>
      </x:c>
      <x:c r="H2232" s="42" t="b">
        <x:v>0</x:v>
      </x:c>
      <x:c r="I2232" s="42" t="b">
        <x:v>0</x:v>
      </x:c>
      <x:c r="J2232" s="38" t="n">
        <x:v>0.1446719017</x:v>
      </x:c>
    </x:row>
    <x:row r="2233" ht="19" customHeight="1">
      <x:c r="A2233" s="29" t="str">
        <x:v>stagger_1</x:v>
      </x:c>
      <x:c r="B2233" s="38" t="str">
        <x:v>BA</x:v>
      </x:c>
      <x:c r="C2233" s="38" t="str">
        <x:v>Other sectors</x:v>
      </x:c>
      <x:c r="D2233" s="30" t="n">
        <x:v>3</x:v>
      </x:c>
      <x:c r="E2233" s="38" t="str">
        <x:v>XLF</x:v>
      </x:c>
      <x:c r="F2233" s="38" t="n">
        <x:v>0.3953939063</x:v>
      </x:c>
      <x:c r="G2233" s="38" t="n">
        <x:v>1.0489896287</x:v>
      </x:c>
      <x:c r="H2233" s="42" t="b">
        <x:v>0</x:v>
      </x:c>
      <x:c r="I2233" s="42" t="b">
        <x:v>0</x:v>
      </x:c>
      <x:c r="J2233" s="38" t="n">
        <x:v>0.1446719017</x:v>
      </x:c>
    </x:row>
    <x:row r="2234" ht="19" customHeight="1">
      <x:c r="A2234" s="29" t="str">
        <x:v>stagger_1</x:v>
      </x:c>
      <x:c r="B2234" s="38" t="str">
        <x:v>BA</x:v>
      </x:c>
      <x:c r="C2234" s="38" t="str">
        <x:v>Other sectors</x:v>
      </x:c>
      <x:c r="D2234" s="30" t="n">
        <x:v>3</x:v>
      </x:c>
      <x:c r="E2234" s="38" t="str">
        <x:v>XLK</x:v>
      </x:c>
      <x:c r="F2234" s="38" t="n">
        <x:v>-0.6610454411</x:v>
      </x:c>
      <x:c r="G2234" s="38" t="n">
        <x:v>-1.1322138542</x:v>
      </x:c>
      <x:c r="H2234" s="42" t="b">
        <x:v>0</x:v>
      </x:c>
      <x:c r="I2234" s="42" t="b">
        <x:v>0</x:v>
      </x:c>
      <x:c r="J2234" s="38" t="n">
        <x:v>0.1446719017</x:v>
      </x:c>
    </x:row>
    <x:row r="2235" ht="19" customHeight="1">
      <x:c r="A2235" s="29" t="str">
        <x:v>stagger_1</x:v>
      </x:c>
      <x:c r="B2235" s="38" t="str">
        <x:v>BA</x:v>
      </x:c>
      <x:c r="C2235" s="38" t="str">
        <x:v>Other sectors</x:v>
      </x:c>
      <x:c r="D2235" s="30" t="n">
        <x:v>3</x:v>
      </x:c>
      <x:c r="E2235" s="38" t="str">
        <x:v>XLU</x:v>
      </x:c>
      <x:c r="F2235" s="38" t="n">
        <x:v>-0.2801213723</x:v>
      </x:c>
      <x:c r="G2235" s="38" t="n">
        <x:v>-1.1382508302</x:v>
      </x:c>
      <x:c r="H2235" s="42" t="b">
        <x:v>0</x:v>
      </x:c>
      <x:c r="I2235" s="42" t="b">
        <x:v>0</x:v>
      </x:c>
      <x:c r="J2235" s="38" t="n">
        <x:v>0.1446719017</x:v>
      </x:c>
    </x:row>
    <x:row r="2236" ht="19" customHeight="1">
      <x:c r="A2236" s="29" t="str">
        <x:v>stagger_1</x:v>
      </x:c>
      <x:c r="B2236" s="38" t="str">
        <x:v>BA</x:v>
      </x:c>
      <x:c r="C2236" s="38" t="str">
        <x:v>Other sectors</x:v>
      </x:c>
      <x:c r="D2236" s="30" t="n">
        <x:v>3</x:v>
      </x:c>
      <x:c r="E2236" s="38" t="str">
        <x:v>XLV</x:v>
      </x:c>
      <x:c r="F2236" s="38" t="n">
        <x:v>-0.5928963712</x:v>
      </x:c>
      <x:c r="G2236" s="38" t="n">
        <x:v>-1.7274052944</x:v>
      </x:c>
      <x:c r="H2236" s="42" t="b">
        <x:v>0</x:v>
      </x:c>
      <x:c r="I2236" s="42" t="b">
        <x:v>0</x:v>
      </x:c>
      <x:c r="J2236" s="38" t="n">
        <x:v>0.1446719017</x:v>
      </x:c>
    </x:row>
    <x:row r="2237" ht="19" customHeight="1">
      <x:c r="A2237" s="29" t="str">
        <x:v>stagger_1</x:v>
      </x:c>
      <x:c r="B2237" s="38" t="str">
        <x:v>BA</x:v>
      </x:c>
      <x:c r="C2237" s="38" t="str">
        <x:v>Other sectors</x:v>
      </x:c>
      <x:c r="D2237" s="30" t="n">
        <x:v>3</x:v>
      </x:c>
      <x:c r="E2237" s="38" t="str">
        <x:v>XLY</x:v>
      </x:c>
      <x:c r="F2237" s="38" t="n">
        <x:v>-0.2188624386</x:v>
      </x:c>
      <x:c r="G2237" s="38" t="n">
        <x:v>-0.5842340647</x:v>
      </x:c>
      <x:c r="H2237" s="42" t="b">
        <x:v>1</x:v>
      </x:c>
      <x:c r="I2237" s="42" t="b">
        <x:v>0</x:v>
      </x:c>
      <x:c r="J2237" s="38" t="n">
        <x:v>0.1446719017</x:v>
      </x:c>
    </x:row>
    <x:row r="2238" ht="19" customHeight="1">
      <x:c r="A2238" s="29" t="str">
        <x:v>stagger_1</x:v>
      </x:c>
      <x:c r="B2238" s="38" t="str">
        <x:v>BA</x:v>
      </x:c>
      <x:c r="C2238" s="38" t="str">
        <x:v>Other sectors</x:v>
      </x:c>
      <x:c r="D2238" s="30" t="n">
        <x:v>4</x:v>
      </x:c>
      <x:c r="E2238" s="38" t="str">
        <x:v>XLB</x:v>
      </x:c>
      <x:c r="F2238" s="38" t="n">
        <x:v>-0.2777633831</x:v>
      </x:c>
      <x:c r="G2238" s="38" t="n">
        <x:v>-1.0409384269</x:v>
      </x:c>
      <x:c r="H2238" s="42" t="b">
        <x:v>0</x:v>
      </x:c>
      <x:c r="I2238" s="42" t="b">
        <x:v>0</x:v>
      </x:c>
      <x:c r="J2238" s="38" t="n">
        <x:v>0.1405599487</x:v>
      </x:c>
    </x:row>
    <x:row r="2239" ht="19" customHeight="1">
      <x:c r="A2239" s="29" t="str">
        <x:v>stagger_1</x:v>
      </x:c>
      <x:c r="B2239" s="38" t="str">
        <x:v>BA</x:v>
      </x:c>
      <x:c r="C2239" s="38" t="str">
        <x:v>Other sectors</x:v>
      </x:c>
      <x:c r="D2239" s="30" t="n">
        <x:v>4</x:v>
      </x:c>
      <x:c r="E2239" s="38" t="str">
        <x:v>XLC</x:v>
      </x:c>
      <x:c r="F2239" s="38" t="n">
        <x:v>-0.4416062336</x:v>
      </x:c>
      <x:c r="G2239" s="38" t="n">
        <x:v>-1.1970011879</x:v>
      </x:c>
      <x:c r="H2239" s="42" t="b">
        <x:v>0</x:v>
      </x:c>
      <x:c r="I2239" s="42" t="b">
        <x:v>0</x:v>
      </x:c>
      <x:c r="J2239" s="38" t="n">
        <x:v>0.1405599487</x:v>
      </x:c>
    </x:row>
    <x:row r="2240" ht="19" customHeight="1">
      <x:c r="A2240" s="29" t="str">
        <x:v>stagger_1</x:v>
      </x:c>
      <x:c r="B2240" s="38" t="str">
        <x:v>BA</x:v>
      </x:c>
      <x:c r="C2240" s="38" t="str">
        <x:v>Other sectors</x:v>
      </x:c>
      <x:c r="D2240" s="30" t="n">
        <x:v>4</x:v>
      </x:c>
      <x:c r="E2240" s="38" t="str">
        <x:v>XLE</x:v>
      </x:c>
      <x:c r="F2240" s="38" t="n">
        <x:v>-0.2158110317</x:v>
      </x:c>
      <x:c r="G2240" s="38" t="n">
        <x:v>-1.6654966707</x:v>
      </x:c>
      <x:c r="H2240" s="42" t="b">
        <x:v>0</x:v>
      </x:c>
      <x:c r="I2240" s="42" t="b">
        <x:v>0</x:v>
      </x:c>
      <x:c r="J2240" s="38" t="n">
        <x:v>0.1405599487</x:v>
      </x:c>
    </x:row>
    <x:row r="2241" ht="19" customHeight="1">
      <x:c r="A2241" s="29" t="str">
        <x:v>stagger_1</x:v>
      </x:c>
      <x:c r="B2241" s="38" t="str">
        <x:v>BA</x:v>
      </x:c>
      <x:c r="C2241" s="38" t="str">
        <x:v>Other sectors</x:v>
      </x:c>
      <x:c r="D2241" s="30" t="n">
        <x:v>4</x:v>
      </x:c>
      <x:c r="E2241" s="38" t="str">
        <x:v>XLF</x:v>
      </x:c>
      <x:c r="F2241" s="38" t="n">
        <x:v>0.4509359409</x:v>
      </x:c>
      <x:c r="G2241" s="38" t="n">
        <x:v>1.2420075958</x:v>
      </x:c>
      <x:c r="H2241" s="42" t="b">
        <x:v>0</x:v>
      </x:c>
      <x:c r="I2241" s="42" t="b">
        <x:v>0</x:v>
      </x:c>
      <x:c r="J2241" s="38" t="n">
        <x:v>0.1405599487</x:v>
      </x:c>
    </x:row>
    <x:row r="2242" ht="19" customHeight="1">
      <x:c r="A2242" s="29" t="str">
        <x:v>stagger_1</x:v>
      </x:c>
      <x:c r="B2242" s="38" t="str">
        <x:v>BA</x:v>
      </x:c>
      <x:c r="C2242" s="38" t="str">
        <x:v>Other sectors</x:v>
      </x:c>
      <x:c r="D2242" s="30" t="n">
        <x:v>4</x:v>
      </x:c>
      <x:c r="E2242" s="38" t="str">
        <x:v>XLK</x:v>
      </x:c>
      <x:c r="F2242" s="38" t="n">
        <x:v>-0.4912886182</x:v>
      </x:c>
      <x:c r="G2242" s="38" t="n">
        <x:v>-0.9745981425</x:v>
      </x:c>
      <x:c r="H2242" s="42" t="b">
        <x:v>1</x:v>
      </x:c>
      <x:c r="I2242" s="42" t="b">
        <x:v>0</x:v>
      </x:c>
      <x:c r="J2242" s="38" t="n">
        <x:v>0.1405599487</x:v>
      </x:c>
    </x:row>
    <x:row r="2243" ht="19" customHeight="1">
      <x:c r="A2243" s="29" t="str">
        <x:v>stagger_1</x:v>
      </x:c>
      <x:c r="B2243" s="38" t="str">
        <x:v>BA</x:v>
      </x:c>
      <x:c r="C2243" s="38" t="str">
        <x:v>Other sectors</x:v>
      </x:c>
      <x:c r="D2243" s="30" t="n">
        <x:v>4</x:v>
      </x:c>
      <x:c r="E2243" s="38" t="str">
        <x:v>XLU</x:v>
      </x:c>
      <x:c r="F2243" s="38" t="n">
        <x:v>-0.2586024671</x:v>
      </x:c>
      <x:c r="G2243" s="38" t="n">
        <x:v>-1.067675975</x:v>
      </x:c>
      <x:c r="H2243" s="42" t="b">
        <x:v>0</x:v>
      </x:c>
      <x:c r="I2243" s="42" t="b">
        <x:v>0</x:v>
      </x:c>
      <x:c r="J2243" s="38" t="n">
        <x:v>0.1405599487</x:v>
      </x:c>
    </x:row>
    <x:row r="2244" ht="19" customHeight="1">
      <x:c r="A2244" s="29" t="str">
        <x:v>stagger_1</x:v>
      </x:c>
      <x:c r="B2244" s="38" t="str">
        <x:v>BA</x:v>
      </x:c>
      <x:c r="C2244" s="38" t="str">
        <x:v>Other sectors</x:v>
      </x:c>
      <x:c r="D2244" s="30" t="n">
        <x:v>4</x:v>
      </x:c>
      <x:c r="E2244" s="38" t="str">
        <x:v>XLV</x:v>
      </x:c>
      <x:c r="F2244" s="38" t="n">
        <x:v>-0.491419664</x:v>
      </x:c>
      <x:c r="G2244" s="38" t="n">
        <x:v>-1.667642542</x:v>
      </x:c>
      <x:c r="H2244" s="42" t="b">
        <x:v>0</x:v>
      </x:c>
      <x:c r="I2244" s="42" t="b">
        <x:v>0</x:v>
      </x:c>
      <x:c r="J2244" s="38" t="n">
        <x:v>0.1405599487</x:v>
      </x:c>
    </x:row>
    <x:row r="2245" ht="19" customHeight="1">
      <x:c r="A2245" s="29" t="str">
        <x:v>stagger_1</x:v>
      </x:c>
      <x:c r="B2245" s="38" t="str">
        <x:v>BA</x:v>
      </x:c>
      <x:c r="C2245" s="38" t="str">
        <x:v>Other sectors</x:v>
      </x:c>
      <x:c r="D2245" s="30" t="n">
        <x:v>5</x:v>
      </x:c>
      <x:c r="E2245" s="38" t="str">
        <x:v>XLB</x:v>
      </x:c>
      <x:c r="F2245" s="38" t="n">
        <x:v>-0.2187916509</x:v>
      </x:c>
      <x:c r="G2245" s="38" t="n">
        <x:v>-0.8421572476</x:v>
      </x:c>
      <x:c r="H2245" s="42" t="b">
        <x:v>0</x:v>
      </x:c>
      <x:c r="I2245" s="42" t="b">
        <x:v>0</x:v>
      </x:c>
      <x:c r="J2245" s="38" t="n">
        <x:v>0.1292220062</x:v>
      </x:c>
    </x:row>
    <x:row r="2246" ht="19" customHeight="1">
      <x:c r="A2246" s="29" t="str">
        <x:v>stagger_1</x:v>
      </x:c>
      <x:c r="B2246" s="38" t="str">
        <x:v>BA</x:v>
      </x:c>
      <x:c r="C2246" s="38" t="str">
        <x:v>Other sectors</x:v>
      </x:c>
      <x:c r="D2246" s="30" t="n">
        <x:v>5</x:v>
      </x:c>
      <x:c r="E2246" s="38" t="str">
        <x:v>XLC</x:v>
      </x:c>
      <x:c r="F2246" s="38" t="n">
        <x:v>-0.2285035836</x:v>
      </x:c>
      <x:c r="G2246" s="38" t="n">
        <x:v>-0.7692558648</x:v>
      </x:c>
      <x:c r="H2246" s="42" t="b">
        <x:v>0</x:v>
      </x:c>
      <x:c r="I2246" s="42" t="b">
        <x:v>0</x:v>
      </x:c>
      <x:c r="J2246" s="38" t="n">
        <x:v>0.1292220062</x:v>
      </x:c>
    </x:row>
    <x:row r="2247" ht="19" customHeight="1">
      <x:c r="A2247" s="29" t="str">
        <x:v>stagger_1</x:v>
      </x:c>
      <x:c r="B2247" s="38" t="str">
        <x:v>BA</x:v>
      </x:c>
      <x:c r="C2247" s="38" t="str">
        <x:v>Other sectors</x:v>
      </x:c>
      <x:c r="D2247" s="30" t="n">
        <x:v>5</x:v>
      </x:c>
      <x:c r="E2247" s="38" t="str">
        <x:v>XLE</x:v>
      </x:c>
      <x:c r="F2247" s="38" t="n">
        <x:v>-0.1827089823</x:v>
      </x:c>
      <x:c r="G2247" s="38" t="n">
        <x:v>-1.461625235</x:v>
      </x:c>
      <x:c r="H2247" s="42" t="b">
        <x:v>0</x:v>
      </x:c>
      <x:c r="I2247" s="42" t="b">
        <x:v>0</x:v>
      </x:c>
      <x:c r="J2247" s="38" t="n">
        <x:v>0.1292220062</x:v>
      </x:c>
    </x:row>
    <x:row r="2248" ht="19" customHeight="1">
      <x:c r="A2248" s="29" t="str">
        <x:v>stagger_1</x:v>
      </x:c>
      <x:c r="B2248" s="38" t="str">
        <x:v>BA</x:v>
      </x:c>
      <x:c r="C2248" s="38" t="str">
        <x:v>Other sectors</x:v>
      </x:c>
      <x:c r="D2248" s="30" t="n">
        <x:v>5</x:v>
      </x:c>
      <x:c r="E2248" s="38" t="str">
        <x:v>XLF</x:v>
      </x:c>
      <x:c r="F2248" s="38" t="n">
        <x:v>0.64607804</x:v>
      </x:c>
      <x:c r="G2248" s="38" t="n">
        <x:v>2.1339381788</x:v>
      </x:c>
      <x:c r="H2248" s="42" t="b">
        <x:v>0</x:v>
      </x:c>
      <x:c r="I2248" s="42" t="b">
        <x:v>0</x:v>
      </x:c>
      <x:c r="J2248" s="38" t="n">
        <x:v>0.1292220062</x:v>
      </x:c>
    </x:row>
    <x:row r="2249" ht="19" customHeight="1">
      <x:c r="A2249" s="29" t="str">
        <x:v>stagger_1</x:v>
      </x:c>
      <x:c r="B2249" s="38" t="str">
        <x:v>BA</x:v>
      </x:c>
      <x:c r="C2249" s="38" t="str">
        <x:v>Other sectors</x:v>
      </x:c>
      <x:c r="D2249" s="30" t="n">
        <x:v>5</x:v>
      </x:c>
      <x:c r="E2249" s="38" t="str">
        <x:v>XLU</x:v>
      </x:c>
      <x:c r="F2249" s="38" t="n">
        <x:v>-0.1704437033</x:v>
      </x:c>
      <x:c r="G2249" s="38" t="n">
        <x:v>-0.7588484269</x:v>
      </x:c>
      <x:c r="H2249" s="42" t="b">
        <x:v>1</x:v>
      </x:c>
      <x:c r="I2249" s="42" t="b">
        <x:v>0</x:v>
      </x:c>
      <x:c r="J2249" s="38" t="n">
        <x:v>0.1292220062</x:v>
      </x:c>
    </x:row>
    <x:row r="2250" ht="19" customHeight="1">
      <x:c r="A2250" s="29" t="str">
        <x:v>stagger_1</x:v>
      </x:c>
      <x:c r="B2250" s="38" t="str">
        <x:v>BA</x:v>
      </x:c>
      <x:c r="C2250" s="38" t="str">
        <x:v>Other sectors</x:v>
      </x:c>
      <x:c r="D2250" s="30" t="n">
        <x:v>5</x:v>
      </x:c>
      <x:c r="E2250" s="38" t="str">
        <x:v>XLV</x:v>
      </x:c>
      <x:c r="F2250" s="38" t="n">
        <x:v>-0.3481188514</x:v>
      </x:c>
      <x:c r="G2250" s="38" t="n">
        <x:v>-1.3636364063</x:v>
      </x:c>
      <x:c r="H2250" s="42" t="b">
        <x:v>0</x:v>
      </x:c>
      <x:c r="I2250" s="42" t="b">
        <x:v>0</x:v>
      </x:c>
      <x:c r="J2250" s="38" t="n">
        <x:v>0.1292220062</x:v>
      </x:c>
    </x:row>
    <x:row r="2251" ht="19" customHeight="1">
      <x:c r="A2251" s="29" t="str">
        <x:v>stagger_1</x:v>
      </x:c>
      <x:c r="B2251" s="38" t="str">
        <x:v>BA</x:v>
      </x:c>
      <x:c r="C2251" s="38" t="str">
        <x:v>Other sectors</x:v>
      </x:c>
      <x:c r="D2251" s="30" t="n">
        <x:v>6</x:v>
      </x:c>
      <x:c r="E2251" s="38" t="str">
        <x:v>XLB</x:v>
      </x:c>
      <x:c r="F2251" s="38" t="n">
        <x:v>-0.2879154212</x:v>
      </x:c>
      <x:c r="G2251" s="38" t="n">
        <x:v>-1.1867501136</x:v>
      </x:c>
      <x:c r="H2251" s="42" t="b">
        <x:v>0</x:v>
      </x:c>
      <x:c r="I2251" s="42" t="b">
        <x:v>0</x:v>
      </x:c>
      <x:c r="J2251" s="38" t="n">
        <x:v>0.1223529881</x:v>
      </x:c>
    </x:row>
    <x:row r="2252" ht="19" customHeight="1">
      <x:c r="A2252" s="29" t="str">
        <x:v>stagger_1</x:v>
      </x:c>
      <x:c r="B2252" s="38" t="str">
        <x:v>BA</x:v>
      </x:c>
      <x:c r="C2252" s="38" t="str">
        <x:v>Other sectors</x:v>
      </x:c>
      <x:c r="D2252" s="30" t="n">
        <x:v>6</x:v>
      </x:c>
      <x:c r="E2252" s="38" t="str">
        <x:v>XLC</x:v>
      </x:c>
      <x:c r="F2252" s="38" t="n">
        <x:v>-0.2063353034</x:v>
      </x:c>
      <x:c r="G2252" s="38" t="n">
        <x:v>-0.7000192652</x:v>
      </x:c>
      <x:c r="H2252" s="42" t="b">
        <x:v>1</x:v>
      </x:c>
      <x:c r="I2252" s="42" t="b">
        <x:v>0</x:v>
      </x:c>
      <x:c r="J2252" s="38" t="n">
        <x:v>0.1223529881</x:v>
      </x:c>
    </x:row>
    <x:row r="2253" ht="19" customHeight="1">
      <x:c r="A2253" s="29" t="str">
        <x:v>stagger_1</x:v>
      </x:c>
      <x:c r="B2253" s="38" t="str">
        <x:v>BA</x:v>
      </x:c>
      <x:c r="C2253" s="38" t="str">
        <x:v>Other sectors</x:v>
      </x:c>
      <x:c r="D2253" s="30" t="n">
        <x:v>6</x:v>
      </x:c>
      <x:c r="E2253" s="38" t="str">
        <x:v>XLE</x:v>
      </x:c>
      <x:c r="F2253" s="38" t="n">
        <x:v>-0.1778735154</x:v>
      </x:c>
      <x:c r="G2253" s="38" t="n">
        <x:v>-1.4288960046</x:v>
      </x:c>
      <x:c r="H2253" s="42" t="b">
        <x:v>0</x:v>
      </x:c>
      <x:c r="I2253" s="42" t="b">
        <x:v>0</x:v>
      </x:c>
      <x:c r="J2253" s="38" t="n">
        <x:v>0.1223529881</x:v>
      </x:c>
    </x:row>
    <x:row r="2254" ht="19" customHeight="1">
      <x:c r="A2254" s="29" t="str">
        <x:v>stagger_1</x:v>
      </x:c>
      <x:c r="B2254" s="38" t="str">
        <x:v>BA</x:v>
      </x:c>
      <x:c r="C2254" s="38" t="str">
        <x:v>Other sectors</x:v>
      </x:c>
      <x:c r="D2254" s="30" t="n">
        <x:v>6</x:v>
      </x:c>
      <x:c r="E2254" s="38" t="str">
        <x:v>XLF</x:v>
      </x:c>
      <x:c r="F2254" s="38" t="n">
        <x:v>0.6624190116</x:v>
      </x:c>
      <x:c r="G2254" s="38" t="n">
        <x:v>2.1997793809</x:v>
      </x:c>
      <x:c r="H2254" s="42" t="b">
        <x:v>0</x:v>
      </x:c>
      <x:c r="I2254" s="42" t="b">
        <x:v>0</x:v>
      </x:c>
      <x:c r="J2254" s="38" t="n">
        <x:v>0.1223529881</x:v>
      </x:c>
    </x:row>
    <x:row r="2255" ht="19" customHeight="1">
      <x:c r="A2255" s="29" t="str">
        <x:v>stagger_1</x:v>
      </x:c>
      <x:c r="B2255" s="38" t="str">
        <x:v>BA</x:v>
      </x:c>
      <x:c r="C2255" s="38" t="str">
        <x:v>Other sectors</x:v>
      </x:c>
      <x:c r="D2255" s="30" t="n">
        <x:v>6</x:v>
      </x:c>
      <x:c r="E2255" s="38" t="str">
        <x:v>XLV</x:v>
      </x:c>
      <x:c r="F2255" s="38" t="n">
        <x:v>-0.3877198146</x:v>
      </x:c>
      <x:c r="G2255" s="38" t="n">
        <x:v>-1.5559881183</x:v>
      </x:c>
      <x:c r="H2255" s="42" t="b">
        <x:v>0</x:v>
      </x:c>
      <x:c r="I2255" s="42" t="b">
        <x:v>0</x:v>
      </x:c>
      <x:c r="J2255" s="38" t="n">
        <x:v>0.1223529881</x:v>
      </x:c>
    </x:row>
    <x:row r="2256" ht="19" customHeight="1">
      <x:c r="A2256" s="29" t="str">
        <x:v>stagger_1</x:v>
      </x:c>
      <x:c r="B2256" s="38" t="str">
        <x:v>BA</x:v>
      </x:c>
      <x:c r="C2256" s="38" t="str">
        <x:v>Other sectors</x:v>
      </x:c>
      <x:c r="D2256" s="30" t="n">
        <x:v>7</x:v>
      </x:c>
      <x:c r="E2256" s="38" t="str">
        <x:v>XLB</x:v>
      </x:c>
      <x:c r="F2256" s="38" t="n">
        <x:v>-0.2708764969</x:v>
      </x:c>
      <x:c r="G2256" s="38" t="n">
        <x:v>-1.126014817</x:v>
      </x:c>
      <x:c r="H2256" s="42" t="b">
        <x:v>1</x:v>
      </x:c>
      <x:c r="I2256" s="42" t="b">
        <x:v>0</x:v>
      </x:c>
      <x:c r="J2256" s="38" t="n">
        <x:v>0.1165412218</x:v>
      </x:c>
    </x:row>
    <x:row r="2257" ht="19" customHeight="1">
      <x:c r="A2257" s="29" t="str">
        <x:v>stagger_1</x:v>
      </x:c>
      <x:c r="B2257" s="38" t="str">
        <x:v>BA</x:v>
      </x:c>
      <x:c r="C2257" s="38" t="str">
        <x:v>Other sectors</x:v>
      </x:c>
      <x:c r="D2257" s="30" t="n">
        <x:v>7</x:v>
      </x:c>
      <x:c r="E2257" s="38" t="str">
        <x:v>XLE</x:v>
      </x:c>
      <x:c r="F2257" s="38" t="n">
        <x:v>-0.184743394</x:v>
      </x:c>
      <x:c r="G2257" s="38" t="n">
        <x:v>-1.4938041022</x:v>
      </x:c>
      <x:c r="H2257" s="42" t="b">
        <x:v>0</x:v>
      </x:c>
      <x:c r="I2257" s="42" t="b">
        <x:v>0</x:v>
      </x:c>
      <x:c r="J2257" s="38" t="n">
        <x:v>0.1165412218</x:v>
      </x:c>
    </x:row>
    <x:row r="2258" ht="19" customHeight="1">
      <x:c r="A2258" s="29" t="str">
        <x:v>stagger_1</x:v>
      </x:c>
      <x:c r="B2258" s="38" t="str">
        <x:v>BA</x:v>
      </x:c>
      <x:c r="C2258" s="38" t="str">
        <x:v>Other sectors</x:v>
      </x:c>
      <x:c r="D2258" s="30" t="n">
        <x:v>7</x:v>
      </x:c>
      <x:c r="E2258" s="38" t="str">
        <x:v>XLF</x:v>
      </x:c>
      <x:c r="F2258" s="38" t="n">
        <x:v>0.6490865015</x:v>
      </x:c>
      <x:c r="G2258" s="38" t="n">
        <x:v>2.167209453</x:v>
      </x:c>
      <x:c r="H2258" s="42" t="b">
        <x:v>0</x:v>
      </x:c>
      <x:c r="I2258" s="42" t="b">
        <x:v>0</x:v>
      </x:c>
      <x:c r="J2258" s="38" t="n">
        <x:v>0.1165412218</x:v>
      </x:c>
    </x:row>
    <x:row r="2259" ht="19" customHeight="1">
      <x:c r="A2259" s="29" t="str">
        <x:v>stagger_1</x:v>
      </x:c>
      <x:c r="B2259" s="38" t="str">
        <x:v>BA</x:v>
      </x:c>
      <x:c r="C2259" s="38" t="str">
        <x:v>Other sectors</x:v>
      </x:c>
      <x:c r="D2259" s="30" t="n">
        <x:v>7</x:v>
      </x:c>
      <x:c r="E2259" s="38" t="str">
        <x:v>XLV</x:v>
      </x:c>
      <x:c r="F2259" s="38" t="n">
        <x:v>-0.3877497713</x:v>
      </x:c>
      <x:c r="G2259" s="38" t="n">
        <x:v>-1.5614259851</x:v>
      </x:c>
      <x:c r="H2259" s="42" t="b">
        <x:v>0</x:v>
      </x:c>
      <x:c r="I2259" s="42" t="b">
        <x:v>0</x:v>
      </x:c>
      <x:c r="J2259" s="38" t="n">
        <x:v>0.1165412218</x:v>
      </x:c>
    </x:row>
    <x:row r="2260" ht="19" customHeight="1">
      <x:c r="A2260" s="29" t="str">
        <x:v>stagger_1</x:v>
      </x:c>
      <x:c r="B2260" s="38" t="str">
        <x:v>BA</x:v>
      </x:c>
      <x:c r="C2260" s="38" t="str">
        <x:v>Other sectors</x:v>
      </x:c>
      <x:c r="D2260" s="30" t="n">
        <x:v>8</x:v>
      </x:c>
      <x:c r="E2260" s="38" t="str">
        <x:v>XLE</x:v>
      </x:c>
      <x:c r="F2260" s="38" t="n">
        <x:v>-0.2164095342</x:v>
      </x:c>
      <x:c r="G2260" s="38" t="n">
        <x:v>-1.7937659761</x:v>
      </x:c>
      <x:c r="H2260" s="42" t="b">
        <x:v>1</x:v>
      </x:c>
      <x:c r="I2260" s="42" t="b">
        <x:v>0</x:v>
      </x:c>
      <x:c r="J2260" s="38" t="n">
        <x:v>0.1016059463</x:v>
      </x:c>
    </x:row>
    <x:row r="2261" ht="19" customHeight="1">
      <x:c r="A2261" s="29" t="str">
        <x:v>stagger_1</x:v>
      </x:c>
      <x:c r="B2261" s="38" t="str">
        <x:v>BA</x:v>
      </x:c>
      <x:c r="C2261" s="38" t="str">
        <x:v>Other sectors</x:v>
      </x:c>
      <x:c r="D2261" s="30" t="n">
        <x:v>8</x:v>
      </x:c>
      <x:c r="E2261" s="38" t="str">
        <x:v>XLF</x:v>
      </x:c>
      <x:c r="F2261" s="38" t="n">
        <x:v>0.5582623622</x:v>
      </x:c>
      <x:c r="G2261" s="38" t="n">
        <x:v>1.9320676815</x:v>
      </x:c>
      <x:c r="H2261" s="42" t="b">
        <x:v>0</x:v>
      </x:c>
      <x:c r="I2261" s="42" t="b">
        <x:v>0</x:v>
      </x:c>
      <x:c r="J2261" s="38" t="n">
        <x:v>0.1016059463</x:v>
      </x:c>
    </x:row>
    <x:row r="2262" ht="19" customHeight="1">
      <x:c r="A2262" s="29" t="str">
        <x:v>stagger_1</x:v>
      </x:c>
      <x:c r="B2262" s="38" t="str">
        <x:v>BA</x:v>
      </x:c>
      <x:c r="C2262" s="38" t="str">
        <x:v>Other sectors</x:v>
      </x:c>
      <x:c r="D2262" s="30" t="n">
        <x:v>8</x:v>
      </x:c>
      <x:c r="E2262" s="38" t="str">
        <x:v>XLV</x:v>
      </x:c>
      <x:c r="F2262" s="38" t="n">
        <x:v>-0.4423632487</x:v>
      </x:c>
      <x:c r="G2262" s="38" t="n">
        <x:v>-1.8131353751</x:v>
      </x:c>
      <x:c r="H2262" s="42" t="b">
        <x:v>0</x:v>
      </x:c>
      <x:c r="I2262" s="42" t="b">
        <x:v>0</x:v>
      </x:c>
      <x:c r="J2262" s="38" t="n">
        <x:v>0.1016059463</x:v>
      </x:c>
    </x:row>
    <x:row r="2263" ht="19" customHeight="1">
      <x:c r="A2263" s="29" t="str">
        <x:v>stagger_1</x:v>
      </x:c>
      <x:c r="B2263" s="38" t="str">
        <x:v>BA</x:v>
      </x:c>
      <x:c r="C2263" s="38" t="str">
        <x:v>Other sectors</x:v>
      </x:c>
      <x:c r="D2263" s="30" t="n">
        <x:v>9</x:v>
      </x:c>
      <x:c r="E2263" s="38" t="str">
        <x:v>XLF</x:v>
      </x:c>
      <x:c r="F2263" s="38" t="n">
        <x:v>0.4326823202</x:v>
      </x:c>
      <x:c r="G2263" s="38" t="n">
        <x:v>1.5216853981</x:v>
      </x:c>
      <x:c r="H2263" s="42" t="b">
        <x:v>1</x:v>
      </x:c>
      <x:c r="I2263" s="42" t="b">
        <x:v>0</x:v>
      </x:c>
      <x:c r="J2263" s="38" t="n">
        <x:v>0.0635708219</x:v>
      </x:c>
    </x:row>
    <x:row r="2264" ht="19" customHeight="1">
      <x:c r="A2264" s="29" t="str">
        <x:v>stagger_1</x:v>
      </x:c>
      <x:c r="B2264" s="38" t="str">
        <x:v>BA</x:v>
      </x:c>
      <x:c r="C2264" s="38" t="str">
        <x:v>Other sectors</x:v>
      </x:c>
      <x:c r="D2264" s="30" t="n">
        <x:v>9</x:v>
      </x:c>
      <x:c r="E2264" s="38" t="str">
        <x:v>XLV</x:v>
      </x:c>
      <x:c r="F2264" s="38" t="n">
        <x:v>-0.4926417462</x:v>
      </x:c>
      <x:c r="G2264" s="38" t="n">
        <x:v>-2.0040202584</x:v>
      </x:c>
      <x:c r="H2264" s="42" t="b">
        <x:v>0</x:v>
      </x:c>
      <x:c r="I2264" s="42" t="b">
        <x:v>0</x:v>
      </x:c>
      <x:c r="J2264" s="38" t="n">
        <x:v>0.0635708219</x:v>
      </x:c>
    </x:row>
    <x:row r="2265" ht="19" customHeight="1">
      <x:c r="A2265" s="29" t="str">
        <x:v>stagger_1</x:v>
      </x:c>
      <x:c r="B2265" s="38" t="str">
        <x:v>BA</x:v>
      </x:c>
      <x:c r="C2265" s="38" t="str">
        <x:v>Other sectors</x:v>
      </x:c>
      <x:c r="D2265" s="30" t="n">
        <x:v>10</x:v>
      </x:c>
      <x:c r="E2265" s="38" t="str">
        <x:v>XLV</x:v>
      </x:c>
      <x:c r="F2265" s="38" t="n">
        <x:v>-0.4088019135</x:v>
      </x:c>
      <x:c r="G2265" s="38" t="n">
        <x:v>-1.6921683706</x:v>
      </x:c>
      <x:c r="H2265" s="42" t="b">
        <x:v>1</x:v>
      </x:c>
      <x:c r="I2265" s="42" t="b">
        <x:v>0</x:v>
      </x:c>
      <x:c r="J2265" s="38" t="n">
        <x:v>0.0354107371</x:v>
      </x:c>
    </x:row>
    <x:row r="2266" ht="19" customHeight="1">
      <x:c r="A2266" s="29" t="str">
        <x:v>stagger_1</x:v>
      </x:c>
      <x:c r="B2266" s="38" t="str">
        <x:v>HII</x:v>
      </x:c>
      <x:c r="C2266" s="38" t="str">
        <x:v>Other FX</x:v>
      </x:c>
      <x:c r="D2266" s="30" t="n">
        <x:v>1</x:v>
      </x:c>
      <x:c r="E2266" s="38" t="str">
        <x:v>AUD/USD</x:v>
      </x:c>
      <x:c r="F2266" s="38" t="n">
        <x:v>0.5955422723</x:v>
      </x:c>
      <x:c r="G2266" s="38" t="n">
        <x:v>0.8397863696</x:v>
      </x:c>
      <x:c r="H2266" s="42" t="b">
        <x:v>0</x:v>
      </x:c>
      <x:c r="I2266" s="42" t="b">
        <x:v>0</x:v>
      </x:c>
      <x:c r="J2266" s="38" t="n">
        <x:v>0.2353456898</x:v>
      </x:c>
    </x:row>
    <x:row r="2267" ht="19" customHeight="1">
      <x:c r="A2267" s="29" t="str">
        <x:v>stagger_1</x:v>
      </x:c>
      <x:c r="B2267" s="38" t="str">
        <x:v>HII</x:v>
      </x:c>
      <x:c r="C2267" s="38" t="str">
        <x:v>Other FX</x:v>
      </x:c>
      <x:c r="D2267" s="30" t="n">
        <x:v>1</x:v>
      </x:c>
      <x:c r="E2267" s="38" t="str">
        <x:v>CAD/USD</x:v>
      </x:c>
      <x:c r="F2267" s="38" t="n">
        <x:v>0.9771929125</x:v>
      </x:c>
      <x:c r="G2267" s="38" t="n">
        <x:v>1.1411245471</x:v>
      </x:c>
      <x:c r="H2267" s="42" t="b">
        <x:v>0</x:v>
      </x:c>
      <x:c r="I2267" s="42" t="b">
        <x:v>0</x:v>
      </x:c>
      <x:c r="J2267" s="38" t="n">
        <x:v>0.2353456898</x:v>
      </x:c>
    </x:row>
    <x:row r="2268" ht="19" customHeight="1">
      <x:c r="A2268" s="29" t="str">
        <x:v>stagger_1</x:v>
      </x:c>
      <x:c r="B2268" s="38" t="str">
        <x:v>HII</x:v>
      </x:c>
      <x:c r="C2268" s="38" t="str">
        <x:v>Other FX</x:v>
      </x:c>
      <x:c r="D2268" s="30" t="n">
        <x:v>1</x:v>
      </x:c>
      <x:c r="E2268" s="38" t="str">
        <x:v>DKK/USD</x:v>
      </x:c>
      <x:c r="F2268" s="38" t="n">
        <x:v>-3.6932314348</x:v>
      </x:c>
      <x:c r="G2268" s="38" t="n">
        <x:v>-0.6194957456</x:v>
      </x:c>
      <x:c r="H2268" s="42" t="b">
        <x:v>1</x:v>
      </x:c>
      <x:c r="I2268" s="42" t="b">
        <x:v>0</x:v>
      </x:c>
      <x:c r="J2268" s="38" t="n">
        <x:v>0.2353456898</x:v>
      </x:c>
    </x:row>
    <x:row r="2269" ht="19" customHeight="1">
      <x:c r="A2269" s="29" t="str">
        <x:v>stagger_1</x:v>
      </x:c>
      <x:c r="B2269" s="38" t="str">
        <x:v>HII</x:v>
      </x:c>
      <x:c r="C2269" s="38" t="str">
        <x:v>Other FX</x:v>
      </x:c>
      <x:c r="D2269" s="30" t="n">
        <x:v>1</x:v>
      </x:c>
      <x:c r="E2269" s="38" t="str">
        <x:v>EUR/USD</x:v>
      </x:c>
      <x:c r="F2269" s="38" t="n">
        <x:v>3.5407395547</x:v>
      </x:c>
      <x:c r="G2269" s="38" t="n">
        <x:v>0.6492938019</x:v>
      </x:c>
      <x:c r="H2269" s="42" t="b">
        <x:v>0</x:v>
      </x:c>
      <x:c r="I2269" s="42" t="b">
        <x:v>0</x:v>
      </x:c>
      <x:c r="J2269" s="38" t="n">
        <x:v>0.2353456898</x:v>
      </x:c>
    </x:row>
    <x:row r="2270" ht="19" customHeight="1">
      <x:c r="A2270" s="29" t="str">
        <x:v>stagger_1</x:v>
      </x:c>
      <x:c r="B2270" s="38" t="str">
        <x:v>HII</x:v>
      </x:c>
      <x:c r="C2270" s="38" t="str">
        <x:v>Other FX</x:v>
      </x:c>
      <x:c r="D2270" s="30" t="n">
        <x:v>1</x:v>
      </x:c>
      <x:c r="E2270" s="38" t="str">
        <x:v>MXN/USD</x:v>
      </x:c>
      <x:c r="F2270" s="38" t="n">
        <x:v>0.7625321782</x:v>
      </x:c>
      <x:c r="G2270" s="38" t="n">
        <x:v>1.6783997732</x:v>
      </x:c>
      <x:c r="H2270" s="42" t="b">
        <x:v>0</x:v>
      </x:c>
      <x:c r="I2270" s="42" t="b">
        <x:v>0</x:v>
      </x:c>
      <x:c r="J2270" s="38" t="n">
        <x:v>0.2353456898</x:v>
      </x:c>
    </x:row>
    <x:row r="2271" ht="19" customHeight="1">
      <x:c r="A2271" s="29" t="str">
        <x:v>stagger_1</x:v>
      </x:c>
      <x:c r="B2271" s="38" t="str">
        <x:v>HII</x:v>
      </x:c>
      <x:c r="C2271" s="38" t="str">
        <x:v>Other FX</x:v>
      </x:c>
      <x:c r="D2271" s="30" t="n">
        <x:v>1</x:v>
      </x:c>
      <x:c r="E2271" s="38" t="str">
        <x:v>SGD/USD</x:v>
      </x:c>
      <x:c r="F2271" s="38" t="n">
        <x:v>1.1284618744</x:v>
      </x:c>
      <x:c r="G2271" s="38" t="n">
        <x:v>0.6572242825</x:v>
      </x:c>
      <x:c r="H2271" s="42" t="b">
        <x:v>0</x:v>
      </x:c>
      <x:c r="I2271" s="42" t="b">
        <x:v>0</x:v>
      </x:c>
      <x:c r="J2271" s="38" t="n">
        <x:v>0.2353456898</x:v>
      </x:c>
    </x:row>
    <x:row r="2272" ht="19" customHeight="1">
      <x:c r="A2272" s="29" t="str">
        <x:v>stagger_1</x:v>
      </x:c>
      <x:c r="B2272" s="38" t="str">
        <x:v>HII</x:v>
      </x:c>
      <x:c r="C2272" s="38" t="str">
        <x:v>Other FX</x:v>
      </x:c>
      <x:c r="D2272" s="30" t="n">
        <x:v>2</x:v>
      </x:c>
      <x:c r="E2272" s="38" t="str">
        <x:v>AUD/USD</x:v>
      </x:c>
      <x:c r="F2272" s="38" t="n">
        <x:v>0.5975852673</x:v>
      </x:c>
      <x:c r="G2272" s="38" t="n">
        <x:v>0.8462070538</x:v>
      </x:c>
      <x:c r="H2272" s="42" t="b">
        <x:v>0</x:v>
      </x:c>
      <x:c r="I2272" s="42" t="b">
        <x:v>0</x:v>
      </x:c>
      <x:c r="J2272" s="38" t="n">
        <x:v>0.2313257557</x:v>
      </x:c>
    </x:row>
    <x:row r="2273" ht="19" customHeight="1">
      <x:c r="A2273" s="29" t="str">
        <x:v>stagger_1</x:v>
      </x:c>
      <x:c r="B2273" s="38" t="str">
        <x:v>HII</x:v>
      </x:c>
      <x:c r="C2273" s="38" t="str">
        <x:v>Other FX</x:v>
      </x:c>
      <x:c r="D2273" s="30" t="n">
        <x:v>2</x:v>
      </x:c>
      <x:c r="E2273" s="38" t="str">
        <x:v>CAD/USD</x:v>
      </x:c>
      <x:c r="F2273" s="38" t="n">
        <x:v>0.9244059286</x:v>
      </x:c>
      <x:c r="G2273" s="38" t="n">
        <x:v>1.0894116199</x:v>
      </x:c>
      <x:c r="H2273" s="42" t="b">
        <x:v>0</x:v>
      </x:c>
      <x:c r="I2273" s="42" t="b">
        <x:v>0</x:v>
      </x:c>
      <x:c r="J2273" s="38" t="n">
        <x:v>0.2313257557</x:v>
      </x:c>
    </x:row>
    <x:row r="2274" ht="19" customHeight="1">
      <x:c r="A2274" s="29" t="str">
        <x:v>stagger_1</x:v>
      </x:c>
      <x:c r="B2274" s="38" t="str">
        <x:v>HII</x:v>
      </x:c>
      <x:c r="C2274" s="38" t="str">
        <x:v>Other FX</x:v>
      </x:c>
      <x:c r="D2274" s="30" t="n">
        <x:v>2</x:v>
      </x:c>
      <x:c r="E2274" s="38" t="str">
        <x:v>EUR/USD</x:v>
      </x:c>
      <x:c r="F2274" s="38" t="n">
        <x:v>0.2057216115</x:v>
      </x:c>
      <x:c r="G2274" s="38" t="n">
        <x:v>0.2375707214</x:v>
      </x:c>
      <x:c r="H2274" s="42" t="b">
        <x:v>1</x:v>
      </x:c>
      <x:c r="I2274" s="42" t="b">
        <x:v>0</x:v>
      </x:c>
      <x:c r="J2274" s="38" t="n">
        <x:v>0.2313257557</x:v>
      </x:c>
    </x:row>
    <x:row r="2275" ht="19" customHeight="1">
      <x:c r="A2275" s="29" t="str">
        <x:v>stagger_1</x:v>
      </x:c>
      <x:c r="B2275" s="38" t="str">
        <x:v>HII</x:v>
      </x:c>
      <x:c r="C2275" s="38" t="str">
        <x:v>Other FX</x:v>
      </x:c>
      <x:c r="D2275" s="30" t="n">
        <x:v>2</x:v>
      </x:c>
      <x:c r="E2275" s="38" t="str">
        <x:v>MXN/USD</x:v>
      </x:c>
      <x:c r="F2275" s="38" t="n">
        <x:v>0.6773989314</x:v>
      </x:c>
      <x:c r="G2275" s="38" t="n">
        <x:v>1.5708469052</x:v>
      </x:c>
      <x:c r="H2275" s="42" t="b">
        <x:v>0</x:v>
      </x:c>
      <x:c r="I2275" s="42" t="b">
        <x:v>0</x:v>
      </x:c>
      <x:c r="J2275" s="38" t="n">
        <x:v>0.2313257557</x:v>
      </x:c>
    </x:row>
    <x:row r="2276" ht="19" customHeight="1">
      <x:c r="A2276" s="29" t="str">
        <x:v>stagger_1</x:v>
      </x:c>
      <x:c r="B2276" s="38" t="str">
        <x:v>HII</x:v>
      </x:c>
      <x:c r="C2276" s="38" t="str">
        <x:v>Other FX</x:v>
      </x:c>
      <x:c r="D2276" s="30" t="n">
        <x:v>2</x:v>
      </x:c>
      <x:c r="E2276" s="38" t="str">
        <x:v>SGD/USD</x:v>
      </x:c>
      <x:c r="F2276" s="38" t="n">
        <x:v>0.7198928369</x:v>
      </x:c>
      <x:c r="G2276" s="38" t="n">
        <x:v>0.4560087858</x:v>
      </x:c>
      <x:c r="H2276" s="42" t="b">
        <x:v>0</x:v>
      </x:c>
      <x:c r="I2276" s="42" t="b">
        <x:v>0</x:v>
      </x:c>
      <x:c r="J2276" s="38" t="n">
        <x:v>0.2313257557</x:v>
      </x:c>
    </x:row>
    <x:row r="2277" ht="19" customHeight="1">
      <x:c r="A2277" s="29" t="str">
        <x:v>stagger_1</x:v>
      </x:c>
      <x:c r="B2277" s="38" t="str">
        <x:v>HII</x:v>
      </x:c>
      <x:c r="C2277" s="38" t="str">
        <x:v>Other FX</x:v>
      </x:c>
      <x:c r="D2277" s="30" t="n">
        <x:v>3</x:v>
      </x:c>
      <x:c r="E2277" s="38" t="str">
        <x:v>AUD/USD</x:v>
      </x:c>
      <x:c r="F2277" s="38" t="n">
        <x:v>0.5953167697</x:v>
      </x:c>
      <x:c r="G2277" s="38" t="n">
        <x:v>0.8484256636</x:v>
      </x:c>
      <x:c r="H2277" s="42" t="b">
        <x:v>0</x:v>
      </x:c>
      <x:c r="I2277" s="42" t="b">
        <x:v>0</x:v>
      </x:c>
      <x:c r="J2277" s="38" t="n">
        <x:v>0.2307394873</x:v>
      </x:c>
    </x:row>
    <x:row r="2278" ht="19" customHeight="1">
      <x:c r="A2278" s="29" t="str">
        <x:v>stagger_1</x:v>
      </x:c>
      <x:c r="B2278" s="38" t="str">
        <x:v>HII</x:v>
      </x:c>
      <x:c r="C2278" s="38" t="str">
        <x:v>Other FX</x:v>
      </x:c>
      <x:c r="D2278" s="30" t="n">
        <x:v>3</x:v>
      </x:c>
      <x:c r="E2278" s="38" t="str">
        <x:v>CAD/USD</x:v>
      </x:c>
      <x:c r="F2278" s="38" t="n">
        <x:v>0.9720541886</x:v>
      </x:c>
      <x:c r="G2278" s="38" t="n">
        <x:v>1.1864589705</x:v>
      </x:c>
      <x:c r="H2278" s="42" t="b">
        <x:v>0</x:v>
      </x:c>
      <x:c r="I2278" s="42" t="b">
        <x:v>0</x:v>
      </x:c>
      <x:c r="J2278" s="38" t="n">
        <x:v>0.2307394873</x:v>
      </x:c>
    </x:row>
    <x:row r="2279" ht="19" customHeight="1">
      <x:c r="A2279" s="29" t="str">
        <x:v>stagger_1</x:v>
      </x:c>
      <x:c r="B2279" s="38" t="str">
        <x:v>HII</x:v>
      </x:c>
      <x:c r="C2279" s="38" t="str">
        <x:v>Other FX</x:v>
      </x:c>
      <x:c r="D2279" s="30" t="n">
        <x:v>3</x:v>
      </x:c>
      <x:c r="E2279" s="38" t="str">
        <x:v>MXN/USD</x:v>
      </x:c>
      <x:c r="F2279" s="38" t="n">
        <x:v>0.7013754037</x:v>
      </x:c>
      <x:c r="G2279" s="38" t="n">
        <x:v>1.6835303623</x:v>
      </x:c>
      <x:c r="H2279" s="42" t="b">
        <x:v>0</x:v>
      </x:c>
      <x:c r="I2279" s="42" t="b">
        <x:v>0</x:v>
      </x:c>
      <x:c r="J2279" s="38" t="n">
        <x:v>0.2307394873</x:v>
      </x:c>
    </x:row>
    <x:row r="2280" ht="19" customHeight="1">
      <x:c r="A2280" s="29" t="str">
        <x:v>stagger_1</x:v>
      </x:c>
      <x:c r="B2280" s="38" t="str">
        <x:v>HII</x:v>
      </x:c>
      <x:c r="C2280" s="38" t="str">
        <x:v>Other FX</x:v>
      </x:c>
      <x:c r="D2280" s="30" t="n">
        <x:v>3</x:v>
      </x:c>
      <x:c r="E2280" s="38" t="str">
        <x:v>SGD/USD</x:v>
      </x:c>
      <x:c r="F2280" s="38" t="n">
        <x:v>0.9266267681</x:v>
      </x:c>
      <x:c r="G2280" s="38" t="n">
        <x:v>0.7079549763</x:v>
      </x:c>
      <x:c r="H2280" s="42" t="b">
        <x:v>1</x:v>
      </x:c>
      <x:c r="I2280" s="42" t="b">
        <x:v>0</x:v>
      </x:c>
      <x:c r="J2280" s="38" t="n">
        <x:v>0.2307394873</x:v>
      </x:c>
    </x:row>
    <x:row r="2281" ht="19" customHeight="1">
      <x:c r="A2281" s="29" t="str">
        <x:v>stagger_1</x:v>
      </x:c>
      <x:c r="B2281" s="38" t="str">
        <x:v>HII</x:v>
      </x:c>
      <x:c r="C2281" s="38" t="str">
        <x:v>Other FX</x:v>
      </x:c>
      <x:c r="D2281" s="30" t="n">
        <x:v>4</x:v>
      </x:c>
      <x:c r="E2281" s="38" t="str">
        <x:v>AUD/USD</x:v>
      </x:c>
      <x:c r="F2281" s="38" t="n">
        <x:v>0.8884625223</x:v>
      </x:c>
      <x:c r="G2281" s="38" t="n">
        <x:v>1.5735955478</x:v>
      </x:c>
      <x:c r="H2281" s="42" t="b">
        <x:v>0</x:v>
      </x:c>
      <x:c r="I2281" s="42" t="b">
        <x:v>0</x:v>
      </x:c>
      <x:c r="J2281" s="38" t="n">
        <x:v>0.2255987732</x:v>
      </x:c>
    </x:row>
    <x:row r="2282" ht="19" customHeight="1">
      <x:c r="A2282" s="29" t="str">
        <x:v>stagger_1</x:v>
      </x:c>
      <x:c r="B2282" s="38" t="str">
        <x:v>HII</x:v>
      </x:c>
      <x:c r="C2282" s="38" t="str">
        <x:v>Other FX</x:v>
      </x:c>
      <x:c r="D2282" s="30" t="n">
        <x:v>4</x:v>
      </x:c>
      <x:c r="E2282" s="38" t="str">
        <x:v>CAD/USD</x:v>
      </x:c>
      <x:c r="F2282" s="38" t="n">
        <x:v>1.0969401362</x:v>
      </x:c>
      <x:c r="G2282" s="38" t="n">
        <x:v>1.3755701402</x:v>
      </x:c>
      <x:c r="H2282" s="42" t="b">
        <x:v>1</x:v>
      </x:c>
      <x:c r="I2282" s="42" t="b">
        <x:v>0</x:v>
      </x:c>
      <x:c r="J2282" s="38" t="n">
        <x:v>0.2255987732</x:v>
      </x:c>
    </x:row>
    <x:row r="2283" ht="19" customHeight="1">
      <x:c r="A2283" s="29" t="str">
        <x:v>stagger_1</x:v>
      </x:c>
      <x:c r="B2283" s="38" t="str">
        <x:v>HII</x:v>
      </x:c>
      <x:c r="C2283" s="38" t="str">
        <x:v>Other FX</x:v>
      </x:c>
      <x:c r="D2283" s="30" t="n">
        <x:v>4</x:v>
      </x:c>
      <x:c r="E2283" s="38" t="str">
        <x:v>MXN/USD</x:v>
      </x:c>
      <x:c r="F2283" s="38" t="n">
        <x:v>0.7518444192</x:v>
      </x:c>
      <x:c r="G2283" s="38" t="n">
        <x:v>1.8377287281</x:v>
      </x:c>
      <x:c r="H2283" s="42" t="b">
        <x:v>0</x:v>
      </x:c>
      <x:c r="I2283" s="42" t="b">
        <x:v>0</x:v>
      </x:c>
      <x:c r="J2283" s="38" t="n">
        <x:v>0.2255987732</x:v>
      </x:c>
    </x:row>
    <x:row r="2284" ht="19" customHeight="1">
      <x:c r="A2284" s="29" t="str">
        <x:v>stagger_1</x:v>
      </x:c>
      <x:c r="B2284" s="38" t="str">
        <x:v>HII</x:v>
      </x:c>
      <x:c r="C2284" s="38" t="str">
        <x:v>Other FX</x:v>
      </x:c>
      <x:c r="D2284" s="30" t="n">
        <x:v>5</x:v>
      </x:c>
      <x:c r="E2284" s="38" t="str">
        <x:v>AUD/USD</x:v>
      </x:c>
      <x:c r="F2284" s="38" t="n">
        <x:v>1.2578936472</x:v>
      </x:c>
      <x:c r="G2284" s="38" t="n">
        <x:v>2.5182512103</x:v>
      </x:c>
      <x:c r="H2284" s="42" t="b">
        <x:v>0</x:v>
      </x:c>
      <x:c r="I2284" s="42" t="b">
        <x:v>0</x:v>
      </x:c>
      <x:c r="J2284" s="38" t="n">
        <x:v>0.2063182897</x:v>
      </x:c>
    </x:row>
    <x:row r="2285" ht="19" customHeight="1">
      <x:c r="A2285" s="29" t="str">
        <x:v>stagger_1</x:v>
      </x:c>
      <x:c r="B2285" s="38" t="str">
        <x:v>HII</x:v>
      </x:c>
      <x:c r="C2285" s="38" t="str">
        <x:v>Other FX</x:v>
      </x:c>
      <x:c r="D2285" s="30" t="n">
        <x:v>5</x:v>
      </x:c>
      <x:c r="E2285" s="38" t="str">
        <x:v>MXN/USD</x:v>
      </x:c>
      <x:c r="F2285" s="38" t="n">
        <x:v>0.8142226553</x:v>
      </x:c>
      <x:c r="G2285" s="38" t="n">
        <x:v>1.9910372235</x:v>
      </x:c>
      <x:c r="H2285" s="42" t="b">
        <x:v>1</x:v>
      </x:c>
      <x:c r="I2285" s="42" t="b">
        <x:v>0</x:v>
      </x:c>
      <x:c r="J2285" s="38" t="n">
        <x:v>0.2063182897</x:v>
      </x:c>
    </x:row>
    <x:row r="2286" ht="19" customHeight="1">
      <x:c r="A2286" s="29" t="str">
        <x:v>stagger_1</x:v>
      </x:c>
      <x:c r="B2286" s="38" t="str">
        <x:v>HII</x:v>
      </x:c>
      <x:c r="C2286" s="38" t="str">
        <x:v>Other FX</x:v>
      </x:c>
      <x:c r="D2286" s="30" t="n">
        <x:v>6</x:v>
      </x:c>
      <x:c r="E2286" s="38" t="str">
        <x:v>AUD/USD</x:v>
      </x:c>
      <x:c r="F2286" s="38" t="n">
        <x:v>1.7449135935</x:v>
      </x:c>
      <x:c r="G2286" s="38" t="n">
        <x:v>3.9324677456</x:v>
      </x:c>
      <x:c r="H2286" s="42" t="b">
        <x:v>0</x:v>
      </x:c>
      <x:c r="I2286" s="42" t="b">
        <x:v>1</x:v>
      </x:c>
      <x:c r="J2286" s="38" t="n">
        <x:v>0.1654567802</x:v>
      </x:c>
    </x:row>
    <x:row r="2287" ht="19" customHeight="1">
      <x:c r="A2287" s="29" t="str">
        <x:v>stagger_1</x:v>
      </x:c>
      <x:c r="B2287" s="38" t="str">
        <x:v>HII</x:v>
      </x:c>
      <x:c r="C2287" s="38" t="str">
        <x:v>Other sectors</x:v>
      </x:c>
      <x:c r="D2287" s="30" t="n">
        <x:v>1</x:v>
      </x:c>
      <x:c r="E2287" s="38" t="str">
        <x:v>XLB</x:v>
      </x:c>
      <x:c r="F2287" s="38" t="n">
        <x:v>0.2556831406</x:v>
      </x:c>
      <x:c r="G2287" s="38" t="n">
        <x:v>0.8574911788</x:v>
      </x:c>
      <x:c r="H2287" s="42" t="b">
        <x:v>0</x:v>
      </x:c>
      <x:c r="I2287" s="42" t="b">
        <x:v>0</x:v>
      </x:c>
      <x:c r="J2287" s="38" t="n">
        <x:v>0.1996225914</x:v>
      </x:c>
    </x:row>
    <x:row r="2288" ht="19" customHeight="1">
      <x:c r="A2288" s="29" t="str">
        <x:v>stagger_1</x:v>
      </x:c>
      <x:c r="B2288" s="38" t="str">
        <x:v>HII</x:v>
      </x:c>
      <x:c r="C2288" s="38" t="str">
        <x:v>Other sectors</x:v>
      </x:c>
      <x:c r="D2288" s="30" t="n">
        <x:v>1</x:v>
      </x:c>
      <x:c r="E2288" s="38" t="str">
        <x:v>XLC</x:v>
      </x:c>
      <x:c r="F2288" s="38" t="n">
        <x:v>-0.3000628982</x:v>
      </x:c>
      <x:c r="G2288" s="38" t="n">
        <x:v>-0.7651038684</x:v>
      </x:c>
      <x:c r="H2288" s="42" t="b">
        <x:v>0</x:v>
      </x:c>
      <x:c r="I2288" s="42" t="b">
        <x:v>0</x:v>
      </x:c>
      <x:c r="J2288" s="38" t="n">
        <x:v>0.1996225914</x:v>
      </x:c>
    </x:row>
    <x:row r="2289" ht="19" customHeight="1">
      <x:c r="A2289" s="29" t="str">
        <x:v>stagger_1</x:v>
      </x:c>
      <x:c r="B2289" s="38" t="str">
        <x:v>HII</x:v>
      </x:c>
      <x:c r="C2289" s="38" t="str">
        <x:v>Other sectors</x:v>
      </x:c>
      <x:c r="D2289" s="30" t="n">
        <x:v>1</x:v>
      </x:c>
      <x:c r="E2289" s="38" t="str">
        <x:v>XLE</x:v>
      </x:c>
      <x:c r="F2289" s="38" t="n">
        <x:v>0.0134790835</x:v>
      </x:c>
      <x:c r="G2289" s="38" t="n">
        <x:v>0.0872210679</x:v>
      </x:c>
      <x:c r="H2289" s="42" t="b">
        <x:v>1</x:v>
      </x:c>
      <x:c r="I2289" s="42" t="b">
        <x:v>0</x:v>
      </x:c>
      <x:c r="J2289" s="38" t="n">
        <x:v>0.1996225914</x:v>
      </x:c>
    </x:row>
    <x:row r="2290" ht="19" customHeight="1">
      <x:c r="A2290" s="29" t="str">
        <x:v>stagger_1</x:v>
      </x:c>
      <x:c r="B2290" s="38" t="str">
        <x:v>HII</x:v>
      </x:c>
      <x:c r="C2290" s="38" t="str">
        <x:v>Other sectors</x:v>
      </x:c>
      <x:c r="D2290" s="30" t="n">
        <x:v>1</x:v>
      </x:c>
      <x:c r="E2290" s="38" t="str">
        <x:v>XLF</x:v>
      </x:c>
      <x:c r="F2290" s="38" t="n">
        <x:v>-1.3368026392</x:v>
      </x:c>
      <x:c r="G2290" s="38" t="n">
        <x:v>-2.996329508</x:v>
      </x:c>
      <x:c r="H2290" s="42" t="b">
        <x:v>0</x:v>
      </x:c>
      <x:c r="I2290" s="42" t="b">
        <x:v>0</x:v>
      </x:c>
      <x:c r="J2290" s="38" t="n">
        <x:v>0.1996225914</x:v>
      </x:c>
    </x:row>
    <x:row r="2291" ht="19" customHeight="1">
      <x:c r="A2291" s="29" t="str">
        <x:v>stagger_1</x:v>
      </x:c>
      <x:c r="B2291" s="38" t="str">
        <x:v>HII</x:v>
      </x:c>
      <x:c r="C2291" s="38" t="str">
        <x:v>Other sectors</x:v>
      </x:c>
      <x:c r="D2291" s="30" t="n">
        <x:v>1</x:v>
      </x:c>
      <x:c r="E2291" s="38" t="str">
        <x:v>XLK</x:v>
      </x:c>
      <x:c r="F2291" s="38" t="n">
        <x:v>-1.2391714744</x:v>
      </x:c>
      <x:c r="G2291" s="38" t="n">
        <x:v>-1.8555016898</x:v>
      </x:c>
      <x:c r="H2291" s="42" t="b">
        <x:v>0</x:v>
      </x:c>
      <x:c r="I2291" s="42" t="b">
        <x:v>0</x:v>
      </x:c>
      <x:c r="J2291" s="38" t="n">
        <x:v>0.1996225914</x:v>
      </x:c>
    </x:row>
    <x:row r="2292" ht="19" customHeight="1">
      <x:c r="A2292" s="29" t="str">
        <x:v>stagger_1</x:v>
      </x:c>
      <x:c r="B2292" s="38" t="str">
        <x:v>HII</x:v>
      </x:c>
      <x:c r="C2292" s="38" t="str">
        <x:v>Other sectors</x:v>
      </x:c>
      <x:c r="D2292" s="30" t="n">
        <x:v>1</x:v>
      </x:c>
      <x:c r="E2292" s="38" t="str">
        <x:v>XLP</x:v>
      </x:c>
      <x:c r="F2292" s="38" t="n">
        <x:v>-0.4610208053</x:v>
      </x:c>
      <x:c r="G2292" s="38" t="n">
        <x:v>-1.0438241227</x:v>
      </x:c>
      <x:c r="H2292" s="42" t="b">
        <x:v>0</x:v>
      </x:c>
      <x:c r="I2292" s="42" t="b">
        <x:v>0</x:v>
      </x:c>
      <x:c r="J2292" s="38" t="n">
        <x:v>0.1996225914</x:v>
      </x:c>
    </x:row>
    <x:row r="2293" ht="19" customHeight="1">
      <x:c r="A2293" s="29" t="str">
        <x:v>stagger_1</x:v>
      </x:c>
      <x:c r="B2293" s="38" t="str">
        <x:v>HII</x:v>
      </x:c>
      <x:c r="C2293" s="38" t="str">
        <x:v>Other sectors</x:v>
      </x:c>
      <x:c r="D2293" s="30" t="n">
        <x:v>1</x:v>
      </x:c>
      <x:c r="E2293" s="38" t="str">
        <x:v>XLRE</x:v>
      </x:c>
      <x:c r="F2293" s="38" t="n">
        <x:v>-0.5173166859</x:v>
      </x:c>
      <x:c r="G2293" s="38" t="n">
        <x:v>-1.4742671494</x:v>
      </x:c>
      <x:c r="H2293" s="42" t="b">
        <x:v>0</x:v>
      </x:c>
      <x:c r="I2293" s="42" t="b">
        <x:v>0</x:v>
      </x:c>
      <x:c r="J2293" s="38" t="n">
        <x:v>0.1996225914</x:v>
      </x:c>
    </x:row>
    <x:row r="2294" ht="19" customHeight="1">
      <x:c r="A2294" s="29" t="str">
        <x:v>stagger_1</x:v>
      </x:c>
      <x:c r="B2294" s="38" t="str">
        <x:v>HII</x:v>
      </x:c>
      <x:c r="C2294" s="38" t="str">
        <x:v>Other sectors</x:v>
      </x:c>
      <x:c r="D2294" s="30" t="n">
        <x:v>1</x:v>
      </x:c>
      <x:c r="E2294" s="38" t="str">
        <x:v>XLU</x:v>
      </x:c>
      <x:c r="F2294" s="38" t="n">
        <x:v>-0.2829813328</x:v>
      </x:c>
      <x:c r="G2294" s="38" t="n">
        <x:v>-1.0186346992</x:v>
      </x:c>
      <x:c r="H2294" s="42" t="b">
        <x:v>0</x:v>
      </x:c>
      <x:c r="I2294" s="42" t="b">
        <x:v>0</x:v>
      </x:c>
      <x:c r="J2294" s="38" t="n">
        <x:v>0.1996225914</x:v>
      </x:c>
    </x:row>
    <x:row r="2295" ht="19" customHeight="1">
      <x:c r="A2295" s="29" t="str">
        <x:v>stagger_1</x:v>
      </x:c>
      <x:c r="B2295" s="38" t="str">
        <x:v>HII</x:v>
      </x:c>
      <x:c r="C2295" s="38" t="str">
        <x:v>Other sectors</x:v>
      </x:c>
      <x:c r="D2295" s="30" t="n">
        <x:v>1</x:v>
      </x:c>
      <x:c r="E2295" s="38" t="str">
        <x:v>XLV</x:v>
      </x:c>
      <x:c r="F2295" s="38" t="n">
        <x:v>0.3841989121</x:v>
      </x:c>
      <x:c r="G2295" s="38" t="n">
        <x:v>1.0322953296</x:v>
      </x:c>
      <x:c r="H2295" s="42" t="b">
        <x:v>0</x:v>
      </x:c>
      <x:c r="I2295" s="42" t="b">
        <x:v>0</x:v>
      </x:c>
      <x:c r="J2295" s="38" t="n">
        <x:v>0.1996225914</x:v>
      </x:c>
    </x:row>
    <x:row r="2296" ht="19" customHeight="1">
      <x:c r="A2296" s="29" t="str">
        <x:v>stagger_1</x:v>
      </x:c>
      <x:c r="B2296" s="38" t="str">
        <x:v>HII</x:v>
      </x:c>
      <x:c r="C2296" s="38" t="str">
        <x:v>Other sectors</x:v>
      </x:c>
      <x:c r="D2296" s="30" t="n">
        <x:v>1</x:v>
      </x:c>
      <x:c r="E2296" s="38" t="str">
        <x:v>XLY</x:v>
      </x:c>
      <x:c r="F2296" s="38" t="n">
        <x:v>-0.1420166128</x:v>
      </x:c>
      <x:c r="G2296" s="38" t="n">
        <x:v>-0.3319425316</x:v>
      </x:c>
      <x:c r="H2296" s="42" t="b">
        <x:v>0</x:v>
      </x:c>
      <x:c r="I2296" s="42" t="b">
        <x:v>0</x:v>
      </x:c>
      <x:c r="J2296" s="38" t="n">
        <x:v>0.1996225914</x:v>
      </x:c>
    </x:row>
    <x:row r="2297" ht="19" customHeight="1">
      <x:c r="A2297" s="29" t="str">
        <x:v>stagger_1</x:v>
      </x:c>
      <x:c r="B2297" s="38" t="str">
        <x:v>HII</x:v>
      </x:c>
      <x:c r="C2297" s="38" t="str">
        <x:v>Other sectors</x:v>
      </x:c>
      <x:c r="D2297" s="30" t="n">
        <x:v>2</x:v>
      </x:c>
      <x:c r="E2297" s="38" t="str">
        <x:v>XLB</x:v>
      </x:c>
      <x:c r="F2297" s="38" t="n">
        <x:v>0.2602403563</x:v>
      </x:c>
      <x:c r="G2297" s="38" t="n">
        <x:v>0.8928423875</x:v>
      </x:c>
      <x:c r="H2297" s="42" t="b">
        <x:v>0</x:v>
      </x:c>
      <x:c r="I2297" s="42" t="b">
        <x:v>0</x:v>
      </x:c>
      <x:c r="J2297" s="38" t="n">
        <x:v>0.1995343467</x:v>
      </x:c>
    </x:row>
    <x:row r="2298" ht="19" customHeight="1">
      <x:c r="A2298" s="29" t="str">
        <x:v>stagger_1</x:v>
      </x:c>
      <x:c r="B2298" s="38" t="str">
        <x:v>HII</x:v>
      </x:c>
      <x:c r="C2298" s="38" t="str">
        <x:v>Other sectors</x:v>
      </x:c>
      <x:c r="D2298" s="30" t="n">
        <x:v>2</x:v>
      </x:c>
      <x:c r="E2298" s="38" t="str">
        <x:v>XLC</x:v>
      </x:c>
      <x:c r="F2298" s="38" t="n">
        <x:v>-0.3027128452</x:v>
      </x:c>
      <x:c r="G2298" s="38" t="n">
        <x:v>-0.7797341978</x:v>
      </x:c>
      <x:c r="H2298" s="42" t="b">
        <x:v>0</x:v>
      </x:c>
      <x:c r="I2298" s="42" t="b">
        <x:v>0</x:v>
      </x:c>
      <x:c r="J2298" s="38" t="n">
        <x:v>0.1995343467</x:v>
      </x:c>
    </x:row>
    <x:row r="2299" ht="19" customHeight="1">
      <x:c r="A2299" s="29" t="str">
        <x:v>stagger_1</x:v>
      </x:c>
      <x:c r="B2299" s="38" t="str">
        <x:v>HII</x:v>
      </x:c>
      <x:c r="C2299" s="38" t="str">
        <x:v>Other sectors</x:v>
      </x:c>
      <x:c r="D2299" s="30" t="n">
        <x:v>2</x:v>
      </x:c>
      <x:c r="E2299" s="38" t="str">
        <x:v>XLF</x:v>
      </x:c>
      <x:c r="F2299" s="38" t="n">
        <x:v>-1.3448772074</x:v>
      </x:c>
      <x:c r="G2299" s="38" t="n">
        <x:v>-3.1035756321</x:v>
      </x:c>
      <x:c r="H2299" s="42" t="b">
        <x:v>0</x:v>
      </x:c>
      <x:c r="I2299" s="42" t="b">
        <x:v>0</x:v>
      </x:c>
      <x:c r="J2299" s="38" t="n">
        <x:v>0.1995343467</x:v>
      </x:c>
    </x:row>
    <x:row r="2300" ht="19" customHeight="1">
      <x:c r="A2300" s="29" t="str">
        <x:v>stagger_1</x:v>
      </x:c>
      <x:c r="B2300" s="38" t="str">
        <x:v>HII</x:v>
      </x:c>
      <x:c r="C2300" s="38" t="str">
        <x:v>Other sectors</x:v>
      </x:c>
      <x:c r="D2300" s="30" t="n">
        <x:v>2</x:v>
      </x:c>
      <x:c r="E2300" s="38" t="str">
        <x:v>XLK</x:v>
      </x:c>
      <x:c r="F2300" s="38" t="n">
        <x:v>-1.2655710431</x:v>
      </x:c>
      <x:c r="G2300" s="38" t="n">
        <x:v>-2.1411350656</x:v>
      </x:c>
      <x:c r="H2300" s="42" t="b">
        <x:v>0</x:v>
      </x:c>
      <x:c r="I2300" s="42" t="b">
        <x:v>0</x:v>
      </x:c>
      <x:c r="J2300" s="38" t="n">
        <x:v>0.1995343467</x:v>
      </x:c>
    </x:row>
    <x:row r="2301" ht="19" customHeight="1">
      <x:c r="A2301" s="29" t="str">
        <x:v>stagger_1</x:v>
      </x:c>
      <x:c r="B2301" s="38" t="str">
        <x:v>HII</x:v>
      </x:c>
      <x:c r="C2301" s="38" t="str">
        <x:v>Other sectors</x:v>
      </x:c>
      <x:c r="D2301" s="30" t="n">
        <x:v>2</x:v>
      </x:c>
      <x:c r="E2301" s="38" t="str">
        <x:v>XLP</x:v>
      </x:c>
      <x:c r="F2301" s="38" t="n">
        <x:v>-0.4696162947</x:v>
      </x:c>
      <x:c r="G2301" s="38" t="n">
        <x:v>-1.0986007961</x:v>
      </x:c>
      <x:c r="H2301" s="42" t="b">
        <x:v>0</x:v>
      </x:c>
      <x:c r="I2301" s="42" t="b">
        <x:v>0</x:v>
      </x:c>
      <x:c r="J2301" s="38" t="n">
        <x:v>0.1995343467</x:v>
      </x:c>
    </x:row>
    <x:row r="2302" ht="19" customHeight="1">
      <x:c r="A2302" s="29" t="str">
        <x:v>stagger_1</x:v>
      </x:c>
      <x:c r="B2302" s="38" t="str">
        <x:v>HII</x:v>
      </x:c>
      <x:c r="C2302" s="38" t="str">
        <x:v>Other sectors</x:v>
      </x:c>
      <x:c r="D2302" s="30" t="n">
        <x:v>2</x:v>
      </x:c>
      <x:c r="E2302" s="38" t="str">
        <x:v>XLRE</x:v>
      </x:c>
      <x:c r="F2302" s="38" t="n">
        <x:v>-0.5140131576</x:v>
      </x:c>
      <x:c r="G2302" s="38" t="n">
        <x:v>-1.4840182672</x:v>
      </x:c>
      <x:c r="H2302" s="42" t="b">
        <x:v>0</x:v>
      </x:c>
      <x:c r="I2302" s="42" t="b">
        <x:v>0</x:v>
      </x:c>
      <x:c r="J2302" s="38" t="n">
        <x:v>0.1995343467</x:v>
      </x:c>
    </x:row>
    <x:row r="2303" ht="19" customHeight="1">
      <x:c r="A2303" s="29" t="str">
        <x:v>stagger_1</x:v>
      </x:c>
      <x:c r="B2303" s="38" t="str">
        <x:v>HII</x:v>
      </x:c>
      <x:c r="C2303" s="38" t="str">
        <x:v>Other sectors</x:v>
      </x:c>
      <x:c r="D2303" s="30" t="n">
        <x:v>2</x:v>
      </x:c>
      <x:c r="E2303" s="38" t="str">
        <x:v>XLU</x:v>
      </x:c>
      <x:c r="F2303" s="38" t="n">
        <x:v>-0.2869467335</x:v>
      </x:c>
      <x:c r="G2303" s="38" t="n">
        <x:v>-1.0545266638</x:v>
      </x:c>
      <x:c r="H2303" s="42" t="b">
        <x:v>0</x:v>
      </x:c>
      <x:c r="I2303" s="42" t="b">
        <x:v>0</x:v>
      </x:c>
      <x:c r="J2303" s="38" t="n">
        <x:v>0.1995343467</x:v>
      </x:c>
    </x:row>
    <x:row r="2304" ht="19" customHeight="1">
      <x:c r="A2304" s="29" t="str">
        <x:v>stagger_1</x:v>
      </x:c>
      <x:c r="B2304" s="38" t="str">
        <x:v>HII</x:v>
      </x:c>
      <x:c r="C2304" s="38" t="str">
        <x:v>Other sectors</x:v>
      </x:c>
      <x:c r="D2304" s="30" t="n">
        <x:v>2</x:v>
      </x:c>
      <x:c r="E2304" s="38" t="str">
        <x:v>XLV</x:v>
      </x:c>
      <x:c r="F2304" s="38" t="n">
        <x:v>0.375763208</x:v>
      </x:c>
      <x:c r="G2304" s="38" t="n">
        <x:v>1.0530406662</x:v>
      </x:c>
      <x:c r="H2304" s="42" t="b">
        <x:v>0</x:v>
      </x:c>
      <x:c r="I2304" s="42" t="b">
        <x:v>0</x:v>
      </x:c>
      <x:c r="J2304" s="38" t="n">
        <x:v>0.1995343467</x:v>
      </x:c>
    </x:row>
    <x:row r="2305" ht="19" customHeight="1">
      <x:c r="A2305" s="29" t="str">
        <x:v>stagger_1</x:v>
      </x:c>
      <x:c r="B2305" s="38" t="str">
        <x:v>HII</x:v>
      </x:c>
      <x:c r="C2305" s="38" t="str">
        <x:v>Other sectors</x:v>
      </x:c>
      <x:c r="D2305" s="30" t="n">
        <x:v>2</x:v>
      </x:c>
      <x:c r="E2305" s="38" t="str">
        <x:v>XLY</x:v>
      </x:c>
      <x:c r="F2305" s="38" t="n">
        <x:v>-0.1588838686</x:v>
      </x:c>
      <x:c r="G2305" s="38" t="n">
        <x:v>-0.4193075177</x:v>
      </x:c>
      <x:c r="H2305" s="42" t="b">
        <x:v>1</x:v>
      </x:c>
      <x:c r="I2305" s="42" t="b">
        <x:v>0</x:v>
      </x:c>
      <x:c r="J2305" s="38" t="n">
        <x:v>0.1995343467</x:v>
      </x:c>
    </x:row>
    <x:row r="2306" ht="19" customHeight="1">
      <x:c r="A2306" s="29" t="str">
        <x:v>stagger_1</x:v>
      </x:c>
      <x:c r="B2306" s="38" t="str">
        <x:v>HII</x:v>
      </x:c>
      <x:c r="C2306" s="38" t="str">
        <x:v>Other sectors</x:v>
      </x:c>
      <x:c r="D2306" s="30" t="n">
        <x:v>3</x:v>
      </x:c>
      <x:c r="E2306" s="38" t="str">
        <x:v>XLB</x:v>
      </x:c>
      <x:c r="F2306" s="38" t="n">
        <x:v>0.2686344328</x:v>
      </x:c>
      <x:c r="G2306" s="38" t="n">
        <x:v>0.9292316773</x:v>
      </x:c>
      <x:c r="H2306" s="42" t="b">
        <x:v>0</x:v>
      </x:c>
      <x:c r="I2306" s="42" t="b">
        <x:v>0</x:v>
      </x:c>
      <x:c r="J2306" s="38" t="n">
        <x:v>0.1975238195</x:v>
      </x:c>
    </x:row>
    <x:row r="2307" ht="19" customHeight="1">
      <x:c r="A2307" s="29" t="str">
        <x:v>stagger_1</x:v>
      </x:c>
      <x:c r="B2307" s="38" t="str">
        <x:v>HII</x:v>
      </x:c>
      <x:c r="C2307" s="38" t="str">
        <x:v>Other sectors</x:v>
      </x:c>
      <x:c r="D2307" s="30" t="n">
        <x:v>3</x:v>
      </x:c>
      <x:c r="E2307" s="38" t="str">
        <x:v>XLC</x:v>
      </x:c>
      <x:c r="F2307" s="38" t="n">
        <x:v>-0.3154998604</x:v>
      </x:c>
      <x:c r="G2307" s="38" t="n">
        <x:v>-0.8199631636</x:v>
      </x:c>
      <x:c r="H2307" s="42" t="b">
        <x:v>1</x:v>
      </x:c>
      <x:c r="I2307" s="42" t="b">
        <x:v>0</x:v>
      </x:c>
      <x:c r="J2307" s="38" t="n">
        <x:v>0.1975238195</x:v>
      </x:c>
    </x:row>
    <x:row r="2308" ht="19" customHeight="1">
      <x:c r="A2308" s="29" t="str">
        <x:v>stagger_1</x:v>
      </x:c>
      <x:c r="B2308" s="38" t="str">
        <x:v>HII</x:v>
      </x:c>
      <x:c r="C2308" s="38" t="str">
        <x:v>Other sectors</x:v>
      </x:c>
      <x:c r="D2308" s="30" t="n">
        <x:v>3</x:v>
      </x:c>
      <x:c r="E2308" s="38" t="str">
        <x:v>XLF</x:v>
      </x:c>
      <x:c r="F2308" s="38" t="n">
        <x:v>-1.2898306037</x:v>
      </x:c>
      <x:c r="G2308" s="38" t="n">
        <x:v>-3.14161264</x:v>
      </x:c>
      <x:c r="H2308" s="42" t="b">
        <x:v>0</x:v>
      </x:c>
      <x:c r="I2308" s="42" t="b">
        <x:v>0</x:v>
      </x:c>
      <x:c r="J2308" s="38" t="n">
        <x:v>0.1975238195</x:v>
      </x:c>
    </x:row>
    <x:row r="2309" ht="19" customHeight="1">
      <x:c r="A2309" s="29" t="str">
        <x:v>stagger_1</x:v>
      </x:c>
      <x:c r="B2309" s="38" t="str">
        <x:v>HII</x:v>
      </x:c>
      <x:c r="C2309" s="38" t="str">
        <x:v>Other sectors</x:v>
      </x:c>
      <x:c r="D2309" s="30" t="n">
        <x:v>3</x:v>
      </x:c>
      <x:c r="E2309" s="38" t="str">
        <x:v>XLK</x:v>
      </x:c>
      <x:c r="F2309" s="38" t="n">
        <x:v>-1.1638833631</x:v>
      </x:c>
      <x:c r="G2309" s="38" t="n">
        <x:v>-2.1718480121</x:v>
      </x:c>
      <x:c r="H2309" s="42" t="b">
        <x:v>0</x:v>
      </x:c>
      <x:c r="I2309" s="42" t="b">
        <x:v>0</x:v>
      </x:c>
      <x:c r="J2309" s="38" t="n">
        <x:v>0.1975238195</x:v>
      </x:c>
    </x:row>
    <x:row r="2310" ht="19" customHeight="1">
      <x:c r="A2310" s="29" t="str">
        <x:v>stagger_1</x:v>
      </x:c>
      <x:c r="B2310" s="38" t="str">
        <x:v>HII</x:v>
      </x:c>
      <x:c r="C2310" s="38" t="str">
        <x:v>Other sectors</x:v>
      </x:c>
      <x:c r="D2310" s="30" t="n">
        <x:v>3</x:v>
      </x:c>
      <x:c r="E2310" s="38" t="str">
        <x:v>XLP</x:v>
      </x:c>
      <x:c r="F2310" s="38" t="n">
        <x:v>-0.4234707847</x:v>
      </x:c>
      <x:c r="G2310" s="38" t="n">
        <x:v>-1.0312108369</x:v>
      </x:c>
      <x:c r="H2310" s="42" t="b">
        <x:v>0</x:v>
      </x:c>
      <x:c r="I2310" s="42" t="b">
        <x:v>0</x:v>
      </x:c>
      <x:c r="J2310" s="38" t="n">
        <x:v>0.1975238195</x:v>
      </x:c>
    </x:row>
    <x:row r="2311" ht="19" customHeight="1">
      <x:c r="A2311" s="29" t="str">
        <x:v>stagger_1</x:v>
      </x:c>
      <x:c r="B2311" s="38" t="str">
        <x:v>HII</x:v>
      </x:c>
      <x:c r="C2311" s="38" t="str">
        <x:v>Other sectors</x:v>
      </x:c>
      <x:c r="D2311" s="30" t="n">
        <x:v>3</x:v>
      </x:c>
      <x:c r="E2311" s="38" t="str">
        <x:v>XLRE</x:v>
      </x:c>
      <x:c r="F2311" s="38" t="n">
        <x:v>-0.5562956311</x:v>
      </x:c>
      <x:c r="G2311" s="38" t="n">
        <x:v>-1.688644933</x:v>
      </x:c>
      <x:c r="H2311" s="42" t="b">
        <x:v>0</x:v>
      </x:c>
      <x:c r="I2311" s="42" t="b">
        <x:v>0</x:v>
      </x:c>
      <x:c r="J2311" s="38" t="n">
        <x:v>0.1975238195</x:v>
      </x:c>
    </x:row>
    <x:row r="2312" ht="19" customHeight="1">
      <x:c r="A2312" s="29" t="str">
        <x:v>stagger_1</x:v>
      </x:c>
      <x:c r="B2312" s="38" t="str">
        <x:v>HII</x:v>
      </x:c>
      <x:c r="C2312" s="38" t="str">
        <x:v>Other sectors</x:v>
      </x:c>
      <x:c r="D2312" s="30" t="n">
        <x:v>3</x:v>
      </x:c>
      <x:c r="E2312" s="38" t="str">
        <x:v>XLU</x:v>
      </x:c>
      <x:c r="F2312" s="38" t="n">
        <x:v>-0.2746119402</x:v>
      </x:c>
      <x:c r="G2312" s="38" t="n">
        <x:v>-1.0210897575</x:v>
      </x:c>
      <x:c r="H2312" s="42" t="b">
        <x:v>0</x:v>
      </x:c>
      <x:c r="I2312" s="42" t="b">
        <x:v>0</x:v>
      </x:c>
      <x:c r="J2312" s="38" t="n">
        <x:v>0.1975238195</x:v>
      </x:c>
    </x:row>
    <x:row r="2313" ht="19" customHeight="1">
      <x:c r="A2313" s="29" t="str">
        <x:v>stagger_1</x:v>
      </x:c>
      <x:c r="B2313" s="38" t="str">
        <x:v>HII</x:v>
      </x:c>
      <x:c r="C2313" s="38" t="str">
        <x:v>Other sectors</x:v>
      </x:c>
      <x:c r="D2313" s="30" t="n">
        <x:v>3</x:v>
      </x:c>
      <x:c r="E2313" s="38" t="str">
        <x:v>XLV</x:v>
      </x:c>
      <x:c r="F2313" s="38" t="n">
        <x:v>0.4433059283</x:v>
      </x:c>
      <x:c r="G2313" s="38" t="n">
        <x:v>1.4004006209</x:v>
      </x:c>
      <x:c r="H2313" s="42" t="b">
        <x:v>0</x:v>
      </x:c>
      <x:c r="I2313" s="42" t="b">
        <x:v>0</x:v>
      </x:c>
      <x:c r="J2313" s="38" t="n">
        <x:v>0.1975238195</x:v>
      </x:c>
    </x:row>
    <x:row r="2314" ht="19" customHeight="1">
      <x:c r="A2314" s="29" t="str">
        <x:v>stagger_1</x:v>
      </x:c>
      <x:c r="B2314" s="38" t="str">
        <x:v>HII</x:v>
      </x:c>
      <x:c r="C2314" s="38" t="str">
        <x:v>Other sectors</x:v>
      </x:c>
      <x:c r="D2314" s="30" t="n">
        <x:v>4</x:v>
      </x:c>
      <x:c r="E2314" s="38" t="str">
        <x:v>XLB</x:v>
      </x:c>
      <x:c r="F2314" s="38" t="n">
        <x:v>0.3111503366</x:v>
      </x:c>
      <x:c r="G2314" s="38" t="n">
        <x:v>1.0965370664</x:v>
      </x:c>
      <x:c r="H2314" s="42" t="b">
        <x:v>0</x:v>
      </x:c>
      <x:c r="I2314" s="42" t="b">
        <x:v>0</x:v>
      </x:c>
      <x:c r="J2314" s="38" t="n">
        <x:v>0.1899247138</x:v>
      </x:c>
    </x:row>
    <x:row r="2315" ht="19" customHeight="1">
      <x:c r="A2315" s="29" t="str">
        <x:v>stagger_1</x:v>
      </x:c>
      <x:c r="B2315" s="38" t="str">
        <x:v>HII</x:v>
      </x:c>
      <x:c r="C2315" s="38" t="str">
        <x:v>Other sectors</x:v>
      </x:c>
      <x:c r="D2315" s="30" t="n">
        <x:v>4</x:v>
      </x:c>
      <x:c r="E2315" s="38" t="str">
        <x:v>XLF</x:v>
      </x:c>
      <x:c r="F2315" s="38" t="n">
        <x:v>-1.1984078784</x:v>
      </x:c>
      <x:c r="G2315" s="38" t="n">
        <x:v>-3.0398409615</x:v>
      </x:c>
      <x:c r="H2315" s="42" t="b">
        <x:v>0</x:v>
      </x:c>
      <x:c r="I2315" s="42" t="b">
        <x:v>0</x:v>
      </x:c>
      <x:c r="J2315" s="38" t="n">
        <x:v>0.1899247138</x:v>
      </x:c>
    </x:row>
    <x:row r="2316" ht="19" customHeight="1">
      <x:c r="A2316" s="29" t="str">
        <x:v>stagger_1</x:v>
      </x:c>
      <x:c r="B2316" s="38" t="str">
        <x:v>HII</x:v>
      </x:c>
      <x:c r="C2316" s="38" t="str">
        <x:v>Other sectors</x:v>
      </x:c>
      <x:c r="D2316" s="30" t="n">
        <x:v>4</x:v>
      </x:c>
      <x:c r="E2316" s="38" t="str">
        <x:v>XLK</x:v>
      </x:c>
      <x:c r="F2316" s="38" t="n">
        <x:v>-0.9105461366</x:v>
      </x:c>
      <x:c r="G2316" s="38" t="n">
        <x:v>-2.0842571348</x:v>
      </x:c>
      <x:c r="H2316" s="42" t="b">
        <x:v>0</x:v>
      </x:c>
      <x:c r="I2316" s="42" t="b">
        <x:v>0</x:v>
      </x:c>
      <x:c r="J2316" s="38" t="n">
        <x:v>0.1899247138</x:v>
      </x:c>
    </x:row>
    <x:row r="2317" ht="19" customHeight="1">
      <x:c r="A2317" s="29" t="str">
        <x:v>stagger_1</x:v>
      </x:c>
      <x:c r="B2317" s="38" t="str">
        <x:v>HII</x:v>
      </x:c>
      <x:c r="C2317" s="38" t="str">
        <x:v>Other sectors</x:v>
      </x:c>
      <x:c r="D2317" s="30" t="n">
        <x:v>4</x:v>
      </x:c>
      <x:c r="E2317" s="38" t="str">
        <x:v>XLP</x:v>
      </x:c>
      <x:c r="F2317" s="38" t="n">
        <x:v>-0.421222018</x:v>
      </x:c>
      <x:c r="G2317" s="38" t="n">
        <x:v>-1.0280996753</x:v>
      </x:c>
      <x:c r="H2317" s="42" t="b">
        <x:v>0</x:v>
      </x:c>
      <x:c r="I2317" s="42" t="b">
        <x:v>0</x:v>
      </x:c>
      <x:c r="J2317" s="38" t="n">
        <x:v>0.1899247138</x:v>
      </x:c>
    </x:row>
    <x:row r="2318" ht="19" customHeight="1">
      <x:c r="A2318" s="29" t="str">
        <x:v>stagger_1</x:v>
      </x:c>
      <x:c r="B2318" s="38" t="str">
        <x:v>HII</x:v>
      </x:c>
      <x:c r="C2318" s="38" t="str">
        <x:v>Other sectors</x:v>
      </x:c>
      <x:c r="D2318" s="30" t="n">
        <x:v>4</x:v>
      </x:c>
      <x:c r="E2318" s="38" t="str">
        <x:v>XLRE</x:v>
      </x:c>
      <x:c r="F2318" s="38" t="n">
        <x:v>-0.533520381</x:v>
      </x:c>
      <x:c r="G2318" s="38" t="n">
        <x:v>-1.6290085262</x:v>
      </x:c>
      <x:c r="H2318" s="42" t="b">
        <x:v>0</x:v>
      </x:c>
      <x:c r="I2318" s="42" t="b">
        <x:v>0</x:v>
      </x:c>
      <x:c r="J2318" s="38" t="n">
        <x:v>0.1899247138</x:v>
      </x:c>
    </x:row>
    <x:row r="2319" ht="19" customHeight="1">
      <x:c r="A2319" s="29" t="str">
        <x:v>stagger_1</x:v>
      </x:c>
      <x:c r="B2319" s="38" t="str">
        <x:v>HII</x:v>
      </x:c>
      <x:c r="C2319" s="38" t="str">
        <x:v>Other sectors</x:v>
      </x:c>
      <x:c r="D2319" s="30" t="n">
        <x:v>4</x:v>
      </x:c>
      <x:c r="E2319" s="38" t="str">
        <x:v>XLU</x:v>
      </x:c>
      <x:c r="F2319" s="38" t="n">
        <x:v>-0.2229170165</x:v>
      </x:c>
      <x:c r="G2319" s="38" t="n">
        <x:v>-0.8545778181</x:v>
      </x:c>
      <x:c r="H2319" s="42" t="b">
        <x:v>1</x:v>
      </x:c>
      <x:c r="I2319" s="42" t="b">
        <x:v>0</x:v>
      </x:c>
      <x:c r="J2319" s="38" t="n">
        <x:v>0.1899247138</x:v>
      </x:c>
    </x:row>
    <x:row r="2320" ht="19" customHeight="1">
      <x:c r="A2320" s="29" t="str">
        <x:v>stagger_1</x:v>
      </x:c>
      <x:c r="B2320" s="38" t="str">
        <x:v>HII</x:v>
      </x:c>
      <x:c r="C2320" s="38" t="str">
        <x:v>Other sectors</x:v>
      </x:c>
      <x:c r="D2320" s="30" t="n">
        <x:v>4</x:v>
      </x:c>
      <x:c r="E2320" s="38" t="str">
        <x:v>XLV</x:v>
      </x:c>
      <x:c r="F2320" s="38" t="n">
        <x:v>0.5089332177</x:v>
      </x:c>
      <x:c r="G2320" s="38" t="n">
        <x:v>1.6655011139</x:v>
      </x:c>
      <x:c r="H2320" s="42" t="b">
        <x:v>0</x:v>
      </x:c>
      <x:c r="I2320" s="42" t="b">
        <x:v>0</x:v>
      </x:c>
      <x:c r="J2320" s="38" t="n">
        <x:v>0.1899247138</x:v>
      </x:c>
    </x:row>
    <x:row r="2321" ht="19" customHeight="1">
      <x:c r="A2321" s="29" t="str">
        <x:v>stagger_1</x:v>
      </x:c>
      <x:c r="B2321" s="38" t="str">
        <x:v>HII</x:v>
      </x:c>
      <x:c r="C2321" s="38" t="str">
        <x:v>Other sectors</x:v>
      </x:c>
      <x:c r="D2321" s="30" t="n">
        <x:v>5</x:v>
      </x:c>
      <x:c r="E2321" s="38" t="str">
        <x:v>XLB</x:v>
      </x:c>
      <x:c r="F2321" s="38" t="n">
        <x:v>0.2735490773</x:v>
      </x:c>
      <x:c r="G2321" s="38" t="n">
        <x:v>0.9776353997</x:v>
      </x:c>
      <x:c r="H2321" s="42" t="b">
        <x:v>1</x:v>
      </x:c>
      <x:c r="I2321" s="42" t="b">
        <x:v>0</x:v>
      </x:c>
      <x:c r="J2321" s="38" t="n">
        <x:v>0.1817080386</x:v>
      </x:c>
    </x:row>
    <x:row r="2322" ht="19" customHeight="1">
      <x:c r="A2322" s="29" t="str">
        <x:v>stagger_1</x:v>
      </x:c>
      <x:c r="B2322" s="38" t="str">
        <x:v>HII</x:v>
      </x:c>
      <x:c r="C2322" s="38" t="str">
        <x:v>Other sectors</x:v>
      </x:c>
      <x:c r="D2322" s="30" t="n">
        <x:v>5</x:v>
      </x:c>
      <x:c r="E2322" s="38" t="str">
        <x:v>XLF</x:v>
      </x:c>
      <x:c r="F2322" s="38" t="n">
        <x:v>-1.1696773216</x:v>
      </x:c>
      <x:c r="G2322" s="38" t="n">
        <x:v>-2.9833276815</x:v>
      </x:c>
      <x:c r="H2322" s="42" t="b">
        <x:v>0</x:v>
      </x:c>
      <x:c r="I2322" s="42" t="b">
        <x:v>0</x:v>
      </x:c>
      <x:c r="J2322" s="38" t="n">
        <x:v>0.1817080386</x:v>
      </x:c>
    </x:row>
    <x:row r="2323" ht="19" customHeight="1">
      <x:c r="A2323" s="29" t="str">
        <x:v>stagger_1</x:v>
      </x:c>
      <x:c r="B2323" s="38" t="str">
        <x:v>HII</x:v>
      </x:c>
      <x:c r="C2323" s="38" t="str">
        <x:v>Other sectors</x:v>
      </x:c>
      <x:c r="D2323" s="30" t="n">
        <x:v>5</x:v>
      </x:c>
      <x:c r="E2323" s="38" t="str">
        <x:v>XLK</x:v>
      </x:c>
      <x:c r="F2323" s="38" t="n">
        <x:v>-0.8793303068</x:v>
      </x:c>
      <x:c r="G2323" s="38" t="n">
        <x:v>-2.0236180379</x:v>
      </x:c>
      <x:c r="H2323" s="42" t="b">
        <x:v>0</x:v>
      </x:c>
      <x:c r="I2323" s="42" t="b">
        <x:v>0</x:v>
      </x:c>
      <x:c r="J2323" s="38" t="n">
        <x:v>0.1817080386</x:v>
      </x:c>
    </x:row>
    <x:row r="2324" ht="19" customHeight="1">
      <x:c r="A2324" s="29" t="str">
        <x:v>stagger_1</x:v>
      </x:c>
      <x:c r="B2324" s="38" t="str">
        <x:v>HII</x:v>
      </x:c>
      <x:c r="C2324" s="38" t="str">
        <x:v>Other sectors</x:v>
      </x:c>
      <x:c r="D2324" s="30" t="n">
        <x:v>5</x:v>
      </x:c>
      <x:c r="E2324" s="38" t="str">
        <x:v>XLP</x:v>
      </x:c>
      <x:c r="F2324" s="38" t="n">
        <x:v>-0.4861735926</x:v>
      </x:c>
      <x:c r="G2324" s="38" t="n">
        <x:v>-1.2098278655</x:v>
      </x:c>
      <x:c r="H2324" s="42" t="b">
        <x:v>0</x:v>
      </x:c>
      <x:c r="I2324" s="42" t="b">
        <x:v>0</x:v>
      </x:c>
      <x:c r="J2324" s="38" t="n">
        <x:v>0.1817080386</x:v>
      </x:c>
    </x:row>
    <x:row r="2325" ht="19" customHeight="1">
      <x:c r="A2325" s="29" t="str">
        <x:v>stagger_1</x:v>
      </x:c>
      <x:c r="B2325" s="38" t="str">
        <x:v>HII</x:v>
      </x:c>
      <x:c r="C2325" s="38" t="str">
        <x:v>Other sectors</x:v>
      </x:c>
      <x:c r="D2325" s="30" t="n">
        <x:v>5</x:v>
      </x:c>
      <x:c r="E2325" s="38" t="str">
        <x:v>XLRE</x:v>
      </x:c>
      <x:c r="F2325" s="38" t="n">
        <x:v>-0.6152625244</x:v>
      </x:c>
      <x:c r="G2325" s="38" t="n">
        <x:v>-1.9678703076</x:v>
      </x:c>
      <x:c r="H2325" s="42" t="b">
        <x:v>0</x:v>
      </x:c>
      <x:c r="I2325" s="42" t="b">
        <x:v>0</x:v>
      </x:c>
      <x:c r="J2325" s="38" t="n">
        <x:v>0.1817080386</x:v>
      </x:c>
    </x:row>
    <x:row r="2326" ht="19" customHeight="1">
      <x:c r="A2326" s="29" t="str">
        <x:v>stagger_1</x:v>
      </x:c>
      <x:c r="B2326" s="38" t="str">
        <x:v>HII</x:v>
      </x:c>
      <x:c r="C2326" s="38" t="str">
        <x:v>Other sectors</x:v>
      </x:c>
      <x:c r="D2326" s="30" t="n">
        <x:v>5</x:v>
      </x:c>
      <x:c r="E2326" s="38" t="str">
        <x:v>XLV</x:v>
      </x:c>
      <x:c r="F2326" s="38" t="n">
        <x:v>0.5183900615</x:v>
      </x:c>
      <x:c r="G2326" s="38" t="n">
        <x:v>1.7007069857</x:v>
      </x:c>
      <x:c r="H2326" s="42" t="b">
        <x:v>0</x:v>
      </x:c>
      <x:c r="I2326" s="42" t="b">
        <x:v>0</x:v>
      </x:c>
      <x:c r="J2326" s="38" t="n">
        <x:v>0.1817080386</x:v>
      </x:c>
    </x:row>
    <x:row r="2327" ht="19" customHeight="1">
      <x:c r="A2327" s="29" t="str">
        <x:v>stagger_1</x:v>
      </x:c>
      <x:c r="B2327" s="38" t="str">
        <x:v>HII</x:v>
      </x:c>
      <x:c r="C2327" s="38" t="str">
        <x:v>Other sectors</x:v>
      </x:c>
      <x:c r="D2327" s="30" t="n">
        <x:v>6</x:v>
      </x:c>
      <x:c r="E2327" s="38" t="str">
        <x:v>XLF</x:v>
      </x:c>
      <x:c r="F2327" s="38" t="n">
        <x:v>-1.0701963036</x:v>
      </x:c>
      <x:c r="G2327" s="38" t="n">
        <x:v>-2.8272937653</x:v>
      </x:c>
      <x:c r="H2327" s="42" t="b">
        <x:v>0</x:v>
      </x:c>
      <x:c r="I2327" s="42" t="b">
        <x:v>0</x:v>
      </x:c>
      <x:c r="J2327" s="38" t="n">
        <x:v>0.170994344</x:v>
      </x:c>
    </x:row>
    <x:row r="2328" ht="19" customHeight="1">
      <x:c r="A2328" s="29" t="str">
        <x:v>stagger_1</x:v>
      </x:c>
      <x:c r="B2328" s="38" t="str">
        <x:v>HII</x:v>
      </x:c>
      <x:c r="C2328" s="38" t="str">
        <x:v>Other sectors</x:v>
      </x:c>
      <x:c r="D2328" s="30" t="n">
        <x:v>6</x:v>
      </x:c>
      <x:c r="E2328" s="38" t="str">
        <x:v>XLK</x:v>
      </x:c>
      <x:c r="F2328" s="38" t="n">
        <x:v>-0.9165489754</x:v>
      </x:c>
      <x:c r="G2328" s="38" t="n">
        <x:v>-2.1180450816</x:v>
      </x:c>
      <x:c r="H2328" s="42" t="b">
        <x:v>0</x:v>
      </x:c>
      <x:c r="I2328" s="42" t="b">
        <x:v>0</x:v>
      </x:c>
      <x:c r="J2328" s="38" t="n">
        <x:v>0.170994344</x:v>
      </x:c>
    </x:row>
    <x:row r="2329" ht="19" customHeight="1">
      <x:c r="A2329" s="29" t="str">
        <x:v>stagger_1</x:v>
      </x:c>
      <x:c r="B2329" s="38" t="str">
        <x:v>HII</x:v>
      </x:c>
      <x:c r="C2329" s="38" t="str">
        <x:v>Other sectors</x:v>
      </x:c>
      <x:c r="D2329" s="30" t="n">
        <x:v>6</x:v>
      </x:c>
      <x:c r="E2329" s="38" t="str">
        <x:v>XLP</x:v>
      </x:c>
      <x:c r="F2329" s="38" t="n">
        <x:v>-0.3523830435</x:v>
      </x:c>
      <x:c r="G2329" s="38" t="n">
        <x:v>-0.9329203805</x:v>
      </x:c>
      <x:c r="H2329" s="42" t="b">
        <x:v>1</x:v>
      </x:c>
      <x:c r="I2329" s="42" t="b">
        <x:v>0</x:v>
      </x:c>
      <x:c r="J2329" s="38" t="n">
        <x:v>0.170994344</x:v>
      </x:c>
    </x:row>
    <x:row r="2330" ht="19" customHeight="1">
      <x:c r="A2330" s="29" t="str">
        <x:v>stagger_1</x:v>
      </x:c>
      <x:c r="B2330" s="38" t="str">
        <x:v>HII</x:v>
      </x:c>
      <x:c r="C2330" s="38" t="str">
        <x:v>Other sectors</x:v>
      </x:c>
      <x:c r="D2330" s="30" t="n">
        <x:v>6</x:v>
      </x:c>
      <x:c r="E2330" s="38" t="str">
        <x:v>XLRE</x:v>
      </x:c>
      <x:c r="F2330" s="38" t="n">
        <x:v>-0.5909461223</x:v>
      </x:c>
      <x:c r="G2330" s="38" t="n">
        <x:v>-1.8966725405</x:v>
      </x:c>
      <x:c r="H2330" s="42" t="b">
        <x:v>0</x:v>
      </x:c>
      <x:c r="I2330" s="42" t="b">
        <x:v>0</x:v>
      </x:c>
      <x:c r="J2330" s="38" t="n">
        <x:v>0.170994344</x:v>
      </x:c>
    </x:row>
    <x:row r="2331" ht="19" customHeight="1">
      <x:c r="A2331" s="29" t="str">
        <x:v>stagger_1</x:v>
      </x:c>
      <x:c r="B2331" s="38" t="str">
        <x:v>HII</x:v>
      </x:c>
      <x:c r="C2331" s="38" t="str">
        <x:v>Other sectors</x:v>
      </x:c>
      <x:c r="D2331" s="30" t="n">
        <x:v>6</x:v>
      </x:c>
      <x:c r="E2331" s="38" t="str">
        <x:v>XLV</x:v>
      </x:c>
      <x:c r="F2331" s="38" t="n">
        <x:v>0.4980529177</x:v>
      </x:c>
      <x:c r="G2331" s="38" t="n">
        <x:v>1.6382942723</x:v>
      </x:c>
      <x:c r="H2331" s="42" t="b">
        <x:v>0</x:v>
      </x:c>
      <x:c r="I2331" s="42" t="b">
        <x:v>0</x:v>
      </x:c>
      <x:c r="J2331" s="38" t="n">
        <x:v>0.170994344</x:v>
      </x:c>
    </x:row>
    <x:row r="2332" ht="19" customHeight="1">
      <x:c r="A2332" s="29" t="str">
        <x:v>stagger_1</x:v>
      </x:c>
      <x:c r="B2332" s="38" t="str">
        <x:v>HII</x:v>
      </x:c>
      <x:c r="C2332" s="38" t="str">
        <x:v>Other sectors</x:v>
      </x:c>
      <x:c r="D2332" s="30" t="n">
        <x:v>7</x:v>
      </x:c>
      <x:c r="E2332" s="38" t="str">
        <x:v>XLF</x:v>
      </x:c>
      <x:c r="F2332" s="38" t="n">
        <x:v>-0.9409187405</x:v>
      </x:c>
      <x:c r="G2332" s="38" t="n">
        <x:v>-2.673508683</x:v>
      </x:c>
      <x:c r="H2332" s="42" t="b">
        <x:v>0</x:v>
      </x:c>
      <x:c r="I2332" s="42" t="b">
        <x:v>0</x:v>
      </x:c>
      <x:c r="J2332" s="38" t="n">
        <x:v>0.1612441123</x:v>
      </x:c>
    </x:row>
    <x:row r="2333" ht="19" customHeight="1">
      <x:c r="A2333" s="29" t="str">
        <x:v>stagger_1</x:v>
      </x:c>
      <x:c r="B2333" s="38" t="str">
        <x:v>HII</x:v>
      </x:c>
      <x:c r="C2333" s="38" t="str">
        <x:v>Other sectors</x:v>
      </x:c>
      <x:c r="D2333" s="30" t="n">
        <x:v>7</x:v>
      </x:c>
      <x:c r="E2333" s="38" t="str">
        <x:v>XLK</x:v>
      </x:c>
      <x:c r="F2333" s="38" t="n">
        <x:v>-0.7643511202</x:v>
      </x:c>
      <x:c r="G2333" s="38" t="n">
        <x:v>-1.9086993081</x:v>
      </x:c>
      <x:c r="H2333" s="42" t="b">
        <x:v>0</x:v>
      </x:c>
      <x:c r="I2333" s="42" t="b">
        <x:v>0</x:v>
      </x:c>
      <x:c r="J2333" s="38" t="n">
        <x:v>0.1612441123</x:v>
      </x:c>
    </x:row>
    <x:row r="2334" ht="19" customHeight="1">
      <x:c r="A2334" s="29" t="str">
        <x:v>stagger_1</x:v>
      </x:c>
      <x:c r="B2334" s="38" t="str">
        <x:v>HII</x:v>
      </x:c>
      <x:c r="C2334" s="38" t="str">
        <x:v>Other sectors</x:v>
      </x:c>
      <x:c r="D2334" s="30" t="n">
        <x:v>7</x:v>
      </x:c>
      <x:c r="E2334" s="38" t="str">
        <x:v>XLRE</x:v>
      </x:c>
      <x:c r="F2334" s="38" t="n">
        <x:v>-0.7028493689</x:v>
      </x:c>
      <x:c r="G2334" s="38" t="n">
        <x:v>-2.4463402044</x:v>
      </x:c>
      <x:c r="H2334" s="42" t="b">
        <x:v>0</x:v>
      </x:c>
      <x:c r="I2334" s="42" t="b">
        <x:v>0</x:v>
      </x:c>
      <x:c r="J2334" s="38" t="n">
        <x:v>0.1612441123</x:v>
      </x:c>
    </x:row>
    <x:row r="2335" ht="19" customHeight="1">
      <x:c r="A2335" s="29" t="str">
        <x:v>stagger_1</x:v>
      </x:c>
      <x:c r="B2335" s="38" t="str">
        <x:v>HII</x:v>
      </x:c>
      <x:c r="C2335" s="38" t="str">
        <x:v>Other sectors</x:v>
      </x:c>
      <x:c r="D2335" s="30" t="n">
        <x:v>7</x:v>
      </x:c>
      <x:c r="E2335" s="38" t="str">
        <x:v>XLV</x:v>
      </x:c>
      <x:c r="F2335" s="38" t="n">
        <x:v>0.4441060583</x:v>
      </x:c>
      <x:c r="G2335" s="38" t="n">
        <x:v>1.4892959987</x:v>
      </x:c>
      <x:c r="H2335" s="42" t="b">
        <x:v>1</x:v>
      </x:c>
      <x:c r="I2335" s="42" t="b">
        <x:v>0</x:v>
      </x:c>
      <x:c r="J2335" s="38" t="n">
        <x:v>0.1612441123</x:v>
      </x:c>
    </x:row>
    <x:row r="2336" ht="19" customHeight="1">
      <x:c r="A2336" s="29" t="str">
        <x:v>stagger_1</x:v>
      </x:c>
      <x:c r="B2336" s="38" t="str">
        <x:v>HII</x:v>
      </x:c>
      <x:c r="C2336" s="38" t="str">
        <x:v>Other sectors</x:v>
      </x:c>
      <x:c r="D2336" s="30" t="n">
        <x:v>8</x:v>
      </x:c>
      <x:c r="E2336" s="38" t="str">
        <x:v>XLF</x:v>
      </x:c>
      <x:c r="F2336" s="38" t="n">
        <x:v>-0.9944817973</x:v>
      </x:c>
      <x:c r="G2336" s="38" t="n">
        <x:v>-2.8180807796</x:v>
      </x:c>
      <x:c r="H2336" s="42" t="b">
        <x:v>0</x:v>
      </x:c>
      <x:c r="I2336" s="42" t="b">
        <x:v>1</x:v>
      </x:c>
      <x:c r="J2336" s="38" t="n">
        <x:v>0.1364392761</x:v>
      </x:c>
    </x:row>
    <x:row r="2337" ht="19" customHeight="1">
      <x:c r="A2337" s="29" t="str">
        <x:v>stagger_1</x:v>
      </x:c>
      <x:c r="B2337" s="38" t="str">
        <x:v>HII</x:v>
      </x:c>
      <x:c r="C2337" s="38" t="str">
        <x:v>Other sectors</x:v>
      </x:c>
      <x:c r="D2337" s="30" t="n">
        <x:v>8</x:v>
      </x:c>
      <x:c r="E2337" s="38" t="str">
        <x:v>XLK</x:v>
      </x:c>
      <x:c r="F2337" s="38" t="n">
        <x:v>-1.0021628652</x:v>
      </x:c>
      <x:c r="G2337" s="38" t="n">
        <x:v>-2.7072733962</x:v>
      </x:c>
      <x:c r="H2337" s="42" t="b">
        <x:v>0</x:v>
      </x:c>
      <x:c r="I2337" s="42" t="b">
        <x:v>1</x:v>
      </x:c>
      <x:c r="J2337" s="38" t="n">
        <x:v>0.1364392761</x:v>
      </x:c>
    </x:row>
    <x:row r="2338" ht="19" customHeight="1">
      <x:c r="A2338" s="29" t="str">
        <x:v>stagger_1</x:v>
      </x:c>
      <x:c r="B2338" s="38" t="str">
        <x:v>HII</x:v>
      </x:c>
      <x:c r="C2338" s="38" t="str">
        <x:v>Other sectors</x:v>
      </x:c>
      <x:c r="D2338" s="30" t="n">
        <x:v>8</x:v>
      </x:c>
      <x:c r="E2338" s="38" t="str">
        <x:v>XLRE</x:v>
      </x:c>
      <x:c r="F2338" s="38" t="n">
        <x:v>-0.6178993788</x:v>
      </x:c>
      <x:c r="G2338" s="38" t="n">
        <x:v>-2.1769688669</x:v>
      </x:c>
      <x:c r="H2338" s="42" t="b">
        <x:v>0</x:v>
      </x:c>
      <x:c r="I2338" s="42" t="b">
        <x:v>1</x:v>
      </x:c>
      <x:c r="J2338" s="38" t="n">
        <x:v>0.1364392761</x:v>
      </x:c>
    </x:row>
    <x:row r="2339" ht="19" customHeight="1">
      <x:c r="A2339" s="29" t="str">
        <x:v>stagger_1</x:v>
      </x:c>
      <x:c r="B2339" s="38" t="str">
        <x:v>AMD</x:v>
      </x:c>
      <x:c r="C2339" s="38" t="str">
        <x:v>Other FX</x:v>
      </x:c>
      <x:c r="D2339" s="30" t="n">
        <x:v>1</x:v>
      </x:c>
      <x:c r="E2339" s="38" t="str">
        <x:v>AUD/USD</x:v>
      </x:c>
      <x:c r="F2339" s="38" t="n">
        <x:v>1.2271486554</x:v>
      </x:c>
      <x:c r="G2339" s="38" t="n">
        <x:v>0.9048507797</x:v>
      </x:c>
      <x:c r="H2339" s="42" t="b">
        <x:v>0</x:v>
      </x:c>
      <x:c r="I2339" s="42" t="b">
        <x:v>0</x:v>
      </x:c>
      <x:c r="J2339" s="38" t="n">
        <x:v>0.1276973525</x:v>
      </x:c>
    </x:row>
    <x:row r="2340" ht="19" customHeight="1">
      <x:c r="A2340" s="29" t="str">
        <x:v>stagger_1</x:v>
      </x:c>
      <x:c r="B2340" s="38" t="str">
        <x:v>AMD</x:v>
      </x:c>
      <x:c r="C2340" s="38" t="str">
        <x:v>Other FX</x:v>
      </x:c>
      <x:c r="D2340" s="30" t="n">
        <x:v>1</x:v>
      </x:c>
      <x:c r="E2340" s="38" t="str">
        <x:v>CAD/USD</x:v>
      </x:c>
      <x:c r="F2340" s="38" t="n">
        <x:v>-0.854478395</x:v>
      </x:c>
      <x:c r="G2340" s="38" t="n">
        <x:v>-0.5217679359</x:v>
      </x:c>
      <x:c r="H2340" s="42" t="b">
        <x:v>1</x:v>
      </x:c>
      <x:c r="I2340" s="42" t="b">
        <x:v>0</x:v>
      </x:c>
      <x:c r="J2340" s="38" t="n">
        <x:v>0.1276973525</x:v>
      </x:c>
    </x:row>
    <x:row r="2341" ht="19" customHeight="1">
      <x:c r="A2341" s="29" t="str">
        <x:v>stagger_1</x:v>
      </x:c>
      <x:c r="B2341" s="38" t="str">
        <x:v>AMD</x:v>
      </x:c>
      <x:c r="C2341" s="38" t="str">
        <x:v>Other FX</x:v>
      </x:c>
      <x:c r="D2341" s="30" t="n">
        <x:v>1</x:v>
      </x:c>
      <x:c r="E2341" s="38" t="str">
        <x:v>DKK/USD</x:v>
      </x:c>
      <x:c r="F2341" s="38" t="n">
        <x:v>23.3591548618</x:v>
      </x:c>
      <x:c r="G2341" s="38" t="n">
        <x:v>2.0488609825</x:v>
      </x:c>
      <x:c r="H2341" s="42" t="b">
        <x:v>0</x:v>
      </x:c>
      <x:c r="I2341" s="42" t="b">
        <x:v>0</x:v>
      </x:c>
      <x:c r="J2341" s="38" t="n">
        <x:v>0.1276973525</x:v>
      </x:c>
    </x:row>
    <x:row r="2342" ht="19" customHeight="1">
      <x:c r="A2342" s="29" t="str">
        <x:v>stagger_1</x:v>
      </x:c>
      <x:c r="B2342" s="38" t="str">
        <x:v>AMD</x:v>
      </x:c>
      <x:c r="C2342" s="38" t="str">
        <x:v>Other FX</x:v>
      </x:c>
      <x:c r="D2342" s="30" t="n">
        <x:v>1</x:v>
      </x:c>
      <x:c r="E2342" s="38" t="str">
        <x:v>EUR/USD</x:v>
      </x:c>
      <x:c r="F2342" s="38" t="n">
        <x:v>-21.3707614824</x:v>
      </x:c>
      <x:c r="G2342" s="38" t="n">
        <x:v>-2.0492306033</x:v>
      </x:c>
      <x:c r="H2342" s="42" t="b">
        <x:v>0</x:v>
      </x:c>
      <x:c r="I2342" s="42" t="b">
        <x:v>0</x:v>
      </x:c>
      <x:c r="J2342" s="38" t="n">
        <x:v>0.1276973525</x:v>
      </x:c>
    </x:row>
    <x:row r="2343" ht="19" customHeight="1">
      <x:c r="A2343" s="29" t="str">
        <x:v>stagger_1</x:v>
      </x:c>
      <x:c r="B2343" s="38" t="str">
        <x:v>AMD</x:v>
      </x:c>
      <x:c r="C2343" s="38" t="str">
        <x:v>Other FX</x:v>
      </x:c>
      <x:c r="D2343" s="30" t="n">
        <x:v>1</x:v>
      </x:c>
      <x:c r="E2343" s="38" t="str">
        <x:v>MXN/USD</x:v>
      </x:c>
      <x:c r="F2343" s="38" t="n">
        <x:v>0.6076187325</x:v>
      </x:c>
      <x:c r="G2343" s="38" t="n">
        <x:v>0.6993457704</x:v>
      </x:c>
      <x:c r="H2343" s="42" t="b">
        <x:v>0</x:v>
      </x:c>
      <x:c r="I2343" s="42" t="b">
        <x:v>0</x:v>
      </x:c>
      <x:c r="J2343" s="38" t="n">
        <x:v>0.1276973525</x:v>
      </x:c>
    </x:row>
    <x:row r="2344" ht="19" customHeight="1">
      <x:c r="A2344" s="29" t="str">
        <x:v>stagger_1</x:v>
      </x:c>
      <x:c r="B2344" s="38" t="str">
        <x:v>AMD</x:v>
      </x:c>
      <x:c r="C2344" s="38" t="str">
        <x:v>Other FX</x:v>
      </x:c>
      <x:c r="D2344" s="30" t="n">
        <x:v>1</x:v>
      </x:c>
      <x:c r="E2344" s="38" t="str">
        <x:v>SGD/USD</x:v>
      </x:c>
      <x:c r="F2344" s="38" t="n">
        <x:v>-2.071000938</x:v>
      </x:c>
      <x:c r="G2344" s="38" t="n">
        <x:v>-0.6307112347</x:v>
      </x:c>
      <x:c r="H2344" s="42" t="b">
        <x:v>0</x:v>
      </x:c>
      <x:c r="I2344" s="42" t="b">
        <x:v>0</x:v>
      </x:c>
      <x:c r="J2344" s="38" t="n">
        <x:v>0.1276973525</x:v>
      </x:c>
    </x:row>
    <x:row r="2345" ht="19" customHeight="1">
      <x:c r="A2345" s="29" t="str">
        <x:v>stagger_1</x:v>
      </x:c>
      <x:c r="B2345" s="38" t="str">
        <x:v>AMD</x:v>
      </x:c>
      <x:c r="C2345" s="38" t="str">
        <x:v>Other FX</x:v>
      </x:c>
      <x:c r="D2345" s="30" t="n">
        <x:v>2</x:v>
      </x:c>
      <x:c r="E2345" s="38" t="str">
        <x:v>AUD/USD</x:v>
      </x:c>
      <x:c r="F2345" s="38" t="n">
        <x:v>1.0549560868</x:v>
      </x:c>
      <x:c r="G2345" s="38" t="n">
        <x:v>0.8059631</x:v>
      </x:c>
      <x:c r="H2345" s="42" t="b">
        <x:v>0</x:v>
      </x:c>
      <x:c r="I2345" s="42" t="b">
        <x:v>0</x:v>
      </x:c>
      <x:c r="J2345" s="38" t="n">
        <x:v>0.1244442398</x:v>
      </x:c>
    </x:row>
    <x:row r="2346" ht="19" customHeight="1">
      <x:c r="A2346" s="29" t="str">
        <x:v>stagger_1</x:v>
      </x:c>
      <x:c r="B2346" s="38" t="str">
        <x:v>AMD</x:v>
      </x:c>
      <x:c r="C2346" s="38" t="str">
        <x:v>Other FX</x:v>
      </x:c>
      <x:c r="D2346" s="30" t="n">
        <x:v>2</x:v>
      </x:c>
      <x:c r="E2346" s="38" t="str">
        <x:v>DKK/USD</x:v>
      </x:c>
      <x:c r="F2346" s="38" t="n">
        <x:v>22.7672344988</x:v>
      </x:c>
      <x:c r="G2346" s="38" t="n">
        <x:v>2.0168447714</x:v>
      </x:c>
      <x:c r="H2346" s="42" t="b">
        <x:v>0</x:v>
      </x:c>
      <x:c r="I2346" s="42" t="b">
        <x:v>0</x:v>
      </x:c>
      <x:c r="J2346" s="38" t="n">
        <x:v>0.1244442398</x:v>
      </x:c>
    </x:row>
    <x:row r="2347" ht="19" customHeight="1">
      <x:c r="A2347" s="29" t="str">
        <x:v>stagger_1</x:v>
      </x:c>
      <x:c r="B2347" s="38" t="str">
        <x:v>AMD</x:v>
      </x:c>
      <x:c r="C2347" s="38" t="str">
        <x:v>Other FX</x:v>
      </x:c>
      <x:c r="D2347" s="30" t="n">
        <x:v>2</x:v>
      </x:c>
      <x:c r="E2347" s="38" t="str">
        <x:v>EUR/USD</x:v>
      </x:c>
      <x:c r="F2347" s="38" t="n">
        <x:v>-21.0403226882</x:v>
      </x:c>
      <x:c r="G2347" s="38" t="n">
        <x:v>-2.0312885995</x:v>
      </x:c>
      <x:c r="H2347" s="42" t="b">
        <x:v>0</x:v>
      </x:c>
      <x:c r="I2347" s="42" t="b">
        <x:v>0</x:v>
      </x:c>
      <x:c r="J2347" s="38" t="n">
        <x:v>0.1244442398</x:v>
      </x:c>
    </x:row>
    <x:row r="2348" ht="19" customHeight="1">
      <x:c r="A2348" s="29" t="str">
        <x:v>stagger_1</x:v>
      </x:c>
      <x:c r="B2348" s="38" t="str">
        <x:v>AMD</x:v>
      </x:c>
      <x:c r="C2348" s="38" t="str">
        <x:v>Other FX</x:v>
      </x:c>
      <x:c r="D2348" s="30" t="n">
        <x:v>2</x:v>
      </x:c>
      <x:c r="E2348" s="38" t="str">
        <x:v>MXN/USD</x:v>
      </x:c>
      <x:c r="F2348" s="38" t="n">
        <x:v>0.6166958656</x:v>
      </x:c>
      <x:c r="G2348" s="38" t="n">
        <x:v>0.7134524487</x:v>
      </x:c>
      <x:c r="H2348" s="42" t="b">
        <x:v>0</x:v>
      </x:c>
      <x:c r="I2348" s="42" t="b">
        <x:v>0</x:v>
      </x:c>
      <x:c r="J2348" s="38" t="n">
        <x:v>0.1244442398</x:v>
      </x:c>
    </x:row>
    <x:row r="2349" ht="19" customHeight="1">
      <x:c r="A2349" s="29" t="str">
        <x:v>stagger_1</x:v>
      </x:c>
      <x:c r="B2349" s="38" t="str">
        <x:v>AMD</x:v>
      </x:c>
      <x:c r="C2349" s="38" t="str">
        <x:v>Other FX</x:v>
      </x:c>
      <x:c r="D2349" s="30" t="n">
        <x:v>2</x:v>
      </x:c>
      <x:c r="E2349" s="38" t="str">
        <x:v>SGD/USD</x:v>
      </x:c>
      <x:c r="F2349" s="38" t="n">
        <x:v>-2.0751984717</x:v>
      </x:c>
      <x:c r="G2349" s="38" t="n">
        <x:v>-0.6351222597</x:v>
      </x:c>
      <x:c r="H2349" s="42" t="b">
        <x:v>1</x:v>
      </x:c>
      <x:c r="I2349" s="42" t="b">
        <x:v>0</x:v>
      </x:c>
      <x:c r="J2349" s="38" t="n">
        <x:v>0.1244442398</x:v>
      </x:c>
    </x:row>
    <x:row r="2350" ht="19" customHeight="1">
      <x:c r="A2350" s="29" t="str">
        <x:v>stagger_1</x:v>
      </x:c>
      <x:c r="B2350" s="38" t="str">
        <x:v>AMD</x:v>
      </x:c>
      <x:c r="C2350" s="38" t="str">
        <x:v>Other FX</x:v>
      </x:c>
      <x:c r="D2350" s="30" t="n">
        <x:v>3</x:v>
      </x:c>
      <x:c r="E2350" s="38" t="str">
        <x:v>AUD/USD</x:v>
      </x:c>
      <x:c r="F2350" s="38" t="n">
        <x:v>0.6574124301</x:v>
      </x:c>
      <x:c r="G2350" s="38" t="n">
        <x:v>0.5741613625</x:v>
      </x:c>
      <x:c r="H2350" s="42" t="b">
        <x:v>1</x:v>
      </x:c>
      <x:c r="I2350" s="42" t="b">
        <x:v>0</x:v>
      </x:c>
      <x:c r="J2350" s="38" t="n">
        <x:v>0.119671511</x:v>
      </x:c>
    </x:row>
    <x:row r="2351" ht="19" customHeight="1">
      <x:c r="A2351" s="29" t="str">
        <x:v>stagger_1</x:v>
      </x:c>
      <x:c r="B2351" s="38" t="str">
        <x:v>AMD</x:v>
      </x:c>
      <x:c r="C2351" s="38" t="str">
        <x:v>Other FX</x:v>
      </x:c>
      <x:c r="D2351" s="30" t="n">
        <x:v>3</x:v>
      </x:c>
      <x:c r="E2351" s="38" t="str">
        <x:v>DKK/USD</x:v>
      </x:c>
      <x:c r="F2351" s="38" t="n">
        <x:v>19.9978290973</x:v>
      </x:c>
      <x:c r="G2351" s="38" t="n">
        <x:v>1.9282654843</x:v>
      </x:c>
      <x:c r="H2351" s="42" t="b">
        <x:v>0</x:v>
      </x:c>
      <x:c r="I2351" s="42" t="b">
        <x:v>0</x:v>
      </x:c>
      <x:c r="J2351" s="38" t="n">
        <x:v>0.119671511</x:v>
      </x:c>
    </x:row>
    <x:row r="2352" ht="19" customHeight="1">
      <x:c r="A2352" s="29" t="str">
        <x:v>stagger_1</x:v>
      </x:c>
      <x:c r="B2352" s="38" t="str">
        <x:v>AMD</x:v>
      </x:c>
      <x:c r="C2352" s="38" t="str">
        <x:v>Other FX</x:v>
      </x:c>
      <x:c r="D2352" s="30" t="n">
        <x:v>3</x:v>
      </x:c>
      <x:c r="E2352" s="38" t="str">
        <x:v>EUR/USD</x:v>
      </x:c>
      <x:c r="F2352" s="38" t="n">
        <x:v>-19.0750088309</x:v>
      </x:c>
      <x:c r="G2352" s="38" t="n">
        <x:v>-1.9373928029</x:v>
      </x:c>
      <x:c r="H2352" s="42" t="b">
        <x:v>0</x:v>
      </x:c>
      <x:c r="I2352" s="42" t="b">
        <x:v>0</x:v>
      </x:c>
      <x:c r="J2352" s="38" t="n">
        <x:v>0.119671511</x:v>
      </x:c>
    </x:row>
    <x:row r="2353" ht="19" customHeight="1">
      <x:c r="A2353" s="29" t="str">
        <x:v>stagger_1</x:v>
      </x:c>
      <x:c r="B2353" s="38" t="str">
        <x:v>AMD</x:v>
      </x:c>
      <x:c r="C2353" s="38" t="str">
        <x:v>Other FX</x:v>
      </x:c>
      <x:c r="D2353" s="30" t="n">
        <x:v>3</x:v>
      </x:c>
      <x:c r="E2353" s="38" t="str">
        <x:v>MXN/USD</x:v>
      </x:c>
      <x:c r="F2353" s="38" t="n">
        <x:v>0.6757835805</x:v>
      </x:c>
      <x:c r="G2353" s="38" t="n">
        <x:v>0.7895253885</x:v>
      </x:c>
      <x:c r="H2353" s="42" t="b">
        <x:v>0</x:v>
      </x:c>
      <x:c r="I2353" s="42" t="b">
        <x:v>0</x:v>
      </x:c>
      <x:c r="J2353" s="38" t="n">
        <x:v>0.119671511</x:v>
      </x:c>
    </x:row>
    <x:row r="2354" ht="19" customHeight="1">
      <x:c r="A2354" s="29" t="str">
        <x:v>stagger_1</x:v>
      </x:c>
      <x:c r="B2354" s="38" t="str">
        <x:v>AMD</x:v>
      </x:c>
      <x:c r="C2354" s="38" t="str">
        <x:v>Other FX</x:v>
      </x:c>
      <x:c r="D2354" s="30" t="n">
        <x:v>4</x:v>
      </x:c>
      <x:c r="E2354" s="38" t="str">
        <x:v>DKK/USD</x:v>
      </x:c>
      <x:c r="F2354" s="38" t="n">
        <x:v>21.5045694213</x:v>
      </x:c>
      <x:c r="G2354" s="38" t="n">
        <x:v>2.1528180345</x:v>
      </x:c>
      <x:c r="H2354" s="42" t="b">
        <x:v>0</x:v>
      </x:c>
      <x:c r="I2354" s="42" t="b">
        <x:v>0</x:v>
      </x:c>
      <x:c r="J2354" s="38" t="n">
        <x:v>0.1158020416</x:v>
      </x:c>
    </x:row>
    <x:row r="2355" ht="19" customHeight="1">
      <x:c r="A2355" s="29" t="str">
        <x:v>stagger_1</x:v>
      </x:c>
      <x:c r="B2355" s="38" t="str">
        <x:v>AMD</x:v>
      </x:c>
      <x:c r="C2355" s="38" t="str">
        <x:v>Other FX</x:v>
      </x:c>
      <x:c r="D2355" s="30" t="n">
        <x:v>4</x:v>
      </x:c>
      <x:c r="E2355" s="38" t="str">
        <x:v>EUR/USD</x:v>
      </x:c>
      <x:c r="F2355" s="38" t="n">
        <x:v>-20.1245215883</x:v>
      </x:c>
      <x:c r="G2355" s="38" t="n">
        <x:v>-2.0893870758</x:v>
      </x:c>
      <x:c r="H2355" s="42" t="b">
        <x:v>0</x:v>
      </x:c>
      <x:c r="I2355" s="42" t="b">
        <x:v>0</x:v>
      </x:c>
      <x:c r="J2355" s="38" t="n">
        <x:v>0.1158020416</x:v>
      </x:c>
    </x:row>
    <x:row r="2356" ht="19" customHeight="1">
      <x:c r="A2356" s="29" t="str">
        <x:v>stagger_1</x:v>
      </x:c>
      <x:c r="B2356" s="38" t="str">
        <x:v>AMD</x:v>
      </x:c>
      <x:c r="C2356" s="38" t="str">
        <x:v>Other FX</x:v>
      </x:c>
      <x:c r="D2356" s="30" t="n">
        <x:v>4</x:v>
      </x:c>
      <x:c r="E2356" s="38" t="str">
        <x:v>MXN/USD</x:v>
      </x:c>
      <x:c r="F2356" s="38" t="n">
        <x:v>0.7528160261</x:v>
      </x:c>
      <x:c r="G2356" s="38" t="n">
        <x:v>0.8944847575</x:v>
      </x:c>
      <x:c r="H2356" s="42" t="b">
        <x:v>1</x:v>
      </x:c>
      <x:c r="I2356" s="42" t="b">
        <x:v>0</x:v>
      </x:c>
      <x:c r="J2356" s="38" t="n">
        <x:v>0.1158020416</x:v>
      </x:c>
    </x:row>
    <x:row r="2357" ht="19" customHeight="1">
      <x:c r="A2357" s="29" t="str">
        <x:v>stagger_1</x:v>
      </x:c>
      <x:c r="B2357" s="38" t="str">
        <x:v>AMD</x:v>
      </x:c>
      <x:c r="C2357" s="38" t="str">
        <x:v>Other FX</x:v>
      </x:c>
      <x:c r="D2357" s="30" t="n">
        <x:v>5</x:v>
      </x:c>
      <x:c r="E2357" s="38" t="str">
        <x:v>DKK/USD</x:v>
      </x:c>
      <x:c r="F2357" s="38" t="n">
        <x:v>24.5315905321</x:v>
      </x:c>
      <x:c r="G2357" s="38" t="n">
        <x:v>2.6136011461</x:v>
      </x:c>
      <x:c r="H2357" s="42" t="b">
        <x:v>0</x:v>
      </x:c>
      <x:c r="I2357" s="42" t="b">
        <x:v>1</x:v>
      </x:c>
      <x:c r="J2357" s="38" t="n">
        <x:v>0.1064934966</x:v>
      </x:c>
    </x:row>
    <x:row r="2358" ht="19" customHeight="1">
      <x:c r="A2358" s="29" t="str">
        <x:v>stagger_1</x:v>
      </x:c>
      <x:c r="B2358" s="38" t="str">
        <x:v>AMD</x:v>
      </x:c>
      <x:c r="C2358" s="38" t="str">
        <x:v>Other FX</x:v>
      </x:c>
      <x:c r="D2358" s="30" t="n">
        <x:v>5</x:v>
      </x:c>
      <x:c r="E2358" s="38" t="str">
        <x:v>EUR/USD</x:v>
      </x:c>
      <x:c r="F2358" s="38" t="n">
        <x:v>-22.5368701236</x:v>
      </x:c>
      <x:c r="G2358" s="38" t="n">
        <x:v>-2.4405087839</x:v>
      </x:c>
      <x:c r="H2358" s="42" t="b">
        <x:v>0</x:v>
      </x:c>
      <x:c r="I2358" s="42" t="b">
        <x:v>1</x:v>
      </x:c>
      <x:c r="J2358" s="38" t="n">
        <x:v>0.1064934966</x:v>
      </x:c>
    </x:row>
    <x:row r="2359" ht="19" customHeight="1">
      <x:c r="A2359" s="29" t="str">
        <x:v>stagger_1</x:v>
      </x:c>
      <x:c r="B2359" s="38" t="str">
        <x:v>AMD</x:v>
      </x:c>
      <x:c r="C2359" s="38" t="str">
        <x:v>Other sectors</x:v>
      </x:c>
      <x:c r="D2359" s="30" t="n">
        <x:v>1</x:v>
      </x:c>
      <x:c r="E2359" s="38" t="str">
        <x:v>XLB</x:v>
      </x:c>
      <x:c r="F2359" s="38" t="n">
        <x:v>-0.3828146719</x:v>
      </x:c>
      <x:c r="G2359" s="38" t="n">
        <x:v>-0.6721845474</x:v>
      </x:c>
      <x:c r="H2359" s="42" t="b">
        <x:v>0</x:v>
      </x:c>
      <x:c r="I2359" s="42" t="b">
        <x:v>0</x:v>
      </x:c>
      <x:c r="J2359" s="38" t="n">
        <x:v>0.1420036912</x:v>
      </x:c>
    </x:row>
    <x:row r="2360" ht="19" customHeight="1">
      <x:c r="A2360" s="29" t="str">
        <x:v>stagger_1</x:v>
      </x:c>
      <x:c r="B2360" s="38" t="str">
        <x:v>AMD</x:v>
      </x:c>
      <x:c r="C2360" s="38" t="str">
        <x:v>Other sectors</x:v>
      </x:c>
      <x:c r="D2360" s="30" t="n">
        <x:v>1</x:v>
      </x:c>
      <x:c r="E2360" s="38" t="str">
        <x:v>XLC</x:v>
      </x:c>
      <x:c r="F2360" s="38" t="n">
        <x:v>-0.2767566429</x:v>
      </x:c>
      <x:c r="G2360" s="38" t="n">
        <x:v>-0.5800654282</x:v>
      </x:c>
      <x:c r="H2360" s="42" t="b">
        <x:v>0</x:v>
      </x:c>
      <x:c r="I2360" s="42" t="b">
        <x:v>0</x:v>
      </x:c>
      <x:c r="J2360" s="38" t="n">
        <x:v>0.1420036912</x:v>
      </x:c>
    </x:row>
    <x:row r="2361" ht="19" customHeight="1">
      <x:c r="A2361" s="29" t="str">
        <x:v>stagger_1</x:v>
      </x:c>
      <x:c r="B2361" s="38" t="str">
        <x:v>AMD</x:v>
      </x:c>
      <x:c r="C2361" s="38" t="str">
        <x:v>Other sectors</x:v>
      </x:c>
      <x:c r="D2361" s="30" t="n">
        <x:v>1</x:v>
      </x:c>
      <x:c r="E2361" s="38" t="str">
        <x:v>XLE</x:v>
      </x:c>
      <x:c r="F2361" s="38" t="n">
        <x:v>0.2684881567</x:v>
      </x:c>
      <x:c r="G2361" s="38" t="n">
        <x:v>1.4094424941</x:v>
      </x:c>
      <x:c r="H2361" s="42" t="b">
        <x:v>0</x:v>
      </x:c>
      <x:c r="I2361" s="42" t="b">
        <x:v>0</x:v>
      </x:c>
      <x:c r="J2361" s="38" t="n">
        <x:v>0.1420036912</x:v>
      </x:c>
    </x:row>
    <x:row r="2362" ht="19" customHeight="1">
      <x:c r="A2362" s="29" t="str">
        <x:v>stagger_1</x:v>
      </x:c>
      <x:c r="B2362" s="38" t="str">
        <x:v>AMD</x:v>
      </x:c>
      <x:c r="C2362" s="38" t="str">
        <x:v>Other sectors</x:v>
      </x:c>
      <x:c r="D2362" s="30" t="n">
        <x:v>1</x:v>
      </x:c>
      <x:c r="E2362" s="38" t="str">
        <x:v>XLF</x:v>
      </x:c>
      <x:c r="F2362" s="38" t="n">
        <x:v>-0.0479742707</x:v>
      </x:c>
      <x:c r="G2362" s="38" t="n">
        <x:v>-0.1021250094</x:v>
      </x:c>
      <x:c r="H2362" s="42" t="b">
        <x:v>0</x:v>
      </x:c>
      <x:c r="I2362" s="42" t="b">
        <x:v>0</x:v>
      </x:c>
      <x:c r="J2362" s="38" t="n">
        <x:v>0.1420036912</x:v>
      </x:c>
    </x:row>
    <x:row r="2363" ht="19" customHeight="1">
      <x:c r="A2363" s="29" t="str">
        <x:v>stagger_1</x:v>
      </x:c>
      <x:c r="B2363" s="38" t="str">
        <x:v>AMD</x:v>
      </x:c>
      <x:c r="C2363" s="38" t="str">
        <x:v>Other sectors</x:v>
      </x:c>
      <x:c r="D2363" s="30" t="n">
        <x:v>1</x:v>
      </x:c>
      <x:c r="E2363" s="38" t="str">
        <x:v>XLI</x:v>
      </x:c>
      <x:c r="F2363" s="38" t="n">
        <x:v>0.0276338463</x:v>
      </x:c>
      <x:c r="G2363" s="38" t="n">
        <x:v>0.0377151346</x:v>
      </x:c>
      <x:c r="H2363" s="42" t="b">
        <x:v>1</x:v>
      </x:c>
      <x:c r="I2363" s="42" t="b">
        <x:v>0</x:v>
      </x:c>
      <x:c r="J2363" s="38" t="n">
        <x:v>0.1420036912</x:v>
      </x:c>
    </x:row>
    <x:row r="2364" ht="19" customHeight="1">
      <x:c r="A2364" s="29" t="str">
        <x:v>stagger_1</x:v>
      </x:c>
      <x:c r="B2364" s="38" t="str">
        <x:v>AMD</x:v>
      </x:c>
      <x:c r="C2364" s="38" t="str">
        <x:v>Other sectors</x:v>
      </x:c>
      <x:c r="D2364" s="30" t="n">
        <x:v>1</x:v>
      </x:c>
      <x:c r="E2364" s="38" t="str">
        <x:v>XLP</x:v>
      </x:c>
      <x:c r="F2364" s="38" t="n">
        <x:v>-1.0171476803</x:v>
      </x:c>
      <x:c r="G2364" s="38" t="n">
        <x:v>-1.7870791907</x:v>
      </x:c>
      <x:c r="H2364" s="42" t="b">
        <x:v>0</x:v>
      </x:c>
      <x:c r="I2364" s="42" t="b">
        <x:v>0</x:v>
      </x:c>
      <x:c r="J2364" s="38" t="n">
        <x:v>0.1420036912</x:v>
      </x:c>
    </x:row>
    <x:row r="2365" ht="19" customHeight="1">
      <x:c r="A2365" s="29" t="str">
        <x:v>stagger_1</x:v>
      </x:c>
      <x:c r="B2365" s="38" t="str">
        <x:v>AMD</x:v>
      </x:c>
      <x:c r="C2365" s="38" t="str">
        <x:v>Other sectors</x:v>
      </x:c>
      <x:c r="D2365" s="30" t="n">
        <x:v>1</x:v>
      </x:c>
      <x:c r="E2365" s="38" t="str">
        <x:v>XLRE</x:v>
      </x:c>
      <x:c r="F2365" s="38" t="n">
        <x:v>0.0760410592</x:v>
      </x:c>
      <x:c r="G2365" s="38" t="n">
        <x:v>0.1568964983</x:v>
      </x:c>
      <x:c r="H2365" s="42" t="b">
        <x:v>0</x:v>
      </x:c>
      <x:c r="I2365" s="42" t="b">
        <x:v>0</x:v>
      </x:c>
      <x:c r="J2365" s="38" t="n">
        <x:v>0.1420036912</x:v>
      </x:c>
    </x:row>
    <x:row r="2366" ht="19" customHeight="1">
      <x:c r="A2366" s="29" t="str">
        <x:v>stagger_1</x:v>
      </x:c>
      <x:c r="B2366" s="38" t="str">
        <x:v>AMD</x:v>
      </x:c>
      <x:c r="C2366" s="38" t="str">
        <x:v>Other sectors</x:v>
      </x:c>
      <x:c r="D2366" s="30" t="n">
        <x:v>1</x:v>
      </x:c>
      <x:c r="E2366" s="38" t="str">
        <x:v>XLU</x:v>
      </x:c>
      <x:c r="F2366" s="38" t="n">
        <x:v>0.5409604986</x:v>
      </x:c>
      <x:c r="G2366" s="38" t="n">
        <x:v>1.4695113989</x:v>
      </x:c>
      <x:c r="H2366" s="42" t="b">
        <x:v>0</x:v>
      </x:c>
      <x:c r="I2366" s="42" t="b">
        <x:v>0</x:v>
      </x:c>
      <x:c r="J2366" s="38" t="n">
        <x:v>0.1420036912</x:v>
      </x:c>
    </x:row>
    <x:row r="2367" ht="19" customHeight="1">
      <x:c r="A2367" s="29" t="str">
        <x:v>stagger_1</x:v>
      </x:c>
      <x:c r="B2367" s="38" t="str">
        <x:v>AMD</x:v>
      </x:c>
      <x:c r="C2367" s="38" t="str">
        <x:v>Other sectors</x:v>
      </x:c>
      <x:c r="D2367" s="30" t="n">
        <x:v>1</x:v>
      </x:c>
      <x:c r="E2367" s="38" t="str">
        <x:v>XLV</x:v>
      </x:c>
      <x:c r="F2367" s="38" t="n">
        <x:v>0.5319593177</x:v>
      </x:c>
      <x:c r="G2367" s="38" t="n">
        <x:v>1.2238483855</x:v>
      </x:c>
      <x:c r="H2367" s="42" t="b">
        <x:v>0</x:v>
      </x:c>
      <x:c r="I2367" s="42" t="b">
        <x:v>0</x:v>
      </x:c>
      <x:c r="J2367" s="38" t="n">
        <x:v>0.1420036912</x:v>
      </x:c>
    </x:row>
    <x:row r="2368" ht="19" customHeight="1">
      <x:c r="A2368" s="29" t="str">
        <x:v>stagger_1</x:v>
      </x:c>
      <x:c r="B2368" s="38" t="str">
        <x:v>AMD</x:v>
      </x:c>
      <x:c r="C2368" s="38" t="str">
        <x:v>Other sectors</x:v>
      </x:c>
      <x:c r="D2368" s="30" t="n">
        <x:v>1</x:v>
      </x:c>
      <x:c r="E2368" s="38" t="str">
        <x:v>XLY</x:v>
      </x:c>
      <x:c r="F2368" s="38" t="n">
        <x:v>-0.3468603818</x:v>
      </x:c>
      <x:c r="G2368" s="38" t="n">
        <x:v>-0.6961837755</x:v>
      </x:c>
      <x:c r="H2368" s="42" t="b">
        <x:v>0</x:v>
      </x:c>
      <x:c r="I2368" s="42" t="b">
        <x:v>0</x:v>
      </x:c>
      <x:c r="J2368" s="38" t="n">
        <x:v>0.1420036912</x:v>
      </x:c>
    </x:row>
    <x:row r="2369" ht="19" customHeight="1">
      <x:c r="A2369" s="29" t="str">
        <x:v>stagger_1</x:v>
      </x:c>
      <x:c r="B2369" s="38" t="str">
        <x:v>AMD</x:v>
      </x:c>
      <x:c r="C2369" s="38" t="str">
        <x:v>Other sectors</x:v>
      </x:c>
      <x:c r="D2369" s="30" t="n">
        <x:v>2</x:v>
      </x:c>
      <x:c r="E2369" s="38" t="str">
        <x:v>XLB</x:v>
      </x:c>
      <x:c r="F2369" s="38" t="n">
        <x:v>-0.3677948087</x:v>
      </x:c>
      <x:c r="G2369" s="38" t="n">
        <x:v>-0.9099365466</x:v>
      </x:c>
      <x:c r="H2369" s="42" t="b">
        <x:v>0</x:v>
      </x:c>
      <x:c r="I2369" s="42" t="b">
        <x:v>0</x:v>
      </x:c>
      <x:c r="J2369" s="38" t="n">
        <x:v>0.1419860036</x:v>
      </x:c>
    </x:row>
    <x:row r="2370" ht="19" customHeight="1">
      <x:c r="A2370" s="29" t="str">
        <x:v>stagger_1</x:v>
      </x:c>
      <x:c r="B2370" s="38" t="str">
        <x:v>AMD</x:v>
      </x:c>
      <x:c r="C2370" s="38" t="str">
        <x:v>Other sectors</x:v>
      </x:c>
      <x:c r="D2370" s="30" t="n">
        <x:v>2</x:v>
      </x:c>
      <x:c r="E2370" s="38" t="str">
        <x:v>XLC</x:v>
      </x:c>
      <x:c r="F2370" s="38" t="n">
        <x:v>-0.2790224227</x:v>
      </x:c>
      <x:c r="G2370" s="38" t="n">
        <x:v>-0.5937566025</x:v>
      </x:c>
      <x:c r="H2370" s="42" t="b">
        <x:v>0</x:v>
      </x:c>
      <x:c r="I2370" s="42" t="b">
        <x:v>0</x:v>
      </x:c>
      <x:c r="J2370" s="38" t="n">
        <x:v>0.1419860036</x:v>
      </x:c>
    </x:row>
    <x:row r="2371" ht="19" customHeight="1">
      <x:c r="A2371" s="29" t="str">
        <x:v>stagger_1</x:v>
      </x:c>
      <x:c r="B2371" s="38" t="str">
        <x:v>AMD</x:v>
      </x:c>
      <x:c r="C2371" s="38" t="str">
        <x:v>Other sectors</x:v>
      </x:c>
      <x:c r="D2371" s="30" t="n">
        <x:v>2</x:v>
      </x:c>
      <x:c r="E2371" s="38" t="str">
        <x:v>XLE</x:v>
      </x:c>
      <x:c r="F2371" s="38" t="n">
        <x:v>0.267481937</x:v>
      </x:c>
      <x:c r="G2371" s="38" t="n">
        <x:v>1.4283625702</x:v>
      </x:c>
      <x:c r="H2371" s="42" t="b">
        <x:v>0</x:v>
      </x:c>
      <x:c r="I2371" s="42" t="b">
        <x:v>0</x:v>
      </x:c>
      <x:c r="J2371" s="38" t="n">
        <x:v>0.1419860036</x:v>
      </x:c>
    </x:row>
    <x:row r="2372" ht="19" customHeight="1">
      <x:c r="A2372" s="29" t="str">
        <x:v>stagger_1</x:v>
      </x:c>
      <x:c r="B2372" s="38" t="str">
        <x:v>AMD</x:v>
      </x:c>
      <x:c r="C2372" s="38" t="str">
        <x:v>Other sectors</x:v>
      </x:c>
      <x:c r="D2372" s="30" t="n">
        <x:v>2</x:v>
      </x:c>
      <x:c r="E2372" s="38" t="str">
        <x:v>XLF</x:v>
      </x:c>
      <x:c r="F2372" s="38" t="n">
        <x:v>-0.0445686467</x:v>
      </x:c>
      <x:c r="G2372" s="38" t="n">
        <x:v>-0.097375267</x:v>
      </x:c>
      <x:c r="H2372" s="42" t="b">
        <x:v>1</x:v>
      </x:c>
      <x:c r="I2372" s="42" t="b">
        <x:v>0</x:v>
      </x:c>
      <x:c r="J2372" s="38" t="n">
        <x:v>0.1419860036</x:v>
      </x:c>
    </x:row>
    <x:row r="2373" ht="19" customHeight="1">
      <x:c r="A2373" s="29" t="str">
        <x:v>stagger_1</x:v>
      </x:c>
      <x:c r="B2373" s="38" t="str">
        <x:v>AMD</x:v>
      </x:c>
      <x:c r="C2373" s="38" t="str">
        <x:v>Other sectors</x:v>
      </x:c>
      <x:c r="D2373" s="30" t="n">
        <x:v>2</x:v>
      </x:c>
      <x:c r="E2373" s="38" t="str">
        <x:v>XLP</x:v>
      </x:c>
      <x:c r="F2373" s="38" t="n">
        <x:v>-1.0129753589</x:v>
      </x:c>
      <x:c r="G2373" s="38" t="n">
        <x:v>-1.8274315433</x:v>
      </x:c>
      <x:c r="H2373" s="42" t="b">
        <x:v>0</x:v>
      </x:c>
      <x:c r="I2373" s="42" t="b">
        <x:v>0</x:v>
      </x:c>
      <x:c r="J2373" s="38" t="n">
        <x:v>0.1419860036</x:v>
      </x:c>
    </x:row>
    <x:row r="2374" ht="19" customHeight="1">
      <x:c r="A2374" s="29" t="str">
        <x:v>stagger_1</x:v>
      </x:c>
      <x:c r="B2374" s="38" t="str">
        <x:v>AMD</x:v>
      </x:c>
      <x:c r="C2374" s="38" t="str">
        <x:v>Other sectors</x:v>
      </x:c>
      <x:c r="D2374" s="30" t="n">
        <x:v>2</x:v>
      </x:c>
      <x:c r="E2374" s="38" t="str">
        <x:v>XLRE</x:v>
      </x:c>
      <x:c r="F2374" s="38" t="n">
        <x:v>0.0734329576</x:v>
      </x:c>
      <x:c r="G2374" s="38" t="n">
        <x:v>0.1541851495</x:v>
      </x:c>
      <x:c r="H2374" s="42" t="b">
        <x:v>0</x:v>
      </x:c>
      <x:c r="I2374" s="42" t="b">
        <x:v>0</x:v>
      </x:c>
      <x:c r="J2374" s="38" t="n">
        <x:v>0.1419860036</x:v>
      </x:c>
    </x:row>
    <x:row r="2375" ht="19" customHeight="1">
      <x:c r="A2375" s="29" t="str">
        <x:v>stagger_1</x:v>
      </x:c>
      <x:c r="B2375" s="38" t="str">
        <x:v>AMD</x:v>
      </x:c>
      <x:c r="C2375" s="38" t="str">
        <x:v>Other sectors</x:v>
      </x:c>
      <x:c r="D2375" s="30" t="n">
        <x:v>2</x:v>
      </x:c>
      <x:c r="E2375" s="38" t="str">
        <x:v>XLU</x:v>
      </x:c>
      <x:c r="F2375" s="38" t="n">
        <x:v>0.5425095823</x:v>
      </x:c>
      <x:c r="G2375" s="38" t="n">
        <x:v>1.4936713236</x:v>
      </x:c>
      <x:c r="H2375" s="42" t="b">
        <x:v>0</x:v>
      </x:c>
      <x:c r="I2375" s="42" t="b">
        <x:v>0</x:v>
      </x:c>
      <x:c r="J2375" s="38" t="n">
        <x:v>0.1419860036</x:v>
      </x:c>
    </x:row>
    <x:row r="2376" ht="19" customHeight="1">
      <x:c r="A2376" s="29" t="str">
        <x:v>stagger_1</x:v>
      </x:c>
      <x:c r="B2376" s="38" t="str">
        <x:v>AMD</x:v>
      </x:c>
      <x:c r="C2376" s="38" t="str">
        <x:v>Other sectors</x:v>
      </x:c>
      <x:c r="D2376" s="30" t="n">
        <x:v>2</x:v>
      </x:c>
      <x:c r="E2376" s="38" t="str">
        <x:v>XLV</x:v>
      </x:c>
      <x:c r="F2376" s="38" t="n">
        <x:v>0.5290348882</x:v>
      </x:c>
      <x:c r="G2376" s="38" t="n">
        <x:v>1.2458801483</x:v>
      </x:c>
      <x:c r="H2376" s="42" t="b">
        <x:v>0</x:v>
      </x:c>
      <x:c r="I2376" s="42" t="b">
        <x:v>0</x:v>
      </x:c>
      <x:c r="J2376" s="38" t="n">
        <x:v>0.1419860036</x:v>
      </x:c>
    </x:row>
    <x:row r="2377" ht="19" customHeight="1">
      <x:c r="A2377" s="29" t="str">
        <x:v>stagger_1</x:v>
      </x:c>
      <x:c r="B2377" s="38" t="str">
        <x:v>AMD</x:v>
      </x:c>
      <x:c r="C2377" s="38" t="str">
        <x:v>Other sectors</x:v>
      </x:c>
      <x:c r="D2377" s="30" t="n">
        <x:v>2</x:v>
      </x:c>
      <x:c r="E2377" s="38" t="str">
        <x:v>XLY</x:v>
      </x:c>
      <x:c r="F2377" s="38" t="n">
        <x:v>-0.3484942338</x:v>
      </x:c>
      <x:c r="G2377" s="38" t="n">
        <x:v>-0.7071844553</x:v>
      </x:c>
      <x:c r="H2377" s="42" t="b">
        <x:v>0</x:v>
      </x:c>
      <x:c r="I2377" s="42" t="b">
        <x:v>0</x:v>
      </x:c>
      <x:c r="J2377" s="38" t="n">
        <x:v>0.1419860036</x:v>
      </x:c>
    </x:row>
    <x:row r="2378" ht="19" customHeight="1">
      <x:c r="A2378" s="29" t="str">
        <x:v>stagger_1</x:v>
      </x:c>
      <x:c r="B2378" s="38" t="str">
        <x:v>AMD</x:v>
      </x:c>
      <x:c r="C2378" s="38" t="str">
        <x:v>Other sectors</x:v>
      </x:c>
      <x:c r="D2378" s="30" t="n">
        <x:v>3</x:v>
      </x:c>
      <x:c r="E2378" s="38" t="str">
        <x:v>XLB</x:v>
      </x:c>
      <x:c r="F2378" s="38" t="n">
        <x:v>-0.3810693718</x:v>
      </x:c>
      <x:c r="G2378" s="38" t="n">
        <x:v>-1.0085149805</x:v>
      </x:c>
      <x:c r="H2378" s="42" t="b">
        <x:v>0</x:v>
      </x:c>
      <x:c r="I2378" s="42" t="b">
        <x:v>0</x:v>
      </x:c>
      <x:c r="J2378" s="38" t="n">
        <x:v>0.1418697802</x:v>
      </x:c>
    </x:row>
    <x:row r="2379" ht="19" customHeight="1">
      <x:c r="A2379" s="29" t="str">
        <x:v>stagger_1</x:v>
      </x:c>
      <x:c r="B2379" s="38" t="str">
        <x:v>AMD</x:v>
      </x:c>
      <x:c r="C2379" s="38" t="str">
        <x:v>Other sectors</x:v>
      </x:c>
      <x:c r="D2379" s="30" t="n">
        <x:v>3</x:v>
      </x:c>
      <x:c r="E2379" s="38" t="str">
        <x:v>XLC</x:v>
      </x:c>
      <x:c r="F2379" s="38" t="n">
        <x:v>-0.2835193095</x:v>
      </x:c>
      <x:c r="G2379" s="38" t="n">
        <x:v>-0.610534241</x:v>
      </x:c>
      <x:c r="H2379" s="42" t="b">
        <x:v>0</x:v>
      </x:c>
      <x:c r="I2379" s="42" t="b">
        <x:v>0</x:v>
      </x:c>
      <x:c r="J2379" s="38" t="n">
        <x:v>0.1418697802</x:v>
      </x:c>
    </x:row>
    <x:row r="2380" ht="19" customHeight="1">
      <x:c r="A2380" s="29" t="str">
        <x:v>stagger_1</x:v>
      </x:c>
      <x:c r="B2380" s="38" t="str">
        <x:v>AMD</x:v>
      </x:c>
      <x:c r="C2380" s="38" t="str">
        <x:v>Other sectors</x:v>
      </x:c>
      <x:c r="D2380" s="30" t="n">
        <x:v>3</x:v>
      </x:c>
      <x:c r="E2380" s="38" t="str">
        <x:v>XLE</x:v>
      </x:c>
      <x:c r="F2380" s="38" t="n">
        <x:v>0.2650463005</x:v>
      </x:c>
      <x:c r="G2380" s="38" t="n">
        <x:v>1.4382207754</x:v>
      </x:c>
      <x:c r="H2380" s="42" t="b">
        <x:v>0</x:v>
      </x:c>
      <x:c r="I2380" s="42" t="b">
        <x:v>0</x:v>
      </x:c>
      <x:c r="J2380" s="38" t="n">
        <x:v>0.1418697802</x:v>
      </x:c>
    </x:row>
    <x:row r="2381" ht="19" customHeight="1">
      <x:c r="A2381" s="29" t="str">
        <x:v>stagger_1</x:v>
      </x:c>
      <x:c r="B2381" s="38" t="str">
        <x:v>AMD</x:v>
      </x:c>
      <x:c r="C2381" s="38" t="str">
        <x:v>Other sectors</x:v>
      </x:c>
      <x:c r="D2381" s="30" t="n">
        <x:v>3</x:v>
      </x:c>
      <x:c r="E2381" s="38" t="str">
        <x:v>XLP</x:v>
      </x:c>
      <x:c r="F2381" s="38" t="n">
        <x:v>-0.9970942651</x:v>
      </x:c>
      <x:c r="G2381" s="38" t="n">
        <x:v>-1.8953553241</x:v>
      </x:c>
      <x:c r="H2381" s="42" t="b">
        <x:v>0</x:v>
      </x:c>
      <x:c r="I2381" s="42" t="b">
        <x:v>0</x:v>
      </x:c>
      <x:c r="J2381" s="38" t="n">
        <x:v>0.1418697802</x:v>
      </x:c>
    </x:row>
    <x:row r="2382" ht="19" customHeight="1">
      <x:c r="A2382" s="29" t="str">
        <x:v>stagger_1</x:v>
      </x:c>
      <x:c r="B2382" s="38" t="str">
        <x:v>AMD</x:v>
      </x:c>
      <x:c r="C2382" s="38" t="str">
        <x:v>Other sectors</x:v>
      </x:c>
      <x:c r="D2382" s="30" t="n">
        <x:v>3</x:v>
      </x:c>
      <x:c r="E2382" s="38" t="str">
        <x:v>XLRE</x:v>
      </x:c>
      <x:c r="F2382" s="38" t="n">
        <x:v>0.0656412302</x:v>
      </x:c>
      <x:c r="G2382" s="38" t="n">
        <x:v>0.1407980659</x:v>
      </x:c>
      <x:c r="H2382" s="42" t="b">
        <x:v>1</x:v>
      </x:c>
      <x:c r="I2382" s="42" t="b">
        <x:v>0</x:v>
      </x:c>
      <x:c r="J2382" s="38" t="n">
        <x:v>0.1418697802</x:v>
      </x:c>
    </x:row>
    <x:row r="2383" ht="19" customHeight="1">
      <x:c r="A2383" s="29" t="str">
        <x:v>stagger_1</x:v>
      </x:c>
      <x:c r="B2383" s="38" t="str">
        <x:v>AMD</x:v>
      </x:c>
      <x:c r="C2383" s="38" t="str">
        <x:v>Other sectors</x:v>
      </x:c>
      <x:c r="D2383" s="30" t="n">
        <x:v>3</x:v>
      </x:c>
      <x:c r="E2383" s="38" t="str">
        <x:v>XLU</x:v>
      </x:c>
      <x:c r="F2383" s="38" t="n">
        <x:v>0.5433394106</x:v>
      </x:c>
      <x:c r="G2383" s="38" t="n">
        <x:v>1.50691639</x:v>
      </x:c>
      <x:c r="H2383" s="42" t="b">
        <x:v>0</x:v>
      </x:c>
      <x:c r="I2383" s="42" t="b">
        <x:v>0</x:v>
      </x:c>
      <x:c r="J2383" s="38" t="n">
        <x:v>0.1418697802</x:v>
      </x:c>
    </x:row>
    <x:row r="2384" ht="19" customHeight="1">
      <x:c r="A2384" s="29" t="str">
        <x:v>stagger_1</x:v>
      </x:c>
      <x:c r="B2384" s="38" t="str">
        <x:v>AMD</x:v>
      </x:c>
      <x:c r="C2384" s="38" t="str">
        <x:v>Other sectors</x:v>
      </x:c>
      <x:c r="D2384" s="30" t="n">
        <x:v>3</x:v>
      </x:c>
      <x:c r="E2384" s="38" t="str">
        <x:v>XLV</x:v>
      </x:c>
      <x:c r="F2384" s="38" t="n">
        <x:v>0.5217035607</x:v>
      </x:c>
      <x:c r="G2384" s="38" t="n">
        <x:v>1.2571952533</x:v>
      </x:c>
      <x:c r="H2384" s="42" t="b">
        <x:v>0</x:v>
      </x:c>
      <x:c r="I2384" s="42" t="b">
        <x:v>0</x:v>
      </x:c>
      <x:c r="J2384" s="38" t="n">
        <x:v>0.1418697802</x:v>
      </x:c>
    </x:row>
    <x:row r="2385" ht="19" customHeight="1">
      <x:c r="A2385" s="29" t="str">
        <x:v>stagger_1</x:v>
      </x:c>
      <x:c r="B2385" s="38" t="str">
        <x:v>AMD</x:v>
      </x:c>
      <x:c r="C2385" s="38" t="str">
        <x:v>Other sectors</x:v>
      </x:c>
      <x:c r="D2385" s="30" t="n">
        <x:v>3</x:v>
      </x:c>
      <x:c r="E2385" s="38" t="str">
        <x:v>XLY</x:v>
      </x:c>
      <x:c r="F2385" s="38" t="n">
        <x:v>-0.3477665963</x:v>
      </x:c>
      <x:c r="G2385" s="38" t="n">
        <x:v>-0.7107643752</x:v>
      </x:c>
      <x:c r="H2385" s="42" t="b">
        <x:v>0</x:v>
      </x:c>
      <x:c r="I2385" s="42" t="b">
        <x:v>0</x:v>
      </x:c>
      <x:c r="J2385" s="38" t="n">
        <x:v>0.1418697802</x:v>
      </x:c>
    </x:row>
    <x:row r="2386" ht="19" customHeight="1">
      <x:c r="A2386" s="29" t="str">
        <x:v>stagger_1</x:v>
      </x:c>
      <x:c r="B2386" s="38" t="str">
        <x:v>AMD</x:v>
      </x:c>
      <x:c r="C2386" s="38" t="str">
        <x:v>Other sectors</x:v>
      </x:c>
      <x:c r="D2386" s="30" t="n">
        <x:v>4</x:v>
      </x:c>
      <x:c r="E2386" s="38" t="str">
        <x:v>XLB</x:v>
      </x:c>
      <x:c r="F2386" s="38" t="n">
        <x:v>-0.3772615996</x:v>
      </x:c>
      <x:c r="G2386" s="38" t="n">
        <x:v>-1.0078887987</x:v>
      </x:c>
      <x:c r="H2386" s="42" t="b">
        <x:v>0</x:v>
      </x:c>
      <x:c r="I2386" s="42" t="b">
        <x:v>0</x:v>
      </x:c>
      <x:c r="J2386" s="38" t="n">
        <x:v>0.1416301794</x:v>
      </x:c>
    </x:row>
    <x:row r="2387" ht="19" customHeight="1">
      <x:c r="A2387" s="29" t="str">
        <x:v>stagger_1</x:v>
      </x:c>
      <x:c r="B2387" s="38" t="str">
        <x:v>AMD</x:v>
      </x:c>
      <x:c r="C2387" s="38" t="str">
        <x:v>Other sectors</x:v>
      </x:c>
      <x:c r="D2387" s="30" t="n">
        <x:v>4</x:v>
      </x:c>
      <x:c r="E2387" s="38" t="str">
        <x:v>XLC</x:v>
      </x:c>
      <x:c r="F2387" s="38" t="n">
        <x:v>-0.2915321647</x:v>
      </x:c>
      <x:c r="G2387" s="38" t="n">
        <x:v>-0.6369074776</x:v>
      </x:c>
      <x:c r="H2387" s="42" t="b">
        <x:v>1</x:v>
      </x:c>
      <x:c r="I2387" s="42" t="b">
        <x:v>0</x:v>
      </x:c>
      <x:c r="J2387" s="38" t="n">
        <x:v>0.1416301794</x:v>
      </x:c>
    </x:row>
    <x:row r="2388" ht="19" customHeight="1">
      <x:c r="A2388" s="29" t="str">
        <x:v>stagger_1</x:v>
      </x:c>
      <x:c r="B2388" s="38" t="str">
        <x:v>AMD</x:v>
      </x:c>
      <x:c r="C2388" s="38" t="str">
        <x:v>Other sectors</x:v>
      </x:c>
      <x:c r="D2388" s="30" t="n">
        <x:v>4</x:v>
      </x:c>
      <x:c r="E2388" s="38" t="str">
        <x:v>XLE</x:v>
      </x:c>
      <x:c r="F2388" s="38" t="n">
        <x:v>0.2681094093</x:v>
      </x:c>
      <x:c r="G2388" s="38" t="n">
        <x:v>1.475162195</x:v>
      </x:c>
      <x:c r="H2388" s="42" t="b">
        <x:v>0</x:v>
      </x:c>
      <x:c r="I2388" s="42" t="b">
        <x:v>0</x:v>
      </x:c>
      <x:c r="J2388" s="38" t="n">
        <x:v>0.1416301794</x:v>
      </x:c>
    </x:row>
    <x:row r="2389" ht="19" customHeight="1">
      <x:c r="A2389" s="29" t="str">
        <x:v>stagger_1</x:v>
      </x:c>
      <x:c r="B2389" s="38" t="str">
        <x:v>AMD</x:v>
      </x:c>
      <x:c r="C2389" s="38" t="str">
        <x:v>Other sectors</x:v>
      </x:c>
      <x:c r="D2389" s="30" t="n">
        <x:v>4</x:v>
      </x:c>
      <x:c r="E2389" s="38" t="str">
        <x:v>XLP</x:v>
      </x:c>
      <x:c r="F2389" s="38" t="n">
        <x:v>-0.974848195</x:v>
      </x:c>
      <x:c r="G2389" s="38" t="n">
        <x:v>-1.9561207893</x:v>
      </x:c>
      <x:c r="H2389" s="42" t="b">
        <x:v>0</x:v>
      </x:c>
      <x:c r="I2389" s="42" t="b">
        <x:v>0</x:v>
      </x:c>
      <x:c r="J2389" s="38" t="n">
        <x:v>0.1416301794</x:v>
      </x:c>
    </x:row>
    <x:row r="2390" ht="19" customHeight="1">
      <x:c r="A2390" s="29" t="str">
        <x:v>stagger_1</x:v>
      </x:c>
      <x:c r="B2390" s="38" t="str">
        <x:v>AMD</x:v>
      </x:c>
      <x:c r="C2390" s="38" t="str">
        <x:v>Other sectors</x:v>
      </x:c>
      <x:c r="D2390" s="30" t="n">
        <x:v>4</x:v>
      </x:c>
      <x:c r="E2390" s="38" t="str">
        <x:v>XLU</x:v>
      </x:c>
      <x:c r="F2390" s="38" t="n">
        <x:v>0.5580878417</x:v>
      </x:c>
      <x:c r="G2390" s="38" t="n">
        <x:v>1.6287097226</x:v>
      </x:c>
      <x:c r="H2390" s="42" t="b">
        <x:v>0</x:v>
      </x:c>
      <x:c r="I2390" s="42" t="b">
        <x:v>0</x:v>
      </x:c>
      <x:c r="J2390" s="38" t="n">
        <x:v>0.1416301794</x:v>
      </x:c>
    </x:row>
    <x:row r="2391" ht="19" customHeight="1">
      <x:c r="A2391" s="29" t="str">
        <x:v>stagger_1</x:v>
      </x:c>
      <x:c r="B2391" s="38" t="str">
        <x:v>AMD</x:v>
      </x:c>
      <x:c r="C2391" s="38" t="str">
        <x:v>Other sectors</x:v>
      </x:c>
      <x:c r="D2391" s="30" t="n">
        <x:v>4</x:v>
      </x:c>
      <x:c r="E2391" s="38" t="str">
        <x:v>XLV</x:v>
      </x:c>
      <x:c r="F2391" s="38" t="n">
        <x:v>0.5377986319</x:v>
      </x:c>
      <x:c r="G2391" s="38" t="n">
        <x:v>1.3574124719</x:v>
      </x:c>
      <x:c r="H2391" s="42" t="b">
        <x:v>0</x:v>
      </x:c>
      <x:c r="I2391" s="42" t="b">
        <x:v>0</x:v>
      </x:c>
      <x:c r="J2391" s="38" t="n">
        <x:v>0.1416301794</x:v>
      </x:c>
    </x:row>
    <x:row r="2392" ht="19" customHeight="1">
      <x:c r="A2392" s="29" t="str">
        <x:v>stagger_1</x:v>
      </x:c>
      <x:c r="B2392" s="38" t="str">
        <x:v>AMD</x:v>
      </x:c>
      <x:c r="C2392" s="38" t="str">
        <x:v>Other sectors</x:v>
      </x:c>
      <x:c r="D2392" s="30" t="n">
        <x:v>4</x:v>
      </x:c>
      <x:c r="E2392" s="38" t="str">
        <x:v>XLY</x:v>
      </x:c>
      <x:c r="F2392" s="38" t="n">
        <x:v>-0.3250305445</x:v>
      </x:c>
      <x:c r="G2392" s="38" t="n">
        <x:v>-0.7085660692</x:v>
      </x:c>
      <x:c r="H2392" s="42" t="b">
        <x:v>0</x:v>
      </x:c>
      <x:c r="I2392" s="42" t="b">
        <x:v>0</x:v>
      </x:c>
      <x:c r="J2392" s="38" t="n">
        <x:v>0.1416301794</x:v>
      </x:c>
    </x:row>
    <x:row r="2393" ht="19" customHeight="1">
      <x:c r="A2393" s="29" t="str">
        <x:v>stagger_1</x:v>
      </x:c>
      <x:c r="B2393" s="38" t="str">
        <x:v>AMD</x:v>
      </x:c>
      <x:c r="C2393" s="38" t="str">
        <x:v>Other sectors</x:v>
      </x:c>
      <x:c r="D2393" s="30" t="n">
        <x:v>5</x:v>
      </x:c>
      <x:c r="E2393" s="38" t="str">
        <x:v>XLB</x:v>
      </x:c>
      <x:c r="F2393" s="38" t="n">
        <x:v>-0.3483278286</x:v>
      </x:c>
      <x:c r="G2393" s="38" t="n">
        <x:v>-0.9413599515</x:v>
      </x:c>
      <x:c r="H2393" s="42" t="b">
        <x:v>1</x:v>
      </x:c>
      <x:c r="I2393" s="42" t="b">
        <x:v>0</x:v>
      </x:c>
      <x:c r="J2393" s="38" t="n">
        <x:v>0.1367940865</x:v>
      </x:c>
    </x:row>
    <x:row r="2394" ht="19" customHeight="1">
      <x:c r="A2394" s="29" t="str">
        <x:v>stagger_1</x:v>
      </x:c>
      <x:c r="B2394" s="38" t="str">
        <x:v>AMD</x:v>
      </x:c>
      <x:c r="C2394" s="38" t="str">
        <x:v>Other sectors</x:v>
      </x:c>
      <x:c r="D2394" s="30" t="n">
        <x:v>5</x:v>
      </x:c>
      <x:c r="E2394" s="38" t="str">
        <x:v>XLE</x:v>
      </x:c>
      <x:c r="F2394" s="38" t="n">
        <x:v>0.247543054</x:v>
      </x:c>
      <x:c r="G2394" s="38" t="n">
        <x:v>1.3896921744</x:v>
      </x:c>
      <x:c r="H2394" s="42" t="b">
        <x:v>0</x:v>
      </x:c>
      <x:c r="I2394" s="42" t="b">
        <x:v>0</x:v>
      </x:c>
      <x:c r="J2394" s="38" t="n">
        <x:v>0.1367940865</x:v>
      </x:c>
    </x:row>
    <x:row r="2395" ht="19" customHeight="1">
      <x:c r="A2395" s="29" t="str">
        <x:v>stagger_1</x:v>
      </x:c>
      <x:c r="B2395" s="38" t="str">
        <x:v>AMD</x:v>
      </x:c>
      <x:c r="C2395" s="38" t="str">
        <x:v>Other sectors</x:v>
      </x:c>
      <x:c r="D2395" s="30" t="n">
        <x:v>5</x:v>
      </x:c>
      <x:c r="E2395" s="38" t="str">
        <x:v>XLP</x:v>
      </x:c>
      <x:c r="F2395" s="38" t="n">
        <x:v>-1.0292350495</x:v>
      </x:c>
      <x:c r="G2395" s="38" t="n">
        <x:v>-2.1048410108</x:v>
      </x:c>
      <x:c r="H2395" s="42" t="b">
        <x:v>0</x:v>
      </x:c>
      <x:c r="I2395" s="42" t="b">
        <x:v>0</x:v>
      </x:c>
      <x:c r="J2395" s="38" t="n">
        <x:v>0.1367940865</x:v>
      </x:c>
    </x:row>
    <x:row r="2396" ht="19" customHeight="1">
      <x:c r="A2396" s="29" t="str">
        <x:v>stagger_1</x:v>
      </x:c>
      <x:c r="B2396" s="38" t="str">
        <x:v>AMD</x:v>
      </x:c>
      <x:c r="C2396" s="38" t="str">
        <x:v>Other sectors</x:v>
      </x:c>
      <x:c r="D2396" s="30" t="n">
        <x:v>5</x:v>
      </x:c>
      <x:c r="E2396" s="38" t="str">
        <x:v>XLU</x:v>
      </x:c>
      <x:c r="F2396" s="38" t="n">
        <x:v>0.5949994</x:v>
      </x:c>
      <x:c r="G2396" s="38" t="n">
        <x:v>1.7690296175</x:v>
      </x:c>
      <x:c r="H2396" s="42" t="b">
        <x:v>0</x:v>
      </x:c>
      <x:c r="I2396" s="42" t="b">
        <x:v>0</x:v>
      </x:c>
      <x:c r="J2396" s="38" t="n">
        <x:v>0.1367940865</x:v>
      </x:c>
    </x:row>
    <x:row r="2397" ht="19" customHeight="1">
      <x:c r="A2397" s="29" t="str">
        <x:v>stagger_1</x:v>
      </x:c>
      <x:c r="B2397" s="38" t="str">
        <x:v>AMD</x:v>
      </x:c>
      <x:c r="C2397" s="38" t="str">
        <x:v>Other sectors</x:v>
      </x:c>
      <x:c r="D2397" s="30" t="n">
        <x:v>5</x:v>
      </x:c>
      <x:c r="E2397" s="38" t="str">
        <x:v>XLV</x:v>
      </x:c>
      <x:c r="F2397" s="38" t="n">
        <x:v>0.5222182102</x:v>
      </x:c>
      <x:c r="G2397" s="38" t="n">
        <x:v>1.3260160186</x:v>
      </x:c>
      <x:c r="H2397" s="42" t="b">
        <x:v>0</x:v>
      </x:c>
      <x:c r="I2397" s="42" t="b">
        <x:v>0</x:v>
      </x:c>
      <x:c r="J2397" s="38" t="n">
        <x:v>0.1367940865</x:v>
      </x:c>
    </x:row>
    <x:row r="2398" ht="19" customHeight="1">
      <x:c r="A2398" s="29" t="str">
        <x:v>stagger_1</x:v>
      </x:c>
      <x:c r="B2398" s="38" t="str">
        <x:v>AMD</x:v>
      </x:c>
      <x:c r="C2398" s="38" t="str">
        <x:v>Other sectors</x:v>
      </x:c>
      <x:c r="D2398" s="30" t="n">
        <x:v>5</x:v>
      </x:c>
      <x:c r="E2398" s="38" t="str">
        <x:v>XLY</x:v>
      </x:c>
      <x:c r="F2398" s="38" t="n">
        <x:v>-0.4318279589</x:v>
      </x:c>
      <x:c r="G2398" s="38" t="n">
        <x:v>-1.0155204381</x:v>
      </x:c>
      <x:c r="H2398" s="42" t="b">
        <x:v>0</x:v>
      </x:c>
      <x:c r="I2398" s="42" t="b">
        <x:v>0</x:v>
      </x:c>
      <x:c r="J2398" s="38" t="n">
        <x:v>0.1367940865</x:v>
      </x:c>
    </x:row>
    <x:row r="2399" ht="19" customHeight="1">
      <x:c r="A2399" s="29" t="str">
        <x:v>stagger_1</x:v>
      </x:c>
      <x:c r="B2399" s="38" t="str">
        <x:v>AMD</x:v>
      </x:c>
      <x:c r="C2399" s="38" t="str">
        <x:v>Other sectors</x:v>
      </x:c>
      <x:c r="D2399" s="30" t="n">
        <x:v>6</x:v>
      </x:c>
      <x:c r="E2399" s="38" t="str">
        <x:v>XLE</x:v>
      </x:c>
      <x:c r="F2399" s="38" t="n">
        <x:v>0.1976957139</x:v>
      </x:c>
      <x:c r="G2399" s="38" t="n">
        <x:v>1.1632961712</x:v>
      </x:c>
      <x:c r="H2399" s="42" t="b">
        <x:v>0</x:v>
      </x:c>
      <x:c r="I2399" s="42" t="b">
        <x:v>0</x:v>
      </x:c>
      <x:c r="J2399" s="38" t="n">
        <x:v>0.1263154932</x:v>
      </x:c>
    </x:row>
    <x:row r="2400" ht="19" customHeight="1">
      <x:c r="A2400" s="29" t="str">
        <x:v>stagger_1</x:v>
      </x:c>
      <x:c r="B2400" s="38" t="str">
        <x:v>AMD</x:v>
      </x:c>
      <x:c r="C2400" s="38" t="str">
        <x:v>Other sectors</x:v>
      </x:c>
      <x:c r="D2400" s="30" t="n">
        <x:v>6</x:v>
      </x:c>
      <x:c r="E2400" s="38" t="str">
        <x:v>XLP</x:v>
      </x:c>
      <x:c r="F2400" s="38" t="n">
        <x:v>-1.1693348424</x:v>
      </x:c>
      <x:c r="G2400" s="38" t="n">
        <x:v>-2.5123886208</x:v>
      </x:c>
      <x:c r="H2400" s="42" t="b">
        <x:v>0</x:v>
      </x:c>
      <x:c r="I2400" s="42" t="b">
        <x:v>0</x:v>
      </x:c>
      <x:c r="J2400" s="38" t="n">
        <x:v>0.1263154932</x:v>
      </x:c>
    </x:row>
    <x:row r="2401" ht="19" customHeight="1">
      <x:c r="A2401" s="29" t="str">
        <x:v>stagger_1</x:v>
      </x:c>
      <x:c r="B2401" s="38" t="str">
        <x:v>AMD</x:v>
      </x:c>
      <x:c r="C2401" s="38" t="str">
        <x:v>Other sectors</x:v>
      </x:c>
      <x:c r="D2401" s="30" t="n">
        <x:v>6</x:v>
      </x:c>
      <x:c r="E2401" s="38" t="str">
        <x:v>XLU</x:v>
      </x:c>
      <x:c r="F2401" s="38" t="n">
        <x:v>0.5299338258</x:v>
      </x:c>
      <x:c r="G2401" s="38" t="n">
        <x:v>1.611180055</x:v>
      </x:c>
      <x:c r="H2401" s="42" t="b">
        <x:v>0</x:v>
      </x:c>
      <x:c r="I2401" s="42" t="b">
        <x:v>0</x:v>
      </x:c>
      <x:c r="J2401" s="38" t="n">
        <x:v>0.1263154932</x:v>
      </x:c>
    </x:row>
    <x:row r="2402" ht="19" customHeight="1">
      <x:c r="A2402" s="29" t="str">
        <x:v>stagger_1</x:v>
      </x:c>
      <x:c r="B2402" s="38" t="str">
        <x:v>AMD</x:v>
      </x:c>
      <x:c r="C2402" s="38" t="str">
        <x:v>Other sectors</x:v>
      </x:c>
      <x:c r="D2402" s="30" t="n">
        <x:v>6</x:v>
      </x:c>
      <x:c r="E2402" s="38" t="str">
        <x:v>XLV</x:v>
      </x:c>
      <x:c r="F2402" s="38" t="n">
        <x:v>0.5079127966</x:v>
      </x:c>
      <x:c r="G2402" s="38" t="n">
        <x:v>1.2916468637</x:v>
      </x:c>
      <x:c r="H2402" s="42" t="b">
        <x:v>0</x:v>
      </x:c>
      <x:c r="I2402" s="42" t="b">
        <x:v>0</x:v>
      </x:c>
      <x:c r="J2402" s="38" t="n">
        <x:v>0.1263154932</x:v>
      </x:c>
    </x:row>
    <x:row r="2403" ht="19" customHeight="1">
      <x:c r="A2403" s="29" t="str">
        <x:v>stagger_1</x:v>
      </x:c>
      <x:c r="B2403" s="38" t="str">
        <x:v>AMD</x:v>
      </x:c>
      <x:c r="C2403" s="38" t="str">
        <x:v>Other sectors</x:v>
      </x:c>
      <x:c r="D2403" s="30" t="n">
        <x:v>6</x:v>
      </x:c>
      <x:c r="E2403" s="38" t="str">
        <x:v>XLY</x:v>
      </x:c>
      <x:c r="F2403" s="38" t="n">
        <x:v>-0.4549228375</x:v>
      </x:c>
      <x:c r="G2403" s="38" t="n">
        <x:v>-1.0724424393</x:v>
      </x:c>
      <x:c r="H2403" s="42" t="b">
        <x:v>1</x:v>
      </x:c>
      <x:c r="I2403" s="42" t="b">
        <x:v>0</x:v>
      </x:c>
      <x:c r="J2403" s="38" t="n">
        <x:v>0.1263154932</x:v>
      </x:c>
    </x:row>
    <x:row r="2404" ht="19" customHeight="1">
      <x:c r="A2404" s="29" t="str">
        <x:v>stagger_1</x:v>
      </x:c>
      <x:c r="B2404" s="38" t="str">
        <x:v>AMD</x:v>
      </x:c>
      <x:c r="C2404" s="38" t="str">
        <x:v>Other sectors</x:v>
      </x:c>
      <x:c r="D2404" s="30" t="n">
        <x:v>7</x:v>
      </x:c>
      <x:c r="E2404" s="38" t="str">
        <x:v>XLE</x:v>
      </x:c>
      <x:c r="F2404" s="38" t="n">
        <x:v>0.2355100863</x:v>
      </x:c>
      <x:c r="G2404" s="38" t="n">
        <x:v>1.4152175668</x:v>
      </x:c>
      <x:c r="H2404" s="42" t="b">
        <x:v>1</x:v>
      </x:c>
      <x:c r="I2404" s="42" t="b">
        <x:v>0</x:v>
      </x:c>
      <x:c r="J2404" s="38" t="n">
        <x:v>0.112736396</x:v>
      </x:c>
    </x:row>
    <x:row r="2405" ht="19" customHeight="1">
      <x:c r="A2405" s="29" t="str">
        <x:v>stagger_1</x:v>
      </x:c>
      <x:c r="B2405" s="38" t="str">
        <x:v>AMD</x:v>
      </x:c>
      <x:c r="C2405" s="38" t="str">
        <x:v>Other sectors</x:v>
      </x:c>
      <x:c r="D2405" s="30" t="n">
        <x:v>7</x:v>
      </x:c>
      <x:c r="E2405" s="38" t="str">
        <x:v>XLP</x:v>
      </x:c>
      <x:c r="F2405" s="38" t="n">
        <x:v>-1.1777683804</x:v>
      </x:c>
      <x:c r="G2405" s="38" t="n">
        <x:v>-2.5283405634</x:v>
      </x:c>
      <x:c r="H2405" s="42" t="b">
        <x:v>0</x:v>
      </x:c>
      <x:c r="I2405" s="42" t="b">
        <x:v>0</x:v>
      </x:c>
      <x:c r="J2405" s="38" t="n">
        <x:v>0.112736396</x:v>
      </x:c>
    </x:row>
    <x:row r="2406" ht="19" customHeight="1">
      <x:c r="A2406" s="29" t="str">
        <x:v>stagger_1</x:v>
      </x:c>
      <x:c r="B2406" s="38" t="str">
        <x:v>AMD</x:v>
      </x:c>
      <x:c r="C2406" s="38" t="str">
        <x:v>Other sectors</x:v>
      </x:c>
      <x:c r="D2406" s="30" t="n">
        <x:v>7</x:v>
      </x:c>
      <x:c r="E2406" s="38" t="str">
        <x:v>XLU</x:v>
      </x:c>
      <x:c r="F2406" s="38" t="n">
        <x:v>0.5207053855</x:v>
      </x:c>
      <x:c r="G2406" s="38" t="n">
        <x:v>1.582081827</x:v>
      </x:c>
      <x:c r="H2406" s="42" t="b">
        <x:v>0</x:v>
      </x:c>
      <x:c r="I2406" s="42" t="b">
        <x:v>0</x:v>
      </x:c>
      <x:c r="J2406" s="38" t="n">
        <x:v>0.112736396</x:v>
      </x:c>
    </x:row>
    <x:row r="2407" ht="19" customHeight="1">
      <x:c r="A2407" s="29" t="str">
        <x:v>stagger_1</x:v>
      </x:c>
      <x:c r="B2407" s="38" t="str">
        <x:v>AMD</x:v>
      </x:c>
      <x:c r="C2407" s="38" t="str">
        <x:v>Other sectors</x:v>
      </x:c>
      <x:c r="D2407" s="30" t="n">
        <x:v>7</x:v>
      </x:c>
      <x:c r="E2407" s="38" t="str">
        <x:v>XLV</x:v>
      </x:c>
      <x:c r="F2407" s="38" t="n">
        <x:v>0.6083688536</x:v>
      </x:c>
      <x:c r="G2407" s="38" t="n">
        <x:v>1.5913744661</x:v>
      </x:c>
      <x:c r="H2407" s="42" t="b">
        <x:v>0</x:v>
      </x:c>
      <x:c r="I2407" s="42" t="b">
        <x:v>0</x:v>
      </x:c>
      <x:c r="J2407" s="38" t="n">
        <x:v>0.112736396</x:v>
      </x:c>
    </x:row>
    <x:row r="2408" ht="19" customHeight="1">
      <x:c r="A2408" s="29" t="str">
        <x:v>stagger_1</x:v>
      </x:c>
      <x:c r="B2408" s="38" t="str">
        <x:v>AMD</x:v>
      </x:c>
      <x:c r="C2408" s="38" t="str">
        <x:v>Other sectors</x:v>
      </x:c>
      <x:c r="D2408" s="30" t="n">
        <x:v>8</x:v>
      </x:c>
      <x:c r="E2408" s="38" t="str">
        <x:v>XLP</x:v>
      </x:c>
      <x:c r="F2408" s="38" t="n">
        <x:v>-1.1454160509</x:v>
      </x:c>
      <x:c r="G2408" s="38" t="n">
        <x:v>-2.4457719613</x:v>
      </x:c>
      <x:c r="H2408" s="42" t="b">
        <x:v>0</x:v>
      </x:c>
      <x:c r="I2408" s="42" t="b">
        <x:v>0</x:v>
      </x:c>
      <x:c r="J2408" s="38" t="n">
        <x:v>0.0890424265</x:v>
      </x:c>
    </x:row>
    <x:row r="2409" ht="19" customHeight="1">
      <x:c r="A2409" s="29" t="str">
        <x:v>stagger_1</x:v>
      </x:c>
      <x:c r="B2409" s="38" t="str">
        <x:v>AMD</x:v>
      </x:c>
      <x:c r="C2409" s="38" t="str">
        <x:v>Other sectors</x:v>
      </x:c>
      <x:c r="D2409" s="30" t="n">
        <x:v>8</x:v>
      </x:c>
      <x:c r="E2409" s="38" t="str">
        <x:v>XLU</x:v>
      </x:c>
      <x:c r="F2409" s="38" t="n">
        <x:v>0.5249466611</x:v>
      </x:c>
      <x:c r="G2409" s="38" t="n">
        <x:v>1.5846139604</x:v>
      </x:c>
      <x:c r="H2409" s="42" t="b">
        <x:v>1</x:v>
      </x:c>
      <x:c r="I2409" s="42" t="b">
        <x:v>0</x:v>
      </x:c>
      <x:c r="J2409" s="38" t="n">
        <x:v>0.0890424265</x:v>
      </x:c>
    </x:row>
    <x:row r="2410" ht="19" customHeight="1">
      <x:c r="A2410" s="29" t="str">
        <x:v>stagger_1</x:v>
      </x:c>
      <x:c r="B2410" s="38" t="str">
        <x:v>AMD</x:v>
      </x:c>
      <x:c r="C2410" s="38" t="str">
        <x:v>Other sectors</x:v>
      </x:c>
      <x:c r="D2410" s="30" t="n">
        <x:v>8</x:v>
      </x:c>
      <x:c r="E2410" s="38" t="str">
        <x:v>XLV</x:v>
      </x:c>
      <x:c r="F2410" s="38" t="n">
        <x:v>0.6744431972</x:v>
      </x:c>
      <x:c r="G2410" s="38" t="n">
        <x:v>1.7659053154</x:v>
      </x:c>
      <x:c r="H2410" s="42" t="b">
        <x:v>0</x:v>
      </x:c>
      <x:c r="I2410" s="42" t="b">
        <x:v>0</x:v>
      </x:c>
      <x:c r="J2410" s="38" t="n">
        <x:v>0.0890424265</x:v>
      </x:c>
    </x:row>
    <x:row r="2411" ht="19" customHeight="1">
      <x:c r="A2411" s="29" t="str">
        <x:v>stagger_1</x:v>
      </x:c>
      <x:c r="B2411" s="38" t="str">
        <x:v>AMD</x:v>
      </x:c>
      <x:c r="C2411" s="38" t="str">
        <x:v>Other sectors</x:v>
      </x:c>
      <x:c r="D2411" s="30" t="n">
        <x:v>9</x:v>
      </x:c>
      <x:c r="E2411" s="38" t="str">
        <x:v>XLP</x:v>
      </x:c>
      <x:c r="F2411" s="38" t="n">
        <x:v>-0.8140379721</x:v>
      </x:c>
      <x:c r="G2411" s="38" t="n">
        <x:v>-1.9238326271</x:v>
      </x:c>
      <x:c r="H2411" s="42" t="b">
        <x:v>0</x:v>
      </x:c>
      <x:c r="I2411" s="42" t="b">
        <x:v>0</x:v>
      </x:c>
      <x:c r="J2411" s="38" t="n">
        <x:v>0.0589448509</x:v>
      </x:c>
    </x:row>
    <x:row r="2412" ht="19" customHeight="1">
      <x:c r="A2412" s="29" t="str">
        <x:v>stagger_1</x:v>
      </x:c>
      <x:c r="B2412" s="38" t="str">
        <x:v>AMD</x:v>
      </x:c>
      <x:c r="C2412" s="38" t="str">
        <x:v>Other sectors</x:v>
      </x:c>
      <x:c r="D2412" s="30" t="n">
        <x:v>9</x:v>
      </x:c>
      <x:c r="E2412" s="38" t="str">
        <x:v>XLV</x:v>
      </x:c>
      <x:c r="F2412" s="38" t="n">
        <x:v>0.7063151729</x:v>
      </x:c>
      <x:c r="G2412" s="38" t="n">
        <x:v>1.8340186671</x:v>
      </x:c>
      <x:c r="H2412" s="42" t="b">
        <x:v>1</x:v>
      </x:c>
      <x:c r="I2412" s="42" t="b">
        <x:v>0</x:v>
      </x:c>
      <x:c r="J2412" s="38" t="n">
        <x:v>0.0589448509</x:v>
      </x:c>
    </x:row>
    <x:row r="2413" ht="19" customHeight="1">
      <x:c r="A2413" s="29" t="str">
        <x:v>stagger_1</x:v>
      </x:c>
      <x:c r="B2413" s="38" t="str">
        <x:v>AMD</x:v>
      </x:c>
      <x:c r="C2413" s="38" t="str">
        <x:v>Other sectors</x:v>
      </x:c>
      <x:c r="D2413" s="30" t="n">
        <x:v>10</x:v>
      </x:c>
      <x:c r="E2413" s="38" t="str">
        <x:v>XLP</x:v>
      </x:c>
      <x:c r="F2413" s="38" t="n">
        <x:v>-0.452210228</x:v>
      </x:c>
      <x:c r="G2413" s="38" t="n">
        <x:v>-1.1901675774</x:v>
      </x:c>
      <x:c r="H2413" s="42" t="b">
        <x:v>1</x:v>
      </x:c>
      <x:c r="I2413" s="42" t="b">
        <x:v>0</x:v>
      </x:c>
      <x:c r="J2413" s="38" t="n">
        <x:v>0.0178363298</x:v>
      </x:c>
    </x:row>
    <x:row r="2414" ht="19" customHeight="1">
      <x:c r="A2414" s="29" t="str">
        <x:v>stagger_1</x:v>
      </x:c>
      <x:c r="B2414" s="38" t="str">
        <x:v>LLY</x:v>
      </x:c>
      <x:c r="C2414" s="38" t="str">
        <x:v>Other FX</x:v>
      </x:c>
      <x:c r="D2414" s="30" t="n">
        <x:v>1</x:v>
      </x:c>
      <x:c r="E2414" s="38" t="str">
        <x:v>AUD/USD</x:v>
      </x:c>
      <x:c r="F2414" s="38" t="n">
        <x:v>-0.2798854903</x:v>
      </x:c>
      <x:c r="G2414" s="38" t="n">
        <x:v>-0.3697706794</x:v>
      </x:c>
      <x:c r="H2414" s="42" t="b">
        <x:v>0</x:v>
      </x:c>
      <x:c r="I2414" s="42" t="b">
        <x:v>0</x:v>
      </x:c>
      <x:c r="J2414" s="38" t="n">
        <x:v>0.0334601442</x:v>
      </x:c>
    </x:row>
    <x:row r="2415" ht="19" customHeight="1">
      <x:c r="A2415" s="29" t="str">
        <x:v>stagger_1</x:v>
      </x:c>
      <x:c r="B2415" s="38" t="str">
        <x:v>LLY</x:v>
      </x:c>
      <x:c r="C2415" s="38" t="str">
        <x:v>Other FX</x:v>
      </x:c>
      <x:c r="D2415" s="30" t="n">
        <x:v>1</x:v>
      </x:c>
      <x:c r="E2415" s="38" t="str">
        <x:v>CAD/USD</x:v>
      </x:c>
      <x:c r="F2415" s="38" t="n">
        <x:v>0.8956245884</x:v>
      </x:c>
      <x:c r="G2415" s="38" t="n">
        <x:v>0.9798838646</x:v>
      </x:c>
      <x:c r="H2415" s="42" t="b">
        <x:v>0</x:v>
      </x:c>
      <x:c r="I2415" s="42" t="b">
        <x:v>0</x:v>
      </x:c>
      <x:c r="J2415" s="38" t="n">
        <x:v>0.0334601442</x:v>
      </x:c>
    </x:row>
    <x:row r="2416" ht="19" customHeight="1">
      <x:c r="A2416" s="29" t="str">
        <x:v>stagger_1</x:v>
      </x:c>
      <x:c r="B2416" s="38" t="str">
        <x:v>LLY</x:v>
      </x:c>
      <x:c r="C2416" s="38" t="str">
        <x:v>Other FX</x:v>
      </x:c>
      <x:c r="D2416" s="30" t="n">
        <x:v>1</x:v>
      </x:c>
      <x:c r="E2416" s="38" t="str">
        <x:v>DKK/USD</x:v>
      </x:c>
      <x:c r="F2416" s="38" t="n">
        <x:v>1.2604085286</x:v>
      </x:c>
      <x:c r="G2416" s="38" t="n">
        <x:v>0.1980792564</x:v>
      </x:c>
      <x:c r="H2416" s="42" t="b">
        <x:v>1</x:v>
      </x:c>
      <x:c r="I2416" s="42" t="b">
        <x:v>0</x:v>
      </x:c>
      <x:c r="J2416" s="38" t="n">
        <x:v>0.0334601442</x:v>
      </x:c>
    </x:row>
    <x:row r="2417" ht="19" customHeight="1">
      <x:c r="A2417" s="29" t="str">
        <x:v>stagger_1</x:v>
      </x:c>
      <x:c r="B2417" s="38" t="str">
        <x:v>LLY</x:v>
      </x:c>
      <x:c r="C2417" s="38" t="str">
        <x:v>Other FX</x:v>
      </x:c>
      <x:c r="D2417" s="30" t="n">
        <x:v>1</x:v>
      </x:c>
      <x:c r="E2417" s="38" t="str">
        <x:v>EUR/USD</x:v>
      </x:c>
      <x:c r="F2417" s="38" t="n">
        <x:v>-1.2821873855</x:v>
      </x:c>
      <x:c r="G2417" s="38" t="n">
        <x:v>-0.2202899241</x:v>
      </x:c>
      <x:c r="H2417" s="42" t="b">
        <x:v>0</x:v>
      </x:c>
      <x:c r="I2417" s="42" t="b">
        <x:v>0</x:v>
      </x:c>
      <x:c r="J2417" s="38" t="n">
        <x:v>0.0334601442</x:v>
      </x:c>
    </x:row>
    <x:row r="2418" ht="19" customHeight="1">
      <x:c r="A2418" s="29" t="str">
        <x:v>stagger_1</x:v>
      </x:c>
      <x:c r="B2418" s="38" t="str">
        <x:v>LLY</x:v>
      </x:c>
      <x:c r="C2418" s="38" t="str">
        <x:v>Other FX</x:v>
      </x:c>
      <x:c r="D2418" s="30" t="n">
        <x:v>1</x:v>
      </x:c>
      <x:c r="E2418" s="38" t="str">
        <x:v>MXN/USD</x:v>
      </x:c>
      <x:c r="F2418" s="38" t="n">
        <x:v>0.4963235016</x:v>
      </x:c>
      <x:c r="G2418" s="38" t="n">
        <x:v>1.0235237769</x:v>
      </x:c>
      <x:c r="H2418" s="42" t="b">
        <x:v>0</x:v>
      </x:c>
      <x:c r="I2418" s="42" t="b">
        <x:v>0</x:v>
      </x:c>
      <x:c r="J2418" s="38" t="n">
        <x:v>0.0334601442</x:v>
      </x:c>
    </x:row>
    <x:row r="2419" ht="19" customHeight="1">
      <x:c r="A2419" s="29" t="str">
        <x:v>stagger_1</x:v>
      </x:c>
      <x:c r="B2419" s="38" t="str">
        <x:v>LLY</x:v>
      </x:c>
      <x:c r="C2419" s="38" t="str">
        <x:v>Other FX</x:v>
      </x:c>
      <x:c r="D2419" s="30" t="n">
        <x:v>1</x:v>
      </x:c>
      <x:c r="E2419" s="38" t="str">
        <x:v>SGD/USD</x:v>
      </x:c>
      <x:c r="F2419" s="38" t="n">
        <x:v>-0.7679612771</x:v>
      </x:c>
      <x:c r="G2419" s="38" t="n">
        <x:v>-0.419046185</x:v>
      </x:c>
      <x:c r="H2419" s="42" t="b">
        <x:v>0</x:v>
      </x:c>
      <x:c r="I2419" s="42" t="b">
        <x:v>0</x:v>
      </x:c>
      <x:c r="J2419" s="38" t="n">
        <x:v>0.0334601442</x:v>
      </x:c>
    </x:row>
    <x:row r="2420" ht="19" customHeight="1">
      <x:c r="A2420" s="29" t="str">
        <x:v>stagger_1</x:v>
      </x:c>
      <x:c r="B2420" s="38" t="str">
        <x:v>LLY</x:v>
      </x:c>
      <x:c r="C2420" s="38" t="str">
        <x:v>Other FX</x:v>
      </x:c>
      <x:c r="D2420" s="30" t="n">
        <x:v>2</x:v>
      </x:c>
      <x:c r="E2420" s="38" t="str">
        <x:v>AUD/USD</x:v>
      </x:c>
      <x:c r="F2420" s="38" t="n">
        <x:v>-0.280582714</x:v>
      </x:c>
      <x:c r="G2420" s="38" t="n">
        <x:v>-0.3731259422</x:v>
      </x:c>
      <x:c r="H2420" s="42" t="b">
        <x:v>0</x:v>
      </x:c>
      <x:c r="I2420" s="42" t="b">
        <x:v>0</x:v>
      </x:c>
      <x:c r="J2420" s="38" t="n">
        <x:v>0.0329406569</x:v>
      </x:c>
    </x:row>
    <x:row r="2421" ht="19" customHeight="1">
      <x:c r="A2421" s="29" t="str">
        <x:v>stagger_1</x:v>
      </x:c>
      <x:c r="B2421" s="38" t="str">
        <x:v>LLY</x:v>
      </x:c>
      <x:c r="C2421" s="38" t="str">
        <x:v>Other FX</x:v>
      </x:c>
      <x:c r="D2421" s="30" t="n">
        <x:v>2</x:v>
      </x:c>
      <x:c r="E2421" s="38" t="str">
        <x:v>CAD/USD</x:v>
      </x:c>
      <x:c r="F2421" s="38" t="n">
        <x:v>0.9136394802</x:v>
      </x:c>
      <x:c r="G2421" s="38" t="n">
        <x:v>1.0111647315</x:v>
      </x:c>
      <x:c r="H2421" s="42" t="b">
        <x:v>0</x:v>
      </x:c>
      <x:c r="I2421" s="42" t="b">
        <x:v>0</x:v>
      </x:c>
      <x:c r="J2421" s="38" t="n">
        <x:v>0.0329406569</x:v>
      </x:c>
    </x:row>
    <x:row r="2422" ht="19" customHeight="1">
      <x:c r="A2422" s="29" t="str">
        <x:v>stagger_1</x:v>
      </x:c>
      <x:c r="B2422" s="38" t="str">
        <x:v>LLY</x:v>
      </x:c>
      <x:c r="C2422" s="38" t="str">
        <x:v>Other FX</x:v>
      </x:c>
      <x:c r="D2422" s="30" t="n">
        <x:v>2</x:v>
      </x:c>
      <x:c r="E2422" s="38" t="str">
        <x:v>EUR/USD</x:v>
      </x:c>
      <x:c r="F2422" s="38" t="n">
        <x:v>-0.1440282604</x:v>
      </x:c>
      <x:c r="G2422" s="38" t="n">
        <x:v>-0.156199086</x:v>
      </x:c>
      <x:c r="H2422" s="42" t="b">
        <x:v>1</x:v>
      </x:c>
      <x:c r="I2422" s="42" t="b">
        <x:v>0</x:v>
      </x:c>
      <x:c r="J2422" s="38" t="n">
        <x:v>0.0329406569</x:v>
      </x:c>
    </x:row>
    <x:row r="2423" ht="19" customHeight="1">
      <x:c r="A2423" s="29" t="str">
        <x:v>stagger_1</x:v>
      </x:c>
      <x:c r="B2423" s="38" t="str">
        <x:v>LLY</x:v>
      </x:c>
      <x:c r="C2423" s="38" t="str">
        <x:v>Other FX</x:v>
      </x:c>
      <x:c r="D2423" s="30" t="n">
        <x:v>2</x:v>
      </x:c>
      <x:c r="E2423" s="38" t="str">
        <x:v>MXN/USD</x:v>
      </x:c>
      <x:c r="F2423" s="38" t="n">
        <x:v>0.5253773728</x:v>
      </x:c>
      <x:c r="G2423" s="38" t="n">
        <x:v>1.1441382166</x:v>
      </x:c>
      <x:c r="H2423" s="42" t="b">
        <x:v>0</x:v>
      </x:c>
      <x:c r="I2423" s="42" t="b">
        <x:v>0</x:v>
      </x:c>
      <x:c r="J2423" s="38" t="n">
        <x:v>0.0329406569</x:v>
      </x:c>
    </x:row>
    <x:row r="2424" ht="19" customHeight="1">
      <x:c r="A2424" s="29" t="str">
        <x:v>stagger_1</x:v>
      </x:c>
      <x:c r="B2424" s="38" t="str">
        <x:v>LLY</x:v>
      </x:c>
      <x:c r="C2424" s="38" t="str">
        <x:v>Other FX</x:v>
      </x:c>
      <x:c r="D2424" s="30" t="n">
        <x:v>2</x:v>
      </x:c>
      <x:c r="E2424" s="38" t="str">
        <x:v>SGD/USD</x:v>
      </x:c>
      <x:c r="F2424" s="38" t="n">
        <x:v>-0.6285267714</x:v>
      </x:c>
      <x:c r="G2424" s="38" t="n">
        <x:v>-0.3738926371</x:v>
      </x:c>
      <x:c r="H2424" s="42" t="b">
        <x:v>0</x:v>
      </x:c>
      <x:c r="I2424" s="42" t="b">
        <x:v>0</x:v>
      </x:c>
      <x:c r="J2424" s="38" t="n">
        <x:v>0.0329406569</x:v>
      </x:c>
    </x:row>
    <x:row r="2425" ht="19" customHeight="1">
      <x:c r="A2425" s="29" t="str">
        <x:v>stagger_1</x:v>
      </x:c>
      <x:c r="B2425" s="38" t="str">
        <x:v>LLY</x:v>
      </x:c>
      <x:c r="C2425" s="38" t="str">
        <x:v>Other FX</x:v>
      </x:c>
      <x:c r="D2425" s="30" t="n">
        <x:v>3</x:v>
      </x:c>
      <x:c r="E2425" s="38" t="str">
        <x:v>AUD/USD</x:v>
      </x:c>
      <x:c r="F2425" s="38" t="n">
        <x:v>-0.2789945106</x:v>
      </x:c>
      <x:c r="G2425" s="38" t="n">
        <x:v>-0.3734849321</x:v>
      </x:c>
      <x:c r="H2425" s="42" t="b">
        <x:v>1</x:v>
      </x:c>
      <x:c r="I2425" s="42" t="b">
        <x:v>0</x:v>
      </x:c>
      <x:c r="J2425" s="38" t="n">
        <x:v>0.0326218128</x:v>
      </x:c>
    </x:row>
    <x:row r="2426" ht="19" customHeight="1">
      <x:c r="A2426" s="29" t="str">
        <x:v>stagger_1</x:v>
      </x:c>
      <x:c r="B2426" s="38" t="str">
        <x:v>LLY</x:v>
      </x:c>
      <x:c r="C2426" s="38" t="str">
        <x:v>Other FX</x:v>
      </x:c>
      <x:c r="D2426" s="30" t="n">
        <x:v>3</x:v>
      </x:c>
      <x:c r="E2426" s="38" t="str">
        <x:v>CAD/USD</x:v>
      </x:c>
      <x:c r="F2426" s="38" t="n">
        <x:v>0.8802803404</x:v>
      </x:c>
      <x:c r="G2426" s="38" t="n">
        <x:v>1.0092412614</x:v>
      </x:c>
      <x:c r="H2426" s="42" t="b">
        <x:v>0</x:v>
      </x:c>
      <x:c r="I2426" s="42" t="b">
        <x:v>0</x:v>
      </x:c>
      <x:c r="J2426" s="38" t="n">
        <x:v>0.0326218128</x:v>
      </x:c>
    </x:row>
    <x:row r="2427" ht="19" customHeight="1">
      <x:c r="A2427" s="29" t="str">
        <x:v>stagger_1</x:v>
      </x:c>
      <x:c r="B2427" s="38" t="str">
        <x:v>LLY</x:v>
      </x:c>
      <x:c r="C2427" s="38" t="str">
        <x:v>Other FX</x:v>
      </x:c>
      <x:c r="D2427" s="30" t="n">
        <x:v>3</x:v>
      </x:c>
      <x:c r="E2427" s="38" t="str">
        <x:v>MXN/USD</x:v>
      </x:c>
      <x:c r="F2427" s="38" t="n">
        <x:v>0.5085911461</x:v>
      </x:c>
      <x:c r="G2427" s="38" t="n">
        <x:v>1.1467030396</x:v>
      </x:c>
      <x:c r="H2427" s="42" t="b">
        <x:v>0</x:v>
      </x:c>
      <x:c r="I2427" s="42" t="b">
        <x:v>0</x:v>
      </x:c>
      <x:c r="J2427" s="38" t="n">
        <x:v>0.0326218128</x:v>
      </x:c>
    </x:row>
    <x:row r="2428" ht="19" customHeight="1">
      <x:c r="A2428" s="29" t="str">
        <x:v>stagger_1</x:v>
      </x:c>
      <x:c r="B2428" s="38" t="str">
        <x:v>LLY</x:v>
      </x:c>
      <x:c r="C2428" s="38" t="str">
        <x:v>Other FX</x:v>
      </x:c>
      <x:c r="D2428" s="30" t="n">
        <x:v>3</x:v>
      </x:c>
      <x:c r="E2428" s="38" t="str">
        <x:v>SGD/USD</x:v>
      </x:c>
      <x:c r="F2428" s="38" t="n">
        <x:v>-0.7732637694</x:v>
      </x:c>
      <x:c r="G2428" s="38" t="n">
        <x:v>-0.5549325583</x:v>
      </x:c>
      <x:c r="H2428" s="42" t="b">
        <x:v>0</x:v>
      </x:c>
      <x:c r="I2428" s="42" t="b">
        <x:v>0</x:v>
      </x:c>
      <x:c r="J2428" s="38" t="n">
        <x:v>0.0326218128</x:v>
      </x:c>
    </x:row>
    <x:row r="2429" ht="19" customHeight="1">
      <x:c r="A2429" s="29" t="str">
        <x:v>stagger_1</x:v>
      </x:c>
      <x:c r="B2429" s="38" t="str">
        <x:v>LLY</x:v>
      </x:c>
      <x:c r="C2429" s="38" t="str">
        <x:v>Other FX</x:v>
      </x:c>
      <x:c r="D2429" s="30" t="n">
        <x:v>4</x:v>
      </x:c>
      <x:c r="E2429" s="38" t="str">
        <x:v>CAD/USD</x:v>
      </x:c>
      <x:c r="F2429" s="38" t="n">
        <x:v>0.7995095714</x:v>
      </x:c>
      <x:c r="G2429" s="38" t="n">
        <x:v>0.9515854546</x:v>
      </x:c>
      <x:c r="H2429" s="42" t="b">
        <x:v>1</x:v>
      </x:c>
      <x:c r="I2429" s="42" t="b">
        <x:v>0</x:v>
      </x:c>
      <x:c r="J2429" s="38" t="n">
        <x:v>0.0308226055</x:v>
      </x:c>
    </x:row>
    <x:row r="2430" ht="19" customHeight="1">
      <x:c r="A2430" s="29" t="str">
        <x:v>stagger_1</x:v>
      </x:c>
      <x:c r="B2430" s="38" t="str">
        <x:v>LLY</x:v>
      </x:c>
      <x:c r="C2430" s="38" t="str">
        <x:v>Other FX</x:v>
      </x:c>
      <x:c r="D2430" s="30" t="n">
        <x:v>4</x:v>
      </x:c>
      <x:c r="E2430" s="38" t="str">
        <x:v>MXN/USD</x:v>
      </x:c>
      <x:c r="F2430" s="38" t="n">
        <x:v>0.4758606053</x:v>
      </x:c>
      <x:c r="G2430" s="38" t="n">
        <x:v>1.1007336327</x:v>
      </x:c>
      <x:c r="H2430" s="42" t="b">
        <x:v>0</x:v>
      </x:c>
      <x:c r="I2430" s="42" t="b">
        <x:v>0</x:v>
      </x:c>
      <x:c r="J2430" s="38" t="n">
        <x:v>0.0308226055</x:v>
      </x:c>
    </x:row>
    <x:row r="2431" ht="19" customHeight="1">
      <x:c r="A2431" s="29" t="str">
        <x:v>stagger_1</x:v>
      </x:c>
      <x:c r="B2431" s="38" t="str">
        <x:v>LLY</x:v>
      </x:c>
      <x:c r="C2431" s="38" t="str">
        <x:v>Other FX</x:v>
      </x:c>
      <x:c r="D2431" s="30" t="n">
        <x:v>4</x:v>
      </x:c>
      <x:c r="E2431" s="38" t="str">
        <x:v>SGD/USD</x:v>
      </x:c>
      <x:c r="F2431" s="38" t="n">
        <x:v>-1.0803810043</x:v>
      </x:c>
      <x:c r="G2431" s="38" t="n">
        <x:v>-0.9658743032</x:v>
      </x:c>
      <x:c r="H2431" s="42" t="b">
        <x:v>0</x:v>
      </x:c>
      <x:c r="I2431" s="42" t="b">
        <x:v>0</x:v>
      </x:c>
      <x:c r="J2431" s="38" t="n">
        <x:v>0.0308226055</x:v>
      </x:c>
    </x:row>
    <x:row r="2432" ht="19" customHeight="1">
      <x:c r="A2432" s="29" t="str">
        <x:v>stagger_1</x:v>
      </x:c>
      <x:c r="B2432" s="38" t="str">
        <x:v>LLY</x:v>
      </x:c>
      <x:c r="C2432" s="38" t="str">
        <x:v>Other FX</x:v>
      </x:c>
      <x:c r="D2432" s="30" t="n">
        <x:v>5</x:v>
      </x:c>
      <x:c r="E2432" s="38" t="str">
        <x:v>MXN/USD</x:v>
      </x:c>
      <x:c r="F2432" s="38" t="n">
        <x:v>0.5273197327</x:v>
      </x:c>
      <x:c r="G2432" s="38" t="n">
        <x:v>1.2301773254</x:v>
      </x:c>
      <x:c r="H2432" s="42" t="b">
        <x:v>0</x:v>
      </x:c>
      <x:c r="I2432" s="42" t="b">
        <x:v>0</x:v>
      </x:c>
      <x:c r="J2432" s="38" t="n">
        <x:v>0.0192751772</x:v>
      </x:c>
    </x:row>
    <x:row r="2433" ht="19" customHeight="1">
      <x:c r="A2433" s="29" t="str">
        <x:v>stagger_1</x:v>
      </x:c>
      <x:c r="B2433" s="38" t="str">
        <x:v>LLY</x:v>
      </x:c>
      <x:c r="C2433" s="38" t="str">
        <x:v>Other FX</x:v>
      </x:c>
      <x:c r="D2433" s="30" t="n">
        <x:v>5</x:v>
      </x:c>
      <x:c r="E2433" s="38" t="str">
        <x:v>SGD/USD</x:v>
      </x:c>
      <x:c r="F2433" s="38" t="n">
        <x:v>-0.5882212877</x:v>
      </x:c>
      <x:c r="G2433" s="38" t="n">
        <x:v>-0.5934498049</x:v>
      </x:c>
      <x:c r="H2433" s="42" t="b">
        <x:v>1</x:v>
      </x:c>
      <x:c r="I2433" s="42" t="b">
        <x:v>0</x:v>
      </x:c>
      <x:c r="J2433" s="38" t="n">
        <x:v>0.0192751772</x:v>
      </x:c>
    </x:row>
    <x:row r="2434" ht="19" customHeight="1">
      <x:c r="A2434" s="29" t="str">
        <x:v>stagger_1</x:v>
      </x:c>
      <x:c r="B2434" s="38" t="str">
        <x:v>LLY</x:v>
      </x:c>
      <x:c r="C2434" s="38" t="str">
        <x:v>Other FX</x:v>
      </x:c>
      <x:c r="D2434" s="30" t="n">
        <x:v>6</x:v>
      </x:c>
      <x:c r="E2434" s="38" t="str">
        <x:v>MXN/USD</x:v>
      </x:c>
      <x:c r="F2434" s="38" t="n">
        <x:v>0.405466232</x:v>
      </x:c>
      <x:c r="G2434" s="38" t="n">
        <x:v>1.0820817811</x:v>
      </x:c>
      <x:c r="H2434" s="42" t="b">
        <x:v>1</x:v>
      </x:c>
      <x:c r="I2434" s="42" t="b">
        <x:v>0</x:v>
      </x:c>
      <x:c r="J2434" s="38" t="n">
        <x:v>0.0147895371</x:v>
      </x:c>
    </x:row>
    <x:row r="2435" ht="19" customHeight="1">
      <x:c r="A2435" s="29" t="str">
        <x:v>stagger_1</x:v>
      </x:c>
      <x:c r="B2435" s="38" t="str">
        <x:v>LLY</x:v>
      </x:c>
      <x:c r="C2435" s="38" t="str">
        <x:v>Other sectors</x:v>
      </x:c>
      <x:c r="D2435" s="30" t="n">
        <x:v>1</x:v>
      </x:c>
      <x:c r="E2435" s="38" t="str">
        <x:v>XLB</x:v>
      </x:c>
      <x:c r="F2435" s="38" t="n">
        <x:v>-0.0209549856</x:v>
      </x:c>
      <x:c r="G2435" s="38" t="n">
        <x:v>-0.0569384907</x:v>
      </x:c>
      <x:c r="H2435" s="42" t="b">
        <x:v>1</x:v>
      </x:c>
      <x:c r="I2435" s="42" t="b">
        <x:v>0</x:v>
      </x:c>
      <x:c r="J2435" s="38" t="n">
        <x:v>0.2231142959</x:v>
      </x:c>
    </x:row>
    <x:row r="2436" ht="19" customHeight="1">
      <x:c r="A2436" s="29" t="str">
        <x:v>stagger_1</x:v>
      </x:c>
      <x:c r="B2436" s="38" t="str">
        <x:v>LLY</x:v>
      </x:c>
      <x:c r="C2436" s="38" t="str">
        <x:v>Other sectors</x:v>
      </x:c>
      <x:c r="D2436" s="30" t="n">
        <x:v>1</x:v>
      </x:c>
      <x:c r="E2436" s="38" t="str">
        <x:v>XLC</x:v>
      </x:c>
      <x:c r="F2436" s="38" t="n">
        <x:v>0.076917367</x:v>
      </x:c>
      <x:c r="G2436" s="38" t="n">
        <x:v>0.2240803556</x:v>
      </x:c>
      <x:c r="H2436" s="42" t="b">
        <x:v>0</x:v>
      </x:c>
      <x:c r="I2436" s="42" t="b">
        <x:v>0</x:v>
      </x:c>
      <x:c r="J2436" s="38" t="n">
        <x:v>0.2231142959</x:v>
      </x:c>
    </x:row>
    <x:row r="2437" ht="19" customHeight="1">
      <x:c r="A2437" s="29" t="str">
        <x:v>stagger_1</x:v>
      </x:c>
      <x:c r="B2437" s="38" t="str">
        <x:v>LLY</x:v>
      </x:c>
      <x:c r="C2437" s="38" t="str">
        <x:v>Other sectors</x:v>
      </x:c>
      <x:c r="D2437" s="30" t="n">
        <x:v>1</x:v>
      </x:c>
      <x:c r="E2437" s="38" t="str">
        <x:v>XLE</x:v>
      </x:c>
      <x:c r="F2437" s="38" t="n">
        <x:v>-0.0920085133</x:v>
      </x:c>
      <x:c r="G2437" s="38" t="n">
        <x:v>-0.6896276609</x:v>
      </x:c>
      <x:c r="H2437" s="42" t="b">
        <x:v>0</x:v>
      </x:c>
      <x:c r="I2437" s="42" t="b">
        <x:v>0</x:v>
      </x:c>
      <x:c r="J2437" s="38" t="n">
        <x:v>0.2231142959</x:v>
      </x:c>
    </x:row>
    <x:row r="2438" ht="19" customHeight="1">
      <x:c r="A2438" s="29" t="str">
        <x:v>stagger_1</x:v>
      </x:c>
      <x:c r="B2438" s="38" t="str">
        <x:v>LLY</x:v>
      </x:c>
      <x:c r="C2438" s="38" t="str">
        <x:v>Other sectors</x:v>
      </x:c>
      <x:c r="D2438" s="30" t="n">
        <x:v>1</x:v>
      </x:c>
      <x:c r="E2438" s="38" t="str">
        <x:v>XLF</x:v>
      </x:c>
      <x:c r="F2438" s="38" t="n">
        <x:v>0.038526468</x:v>
      </x:c>
      <x:c r="G2438" s="38" t="n">
        <x:v>0.0992876744</x:v>
      </x:c>
      <x:c r="H2438" s="42" t="b">
        <x:v>0</x:v>
      </x:c>
      <x:c r="I2438" s="42" t="b">
        <x:v>0</x:v>
      </x:c>
      <x:c r="J2438" s="38" t="n">
        <x:v>0.2231142959</x:v>
      </x:c>
    </x:row>
    <x:row r="2439" ht="19" customHeight="1">
      <x:c r="A2439" s="29" t="str">
        <x:v>stagger_1</x:v>
      </x:c>
      <x:c r="B2439" s="38" t="str">
        <x:v>LLY</x:v>
      </x:c>
      <x:c r="C2439" s="38" t="str">
        <x:v>Other sectors</x:v>
      </x:c>
      <x:c r="D2439" s="30" t="n">
        <x:v>1</x:v>
      </x:c>
      <x:c r="E2439" s="38" t="str">
        <x:v>XLI</x:v>
      </x:c>
      <x:c r="F2439" s="38" t="n">
        <x:v>-0.3486214098</x:v>
      </x:c>
      <x:c r="G2439" s="38" t="n">
        <x:v>-0.7452851269</x:v>
      </x:c>
      <x:c r="H2439" s="42" t="b">
        <x:v>0</x:v>
      </x:c>
      <x:c r="I2439" s="42" t="b">
        <x:v>0</x:v>
      </x:c>
      <x:c r="J2439" s="38" t="n">
        <x:v>0.2231142959</x:v>
      </x:c>
    </x:row>
    <x:row r="2440" ht="19" customHeight="1">
      <x:c r="A2440" s="29" t="str">
        <x:v>stagger_1</x:v>
      </x:c>
      <x:c r="B2440" s="38" t="str">
        <x:v>LLY</x:v>
      </x:c>
      <x:c r="C2440" s="38" t="str">
        <x:v>Other sectors</x:v>
      </x:c>
      <x:c r="D2440" s="30" t="n">
        <x:v>1</x:v>
      </x:c>
      <x:c r="E2440" s="38" t="str">
        <x:v>XLK</x:v>
      </x:c>
      <x:c r="F2440" s="38" t="n">
        <x:v>0.4572750253</x:v>
      </x:c>
      <x:c r="G2440" s="38" t="n">
        <x:v>0.9183386678</x:v>
      </x:c>
      <x:c r="H2440" s="42" t="b">
        <x:v>0</x:v>
      </x:c>
      <x:c r="I2440" s="42" t="b">
        <x:v>0</x:v>
      </x:c>
      <x:c r="J2440" s="38" t="n">
        <x:v>0.2231142959</x:v>
      </x:c>
    </x:row>
    <x:row r="2441" ht="19" customHeight="1">
      <x:c r="A2441" s="29" t="str">
        <x:v>stagger_1</x:v>
      </x:c>
      <x:c r="B2441" s="38" t="str">
        <x:v>LLY</x:v>
      </x:c>
      <x:c r="C2441" s="38" t="str">
        <x:v>Other sectors</x:v>
      </x:c>
      <x:c r="D2441" s="30" t="n">
        <x:v>1</x:v>
      </x:c>
      <x:c r="E2441" s="38" t="str">
        <x:v>XLP</x:v>
      </x:c>
      <x:c r="F2441" s="38" t="n">
        <x:v>0.1390988797</x:v>
      </x:c>
      <x:c r="G2441" s="38" t="n">
        <x:v>0.3507847413</x:v>
      </x:c>
      <x:c r="H2441" s="42" t="b">
        <x:v>0</x:v>
      </x:c>
      <x:c r="I2441" s="42" t="b">
        <x:v>0</x:v>
      </x:c>
      <x:c r="J2441" s="38" t="n">
        <x:v>0.2231142959</x:v>
      </x:c>
    </x:row>
    <x:row r="2442" ht="19" customHeight="1">
      <x:c r="A2442" s="29" t="str">
        <x:v>stagger_1</x:v>
      </x:c>
      <x:c r="B2442" s="38" t="str">
        <x:v>LLY</x:v>
      </x:c>
      <x:c r="C2442" s="38" t="str">
        <x:v>Other sectors</x:v>
      </x:c>
      <x:c r="D2442" s="30" t="n">
        <x:v>1</x:v>
      </x:c>
      <x:c r="E2442" s="38" t="str">
        <x:v>XLRE</x:v>
      </x:c>
      <x:c r="F2442" s="38" t="n">
        <x:v>0.2271806628</x:v>
      </x:c>
      <x:c r="G2442" s="38" t="n">
        <x:v>0.736216703</x:v>
      </x:c>
      <x:c r="H2442" s="42" t="b">
        <x:v>0</x:v>
      </x:c>
      <x:c r="I2442" s="42" t="b">
        <x:v>0</x:v>
      </x:c>
      <x:c r="J2442" s="38" t="n">
        <x:v>0.2231142959</x:v>
      </x:c>
    </x:row>
    <x:row r="2443" ht="19" customHeight="1">
      <x:c r="A2443" s="29" t="str">
        <x:v>stagger_1</x:v>
      </x:c>
      <x:c r="B2443" s="38" t="str">
        <x:v>LLY</x:v>
      </x:c>
      <x:c r="C2443" s="38" t="str">
        <x:v>Other sectors</x:v>
      </x:c>
      <x:c r="D2443" s="30" t="n">
        <x:v>1</x:v>
      </x:c>
      <x:c r="E2443" s="38" t="str">
        <x:v>XLU</x:v>
      </x:c>
      <x:c r="F2443" s="38" t="n">
        <x:v>-0.4442938159</x:v>
      </x:c>
      <x:c r="G2443" s="38" t="n">
        <x:v>-1.8142978324</x:v>
      </x:c>
      <x:c r="H2443" s="42" t="b">
        <x:v>0</x:v>
      </x:c>
      <x:c r="I2443" s="42" t="b">
        <x:v>0</x:v>
      </x:c>
      <x:c r="J2443" s="38" t="n">
        <x:v>0.2231142959</x:v>
      </x:c>
    </x:row>
    <x:row r="2444" ht="19" customHeight="1">
      <x:c r="A2444" s="29" t="str">
        <x:v>stagger_1</x:v>
      </x:c>
      <x:c r="B2444" s="38" t="str">
        <x:v>LLY</x:v>
      </x:c>
      <x:c r="C2444" s="38" t="str">
        <x:v>Other sectors</x:v>
      </x:c>
      <x:c r="D2444" s="30" t="n">
        <x:v>1</x:v>
      </x:c>
      <x:c r="E2444" s="38" t="str">
        <x:v>XLY</x:v>
      </x:c>
      <x:c r="F2444" s="38" t="n">
        <x:v>-0.6991925987</x:v>
      </x:c>
      <x:c r="G2444" s="38" t="n">
        <x:v>-2.1333908125</x:v>
      </x:c>
      <x:c r="H2444" s="42" t="b">
        <x:v>0</x:v>
      </x:c>
      <x:c r="I2444" s="42" t="b">
        <x:v>0</x:v>
      </x:c>
      <x:c r="J2444" s="38" t="n">
        <x:v>0.2231142959</x:v>
      </x:c>
    </x:row>
    <x:row r="2445" ht="19" customHeight="1">
      <x:c r="A2445" s="29" t="str">
        <x:v>stagger_1</x:v>
      </x:c>
      <x:c r="B2445" s="38" t="str">
        <x:v>LLY</x:v>
      </x:c>
      <x:c r="C2445" s="38" t="str">
        <x:v>Other sectors</x:v>
      </x:c>
      <x:c r="D2445" s="30" t="n">
        <x:v>2</x:v>
      </x:c>
      <x:c r="E2445" s="38" t="str">
        <x:v>XLC</x:v>
      </x:c>
      <x:c r="F2445" s="38" t="n">
        <x:v>0.0774070604</x:v>
      </x:c>
      <x:c r="G2445" s="38" t="n">
        <x:v>0.22720118</x:v>
      </x:c>
      <x:c r="H2445" s="42" t="b">
        <x:v>0</x:v>
      </x:c>
      <x:c r="I2445" s="42" t="b">
        <x:v>0</x:v>
      </x:c>
      <x:c r="J2445" s="38" t="n">
        <x:v>0.2230777936</x:v>
      </x:c>
    </x:row>
    <x:row r="2446" ht="19" customHeight="1">
      <x:c r="A2446" s="29" t="str">
        <x:v>stagger_1</x:v>
      </x:c>
      <x:c r="B2446" s="38" t="str">
        <x:v>LLY</x:v>
      </x:c>
      <x:c r="C2446" s="38" t="str">
        <x:v>Other sectors</x:v>
      </x:c>
      <x:c r="D2446" s="30" t="n">
        <x:v>2</x:v>
      </x:c>
      <x:c r="E2446" s="38" t="str">
        <x:v>XLE</x:v>
      </x:c>
      <x:c r="F2446" s="38" t="n">
        <x:v>-0.0937083744</x:v>
      </x:c>
      <x:c r="G2446" s="38" t="n">
        <x:v>-0.7258281652</x:v>
      </x:c>
      <x:c r="H2446" s="42" t="b">
        <x:v>0</x:v>
      </x:c>
      <x:c r="I2446" s="42" t="b">
        <x:v>0</x:v>
      </x:c>
      <x:c r="J2446" s="38" t="n">
        <x:v>0.2230777936</x:v>
      </x:c>
    </x:row>
    <x:row r="2447" ht="19" customHeight="1">
      <x:c r="A2447" s="29" t="str">
        <x:v>stagger_1</x:v>
      </x:c>
      <x:c r="B2447" s="38" t="str">
        <x:v>LLY</x:v>
      </x:c>
      <x:c r="C2447" s="38" t="str">
        <x:v>Other sectors</x:v>
      </x:c>
      <x:c r="D2447" s="30" t="n">
        <x:v>2</x:v>
      </x:c>
      <x:c r="E2447" s="38" t="str">
        <x:v>XLF</x:v>
      </x:c>
      <x:c r="F2447" s="38" t="n">
        <x:v>0.0370736798</x:v>
      </x:c>
      <x:c r="G2447" s="38" t="n">
        <x:v>0.0964399651</x:v>
      </x:c>
      <x:c r="H2447" s="42" t="b">
        <x:v>1</x:v>
      </x:c>
      <x:c r="I2447" s="42" t="b">
        <x:v>0</x:v>
      </x:c>
      <x:c r="J2447" s="38" t="n">
        <x:v>0.2230777936</x:v>
      </x:c>
    </x:row>
    <x:row r="2448" ht="19" customHeight="1">
      <x:c r="A2448" s="29" t="str">
        <x:v>stagger_1</x:v>
      </x:c>
      <x:c r="B2448" s="38" t="str">
        <x:v>LLY</x:v>
      </x:c>
      <x:c r="C2448" s="38" t="str">
        <x:v>Other sectors</x:v>
      </x:c>
      <x:c r="D2448" s="30" t="n">
        <x:v>2</x:v>
      </x:c>
      <x:c r="E2448" s="38" t="str">
        <x:v>XLI</x:v>
      </x:c>
      <x:c r="F2448" s="38" t="n">
        <x:v>-0.3671692651</x:v>
      </x:c>
      <x:c r="G2448" s="38" t="n">
        <x:v>-1.1016192513</x:v>
      </x:c>
      <x:c r="H2448" s="42" t="b">
        <x:v>0</x:v>
      </x:c>
      <x:c r="I2448" s="42" t="b">
        <x:v>0</x:v>
      </x:c>
      <x:c r="J2448" s="38" t="n">
        <x:v>0.2230777936</x:v>
      </x:c>
    </x:row>
    <x:row r="2449" ht="19" customHeight="1">
      <x:c r="A2449" s="29" t="str">
        <x:v>stagger_1</x:v>
      </x:c>
      <x:c r="B2449" s="38" t="str">
        <x:v>LLY</x:v>
      </x:c>
      <x:c r="C2449" s="38" t="str">
        <x:v>Other sectors</x:v>
      </x:c>
      <x:c r="D2449" s="30" t="n">
        <x:v>2</x:v>
      </x:c>
      <x:c r="E2449" s="38" t="str">
        <x:v>XLK</x:v>
      </x:c>
      <x:c r="F2449" s="38" t="n">
        <x:v>0.4586362095</x:v>
      </x:c>
      <x:c r="G2449" s="38" t="n">
        <x:v>0.9287719795</x:v>
      </x:c>
      <x:c r="H2449" s="42" t="b">
        <x:v>0</x:v>
      </x:c>
      <x:c r="I2449" s="42" t="b">
        <x:v>0</x:v>
      </x:c>
      <x:c r="J2449" s="38" t="n">
        <x:v>0.2230777936</x:v>
      </x:c>
    </x:row>
    <x:row r="2450" ht="19" customHeight="1">
      <x:c r="A2450" s="29" t="str">
        <x:v>stagger_1</x:v>
      </x:c>
      <x:c r="B2450" s="38" t="str">
        <x:v>LLY</x:v>
      </x:c>
      <x:c r="C2450" s="38" t="str">
        <x:v>Other sectors</x:v>
      </x:c>
      <x:c r="D2450" s="30" t="n">
        <x:v>2</x:v>
      </x:c>
      <x:c r="E2450" s="38" t="str">
        <x:v>XLP</x:v>
      </x:c>
      <x:c r="F2450" s="38" t="n">
        <x:v>0.1366493727</x:v>
      </x:c>
      <x:c r="G2450" s="38" t="n">
        <x:v>0.3491483369</x:v>
      </x:c>
      <x:c r="H2450" s="42" t="b">
        <x:v>0</x:v>
      </x:c>
      <x:c r="I2450" s="42" t="b">
        <x:v>0</x:v>
      </x:c>
      <x:c r="J2450" s="38" t="n">
        <x:v>0.2230777936</x:v>
      </x:c>
    </x:row>
    <x:row r="2451" ht="19" customHeight="1">
      <x:c r="A2451" s="29" t="str">
        <x:v>stagger_1</x:v>
      </x:c>
      <x:c r="B2451" s="38" t="str">
        <x:v>LLY</x:v>
      </x:c>
      <x:c r="C2451" s="38" t="str">
        <x:v>Other sectors</x:v>
      </x:c>
      <x:c r="D2451" s="30" t="n">
        <x:v>2</x:v>
      </x:c>
      <x:c r="E2451" s="38" t="str">
        <x:v>XLRE</x:v>
      </x:c>
      <x:c r="F2451" s="38" t="n">
        <x:v>0.2249662967</x:v>
      </x:c>
      <x:c r="G2451" s="38" t="n">
        <x:v>0.7401893875</x:v>
      </x:c>
      <x:c r="H2451" s="42" t="b">
        <x:v>0</x:v>
      </x:c>
      <x:c r="I2451" s="42" t="b">
        <x:v>0</x:v>
      </x:c>
      <x:c r="J2451" s="38" t="n">
        <x:v>0.2230777936</x:v>
      </x:c>
    </x:row>
    <x:row r="2452" ht="19" customHeight="1">
      <x:c r="A2452" s="29" t="str">
        <x:v>stagger_1</x:v>
      </x:c>
      <x:c r="B2452" s="38" t="str">
        <x:v>LLY</x:v>
      </x:c>
      <x:c r="C2452" s="38" t="str">
        <x:v>Other sectors</x:v>
      </x:c>
      <x:c r="D2452" s="30" t="n">
        <x:v>2</x:v>
      </x:c>
      <x:c r="E2452" s="38" t="str">
        <x:v>XLU</x:v>
      </x:c>
      <x:c r="F2452" s="38" t="n">
        <x:v>-0.4445351976</x:v>
      </x:c>
      <x:c r="G2452" s="38" t="n">
        <x:v>-1.8286215169</x:v>
      </x:c>
      <x:c r="H2452" s="42" t="b">
        <x:v>0</x:v>
      </x:c>
      <x:c r="I2452" s="42" t="b">
        <x:v>0</x:v>
      </x:c>
      <x:c r="J2452" s="38" t="n">
        <x:v>0.2230777936</x:v>
      </x:c>
    </x:row>
    <x:row r="2453" ht="19" customHeight="1">
      <x:c r="A2453" s="29" t="str">
        <x:v>stagger_1</x:v>
      </x:c>
      <x:c r="B2453" s="38" t="str">
        <x:v>LLY</x:v>
      </x:c>
      <x:c r="C2453" s="38" t="str">
        <x:v>Other sectors</x:v>
      </x:c>
      <x:c r="D2453" s="30" t="n">
        <x:v>2</x:v>
      </x:c>
      <x:c r="E2453" s="38" t="str">
        <x:v>XLY</x:v>
      </x:c>
      <x:c r="F2453" s="38" t="n">
        <x:v>-0.7003396918</x:v>
      </x:c>
      <x:c r="G2453" s="38" t="n">
        <x:v>-2.1563471587</x:v>
      </x:c>
      <x:c r="H2453" s="42" t="b">
        <x:v>0</x:v>
      </x:c>
      <x:c r="I2453" s="42" t="b">
        <x:v>0</x:v>
      </x:c>
      <x:c r="J2453" s="38" t="n">
        <x:v>0.2230777936</x:v>
      </x:c>
    </x:row>
    <x:row r="2454" ht="19" customHeight="1">
      <x:c r="A2454" s="29" t="str">
        <x:v>stagger_1</x:v>
      </x:c>
      <x:c r="B2454" s="38" t="str">
        <x:v>LLY</x:v>
      </x:c>
      <x:c r="C2454" s="38" t="str">
        <x:v>Other sectors</x:v>
      </x:c>
      <x:c r="D2454" s="30" t="n">
        <x:v>3</x:v>
      </x:c>
      <x:c r="E2454" s="38" t="str">
        <x:v>XLC</x:v>
      </x:c>
      <x:c r="F2454" s="38" t="n">
        <x:v>0.0712170743</x:v>
      </x:c>
      <x:c r="G2454" s="38" t="n">
        <x:v>0.2143445413</x:v>
      </x:c>
      <x:c r="H2454" s="42" t="b">
        <x:v>1</x:v>
      </x:c>
      <x:c r="I2454" s="42" t="b">
        <x:v>0</x:v>
      </x:c>
      <x:c r="J2454" s="38" t="n">
        <x:v>0.2229745665</x:v>
      </x:c>
    </x:row>
    <x:row r="2455" ht="19" customHeight="1">
      <x:c r="A2455" s="29" t="str">
        <x:v>stagger_1</x:v>
      </x:c>
      <x:c r="B2455" s="38" t="str">
        <x:v>LLY</x:v>
      </x:c>
      <x:c r="C2455" s="38" t="str">
        <x:v>Other sectors</x:v>
      </x:c>
      <x:c r="D2455" s="30" t="n">
        <x:v>3</x:v>
      </x:c>
      <x:c r="E2455" s="38" t="str">
        <x:v>XLE</x:v>
      </x:c>
      <x:c r="F2455" s="38" t="n">
        <x:v>-0.0952497663</x:v>
      </x:c>
      <x:c r="G2455" s="38" t="n">
        <x:v>-0.7487284816</x:v>
      </x:c>
      <x:c r="H2455" s="42" t="b">
        <x:v>0</x:v>
      </x:c>
      <x:c r="I2455" s="42" t="b">
        <x:v>0</x:v>
      </x:c>
      <x:c r="J2455" s="38" t="n">
        <x:v>0.2229745665</x:v>
      </x:c>
    </x:row>
    <x:row r="2456" ht="19" customHeight="1">
      <x:c r="A2456" s="29" t="str">
        <x:v>stagger_1</x:v>
      </x:c>
      <x:c r="B2456" s="38" t="str">
        <x:v>LLY</x:v>
      </x:c>
      <x:c r="C2456" s="38" t="str">
        <x:v>Other sectors</x:v>
      </x:c>
      <x:c r="D2456" s="30" t="n">
        <x:v>3</x:v>
      </x:c>
      <x:c r="E2456" s="38" t="str">
        <x:v>XLI</x:v>
      </x:c>
      <x:c r="F2456" s="38" t="n">
        <x:v>-0.3588258522</x:v>
      </x:c>
      <x:c r="G2456" s="38" t="n">
        <x:v>-1.1226564617</x:v>
      </x:c>
      <x:c r="H2456" s="42" t="b">
        <x:v>0</x:v>
      </x:c>
      <x:c r="I2456" s="42" t="b">
        <x:v>0</x:v>
      </x:c>
      <x:c r="J2456" s="38" t="n">
        <x:v>0.2229745665</x:v>
      </x:c>
    </x:row>
    <x:row r="2457" ht="19" customHeight="1">
      <x:c r="A2457" s="29" t="str">
        <x:v>stagger_1</x:v>
      </x:c>
      <x:c r="B2457" s="38" t="str">
        <x:v>LLY</x:v>
      </x:c>
      <x:c r="C2457" s="38" t="str">
        <x:v>Other sectors</x:v>
      </x:c>
      <x:c r="D2457" s="30" t="n">
        <x:v>3</x:v>
      </x:c>
      <x:c r="E2457" s="38" t="str">
        <x:v>XLK</x:v>
      </x:c>
      <x:c r="F2457" s="38" t="n">
        <x:v>0.4279117039</x:v>
      </x:c>
      <x:c r="G2457" s="38" t="n">
        <x:v>1.1421594255</x:v>
      </x:c>
      <x:c r="H2457" s="42" t="b">
        <x:v>0</x:v>
      </x:c>
      <x:c r="I2457" s="42" t="b">
        <x:v>0</x:v>
      </x:c>
      <x:c r="J2457" s="38" t="n">
        <x:v>0.2229745665</x:v>
      </x:c>
    </x:row>
    <x:row r="2458" ht="19" customHeight="1">
      <x:c r="A2458" s="29" t="str">
        <x:v>stagger_1</x:v>
      </x:c>
      <x:c r="B2458" s="38" t="str">
        <x:v>LLY</x:v>
      </x:c>
      <x:c r="C2458" s="38" t="str">
        <x:v>Other sectors</x:v>
      </x:c>
      <x:c r="D2458" s="30" t="n">
        <x:v>3</x:v>
      </x:c>
      <x:c r="E2458" s="38" t="str">
        <x:v>XLP</x:v>
      </x:c>
      <x:c r="F2458" s="38" t="n">
        <x:v>0.1186452996</x:v>
      </x:c>
      <x:c r="G2458" s="38" t="n">
        <x:v>0.3473460797</x:v>
      </x:c>
      <x:c r="H2458" s="42" t="b">
        <x:v>0</x:v>
      </x:c>
      <x:c r="I2458" s="42" t="b">
        <x:v>0</x:v>
      </x:c>
      <x:c r="J2458" s="38" t="n">
        <x:v>0.2229745665</x:v>
      </x:c>
    </x:row>
    <x:row r="2459" ht="19" customHeight="1">
      <x:c r="A2459" s="29" t="str">
        <x:v>stagger_1</x:v>
      </x:c>
      <x:c r="B2459" s="38" t="str">
        <x:v>LLY</x:v>
      </x:c>
      <x:c r="C2459" s="38" t="str">
        <x:v>Other sectors</x:v>
      </x:c>
      <x:c r="D2459" s="30" t="n">
        <x:v>3</x:v>
      </x:c>
      <x:c r="E2459" s="38" t="str">
        <x:v>XLRE</x:v>
      </x:c>
      <x:c r="F2459" s="38" t="n">
        <x:v>0.2292449595</x:v>
      </x:c>
      <x:c r="G2459" s="38" t="n">
        <x:v>0.767809685</x:v>
      </x:c>
      <x:c r="H2459" s="42" t="b">
        <x:v>0</x:v>
      </x:c>
      <x:c r="I2459" s="42" t="b">
        <x:v>0</x:v>
      </x:c>
      <x:c r="J2459" s="38" t="n">
        <x:v>0.2229745665</x:v>
      </x:c>
    </x:row>
    <x:row r="2460" ht="19" customHeight="1">
      <x:c r="A2460" s="29" t="str">
        <x:v>stagger_1</x:v>
      </x:c>
      <x:c r="B2460" s="38" t="str">
        <x:v>LLY</x:v>
      </x:c>
      <x:c r="C2460" s="38" t="str">
        <x:v>Other sectors</x:v>
      </x:c>
      <x:c r="D2460" s="30" t="n">
        <x:v>3</x:v>
      </x:c>
      <x:c r="E2460" s="38" t="str">
        <x:v>XLU</x:v>
      </x:c>
      <x:c r="F2460" s="38" t="n">
        <x:v>-0.4486559563</x:v>
      </x:c>
      <x:c r="G2460" s="38" t="n">
        <x:v>-1.8879774244</x:v>
      </x:c>
      <x:c r="H2460" s="42" t="b">
        <x:v>0</x:v>
      </x:c>
      <x:c r="I2460" s="42" t="b">
        <x:v>0</x:v>
      </x:c>
      <x:c r="J2460" s="38" t="n">
        <x:v>0.2229745665</x:v>
      </x:c>
    </x:row>
    <x:row r="2461" ht="19" customHeight="1">
      <x:c r="A2461" s="29" t="str">
        <x:v>stagger_1</x:v>
      </x:c>
      <x:c r="B2461" s="38" t="str">
        <x:v>LLY</x:v>
      </x:c>
      <x:c r="C2461" s="38" t="str">
        <x:v>Other sectors</x:v>
      </x:c>
      <x:c r="D2461" s="30" t="n">
        <x:v>3</x:v>
      </x:c>
      <x:c r="E2461" s="38" t="str">
        <x:v>XLY</x:v>
      </x:c>
      <x:c r="F2461" s="38" t="n">
        <x:v>-0.708842824</x:v>
      </x:c>
      <x:c r="G2461" s="38" t="n">
        <x:v>-2.2836797831</x:v>
      </x:c>
      <x:c r="H2461" s="42" t="b">
        <x:v>0</x:v>
      </x:c>
      <x:c r="I2461" s="42" t="b">
        <x:v>0</x:v>
      </x:c>
      <x:c r="J2461" s="38" t="n">
        <x:v>0.2229745665</x:v>
      </x:c>
    </x:row>
    <x:row r="2462" ht="19" customHeight="1">
      <x:c r="A2462" s="29" t="str">
        <x:v>stagger_1</x:v>
      </x:c>
      <x:c r="B2462" s="38" t="str">
        <x:v>LLY</x:v>
      </x:c>
      <x:c r="C2462" s="38" t="str">
        <x:v>Other sectors</x:v>
      </x:c>
      <x:c r="D2462" s="30" t="n">
        <x:v>4</x:v>
      </x:c>
      <x:c r="E2462" s="38" t="str">
        <x:v>XLE</x:v>
      </x:c>
      <x:c r="F2462" s="38" t="n">
        <x:v>-0.0958748265</x:v>
      </x:c>
      <x:c r="G2462" s="38" t="n">
        <x:v>-0.7588846417</x:v>
      </x:c>
      <x:c r="H2462" s="42" t="b">
        <x:v>0</x:v>
      </x:c>
      <x:c r="I2462" s="42" t="b">
        <x:v>0</x:v>
      </x:c>
      <x:c r="J2462" s="38" t="n">
        <x:v>0.222471759</x:v>
      </x:c>
    </x:row>
    <x:row r="2463" ht="19" customHeight="1">
      <x:c r="A2463" s="29" t="str">
        <x:v>stagger_1</x:v>
      </x:c>
      <x:c r="B2463" s="38" t="str">
        <x:v>LLY</x:v>
      </x:c>
      <x:c r="C2463" s="38" t="str">
        <x:v>Other sectors</x:v>
      </x:c>
      <x:c r="D2463" s="30" t="n">
        <x:v>4</x:v>
      </x:c>
      <x:c r="E2463" s="38" t="str">
        <x:v>XLI</x:v>
      </x:c>
      <x:c r="F2463" s="38" t="n">
        <x:v>-0.3754420086</x:v>
      </x:c>
      <x:c r="G2463" s="38" t="n">
        <x:v>-1.2188982524</x:v>
      </x:c>
      <x:c r="H2463" s="42" t="b">
        <x:v>0</x:v>
      </x:c>
      <x:c r="I2463" s="42" t="b">
        <x:v>0</x:v>
      </x:c>
      <x:c r="J2463" s="38" t="n">
        <x:v>0.222471759</x:v>
      </x:c>
    </x:row>
    <x:row r="2464" ht="19" customHeight="1">
      <x:c r="A2464" s="29" t="str">
        <x:v>stagger_1</x:v>
      </x:c>
      <x:c r="B2464" s="38" t="str">
        <x:v>LLY</x:v>
      </x:c>
      <x:c r="C2464" s="38" t="str">
        <x:v>Other sectors</x:v>
      </x:c>
      <x:c r="D2464" s="30" t="n">
        <x:v>4</x:v>
      </x:c>
      <x:c r="E2464" s="38" t="str">
        <x:v>XLK</x:v>
      </x:c>
      <x:c r="F2464" s="38" t="n">
        <x:v>0.3944346488</x:v>
      </x:c>
      <x:c r="G2464" s="38" t="n">
        <x:v>1.1659983845</x:v>
      </x:c>
      <x:c r="H2464" s="42" t="b">
        <x:v>0</x:v>
      </x:c>
      <x:c r="I2464" s="42" t="b">
        <x:v>0</x:v>
      </x:c>
      <x:c r="J2464" s="38" t="n">
        <x:v>0.222471759</x:v>
      </x:c>
    </x:row>
    <x:row r="2465" ht="19" customHeight="1">
      <x:c r="A2465" s="29" t="str">
        <x:v>stagger_1</x:v>
      </x:c>
      <x:c r="B2465" s="38" t="str">
        <x:v>LLY</x:v>
      </x:c>
      <x:c r="C2465" s="38" t="str">
        <x:v>Other sectors</x:v>
      </x:c>
      <x:c r="D2465" s="30" t="n">
        <x:v>4</x:v>
      </x:c>
      <x:c r="E2465" s="38" t="str">
        <x:v>XLP</x:v>
      </x:c>
      <x:c r="F2465" s="38" t="n">
        <x:v>0.1272529855</x:v>
      </x:c>
      <x:c r="G2465" s="38" t="n">
        <x:v>0.3776580963</x:v>
      </x:c>
      <x:c r="H2465" s="42" t="b">
        <x:v>1</x:v>
      </x:c>
      <x:c r="I2465" s="42" t="b">
        <x:v>0</x:v>
      </x:c>
      <x:c r="J2465" s="38" t="n">
        <x:v>0.222471759</x:v>
      </x:c>
    </x:row>
    <x:row r="2466" ht="19" customHeight="1">
      <x:c r="A2466" s="29" t="str">
        <x:v>stagger_1</x:v>
      </x:c>
      <x:c r="B2466" s="38" t="str">
        <x:v>LLY</x:v>
      </x:c>
      <x:c r="C2466" s="38" t="str">
        <x:v>Other sectors</x:v>
      </x:c>
      <x:c r="D2466" s="30" t="n">
        <x:v>4</x:v>
      </x:c>
      <x:c r="E2466" s="38" t="str">
        <x:v>XLRE</x:v>
      </x:c>
      <x:c r="F2466" s="38" t="n">
        <x:v>0.2162920332</x:v>
      </x:c>
      <x:c r="G2466" s="38" t="n">
        <x:v>0.7446870622</x:v>
      </x:c>
      <x:c r="H2466" s="42" t="b">
        <x:v>0</x:v>
      </x:c>
      <x:c r="I2466" s="42" t="b">
        <x:v>0</x:v>
      </x:c>
      <x:c r="J2466" s="38" t="n">
        <x:v>0.222471759</x:v>
      </x:c>
    </x:row>
    <x:row r="2467" ht="19" customHeight="1">
      <x:c r="A2467" s="29" t="str">
        <x:v>stagger_1</x:v>
      </x:c>
      <x:c r="B2467" s="38" t="str">
        <x:v>LLY</x:v>
      </x:c>
      <x:c r="C2467" s="38" t="str">
        <x:v>Other sectors</x:v>
      </x:c>
      <x:c r="D2467" s="30" t="n">
        <x:v>4</x:v>
      </x:c>
      <x:c r="E2467" s="38" t="str">
        <x:v>XLU</x:v>
      </x:c>
      <x:c r="F2467" s="38" t="n">
        <x:v>-0.4569563811</x:v>
      </x:c>
      <x:c r="G2467" s="38" t="n">
        <x:v>-1.9619997565</x:v>
      </x:c>
      <x:c r="H2467" s="42" t="b">
        <x:v>0</x:v>
      </x:c>
      <x:c r="I2467" s="42" t="b">
        <x:v>0</x:v>
      </x:c>
      <x:c r="J2467" s="38" t="n">
        <x:v>0.222471759</x:v>
      </x:c>
    </x:row>
    <x:row r="2468" ht="19" customHeight="1">
      <x:c r="A2468" s="29" t="str">
        <x:v>stagger_1</x:v>
      </x:c>
      <x:c r="B2468" s="38" t="str">
        <x:v>LLY</x:v>
      </x:c>
      <x:c r="C2468" s="38" t="str">
        <x:v>Other sectors</x:v>
      </x:c>
      <x:c r="D2468" s="30" t="n">
        <x:v>4</x:v>
      </x:c>
      <x:c r="E2468" s="38" t="str">
        <x:v>XLY</x:v>
      </x:c>
      <x:c r="F2468" s="38" t="n">
        <x:v>-0.694125376</x:v>
      </x:c>
      <x:c r="G2468" s="38" t="n">
        <x:v>-2.3084180301</x:v>
      </x:c>
      <x:c r="H2468" s="42" t="b">
        <x:v>0</x:v>
      </x:c>
      <x:c r="I2468" s="42" t="b">
        <x:v>0</x:v>
      </x:c>
      <x:c r="J2468" s="38" t="n">
        <x:v>0.222471759</x:v>
      </x:c>
    </x:row>
    <x:row r="2469" ht="19" customHeight="1">
      <x:c r="A2469" s="29" t="str">
        <x:v>stagger_1</x:v>
      </x:c>
      <x:c r="B2469" s="38" t="str">
        <x:v>LLY</x:v>
      </x:c>
      <x:c r="C2469" s="38" t="str">
        <x:v>Other sectors</x:v>
      </x:c>
      <x:c r="D2469" s="30" t="n">
        <x:v>5</x:v>
      </x:c>
      <x:c r="E2469" s="38" t="str">
        <x:v>XLE</x:v>
      </x:c>
      <x:c r="F2469" s="38" t="n">
        <x:v>-0.1031992864</x:v>
      </x:c>
      <x:c r="G2469" s="38" t="n">
        <x:v>-0.8315569538</x:v>
      </x:c>
      <x:c r="H2469" s="42" t="b">
        <x:v>1</x:v>
      </x:c>
      <x:c r="I2469" s="42" t="b">
        <x:v>0</x:v>
      </x:c>
      <x:c r="J2469" s="38" t="n">
        <x:v>0.2209315443</x:v>
      </x:c>
    </x:row>
    <x:row r="2470" ht="19" customHeight="1">
      <x:c r="A2470" s="29" t="str">
        <x:v>stagger_1</x:v>
      </x:c>
      <x:c r="B2470" s="38" t="str">
        <x:v>LLY</x:v>
      </x:c>
      <x:c r="C2470" s="38" t="str">
        <x:v>Other sectors</x:v>
      </x:c>
      <x:c r="D2470" s="30" t="n">
        <x:v>5</x:v>
      </x:c>
      <x:c r="E2470" s="38" t="str">
        <x:v>XLI</x:v>
      </x:c>
      <x:c r="F2470" s="38" t="n">
        <x:v>-0.3521142068</x:v>
      </x:c>
      <x:c r="G2470" s="38" t="n">
        <x:v>-1.1737803905</x:v>
      </x:c>
      <x:c r="H2470" s="42" t="b">
        <x:v>0</x:v>
      </x:c>
      <x:c r="I2470" s="42" t="b">
        <x:v>0</x:v>
      </x:c>
      <x:c r="J2470" s="38" t="n">
        <x:v>0.2209315443</x:v>
      </x:c>
    </x:row>
    <x:row r="2471" ht="19" customHeight="1">
      <x:c r="A2471" s="29" t="str">
        <x:v>stagger_1</x:v>
      </x:c>
      <x:c r="B2471" s="38" t="str">
        <x:v>LLY</x:v>
      </x:c>
      <x:c r="C2471" s="38" t="str">
        <x:v>Other sectors</x:v>
      </x:c>
      <x:c r="D2471" s="30" t="n">
        <x:v>5</x:v>
      </x:c>
      <x:c r="E2471" s="38" t="str">
        <x:v>XLK</x:v>
      </x:c>
      <x:c r="F2471" s="38" t="n">
        <x:v>0.355476281</x:v>
      </x:c>
      <x:c r="G2471" s="38" t="n">
        <x:v>1.1099249848</x:v>
      </x:c>
      <x:c r="H2471" s="42" t="b">
        <x:v>0</x:v>
      </x:c>
      <x:c r="I2471" s="42" t="b">
        <x:v>0</x:v>
      </x:c>
      <x:c r="J2471" s="38" t="n">
        <x:v>0.2209315443</x:v>
      </x:c>
    </x:row>
    <x:row r="2472" ht="19" customHeight="1">
      <x:c r="A2472" s="29" t="str">
        <x:v>stagger_1</x:v>
      </x:c>
      <x:c r="B2472" s="38" t="str">
        <x:v>LLY</x:v>
      </x:c>
      <x:c r="C2472" s="38" t="str">
        <x:v>Other sectors</x:v>
      </x:c>
      <x:c r="D2472" s="30" t="n">
        <x:v>5</x:v>
      </x:c>
      <x:c r="E2472" s="38" t="str">
        <x:v>XLRE</x:v>
      </x:c>
      <x:c r="F2472" s="38" t="n">
        <x:v>0.2527640023</x:v>
      </x:c>
      <x:c r="G2472" s="38" t="n">
        <x:v>0.9282286681</x:v>
      </x:c>
      <x:c r="H2472" s="42" t="b">
        <x:v>0</x:v>
      </x:c>
      <x:c r="I2472" s="42" t="b">
        <x:v>0</x:v>
      </x:c>
      <x:c r="J2472" s="38" t="n">
        <x:v>0.2209315443</x:v>
      </x:c>
    </x:row>
    <x:row r="2473" ht="19" customHeight="1">
      <x:c r="A2473" s="29" t="str">
        <x:v>stagger_1</x:v>
      </x:c>
      <x:c r="B2473" s="38" t="str">
        <x:v>LLY</x:v>
      </x:c>
      <x:c r="C2473" s="38" t="str">
        <x:v>Other sectors</x:v>
      </x:c>
      <x:c r="D2473" s="30" t="n">
        <x:v>5</x:v>
      </x:c>
      <x:c r="E2473" s="38" t="str">
        <x:v>XLU</x:v>
      </x:c>
      <x:c r="F2473" s="38" t="n">
        <x:v>-0.4408353704</x:v>
      </x:c>
      <x:c r="G2473" s="38" t="n">
        <x:v>-1.9368046814</x:v>
      </x:c>
      <x:c r="H2473" s="42" t="b">
        <x:v>0</x:v>
      </x:c>
      <x:c r="I2473" s="42" t="b">
        <x:v>0</x:v>
      </x:c>
      <x:c r="J2473" s="38" t="n">
        <x:v>0.2209315443</x:v>
      </x:c>
    </x:row>
    <x:row r="2474" ht="19" customHeight="1">
      <x:c r="A2474" s="29" t="str">
        <x:v>stagger_1</x:v>
      </x:c>
      <x:c r="B2474" s="38" t="str">
        <x:v>LLY</x:v>
      </x:c>
      <x:c r="C2474" s="38" t="str">
        <x:v>Other sectors</x:v>
      </x:c>
      <x:c r="D2474" s="30" t="n">
        <x:v>5</x:v>
      </x:c>
      <x:c r="E2474" s="38" t="str">
        <x:v>XLY</x:v>
      </x:c>
      <x:c r="F2474" s="38" t="n">
        <x:v>-0.7231196667</x:v>
      </x:c>
      <x:c r="G2474" s="38" t="n">
        <x:v>-2.5020182538</x:v>
      </x:c>
      <x:c r="H2474" s="42" t="b">
        <x:v>0</x:v>
      </x:c>
      <x:c r="I2474" s="42" t="b">
        <x:v>0</x:v>
      </x:c>
      <x:c r="J2474" s="38" t="n">
        <x:v>0.2209315443</x:v>
      </x:c>
    </x:row>
    <x:row r="2475" ht="19" customHeight="1">
      <x:c r="A2475" s="29" t="str">
        <x:v>stagger_1</x:v>
      </x:c>
      <x:c r="B2475" s="38" t="str">
        <x:v>LLY</x:v>
      </x:c>
      <x:c r="C2475" s="38" t="str">
        <x:v>Other sectors</x:v>
      </x:c>
      <x:c r="D2475" s="30" t="n">
        <x:v>6</x:v>
      </x:c>
      <x:c r="E2475" s="38" t="str">
        <x:v>XLI</x:v>
      </x:c>
      <x:c r="F2475" s="38" t="n">
        <x:v>-0.3528654521</x:v>
      </x:c>
      <x:c r="G2475" s="38" t="n">
        <x:v>-1.1787497433</x:v>
      </x:c>
      <x:c r="H2475" s="42" t="b">
        <x:v>0</x:v>
      </x:c>
      <x:c r="I2475" s="42" t="b">
        <x:v>0</x:v>
      </x:c>
      <x:c r="J2475" s="38" t="n">
        <x:v>0.2135518774</x:v>
      </x:c>
    </x:row>
    <x:row r="2476" ht="19" customHeight="1">
      <x:c r="A2476" s="29" t="str">
        <x:v>stagger_1</x:v>
      </x:c>
      <x:c r="B2476" s="38" t="str">
        <x:v>LLY</x:v>
      </x:c>
      <x:c r="C2476" s="38" t="str">
        <x:v>Other sectors</x:v>
      </x:c>
      <x:c r="D2476" s="30" t="n">
        <x:v>6</x:v>
      </x:c>
      <x:c r="E2476" s="38" t="str">
        <x:v>XLK</x:v>
      </x:c>
      <x:c r="F2476" s="38" t="n">
        <x:v>0.4710277893</x:v>
      </x:c>
      <x:c r="G2476" s="38" t="n">
        <x:v>1.6357818248</x:v>
      </x:c>
      <x:c r="H2476" s="42" t="b">
        <x:v>0</x:v>
      </x:c>
      <x:c r="I2476" s="42" t="b">
        <x:v>0</x:v>
      </x:c>
      <x:c r="J2476" s="38" t="n">
        <x:v>0.2135518774</x:v>
      </x:c>
    </x:row>
    <x:row r="2477" ht="19" customHeight="1">
      <x:c r="A2477" s="29" t="str">
        <x:v>stagger_1</x:v>
      </x:c>
      <x:c r="B2477" s="38" t="str">
        <x:v>LLY</x:v>
      </x:c>
      <x:c r="C2477" s="38" t="str">
        <x:v>Other sectors</x:v>
      </x:c>
      <x:c r="D2477" s="30" t="n">
        <x:v>6</x:v>
      </x:c>
      <x:c r="E2477" s="38" t="str">
        <x:v>XLRE</x:v>
      </x:c>
      <x:c r="F2477" s="38" t="n">
        <x:v>0.2536085989</x:v>
      </x:c>
      <x:c r="G2477" s="38" t="n">
        <x:v>0.9332842776</x:v>
      </x:c>
      <x:c r="H2477" s="42" t="b">
        <x:v>1</x:v>
      </x:c>
      <x:c r="I2477" s="42" t="b">
        <x:v>0</x:v>
      </x:c>
      <x:c r="J2477" s="38" t="n">
        <x:v>0.2135518774</x:v>
      </x:c>
    </x:row>
    <x:row r="2478" ht="19" customHeight="1">
      <x:c r="A2478" s="29" t="str">
        <x:v>stagger_1</x:v>
      </x:c>
      <x:c r="B2478" s="38" t="str">
        <x:v>LLY</x:v>
      </x:c>
      <x:c r="C2478" s="38" t="str">
        <x:v>Other sectors</x:v>
      </x:c>
      <x:c r="D2478" s="30" t="n">
        <x:v>6</x:v>
      </x:c>
      <x:c r="E2478" s="38" t="str">
        <x:v>XLU</x:v>
      </x:c>
      <x:c r="F2478" s="38" t="n">
        <x:v>-0.4182702111</x:v>
      </x:c>
      <x:c r="G2478" s="38" t="n">
        <x:v>-1.8547362995</x:v>
      </x:c>
      <x:c r="H2478" s="42" t="b">
        <x:v>0</x:v>
      </x:c>
      <x:c r="I2478" s="42" t="b">
        <x:v>0</x:v>
      </x:c>
      <x:c r="J2478" s="38" t="n">
        <x:v>0.2135518774</x:v>
      </x:c>
    </x:row>
    <x:row r="2479" ht="19" customHeight="1">
      <x:c r="A2479" s="29" t="str">
        <x:v>stagger_1</x:v>
      </x:c>
      <x:c r="B2479" s="38" t="str">
        <x:v>LLY</x:v>
      </x:c>
      <x:c r="C2479" s="38" t="str">
        <x:v>Other sectors</x:v>
      </x:c>
      <x:c r="D2479" s="30" t="n">
        <x:v>6</x:v>
      </x:c>
      <x:c r="E2479" s="38" t="str">
        <x:v>XLY</x:v>
      </x:c>
      <x:c r="F2479" s="38" t="n">
        <x:v>-0.637741204</x:v>
      </x:c>
      <x:c r="G2479" s="38" t="n">
        <x:v>-2.3655218399</x:v>
      </x:c>
      <x:c r="H2479" s="42" t="b">
        <x:v>0</x:v>
      </x:c>
      <x:c r="I2479" s="42" t="b">
        <x:v>0</x:v>
      </x:c>
      <x:c r="J2479" s="38" t="n">
        <x:v>0.2135518774</x:v>
      </x:c>
    </x:row>
    <x:row r="2480" ht="19" customHeight="1">
      <x:c r="A2480" s="29" t="str">
        <x:v>stagger_1</x:v>
      </x:c>
      <x:c r="B2480" s="38" t="str">
        <x:v>LLY</x:v>
      </x:c>
      <x:c r="C2480" s="38" t="str">
        <x:v>Other sectors</x:v>
      </x:c>
      <x:c r="D2480" s="30" t="n">
        <x:v>7</x:v>
      </x:c>
      <x:c r="E2480" s="38" t="str">
        <x:v>XLI</x:v>
      </x:c>
      <x:c r="F2480" s="38" t="n">
        <x:v>-0.3493612319</x:v>
      </x:c>
      <x:c r="G2480" s="38" t="n">
        <x:v>-1.1681405594</x:v>
      </x:c>
      <x:c r="H2480" s="42" t="b">
        <x:v>1</x:v>
      </x:c>
      <x:c r="I2480" s="42" t="b">
        <x:v>0</x:v>
      </x:c>
      <x:c r="J2480" s="38" t="n">
        <x:v>0.2042949627</x:v>
      </x:c>
    </x:row>
    <x:row r="2481" ht="19" customHeight="1">
      <x:c r="A2481" s="29" t="str">
        <x:v>stagger_1</x:v>
      </x:c>
      <x:c r="B2481" s="38" t="str">
        <x:v>LLY</x:v>
      </x:c>
      <x:c r="C2481" s="38" t="str">
        <x:v>Other sectors</x:v>
      </x:c>
      <x:c r="D2481" s="30" t="n">
        <x:v>7</x:v>
      </x:c>
      <x:c r="E2481" s="38" t="str">
        <x:v>XLK</x:v>
      </x:c>
      <x:c r="F2481" s="38" t="n">
        <x:v>0.3808088881</x:v>
      </x:c>
      <x:c r="G2481" s="38" t="n">
        <x:v>1.4051558711</x:v>
      </x:c>
      <x:c r="H2481" s="42" t="b">
        <x:v>0</x:v>
      </x:c>
      <x:c r="I2481" s="42" t="b">
        <x:v>0</x:v>
      </x:c>
      <x:c r="J2481" s="38" t="n">
        <x:v>0.2042949627</x:v>
      </x:c>
    </x:row>
    <x:row r="2482" ht="19" customHeight="1">
      <x:c r="A2482" s="29" t="str">
        <x:v>stagger_1</x:v>
      </x:c>
      <x:c r="B2482" s="38" t="str">
        <x:v>LLY</x:v>
      </x:c>
      <x:c r="C2482" s="38" t="str">
        <x:v>Other sectors</x:v>
      </x:c>
      <x:c r="D2482" s="30" t="n">
        <x:v>7</x:v>
      </x:c>
      <x:c r="E2482" s="38" t="str">
        <x:v>XLU</x:v>
      </x:c>
      <x:c r="F2482" s="38" t="n">
        <x:v>-0.333208899</x:v>
      </x:c>
      <x:c r="G2482" s="38" t="n">
        <x:v>-1.6167412322</x:v>
      </x:c>
      <x:c r="H2482" s="42" t="b">
        <x:v>0</x:v>
      </x:c>
      <x:c r="I2482" s="42" t="b">
        <x:v>0</x:v>
      </x:c>
      <x:c r="J2482" s="38" t="n">
        <x:v>0.2042949627</x:v>
      </x:c>
    </x:row>
    <x:row r="2483" ht="19" customHeight="1">
      <x:c r="A2483" s="29" t="str">
        <x:v>stagger_1</x:v>
      </x:c>
      <x:c r="B2483" s="38" t="str">
        <x:v>LLY</x:v>
      </x:c>
      <x:c r="C2483" s="38" t="str">
        <x:v>Other sectors</x:v>
      </x:c>
      <x:c r="D2483" s="30" t="n">
        <x:v>7</x:v>
      </x:c>
      <x:c r="E2483" s="38" t="str">
        <x:v>XLY</x:v>
      </x:c>
      <x:c r="F2483" s="38" t="n">
        <x:v>-0.614662485</x:v>
      </x:c>
      <x:c r="G2483" s="38" t="n">
        <x:v>-2.2915407191</x:v>
      </x:c>
      <x:c r="H2483" s="42" t="b">
        <x:v>0</x:v>
      </x:c>
      <x:c r="I2483" s="42" t="b">
        <x:v>0</x:v>
      </x:c>
      <x:c r="J2483" s="38" t="n">
        <x:v>0.2042949627</x:v>
      </x:c>
    </x:row>
    <x:row r="2484" ht="19" customHeight="1">
      <x:c r="A2484" s="29" t="str">
        <x:v>stagger_1</x:v>
      </x:c>
      <x:c r="B2484" s="38" t="str">
        <x:v>LLY</x:v>
      </x:c>
      <x:c r="C2484" s="38" t="str">
        <x:v>Other sectors</x:v>
      </x:c>
      <x:c r="D2484" s="30" t="n">
        <x:v>8</x:v>
      </x:c>
      <x:c r="E2484" s="38" t="str">
        <x:v>XLK</x:v>
      </x:c>
      <x:c r="F2484" s="38" t="n">
        <x:v>0.4714797828</x:v>
      </x:c>
      <x:c r="G2484" s="38" t="n">
        <x:v>1.8114547639</x:v>
      </x:c>
      <x:c r="H2484" s="42" t="b">
        <x:v>1</x:v>
      </x:c>
      <x:c r="I2484" s="42" t="b">
        <x:v>0</x:v>
      </x:c>
      <x:c r="J2484" s="38" t="n">
        <x:v>0.1898178802</x:v>
      </x:c>
    </x:row>
    <x:row r="2485" ht="19" customHeight="1">
      <x:c r="A2485" s="29" t="str">
        <x:v>stagger_1</x:v>
      </x:c>
      <x:c r="B2485" s="38" t="str">
        <x:v>LLY</x:v>
      </x:c>
      <x:c r="C2485" s="38" t="str">
        <x:v>Other sectors</x:v>
      </x:c>
      <x:c r="D2485" s="30" t="n">
        <x:v>8</x:v>
      </x:c>
      <x:c r="E2485" s="38" t="str">
        <x:v>XLU</x:v>
      </x:c>
      <x:c r="F2485" s="38" t="n">
        <x:v>-0.3963798556</x:v>
      </x:c>
      <x:c r="G2485" s="38" t="n">
        <x:v>-1.9883193715</x:v>
      </x:c>
      <x:c r="H2485" s="42" t="b">
        <x:v>0</x:v>
      </x:c>
      <x:c r="I2485" s="42" t="b">
        <x:v>0</x:v>
      </x:c>
      <x:c r="J2485" s="38" t="n">
        <x:v>0.1898178802</x:v>
      </x:c>
    </x:row>
    <x:row r="2486" ht="19" customHeight="1">
      <x:c r="A2486" s="29" t="str">
        <x:v>stagger_1</x:v>
      </x:c>
      <x:c r="B2486" s="38" t="str">
        <x:v>LLY</x:v>
      </x:c>
      <x:c r="C2486" s="38" t="str">
        <x:v>Other sectors</x:v>
      </x:c>
      <x:c r="D2486" s="30" t="n">
        <x:v>8</x:v>
      </x:c>
      <x:c r="E2486" s="38" t="str">
        <x:v>XLY</x:v>
      </x:c>
      <x:c r="F2486" s="38" t="n">
        <x:v>-0.5596093068</x:v>
      </x:c>
      <x:c r="G2486" s="38" t="n">
        <x:v>-2.1141995975</x:v>
      </x:c>
      <x:c r="H2486" s="42" t="b">
        <x:v>0</x:v>
      </x:c>
      <x:c r="I2486" s="42" t="b">
        <x:v>0</x:v>
      </x:c>
      <x:c r="J2486" s="38" t="n">
        <x:v>0.1898178802</x:v>
      </x:c>
    </x:row>
    <x:row r="2487" ht="19" customHeight="1">
      <x:c r="A2487" s="29" t="str">
        <x:v>stagger_1</x:v>
      </x:c>
      <x:c r="B2487" s="38" t="str">
        <x:v>LLY</x:v>
      </x:c>
      <x:c r="C2487" s="38" t="str">
        <x:v>Other sectors</x:v>
      </x:c>
      <x:c r="D2487" s="30" t="n">
        <x:v>9</x:v>
      </x:c>
      <x:c r="E2487" s="38" t="str">
        <x:v>XLU</x:v>
      </x:c>
      <x:c r="F2487" s="38" t="n">
        <x:v>-0.5383526869</x:v>
      </x:c>
      <x:c r="G2487" s="38" t="n">
        <x:v>-2.8944132652</x:v>
      </x:c>
      <x:c r="H2487" s="42" t="b">
        <x:v>0</x:v>
      </x:c>
      <x:c r="I2487" s="42" t="b">
        <x:v>1</x:v>
      </x:c>
      <x:c r="J2487" s="38" t="n">
        <x:v>0.1548375384</x:v>
      </x:c>
    </x:row>
    <x:row r="2488" ht="19" customHeight="1">
      <x:c r="A2488" s="29" t="str">
        <x:v>stagger_1</x:v>
      </x:c>
      <x:c r="B2488" s="38" t="str">
        <x:v>LLY</x:v>
      </x:c>
      <x:c r="C2488" s="38" t="str">
        <x:v>Other sectors</x:v>
      </x:c>
      <x:c r="D2488" s="30" t="n">
        <x:v>9</x:v>
      </x:c>
      <x:c r="E2488" s="38" t="str">
        <x:v>XLY</x:v>
      </x:c>
      <x:c r="F2488" s="38" t="n">
        <x:v>-0.6645312872</x:v>
      </x:c>
      <x:c r="G2488" s="38" t="n">
        <x:v>-2.5356633619</x:v>
      </x:c>
      <x:c r="H2488" s="42" t="b">
        <x:v>0</x:v>
      </x:c>
      <x:c r="I2488" s="42" t="b">
        <x:v>1</x:v>
      </x:c>
      <x:c r="J2488" s="38" t="n">
        <x:v>0.1548375384</x:v>
      </x:c>
    </x:row>
    <x:row r="2489" ht="19" customHeight="1">
      <x:c r="A2489" s="29" t="str">
        <x:v>stagger_1</x:v>
      </x:c>
      <x:c r="B2489" s="38" t="str">
        <x:v>WELL</x:v>
      </x:c>
      <x:c r="C2489" s="38" t="str">
        <x:v>Other FX</x:v>
      </x:c>
      <x:c r="D2489" s="30" t="n">
        <x:v>1</x:v>
      </x:c>
      <x:c r="E2489" s="38" t="str">
        <x:v>AUD/USD</x:v>
      </x:c>
      <x:c r="F2489" s="38" t="n">
        <x:v>1.4182314653</x:v>
      </x:c>
      <x:c r="G2489" s="38" t="n">
        <x:v>2.5208449692</x:v>
      </x:c>
      <x:c r="H2489" s="42" t="b">
        <x:v>0</x:v>
      </x:c>
      <x:c r="I2489" s="42" t="b">
        <x:v>0</x:v>
      </x:c>
      <x:c r="J2489" s="38" t="n">
        <x:v>0.1869905813</x:v>
      </x:c>
    </x:row>
    <x:row r="2490" ht="19" customHeight="1">
      <x:c r="A2490" s="29" t="str">
        <x:v>stagger_1</x:v>
      </x:c>
      <x:c r="B2490" s="38" t="str">
        <x:v>WELL</x:v>
      </x:c>
      <x:c r="C2490" s="38" t="str">
        <x:v>Other FX</x:v>
      </x:c>
      <x:c r="D2490" s="30" t="n">
        <x:v>1</x:v>
      </x:c>
      <x:c r="E2490" s="38" t="str">
        <x:v>CAD/USD</x:v>
      </x:c>
      <x:c r="F2490" s="38" t="n">
        <x:v>-0.8062332695</x:v>
      </x:c>
      <x:c r="G2490" s="38" t="n">
        <x:v>-1.1867418233</x:v>
      </x:c>
      <x:c r="H2490" s="42" t="b">
        <x:v>0</x:v>
      </x:c>
      <x:c r="I2490" s="42" t="b">
        <x:v>0</x:v>
      </x:c>
      <x:c r="J2490" s="38" t="n">
        <x:v>0.1869905813</x:v>
      </x:c>
    </x:row>
    <x:row r="2491" ht="19" customHeight="1">
      <x:c r="A2491" s="29" t="str">
        <x:v>stagger_1</x:v>
      </x:c>
      <x:c r="B2491" s="38" t="str">
        <x:v>WELL</x:v>
      </x:c>
      <x:c r="C2491" s="38" t="str">
        <x:v>Other FX</x:v>
      </x:c>
      <x:c r="D2491" s="30" t="n">
        <x:v>1</x:v>
      </x:c>
      <x:c r="E2491" s="38" t="str">
        <x:v>DKK/USD</x:v>
      </x:c>
      <x:c r="F2491" s="38" t="n">
        <x:v>-3.2476168403</x:v>
      </x:c>
      <x:c r="G2491" s="38" t="n">
        <x:v>-0.6866562586</x:v>
      </x:c>
      <x:c r="H2491" s="42" t="b">
        <x:v>1</x:v>
      </x:c>
      <x:c r="I2491" s="42" t="b">
        <x:v>0</x:v>
      </x:c>
      <x:c r="J2491" s="38" t="n">
        <x:v>0.1869905813</x:v>
      </x:c>
    </x:row>
    <x:row r="2492" ht="19" customHeight="1">
      <x:c r="A2492" s="29" t="str">
        <x:v>stagger_1</x:v>
      </x:c>
      <x:c r="B2492" s="38" t="str">
        <x:v>WELL</x:v>
      </x:c>
      <x:c r="C2492" s="38" t="str">
        <x:v>Other FX</x:v>
      </x:c>
      <x:c r="D2492" s="30" t="n">
        <x:v>1</x:v>
      </x:c>
      <x:c r="E2492" s="38" t="str">
        <x:v>EUR/USD</x:v>
      </x:c>
      <x:c r="F2492" s="38" t="n">
        <x:v>3.0717783642</x:v>
      </x:c>
      <x:c r="G2492" s="38" t="n">
        <x:v>0.7100353071</x:v>
      </x:c>
      <x:c r="H2492" s="42" t="b">
        <x:v>0</x:v>
      </x:c>
      <x:c r="I2492" s="42" t="b">
        <x:v>0</x:v>
      </x:c>
      <x:c r="J2492" s="38" t="n">
        <x:v>0.1869905813</x:v>
      </x:c>
    </x:row>
    <x:row r="2493" ht="19" customHeight="1">
      <x:c r="A2493" s="29" t="str">
        <x:v>stagger_1</x:v>
      </x:c>
      <x:c r="B2493" s="38" t="str">
        <x:v>WELL</x:v>
      </x:c>
      <x:c r="C2493" s="38" t="str">
        <x:v>Other FX</x:v>
      </x:c>
      <x:c r="D2493" s="30" t="n">
        <x:v>1</x:v>
      </x:c>
      <x:c r="E2493" s="38" t="str">
        <x:v>MXN/USD</x:v>
      </x:c>
      <x:c r="F2493" s="38" t="n">
        <x:v>-0.3521830226</x:v>
      </x:c>
      <x:c r="G2493" s="38" t="n">
        <x:v>-0.977121224</x:v>
      </x:c>
      <x:c r="H2493" s="42" t="b">
        <x:v>0</x:v>
      </x:c>
      <x:c r="I2493" s="42" t="b">
        <x:v>0</x:v>
      </x:c>
      <x:c r="J2493" s="38" t="n">
        <x:v>0.1869905813</x:v>
      </x:c>
    </x:row>
    <x:row r="2494" ht="19" customHeight="1">
      <x:c r="A2494" s="29" t="str">
        <x:v>stagger_1</x:v>
      </x:c>
      <x:c r="B2494" s="38" t="str">
        <x:v>WELL</x:v>
      </x:c>
      <x:c r="C2494" s="38" t="str">
        <x:v>Other FX</x:v>
      </x:c>
      <x:c r="D2494" s="30" t="n">
        <x:v>1</x:v>
      </x:c>
      <x:c r="E2494" s="38" t="str">
        <x:v>SGD/USD</x:v>
      </x:c>
      <x:c r="F2494" s="38" t="n">
        <x:v>1.1672298929</x:v>
      </x:c>
      <x:c r="G2494" s="38" t="n">
        <x:v>0.8568916379</x:v>
      </x:c>
      <x:c r="H2494" s="42" t="b">
        <x:v>0</x:v>
      </x:c>
      <x:c r="I2494" s="42" t="b">
        <x:v>0</x:v>
      </x:c>
      <x:c r="J2494" s="38" t="n">
        <x:v>0.1869905813</x:v>
      </x:c>
    </x:row>
    <x:row r="2495" ht="19" customHeight="1">
      <x:c r="A2495" s="29" t="str">
        <x:v>stagger_1</x:v>
      </x:c>
      <x:c r="B2495" s="38" t="str">
        <x:v>WELL</x:v>
      </x:c>
      <x:c r="C2495" s="38" t="str">
        <x:v>Other FX</x:v>
      </x:c>
      <x:c r="D2495" s="30" t="n">
        <x:v>2</x:v>
      </x:c>
      <x:c r="E2495" s="38" t="str">
        <x:v>AUD/USD</x:v>
      </x:c>
      <x:c r="F2495" s="38" t="n">
        <x:v>1.4200279584</x:v>
      </x:c>
      <x:c r="G2495" s="38" t="n">
        <x:v>2.5331273748</x:v>
      </x:c>
      <x:c r="H2495" s="42" t="b">
        <x:v>0</x:v>
      </x:c>
      <x:c r="I2495" s="42" t="b">
        <x:v>0</x:v>
      </x:c>
      <x:c r="J2495" s="38" t="n">
        <x:v>0.1817394668</x:v>
      </x:c>
    </x:row>
    <x:row r="2496" ht="19" customHeight="1">
      <x:c r="A2496" s="29" t="str">
        <x:v>stagger_1</x:v>
      </x:c>
      <x:c r="B2496" s="38" t="str">
        <x:v>WELL</x:v>
      </x:c>
      <x:c r="C2496" s="38" t="str">
        <x:v>Other FX</x:v>
      </x:c>
      <x:c r="D2496" s="30" t="n">
        <x:v>2</x:v>
      </x:c>
      <x:c r="E2496" s="38" t="str">
        <x:v>CAD/USD</x:v>
      </x:c>
      <x:c r="F2496" s="38" t="n">
        <x:v>-0.8526511291</x:v>
      </x:c>
      <x:c r="G2496" s="38" t="n">
        <x:v>-1.2658551897</x:v>
      </x:c>
      <x:c r="H2496" s="42" t="b">
        <x:v>0</x:v>
      </x:c>
      <x:c r="I2496" s="42" t="b">
        <x:v>0</x:v>
      </x:c>
      <x:c r="J2496" s="38" t="n">
        <x:v>0.1817394668</x:v>
      </x:c>
    </x:row>
    <x:row r="2497" ht="19" customHeight="1">
      <x:c r="A2497" s="29" t="str">
        <x:v>stagger_1</x:v>
      </x:c>
      <x:c r="B2497" s="38" t="str">
        <x:v>WELL</x:v>
      </x:c>
      <x:c r="C2497" s="38" t="str">
        <x:v>Other FX</x:v>
      </x:c>
      <x:c r="D2497" s="30" t="n">
        <x:v>2</x:v>
      </x:c>
      <x:c r="E2497" s="38" t="str">
        <x:v>EUR/USD</x:v>
      </x:c>
      <x:c r="F2497" s="38" t="n">
        <x:v>0.1391540144</x:v>
      </x:c>
      <x:c r="G2497" s="38" t="n">
        <x:v>0.2024380346</x:v>
      </x:c>
      <x:c r="H2497" s="42" t="b">
        <x:v>1</x:v>
      </x:c>
      <x:c r="I2497" s="42" t="b">
        <x:v>0</x:v>
      </x:c>
      <x:c r="J2497" s="38" t="n">
        <x:v>0.1817394668</x:v>
      </x:c>
    </x:row>
    <x:row r="2498" ht="19" customHeight="1">
      <x:c r="A2498" s="29" t="str">
        <x:v>stagger_1</x:v>
      </x:c>
      <x:c r="B2498" s="38" t="str">
        <x:v>WELL</x:v>
      </x:c>
      <x:c r="C2498" s="38" t="str">
        <x:v>Other FX</x:v>
      </x:c>
      <x:c r="D2498" s="30" t="n">
        <x:v>2</x:v>
      </x:c>
      <x:c r="E2498" s="38" t="str">
        <x:v>MXN/USD</x:v>
      </x:c>
      <x:c r="F2498" s="38" t="n">
        <x:v>-0.4270443387</x:v>
      </x:c>
      <x:c r="G2498" s="38" t="n">
        <x:v>-1.2475147701</x:v>
      </x:c>
      <x:c r="H2498" s="42" t="b">
        <x:v>0</x:v>
      </x:c>
      <x:c r="I2498" s="42" t="b">
        <x:v>0</x:v>
      </x:c>
      <x:c r="J2498" s="38" t="n">
        <x:v>0.1817394668</x:v>
      </x:c>
    </x:row>
    <x:row r="2499" ht="19" customHeight="1">
      <x:c r="A2499" s="29" t="str">
        <x:v>stagger_1</x:v>
      </x:c>
      <x:c r="B2499" s="38" t="str">
        <x:v>WELL</x:v>
      </x:c>
      <x:c r="C2499" s="38" t="str">
        <x:v>Other FX</x:v>
      </x:c>
      <x:c r="D2499" s="30" t="n">
        <x:v>2</x:v>
      </x:c>
      <x:c r="E2499" s="38" t="str">
        <x:v>SGD/USD</x:v>
      </x:c>
      <x:c r="F2499" s="38" t="n">
        <x:v>0.8079576105</x:v>
      </x:c>
      <x:c r="G2499" s="38" t="n">
        <x:v>0.6447291523</x:v>
      </x:c>
      <x:c r="H2499" s="42" t="b">
        <x:v>0</x:v>
      </x:c>
      <x:c r="I2499" s="42" t="b">
        <x:v>0</x:v>
      </x:c>
      <x:c r="J2499" s="38" t="n">
        <x:v>0.1817394668</x:v>
      </x:c>
    </x:row>
    <x:row r="2500" ht="19" customHeight="1">
      <x:c r="A2500" s="29" t="str">
        <x:v>stagger_1</x:v>
      </x:c>
      <x:c r="B2500" s="38" t="str">
        <x:v>WELL</x:v>
      </x:c>
      <x:c r="C2500" s="38" t="str">
        <x:v>Other FX</x:v>
      </x:c>
      <x:c r="D2500" s="30" t="n">
        <x:v>3</x:v>
      </x:c>
      <x:c r="E2500" s="38" t="str">
        <x:v>AUD/USD</x:v>
      </x:c>
      <x:c r="F2500" s="38" t="n">
        <x:v>1.4184935035</x:v>
      </x:c>
      <x:c r="G2500" s="38" t="n">
        <x:v>2.546957732</x:v>
      </x:c>
      <x:c r="H2500" s="42" t="b">
        <x:v>0</x:v>
      </x:c>
      <x:c r="I2500" s="42" t="b">
        <x:v>0</x:v>
      </x:c>
      <x:c r="J2500" s="38" t="n">
        <x:v>0.1812863146</x:v>
      </x:c>
    </x:row>
    <x:row r="2501" ht="19" customHeight="1">
      <x:c r="A2501" s="29" t="str">
        <x:v>stagger_1</x:v>
      </x:c>
      <x:c r="B2501" s="38" t="str">
        <x:v>WELL</x:v>
      </x:c>
      <x:c r="C2501" s="38" t="str">
        <x:v>Other FX</x:v>
      </x:c>
      <x:c r="D2501" s="30" t="n">
        <x:v>3</x:v>
      </x:c>
      <x:c r="E2501" s="38" t="str">
        <x:v>CAD/USD</x:v>
      </x:c>
      <x:c r="F2501" s="38" t="n">
        <x:v>-0.8204209389</x:v>
      </x:c>
      <x:c r="G2501" s="38" t="n">
        <x:v>-1.2616174595</x:v>
      </x:c>
      <x:c r="H2501" s="42" t="b">
        <x:v>0</x:v>
      </x:c>
      <x:c r="I2501" s="42" t="b">
        <x:v>0</x:v>
      </x:c>
      <x:c r="J2501" s="38" t="n">
        <x:v>0.1812863146</x:v>
      </x:c>
    </x:row>
    <x:row r="2502" ht="19" customHeight="1">
      <x:c r="A2502" s="29" t="str">
        <x:v>stagger_1</x:v>
      </x:c>
      <x:c r="B2502" s="38" t="str">
        <x:v>WELL</x:v>
      </x:c>
      <x:c r="C2502" s="38" t="str">
        <x:v>Other FX</x:v>
      </x:c>
      <x:c r="D2502" s="30" t="n">
        <x:v>3</x:v>
      </x:c>
      <x:c r="E2502" s="38" t="str">
        <x:v>MXN/USD</x:v>
      </x:c>
      <x:c r="F2502" s="38" t="n">
        <x:v>-0.4108261964</x:v>
      </x:c>
      <x:c r="G2502" s="38" t="n">
        <x:v>-1.2423880244</x:v>
      </x:c>
      <x:c r="H2502" s="42" t="b">
        <x:v>0</x:v>
      </x:c>
      <x:c r="I2502" s="42" t="b">
        <x:v>0</x:v>
      </x:c>
      <x:c r="J2502" s="38" t="n">
        <x:v>0.1812863146</x:v>
      </x:c>
    </x:row>
    <x:row r="2503" ht="19" customHeight="1">
      <x:c r="A2503" s="29" t="str">
        <x:v>stagger_1</x:v>
      </x:c>
      <x:c r="B2503" s="38" t="str">
        <x:v>WELL</x:v>
      </x:c>
      <x:c r="C2503" s="38" t="str">
        <x:v>Other FX</x:v>
      </x:c>
      <x:c r="D2503" s="30" t="n">
        <x:v>3</x:v>
      </x:c>
      <x:c r="E2503" s="38" t="str">
        <x:v>SGD/USD</x:v>
      </x:c>
      <x:c r="F2503" s="38" t="n">
        <x:v>0.9477963772</x:v>
      </x:c>
      <x:c r="G2503" s="38" t="n">
        <x:v>0.9123144375</x:v>
      </x:c>
      <x:c r="H2503" s="42" t="b">
        <x:v>1</x:v>
      </x:c>
      <x:c r="I2503" s="42" t="b">
        <x:v>0</x:v>
      </x:c>
      <x:c r="J2503" s="38" t="n">
        <x:v>0.1812863146</x:v>
      </x:c>
    </x:row>
    <x:row r="2504" ht="19" customHeight="1">
      <x:c r="A2504" s="29" t="str">
        <x:v>stagger_1</x:v>
      </x:c>
      <x:c r="B2504" s="38" t="str">
        <x:v>WELL</x:v>
      </x:c>
      <x:c r="C2504" s="38" t="str">
        <x:v>Other FX</x:v>
      </x:c>
      <x:c r="D2504" s="30" t="n">
        <x:v>4</x:v>
      </x:c>
      <x:c r="E2504" s="38" t="str">
        <x:v>AUD/USD</x:v>
      </x:c>
      <x:c r="F2504" s="38" t="n">
        <x:v>1.7183364304</x:v>
      </x:c>
      <x:c r="G2504" s="38" t="n">
        <x:v>3.8259621782</x:v>
      </x:c>
      <x:c r="H2504" s="42" t="b">
        <x:v>0</x:v>
      </x:c>
      <x:c r="I2504" s="42" t="b">
        <x:v>0</x:v>
      </x:c>
      <x:c r="J2504" s="38" t="n">
        <x:v>0.1722005834</x:v>
      </x:c>
    </x:row>
    <x:row r="2505" ht="19" customHeight="1">
      <x:c r="A2505" s="29" t="str">
        <x:v>stagger_1</x:v>
      </x:c>
      <x:c r="B2505" s="38" t="str">
        <x:v>WELL</x:v>
      </x:c>
      <x:c r="C2505" s="38" t="str">
        <x:v>Other FX</x:v>
      </x:c>
      <x:c r="D2505" s="30" t="n">
        <x:v>4</x:v>
      </x:c>
      <x:c r="E2505" s="38" t="str">
        <x:v>CAD/USD</x:v>
      </x:c>
      <x:c r="F2505" s="38" t="n">
        <x:v>-0.6926818612</x:v>
      </x:c>
      <x:c r="G2505" s="38" t="n">
        <x:v>-1.0919734957</x:v>
      </x:c>
      <x:c r="H2505" s="42" t="b">
        <x:v>1</x:v>
      </x:c>
      <x:c r="I2505" s="42" t="b">
        <x:v>0</x:v>
      </x:c>
      <x:c r="J2505" s="38" t="n">
        <x:v>0.1722005834</x:v>
      </x:c>
    </x:row>
    <x:row r="2506" ht="19" customHeight="1">
      <x:c r="A2506" s="29" t="str">
        <x:v>stagger_1</x:v>
      </x:c>
      <x:c r="B2506" s="38" t="str">
        <x:v>WELL</x:v>
      </x:c>
      <x:c r="C2506" s="38" t="str">
        <x:v>Other FX</x:v>
      </x:c>
      <x:c r="D2506" s="30" t="n">
        <x:v>4</x:v>
      </x:c>
      <x:c r="E2506" s="38" t="str">
        <x:v>MXN/USD</x:v>
      </x:c>
      <x:c r="F2506" s="38" t="n">
        <x:v>-0.3592041716</x:v>
      </x:c>
      <x:c r="G2506" s="38" t="n">
        <x:v>-1.1037564774</x:v>
      </x:c>
      <x:c r="H2506" s="42" t="b">
        <x:v>0</x:v>
      </x:c>
      <x:c r="I2506" s="42" t="b">
        <x:v>0</x:v>
      </x:c>
      <x:c r="J2506" s="38" t="n">
        <x:v>0.1722005834</x:v>
      </x:c>
    </x:row>
    <x:row r="2507" ht="19" customHeight="1">
      <x:c r="A2507" s="29" t="str">
        <x:v>stagger_1</x:v>
      </x:c>
      <x:c r="B2507" s="38" t="str">
        <x:v>WELL</x:v>
      </x:c>
      <x:c r="C2507" s="38" t="str">
        <x:v>Other FX</x:v>
      </x:c>
      <x:c r="D2507" s="30" t="n">
        <x:v>5</x:v>
      </x:c>
      <x:c r="E2507" s="38" t="str">
        <x:v>AUD/USD</x:v>
      </x:c>
      <x:c r="F2507" s="38" t="n">
        <x:v>1.4850527436</x:v>
      </x:c>
      <x:c r="G2507" s="38" t="n">
        <x:v>3.7543534167</x:v>
      </x:c>
      <x:c r="H2507" s="42" t="b">
        <x:v>0</x:v>
      </x:c>
      <x:c r="I2507" s="42" t="b">
        <x:v>0</x:v>
      </x:c>
      <x:c r="J2507" s="38" t="n">
        <x:v>0.1592127797</x:v>
      </x:c>
    </x:row>
    <x:row r="2508" ht="19" customHeight="1">
      <x:c r="A2508" s="29" t="str">
        <x:v>stagger_1</x:v>
      </x:c>
      <x:c r="B2508" s="38" t="str">
        <x:v>WELL</x:v>
      </x:c>
      <x:c r="C2508" s="38" t="str">
        <x:v>Other FX</x:v>
      </x:c>
      <x:c r="D2508" s="30" t="n">
        <x:v>5</x:v>
      </x:c>
      <x:c r="E2508" s="38" t="str">
        <x:v>MXN/USD</x:v>
      </x:c>
      <x:c r="F2508" s="38" t="n">
        <x:v>-0.39859399</x:v>
      </x:c>
      <x:c r="G2508" s="38" t="n">
        <x:v>-1.2308498863</x:v>
      </x:c>
      <x:c r="H2508" s="42" t="b">
        <x:v>1</x:v>
      </x:c>
      <x:c r="I2508" s="42" t="b">
        <x:v>0</x:v>
      </x:c>
      <x:c r="J2508" s="38" t="n">
        <x:v>0.1592127797</x:v>
      </x:c>
    </x:row>
    <x:row r="2509" ht="19" customHeight="1">
      <x:c r="A2509" s="29" t="str">
        <x:v>stagger_1</x:v>
      </x:c>
      <x:c r="B2509" s="38" t="str">
        <x:v>WELL</x:v>
      </x:c>
      <x:c r="C2509" s="38" t="str">
        <x:v>Other FX</x:v>
      </x:c>
      <x:c r="D2509" s="30" t="n">
        <x:v>6</x:v>
      </x:c>
      <x:c r="E2509" s="38" t="str">
        <x:v>AUD/USD</x:v>
      </x:c>
      <x:c r="F2509" s="38" t="n">
        <x:v>1.2466373392</x:v>
      </x:c>
      <x:c r="G2509" s="38" t="n">
        <x:v>3.602797225</x:v>
      </x:c>
      <x:c r="H2509" s="42" t="b">
        <x:v>0</x:v>
      </x:c>
      <x:c r="I2509" s="42" t="b">
        <x:v>1</x:v>
      </x:c>
      <x:c r="J2509" s="38" t="n">
        <x:v>0.1426701116</x:v>
      </x:c>
    </x:row>
    <x:row r="2510" ht="19" customHeight="1">
      <x:c r="A2510" s="29" t="str">
        <x:v>stagger_1</x:v>
      </x:c>
      <x:c r="B2510" s="38" t="str">
        <x:v>WELL</x:v>
      </x:c>
      <x:c r="C2510" s="38" t="str">
        <x:v>Other sectors</x:v>
      </x:c>
      <x:c r="D2510" s="30" t="n">
        <x:v>1</x:v>
      </x:c>
      <x:c r="E2510" s="38" t="str">
        <x:v>XLB</x:v>
      </x:c>
      <x:c r="F2510" s="38" t="n">
        <x:v>-0.9398888142</x:v>
      </x:c>
      <x:c r="G2510" s="38" t="n">
        <x:v>-3.4691212041</x:v>
      </x:c>
      <x:c r="H2510" s="42" t="b">
        <x:v>0</x:v>
      </x:c>
      <x:c r="I2510" s="42" t="b">
        <x:v>0</x:v>
      </x:c>
      <x:c r="J2510" s="38" t="n">
        <x:v>0.3019675739</x:v>
      </x:c>
    </x:row>
    <x:row r="2511" ht="19" customHeight="1">
      <x:c r="A2511" s="29" t="str">
        <x:v>stagger_1</x:v>
      </x:c>
      <x:c r="B2511" s="38" t="str">
        <x:v>WELL</x:v>
      </x:c>
      <x:c r="C2511" s="38" t="str">
        <x:v>Other sectors</x:v>
      </x:c>
      <x:c r="D2511" s="30" t="n">
        <x:v>1</x:v>
      </x:c>
      <x:c r="E2511" s="38" t="str">
        <x:v>XLC</x:v>
      </x:c>
      <x:c r="F2511" s="38" t="n">
        <x:v>0.1877731085</x:v>
      </x:c>
      <x:c r="G2511" s="38" t="n">
        <x:v>0.7270945227</x:v>
      </x:c>
      <x:c r="H2511" s="42" t="b">
        <x:v>0</x:v>
      </x:c>
      <x:c r="I2511" s="42" t="b">
        <x:v>0</x:v>
      </x:c>
      <x:c r="J2511" s="38" t="n">
        <x:v>0.3019675739</x:v>
      </x:c>
    </x:row>
    <x:row r="2512" ht="19" customHeight="1">
      <x:c r="A2512" s="29" t="str">
        <x:v>stagger_1</x:v>
      </x:c>
      <x:c r="B2512" s="38" t="str">
        <x:v>WELL</x:v>
      </x:c>
      <x:c r="C2512" s="38" t="str">
        <x:v>Other sectors</x:v>
      </x:c>
      <x:c r="D2512" s="30" t="n">
        <x:v>1</x:v>
      </x:c>
      <x:c r="E2512" s="38" t="str">
        <x:v>XLE</x:v>
      </x:c>
      <x:c r="F2512" s="38" t="n">
        <x:v>0.1129281554</x:v>
      </x:c>
      <x:c r="G2512" s="38" t="n">
        <x:v>1.1042337592</x:v>
      </x:c>
      <x:c r="H2512" s="42" t="b">
        <x:v>0</x:v>
      </x:c>
      <x:c r="I2512" s="42" t="b">
        <x:v>0</x:v>
      </x:c>
      <x:c r="J2512" s="38" t="n">
        <x:v>0.3019675739</x:v>
      </x:c>
    </x:row>
    <x:row r="2513" ht="19" customHeight="1">
      <x:c r="A2513" s="29" t="str">
        <x:v>stagger_1</x:v>
      </x:c>
      <x:c r="B2513" s="38" t="str">
        <x:v>WELL</x:v>
      </x:c>
      <x:c r="C2513" s="38" t="str">
        <x:v>Other sectors</x:v>
      </x:c>
      <x:c r="D2513" s="30" t="n">
        <x:v>1</x:v>
      </x:c>
      <x:c r="E2513" s="38" t="str">
        <x:v>XLF</x:v>
      </x:c>
      <x:c r="F2513" s="38" t="n">
        <x:v>0.0897419668</x:v>
      </x:c>
      <x:c r="G2513" s="38" t="n">
        <x:v>0.3105187057</x:v>
      </x:c>
      <x:c r="H2513" s="42" t="b">
        <x:v>0</x:v>
      </x:c>
      <x:c r="I2513" s="42" t="b">
        <x:v>0</x:v>
      </x:c>
      <x:c r="J2513" s="38" t="n">
        <x:v>0.3019675739</x:v>
      </x:c>
    </x:row>
    <x:row r="2514" ht="19" customHeight="1">
      <x:c r="A2514" s="29" t="str">
        <x:v>stagger_1</x:v>
      </x:c>
      <x:c r="B2514" s="38" t="str">
        <x:v>WELL</x:v>
      </x:c>
      <x:c r="C2514" s="38" t="str">
        <x:v>Other sectors</x:v>
      </x:c>
      <x:c r="D2514" s="30" t="n">
        <x:v>1</x:v>
      </x:c>
      <x:c r="E2514" s="38" t="str">
        <x:v>XLI</x:v>
      </x:c>
      <x:c r="F2514" s="38" t="n">
        <x:v>0.4088414158</x:v>
      </x:c>
      <x:c r="G2514" s="38" t="n">
        <x:v>1.1731445039</x:v>
      </x:c>
      <x:c r="H2514" s="42" t="b">
        <x:v>0</x:v>
      </x:c>
      <x:c r="I2514" s="42" t="b">
        <x:v>0</x:v>
      </x:c>
      <x:c r="J2514" s="38" t="n">
        <x:v>0.3019675739</x:v>
      </x:c>
    </x:row>
    <x:row r="2515" ht="19" customHeight="1">
      <x:c r="A2515" s="29" t="str">
        <x:v>stagger_1</x:v>
      </x:c>
      <x:c r="B2515" s="38" t="str">
        <x:v>WELL</x:v>
      </x:c>
      <x:c r="C2515" s="38" t="str">
        <x:v>Other sectors</x:v>
      </x:c>
      <x:c r="D2515" s="30" t="n">
        <x:v>1</x:v>
      </x:c>
      <x:c r="E2515" s="38" t="str">
        <x:v>XLK</x:v>
      </x:c>
      <x:c r="F2515" s="38" t="n">
        <x:v>-0.5988678052</x:v>
      </x:c>
      <x:c r="G2515" s="38" t="n">
        <x:v>-1.3649872862</x:v>
      </x:c>
      <x:c r="H2515" s="42" t="b">
        <x:v>0</x:v>
      </x:c>
      <x:c r="I2515" s="42" t="b">
        <x:v>0</x:v>
      </x:c>
      <x:c r="J2515" s="38" t="n">
        <x:v>0.3019675739</x:v>
      </x:c>
    </x:row>
    <x:row r="2516" ht="19" customHeight="1">
      <x:c r="A2516" s="29" t="str">
        <x:v>stagger_1</x:v>
      </x:c>
      <x:c r="B2516" s="38" t="str">
        <x:v>WELL</x:v>
      </x:c>
      <x:c r="C2516" s="38" t="str">
        <x:v>Other sectors</x:v>
      </x:c>
      <x:c r="D2516" s="30" t="n">
        <x:v>1</x:v>
      </x:c>
      <x:c r="E2516" s="38" t="str">
        <x:v>XLP</x:v>
      </x:c>
      <x:c r="F2516" s="38" t="n">
        <x:v>-0.2557977132</x:v>
      </x:c>
      <x:c r="G2516" s="38" t="n">
        <x:v>-0.9303342883</x:v>
      </x:c>
      <x:c r="H2516" s="42" t="b">
        <x:v>0</x:v>
      </x:c>
      <x:c r="I2516" s="42" t="b">
        <x:v>0</x:v>
      </x:c>
      <x:c r="J2516" s="38" t="n">
        <x:v>0.3019675739</x:v>
      </x:c>
    </x:row>
    <x:row r="2517" ht="19" customHeight="1">
      <x:c r="A2517" s="29" t="str">
        <x:v>stagger_1</x:v>
      </x:c>
      <x:c r="B2517" s="38" t="str">
        <x:v>WELL</x:v>
      </x:c>
      <x:c r="C2517" s="38" t="str">
        <x:v>Other sectors</x:v>
      </x:c>
      <x:c r="D2517" s="30" t="n">
        <x:v>1</x:v>
      </x:c>
      <x:c r="E2517" s="38" t="str">
        <x:v>XLU</x:v>
      </x:c>
      <x:c r="F2517" s="38" t="n">
        <x:v>0.0503797776</x:v>
      </x:c>
      <x:c r="G2517" s="38" t="n">
        <x:v>0.2893553198</x:v>
      </x:c>
      <x:c r="H2517" s="42" t="b">
        <x:v>1</x:v>
      </x:c>
      <x:c r="I2517" s="42" t="b">
        <x:v>0</x:v>
      </x:c>
      <x:c r="J2517" s="38" t="n">
        <x:v>0.3019675739</x:v>
      </x:c>
    </x:row>
    <x:row r="2518" ht="19" customHeight="1">
      <x:c r="A2518" s="29" t="str">
        <x:v>stagger_1</x:v>
      </x:c>
      <x:c r="B2518" s="38" t="str">
        <x:v>WELL</x:v>
      </x:c>
      <x:c r="C2518" s="38" t="str">
        <x:v>Other sectors</x:v>
      </x:c>
      <x:c r="D2518" s="30" t="n">
        <x:v>1</x:v>
      </x:c>
      <x:c r="E2518" s="38" t="str">
        <x:v>XLV</x:v>
      </x:c>
      <x:c r="F2518" s="38" t="n">
        <x:v>0.208204874</x:v>
      </x:c>
      <x:c r="G2518" s="38" t="n">
        <x:v>0.8538499418</x:v>
      </x:c>
      <x:c r="H2518" s="42" t="b">
        <x:v>0</x:v>
      </x:c>
      <x:c r="I2518" s="42" t="b">
        <x:v>0</x:v>
      </x:c>
      <x:c r="J2518" s="38" t="n">
        <x:v>0.3019675739</x:v>
      </x:c>
    </x:row>
    <x:row r="2519" ht="19" customHeight="1">
      <x:c r="A2519" s="29" t="str">
        <x:v>stagger_1</x:v>
      </x:c>
      <x:c r="B2519" s="38" t="str">
        <x:v>WELL</x:v>
      </x:c>
      <x:c r="C2519" s="38" t="str">
        <x:v>Other sectors</x:v>
      </x:c>
      <x:c r="D2519" s="30" t="n">
        <x:v>1</x:v>
      </x:c>
      <x:c r="E2519" s="38" t="str">
        <x:v>XLY</x:v>
      </x:c>
      <x:c r="F2519" s="38" t="n">
        <x:v>-0.3307354427</x:v>
      </x:c>
      <x:c r="G2519" s="38" t="n">
        <x:v>-1.2224095275</x:v>
      </x:c>
      <x:c r="H2519" s="42" t="b">
        <x:v>0</x:v>
      </x:c>
      <x:c r="I2519" s="42" t="b">
        <x:v>0</x:v>
      </x:c>
      <x:c r="J2519" s="38" t="n">
        <x:v>0.3019675739</x:v>
      </x:c>
    </x:row>
    <x:row r="2520" ht="19" customHeight="1">
      <x:c r="A2520" s="29" t="str">
        <x:v>stagger_1</x:v>
      </x:c>
      <x:c r="B2520" s="38" t="str">
        <x:v>WELL</x:v>
      </x:c>
      <x:c r="C2520" s="38" t="str">
        <x:v>Other sectors</x:v>
      </x:c>
      <x:c r="D2520" s="30" t="n">
        <x:v>2</x:v>
      </x:c>
      <x:c r="E2520" s="38" t="str">
        <x:v>XLB</x:v>
      </x:c>
      <x:c r="F2520" s="38" t="n">
        <x:v>-0.934773614</x:v>
      </x:c>
      <x:c r="G2520" s="38" t="n">
        <x:v>-3.4804631813</x:v>
      </x:c>
      <x:c r="H2520" s="42" t="b">
        <x:v>0</x:v>
      </x:c>
      <x:c r="I2520" s="42" t="b">
        <x:v>0</x:v>
      </x:c>
      <x:c r="J2520" s="38" t="n">
        <x:v>0.3011205621</x:v>
      </x:c>
    </x:row>
    <x:row r="2521" ht="19" customHeight="1">
      <x:c r="A2521" s="29" t="str">
        <x:v>stagger_1</x:v>
      </x:c>
      <x:c r="B2521" s="38" t="str">
        <x:v>WELL</x:v>
      </x:c>
      <x:c r="C2521" s="38" t="str">
        <x:v>Other sectors</x:v>
      </x:c>
      <x:c r="D2521" s="30" t="n">
        <x:v>2</x:v>
      </x:c>
      <x:c r="E2521" s="38" t="str">
        <x:v>XLC</x:v>
      </x:c>
      <x:c r="F2521" s="38" t="n">
        <x:v>0.1680007127</x:v>
      </x:c>
      <x:c r="G2521" s="38" t="n">
        <x:v>0.6790331863</x:v>
      </x:c>
      <x:c r="H2521" s="42" t="b">
        <x:v>0</x:v>
      </x:c>
      <x:c r="I2521" s="42" t="b">
        <x:v>0</x:v>
      </x:c>
      <x:c r="J2521" s="38" t="n">
        <x:v>0.3011205621</x:v>
      </x:c>
    </x:row>
    <x:row r="2522" ht="19" customHeight="1">
      <x:c r="A2522" s="29" t="str">
        <x:v>stagger_1</x:v>
      </x:c>
      <x:c r="B2522" s="38" t="str">
        <x:v>WELL</x:v>
      </x:c>
      <x:c r="C2522" s="38" t="str">
        <x:v>Other sectors</x:v>
      </x:c>
      <x:c r="D2522" s="30" t="n">
        <x:v>2</x:v>
      </x:c>
      <x:c r="E2522" s="38" t="str">
        <x:v>XLE</x:v>
      </x:c>
      <x:c r="F2522" s="38" t="n">
        <x:v>0.1091255504</x:v>
      </x:c>
      <x:c r="G2522" s="38" t="n">
        <x:v>1.0830836218</x:v>
      </x:c>
      <x:c r="H2522" s="42" t="b">
        <x:v>0</x:v>
      </x:c>
      <x:c r="I2522" s="42" t="b">
        <x:v>0</x:v>
      </x:c>
      <x:c r="J2522" s="38" t="n">
        <x:v>0.3011205621</x:v>
      </x:c>
    </x:row>
    <x:row r="2523" ht="19" customHeight="1">
      <x:c r="A2523" s="29" t="str">
        <x:v>stagger_1</x:v>
      </x:c>
      <x:c r="B2523" s="38" t="str">
        <x:v>WELL</x:v>
      </x:c>
      <x:c r="C2523" s="38" t="str">
        <x:v>Other sectors</x:v>
      </x:c>
      <x:c r="D2523" s="30" t="n">
        <x:v>2</x:v>
      </x:c>
      <x:c r="E2523" s="38" t="str">
        <x:v>XLF</x:v>
      </x:c>
      <x:c r="F2523" s="38" t="n">
        <x:v>0.0763384093</x:v>
      </x:c>
      <x:c r="G2523" s="38" t="n">
        <x:v>0.2693691272</x:v>
      </x:c>
      <x:c r="H2523" s="42" t="b">
        <x:v>1</x:v>
      </x:c>
      <x:c r="I2523" s="42" t="b">
        <x:v>0</x:v>
      </x:c>
      <x:c r="J2523" s="38" t="n">
        <x:v>0.3011205621</x:v>
      </x:c>
    </x:row>
    <x:row r="2524" ht="19" customHeight="1">
      <x:c r="A2524" s="29" t="str">
        <x:v>stagger_1</x:v>
      </x:c>
      <x:c r="B2524" s="38" t="str">
        <x:v>WELL</x:v>
      </x:c>
      <x:c r="C2524" s="38" t="str">
        <x:v>Other sectors</x:v>
      </x:c>
      <x:c r="D2524" s="30" t="n">
        <x:v>2</x:v>
      </x:c>
      <x:c r="E2524" s="38" t="str">
        <x:v>XLI</x:v>
      </x:c>
      <x:c r="F2524" s="38" t="n">
        <x:v>0.4133695276</x:v>
      </x:c>
      <x:c r="G2524" s="38" t="n">
        <x:v>1.1951832903</x:v>
      </x:c>
      <x:c r="H2524" s="42" t="b">
        <x:v>0</x:v>
      </x:c>
      <x:c r="I2524" s="42" t="b">
        <x:v>0</x:v>
      </x:c>
      <x:c r="J2524" s="38" t="n">
        <x:v>0.3011205621</x:v>
      </x:c>
    </x:row>
    <x:row r="2525" ht="19" customHeight="1">
      <x:c r="A2525" s="29" t="str">
        <x:v>stagger_1</x:v>
      </x:c>
      <x:c r="B2525" s="38" t="str">
        <x:v>WELL</x:v>
      </x:c>
      <x:c r="C2525" s="38" t="str">
        <x:v>Other sectors</x:v>
      </x:c>
      <x:c r="D2525" s="30" t="n">
        <x:v>2</x:v>
      </x:c>
      <x:c r="E2525" s="38" t="str">
        <x:v>XLK</x:v>
      </x:c>
      <x:c r="F2525" s="38" t="n">
        <x:v>-0.6323972825</x:v>
      </x:c>
      <x:c r="G2525" s="38" t="n">
        <x:v>-1.5043555778</x:v>
      </x:c>
      <x:c r="H2525" s="42" t="b">
        <x:v>0</x:v>
      </x:c>
      <x:c r="I2525" s="42" t="b">
        <x:v>0</x:v>
      </x:c>
      <x:c r="J2525" s="38" t="n">
        <x:v>0.3011205621</x:v>
      </x:c>
    </x:row>
    <x:row r="2526" ht="19" customHeight="1">
      <x:c r="A2526" s="29" t="str">
        <x:v>stagger_1</x:v>
      </x:c>
      <x:c r="B2526" s="38" t="str">
        <x:v>WELL</x:v>
      </x:c>
      <x:c r="C2526" s="38" t="str">
        <x:v>Other sectors</x:v>
      </x:c>
      <x:c r="D2526" s="30" t="n">
        <x:v>2</x:v>
      </x:c>
      <x:c r="E2526" s="38" t="str">
        <x:v>XLP</x:v>
      </x:c>
      <x:c r="F2526" s="38" t="n">
        <x:v>-0.2388405776</x:v>
      </x:c>
      <x:c r="G2526" s="38" t="n">
        <x:v>-0.8949676852</x:v>
      </x:c>
      <x:c r="H2526" s="42" t="b">
        <x:v>0</x:v>
      </x:c>
      <x:c r="I2526" s="42" t="b">
        <x:v>0</x:v>
      </x:c>
      <x:c r="J2526" s="38" t="n">
        <x:v>0.3011205621</x:v>
      </x:c>
    </x:row>
    <x:row r="2527" ht="19" customHeight="1">
      <x:c r="A2527" s="29" t="str">
        <x:v>stagger_1</x:v>
      </x:c>
      <x:c r="B2527" s="38" t="str">
        <x:v>WELL</x:v>
      </x:c>
      <x:c r="C2527" s="38" t="str">
        <x:v>Other sectors</x:v>
      </x:c>
      <x:c r="D2527" s="30" t="n">
        <x:v>2</x:v>
      </x:c>
      <x:c r="E2527" s="38" t="str">
        <x:v>XLV</x:v>
      </x:c>
      <x:c r="F2527" s="38" t="n">
        <x:v>0.2015255127</x:v>
      </x:c>
      <x:c r="G2527" s="38" t="n">
        <x:v>0.8356734582</x:v>
      </x:c>
      <x:c r="H2527" s="42" t="b">
        <x:v>0</x:v>
      </x:c>
      <x:c r="I2527" s="42" t="b">
        <x:v>0</x:v>
      </x:c>
      <x:c r="J2527" s="38" t="n">
        <x:v>0.3011205621</x:v>
      </x:c>
    </x:row>
    <x:row r="2528" ht="19" customHeight="1">
      <x:c r="A2528" s="29" t="str">
        <x:v>stagger_1</x:v>
      </x:c>
      <x:c r="B2528" s="38" t="str">
        <x:v>WELL</x:v>
      </x:c>
      <x:c r="C2528" s="38" t="str">
        <x:v>Other sectors</x:v>
      </x:c>
      <x:c r="D2528" s="30" t="n">
        <x:v>2</x:v>
      </x:c>
      <x:c r="E2528" s="38" t="str">
        <x:v>XLY</x:v>
      </x:c>
      <x:c r="F2528" s="38" t="n">
        <x:v>-0.3368296264</x:v>
      </x:c>
      <x:c r="G2528" s="38" t="n">
        <x:v>-1.2569767083</x:v>
      </x:c>
      <x:c r="H2528" s="42" t="b">
        <x:v>0</x:v>
      </x:c>
      <x:c r="I2528" s="42" t="b">
        <x:v>0</x:v>
      </x:c>
      <x:c r="J2528" s="38" t="n">
        <x:v>0.3011205621</x:v>
      </x:c>
    </x:row>
    <x:row r="2529" ht="19" customHeight="1">
      <x:c r="A2529" s="29" t="str">
        <x:v>stagger_1</x:v>
      </x:c>
      <x:c r="B2529" s="38" t="str">
        <x:v>WELL</x:v>
      </x:c>
      <x:c r="C2529" s="38" t="str">
        <x:v>Other sectors</x:v>
      </x:c>
      <x:c r="D2529" s="30" t="n">
        <x:v>3</x:v>
      </x:c>
      <x:c r="E2529" s="38" t="str">
        <x:v>XLB</x:v>
      </x:c>
      <x:c r="F2529" s="38" t="n">
        <x:v>-0.9279371296</x:v>
      </x:c>
      <x:c r="G2529" s="38" t="n">
        <x:v>-3.493430264</x:v>
      </x:c>
      <x:c r="H2529" s="42" t="b">
        <x:v>0</x:v>
      </x:c>
      <x:c r="I2529" s="42" t="b">
        <x:v>0</x:v>
      </x:c>
      <x:c r="J2529" s="38" t="n">
        <x:v>0.3003961264</x:v>
      </x:c>
    </x:row>
    <x:row r="2530" ht="19" customHeight="1">
      <x:c r="A2530" s="29" t="str">
        <x:v>stagger_1</x:v>
      </x:c>
      <x:c r="B2530" s="38" t="str">
        <x:v>WELL</x:v>
      </x:c>
      <x:c r="C2530" s="38" t="str">
        <x:v>Other sectors</x:v>
      </x:c>
      <x:c r="D2530" s="30" t="n">
        <x:v>3</x:v>
      </x:c>
      <x:c r="E2530" s="38" t="str">
        <x:v>XLC</x:v>
      </x:c>
      <x:c r="F2530" s="38" t="n">
        <x:v>0.1533317244</x:v>
      </x:c>
      <x:c r="G2530" s="38" t="n">
        <x:v>0.6395146903</x:v>
      </x:c>
      <x:c r="H2530" s="42" t="b">
        <x:v>1</x:v>
      </x:c>
      <x:c r="I2530" s="42" t="b">
        <x:v>0</x:v>
      </x:c>
      <x:c r="J2530" s="38" t="n">
        <x:v>0.3003961264</x:v>
      </x:c>
    </x:row>
    <x:row r="2531" ht="19" customHeight="1">
      <x:c r="A2531" s="29" t="str">
        <x:v>stagger_1</x:v>
      </x:c>
      <x:c r="B2531" s="38" t="str">
        <x:v>WELL</x:v>
      </x:c>
      <x:c r="C2531" s="38" t="str">
        <x:v>Other sectors</x:v>
      </x:c>
      <x:c r="D2531" s="30" t="n">
        <x:v>3</x:v>
      </x:c>
      <x:c r="E2531" s="38" t="str">
        <x:v>XLE</x:v>
      </x:c>
      <x:c r="F2531" s="38" t="n">
        <x:v>0.1047632439</x:v>
      </x:c>
      <x:c r="G2531" s="38" t="n">
        <x:v>1.0604333858</x:v>
      </x:c>
      <x:c r="H2531" s="42" t="b">
        <x:v>0</x:v>
      </x:c>
      <x:c r="I2531" s="42" t="b">
        <x:v>0</x:v>
      </x:c>
      <x:c r="J2531" s="38" t="n">
        <x:v>0.3003961264</x:v>
      </x:c>
    </x:row>
    <x:row r="2532" ht="19" customHeight="1">
      <x:c r="A2532" s="29" t="str">
        <x:v>stagger_1</x:v>
      </x:c>
      <x:c r="B2532" s="38" t="str">
        <x:v>WELL</x:v>
      </x:c>
      <x:c r="C2532" s="38" t="str">
        <x:v>Other sectors</x:v>
      </x:c>
      <x:c r="D2532" s="30" t="n">
        <x:v>3</x:v>
      </x:c>
      <x:c r="E2532" s="38" t="str">
        <x:v>XLI</x:v>
      </x:c>
      <x:c r="F2532" s="38" t="n">
        <x:v>0.4191402151</x:v>
      </x:c>
      <x:c r="G2532" s="38" t="n">
        <x:v>1.2222084679</x:v>
      </x:c>
      <x:c r="H2532" s="42" t="b">
        <x:v>0</x:v>
      </x:c>
      <x:c r="I2532" s="42" t="b">
        <x:v>0</x:v>
      </x:c>
      <x:c r="J2532" s="38" t="n">
        <x:v>0.3003961264</x:v>
      </x:c>
    </x:row>
    <x:row r="2533" ht="19" customHeight="1">
      <x:c r="A2533" s="29" t="str">
        <x:v>stagger_1</x:v>
      </x:c>
      <x:c r="B2533" s="38" t="str">
        <x:v>WELL</x:v>
      </x:c>
      <x:c r="C2533" s="38" t="str">
        <x:v>Other sectors</x:v>
      </x:c>
      <x:c r="D2533" s="30" t="n">
        <x:v>3</x:v>
      </x:c>
      <x:c r="E2533" s="38" t="str">
        <x:v>XLK</x:v>
      </x:c>
      <x:c r="F2533" s="38" t="n">
        <x:v>-0.7041930642</x:v>
      </x:c>
      <x:c r="G2533" s="38" t="n">
        <x:v>-2.1804989964</x:v>
      </x:c>
      <x:c r="H2533" s="42" t="b">
        <x:v>0</x:v>
      </x:c>
      <x:c r="I2533" s="42" t="b">
        <x:v>0</x:v>
      </x:c>
      <x:c r="J2533" s="38" t="n">
        <x:v>0.3003961264</x:v>
      </x:c>
    </x:row>
    <x:row r="2534" ht="19" customHeight="1">
      <x:c r="A2534" s="29" t="str">
        <x:v>stagger_1</x:v>
      </x:c>
      <x:c r="B2534" s="38" t="str">
        <x:v>WELL</x:v>
      </x:c>
      <x:c r="C2534" s="38" t="str">
        <x:v>Other sectors</x:v>
      </x:c>
      <x:c r="D2534" s="30" t="n">
        <x:v>3</x:v>
      </x:c>
      <x:c r="E2534" s="38" t="str">
        <x:v>XLP</x:v>
      </x:c>
      <x:c r="F2534" s="38" t="n">
        <x:v>-0.2739494087</x:v>
      </x:c>
      <x:c r="G2534" s="38" t="n">
        <x:v>-1.1841241285</x:v>
      </x:c>
      <x:c r="H2534" s="42" t="b">
        <x:v>0</x:v>
      </x:c>
      <x:c r="I2534" s="42" t="b">
        <x:v>0</x:v>
      </x:c>
      <x:c r="J2534" s="38" t="n">
        <x:v>0.3003961264</x:v>
      </x:c>
    </x:row>
    <x:row r="2535" ht="19" customHeight="1">
      <x:c r="A2535" s="29" t="str">
        <x:v>stagger_1</x:v>
      </x:c>
      <x:c r="B2535" s="38" t="str">
        <x:v>WELL</x:v>
      </x:c>
      <x:c r="C2535" s="38" t="str">
        <x:v>Other sectors</x:v>
      </x:c>
      <x:c r="D2535" s="30" t="n">
        <x:v>3</x:v>
      </x:c>
      <x:c r="E2535" s="38" t="str">
        <x:v>XLV</x:v>
      </x:c>
      <x:c r="F2535" s="38" t="n">
        <x:v>0.1897324464</x:v>
      </x:c>
      <x:c r="G2535" s="38" t="n">
        <x:v>0.805342963</x:v>
      </x:c>
      <x:c r="H2535" s="42" t="b">
        <x:v>0</x:v>
      </x:c>
      <x:c r="I2535" s="42" t="b">
        <x:v>0</x:v>
      </x:c>
      <x:c r="J2535" s="38" t="n">
        <x:v>0.3003961264</x:v>
      </x:c>
    </x:row>
    <x:row r="2536" ht="19" customHeight="1">
      <x:c r="A2536" s="29" t="str">
        <x:v>stagger_1</x:v>
      </x:c>
      <x:c r="B2536" s="38" t="str">
        <x:v>WELL</x:v>
      </x:c>
      <x:c r="C2536" s="38" t="str">
        <x:v>Other sectors</x:v>
      </x:c>
      <x:c r="D2536" s="30" t="n">
        <x:v>3</x:v>
      </x:c>
      <x:c r="E2536" s="38" t="str">
        <x:v>XLY</x:v>
      </x:c>
      <x:c r="F2536" s="38" t="n">
        <x:v>-0.358742627</x:v>
      </x:c>
      <x:c r="G2536" s="38" t="n">
        <x:v>-1.4143289504</x:v>
      </x:c>
      <x:c r="H2536" s="42" t="b">
        <x:v>0</x:v>
      </x:c>
      <x:c r="I2536" s="42" t="b">
        <x:v>0</x:v>
      </x:c>
      <x:c r="J2536" s="38" t="n">
        <x:v>0.3003961264</x:v>
      </x:c>
    </x:row>
    <x:row r="2537" ht="19" customHeight="1">
      <x:c r="A2537" s="29" t="str">
        <x:v>stagger_1</x:v>
      </x:c>
      <x:c r="B2537" s="38" t="str">
        <x:v>WELL</x:v>
      </x:c>
      <x:c r="C2537" s="38" t="str">
        <x:v>Other sectors</x:v>
      </x:c>
      <x:c r="D2537" s="30" t="n">
        <x:v>4</x:v>
      </x:c>
      <x:c r="E2537" s="38" t="str">
        <x:v>XLB</x:v>
      </x:c>
      <x:c r="F2537" s="38" t="n">
        <x:v>-0.9378068331</x:v>
      </x:c>
      <x:c r="G2537" s="38" t="n">
        <x:v>-3.5511665106</x:v>
      </x:c>
      <x:c r="H2537" s="42" t="b">
        <x:v>0</x:v>
      </x:c>
      <x:c r="I2537" s="42" t="b">
        <x:v>0</x:v>
      </x:c>
      <x:c r="J2537" s="38" t="n">
        <x:v>0.2963662205</x:v>
      </x:c>
    </x:row>
    <x:row r="2538" ht="19" customHeight="1">
      <x:c r="A2538" s="29" t="str">
        <x:v>stagger_1</x:v>
      </x:c>
      <x:c r="B2538" s="38" t="str">
        <x:v>WELL</x:v>
      </x:c>
      <x:c r="C2538" s="38" t="str">
        <x:v>Other sectors</x:v>
      </x:c>
      <x:c r="D2538" s="30" t="n">
        <x:v>4</x:v>
      </x:c>
      <x:c r="E2538" s="38" t="str">
        <x:v>XLE</x:v>
      </x:c>
      <x:c r="F2538" s="38" t="n">
        <x:v>0.1018095268</x:v>
      </x:c>
      <x:c r="G2538" s="38" t="n">
        <x:v>1.0359238752</x:v>
      </x:c>
      <x:c r="H2538" s="42" t="b">
        <x:v>0</x:v>
      </x:c>
      <x:c r="I2538" s="42" t="b">
        <x:v>0</x:v>
      </x:c>
      <x:c r="J2538" s="38" t="n">
        <x:v>0.2963662205</x:v>
      </x:c>
    </x:row>
    <x:row r="2539" ht="19" customHeight="1">
      <x:c r="A2539" s="29" t="str">
        <x:v>stagger_1</x:v>
      </x:c>
      <x:c r="B2539" s="38" t="str">
        <x:v>WELL</x:v>
      </x:c>
      <x:c r="C2539" s="38" t="str">
        <x:v>Other sectors</x:v>
      </x:c>
      <x:c r="D2539" s="30" t="n">
        <x:v>4</x:v>
      </x:c>
      <x:c r="E2539" s="38" t="str">
        <x:v>XLI</x:v>
      </x:c>
      <x:c r="F2539" s="38" t="n">
        <x:v>0.3809187002</x:v>
      </x:c>
      <x:c r="G2539" s="38" t="n">
        <x:v>1.1326760565</x:v>
      </x:c>
      <x:c r="H2539" s="42" t="b">
        <x:v>0</x:v>
      </x:c>
      <x:c r="I2539" s="42" t="b">
        <x:v>0</x:v>
      </x:c>
      <x:c r="J2539" s="38" t="n">
        <x:v>0.2963662205</x:v>
      </x:c>
    </x:row>
    <x:row r="2540" ht="19" customHeight="1">
      <x:c r="A2540" s="29" t="str">
        <x:v>stagger_1</x:v>
      </x:c>
      <x:c r="B2540" s="38" t="str">
        <x:v>WELL</x:v>
      </x:c>
      <x:c r="C2540" s="38" t="str">
        <x:v>Other sectors</x:v>
      </x:c>
      <x:c r="D2540" s="30" t="n">
        <x:v>4</x:v>
      </x:c>
      <x:c r="E2540" s="38" t="str">
        <x:v>XLK</x:v>
      </x:c>
      <x:c r="F2540" s="38" t="n">
        <x:v>-0.7886773867</x:v>
      </x:c>
      <x:c r="G2540" s="38" t="n">
        <x:v>-2.6873082497</x:v>
      </x:c>
      <x:c r="H2540" s="42" t="b">
        <x:v>0</x:v>
      </x:c>
      <x:c r="I2540" s="42" t="b">
        <x:v>0</x:v>
      </x:c>
      <x:c r="J2540" s="38" t="n">
        <x:v>0.2963662205</x:v>
      </x:c>
    </x:row>
    <x:row r="2541" ht="19" customHeight="1">
      <x:c r="A2541" s="29" t="str">
        <x:v>stagger_1</x:v>
      </x:c>
      <x:c r="B2541" s="38" t="str">
        <x:v>WELL</x:v>
      </x:c>
      <x:c r="C2541" s="38" t="str">
        <x:v>Other sectors</x:v>
      </x:c>
      <x:c r="D2541" s="30" t="n">
        <x:v>4</x:v>
      </x:c>
      <x:c r="E2541" s="38" t="str">
        <x:v>XLP</x:v>
      </x:c>
      <x:c r="F2541" s="38" t="n">
        <x:v>-0.2695949902</x:v>
      </x:c>
      <x:c r="G2541" s="38" t="n">
        <x:v>-1.1706220204</x:v>
      </x:c>
      <x:c r="H2541" s="42" t="b">
        <x:v>0</x:v>
      </x:c>
      <x:c r="I2541" s="42" t="b">
        <x:v>0</x:v>
      </x:c>
      <x:c r="J2541" s="38" t="n">
        <x:v>0.2963662205</x:v>
      </x:c>
    </x:row>
    <x:row r="2542" ht="19" customHeight="1">
      <x:c r="A2542" s="29" t="str">
        <x:v>stagger_1</x:v>
      </x:c>
      <x:c r="B2542" s="38" t="str">
        <x:v>WELL</x:v>
      </x:c>
      <x:c r="C2542" s="38" t="str">
        <x:v>Other sectors</x:v>
      </x:c>
      <x:c r="D2542" s="30" t="n">
        <x:v>4</x:v>
      </x:c>
      <x:c r="E2542" s="38" t="str">
        <x:v>XLV</x:v>
      </x:c>
      <x:c r="F2542" s="38" t="n">
        <x:v>0.1584334212</x:v>
      </x:c>
      <x:c r="G2542" s="38" t="n">
        <x:v>0.6903276719</x:v>
      </x:c>
      <x:c r="H2542" s="42" t="b">
        <x:v>1</x:v>
      </x:c>
      <x:c r="I2542" s="42" t="b">
        <x:v>0</x:v>
      </x:c>
      <x:c r="J2542" s="38" t="n">
        <x:v>0.2963662205</x:v>
      </x:c>
    </x:row>
    <x:row r="2543" ht="19" customHeight="1">
      <x:c r="A2543" s="29" t="str">
        <x:v>stagger_1</x:v>
      </x:c>
      <x:c r="B2543" s="38" t="str">
        <x:v>WELL</x:v>
      </x:c>
      <x:c r="C2543" s="38" t="str">
        <x:v>Other sectors</x:v>
      </x:c>
      <x:c r="D2543" s="30" t="n">
        <x:v>4</x:v>
      </x:c>
      <x:c r="E2543" s="38" t="str">
        <x:v>XLY</x:v>
      </x:c>
      <x:c r="F2543" s="38" t="n">
        <x:v>-0.3464401484</x:v>
      </x:c>
      <x:c r="G2543" s="38" t="n">
        <x:v>-1.3754288735</x:v>
      </x:c>
      <x:c r="H2543" s="42" t="b">
        <x:v>0</x:v>
      </x:c>
      <x:c r="I2543" s="42" t="b">
        <x:v>0</x:v>
      </x:c>
      <x:c r="J2543" s="38" t="n">
        <x:v>0.2963662205</x:v>
      </x:c>
    </x:row>
    <x:row r="2544" ht="19" customHeight="1">
      <x:c r="A2544" s="29" t="str">
        <x:v>stagger_1</x:v>
      </x:c>
      <x:c r="B2544" s="38" t="str">
        <x:v>WELL</x:v>
      </x:c>
      <x:c r="C2544" s="38" t="str">
        <x:v>Other sectors</x:v>
      </x:c>
      <x:c r="D2544" s="30" t="n">
        <x:v>5</x:v>
      </x:c>
      <x:c r="E2544" s="38" t="str">
        <x:v>XLB</x:v>
      </x:c>
      <x:c r="F2544" s="38" t="n">
        <x:v>-0.9189313689</x:v>
      </x:c>
      <x:c r="G2544" s="38" t="n">
        <x:v>-3.5111048719</x:v>
      </x:c>
      <x:c r="H2544" s="42" t="b">
        <x:v>0</x:v>
      </x:c>
      <x:c r="I2544" s="42" t="b">
        <x:v>0</x:v>
      </x:c>
      <x:c r="J2544" s="38" t="n">
        <x:v>0.291709022</x:v>
      </x:c>
    </x:row>
    <x:row r="2545" ht="19" customHeight="1">
      <x:c r="A2545" s="29" t="str">
        <x:v>stagger_1</x:v>
      </x:c>
      <x:c r="B2545" s="38" t="str">
        <x:v>WELL</x:v>
      </x:c>
      <x:c r="C2545" s="38" t="str">
        <x:v>Other sectors</x:v>
      </x:c>
      <x:c r="D2545" s="30" t="n">
        <x:v>5</x:v>
      </x:c>
      <x:c r="E2545" s="38" t="str">
        <x:v>XLE</x:v>
      </x:c>
      <x:c r="F2545" s="38" t="n">
        <x:v>0.0856288371</x:v>
      </x:c>
      <x:c r="G2545" s="38" t="n">
        <x:v>0.9004067509</x:v>
      </x:c>
      <x:c r="H2545" s="42" t="b">
        <x:v>1</x:v>
      </x:c>
      <x:c r="I2545" s="42" t="b">
        <x:v>0</x:v>
      </x:c>
      <x:c r="J2545" s="38" t="n">
        <x:v>0.291709022</x:v>
      </x:c>
    </x:row>
    <x:row r="2546" ht="19" customHeight="1">
      <x:c r="A2546" s="29" t="str">
        <x:v>stagger_1</x:v>
      </x:c>
      <x:c r="B2546" s="38" t="str">
        <x:v>WELL</x:v>
      </x:c>
      <x:c r="C2546" s="38" t="str">
        <x:v>Other sectors</x:v>
      </x:c>
      <x:c r="D2546" s="30" t="n">
        <x:v>5</x:v>
      </x:c>
      <x:c r="E2546" s="38" t="str">
        <x:v>XLI</x:v>
      </x:c>
      <x:c r="F2546" s="38" t="n">
        <x:v>0.3290224904</x:v>
      </x:c>
      <x:c r="G2546" s="38" t="n">
        <x:v>1.0073791831</x:v>
      </x:c>
      <x:c r="H2546" s="42" t="b">
        <x:v>0</x:v>
      </x:c>
      <x:c r="I2546" s="42" t="b">
        <x:v>0</x:v>
      </x:c>
      <x:c r="J2546" s="38" t="n">
        <x:v>0.291709022</x:v>
      </x:c>
    </x:row>
    <x:row r="2547" ht="19" customHeight="1">
      <x:c r="A2547" s="29" t="str">
        <x:v>stagger_1</x:v>
      </x:c>
      <x:c r="B2547" s="38" t="str">
        <x:v>WELL</x:v>
      </x:c>
      <x:c r="C2547" s="38" t="str">
        <x:v>Other sectors</x:v>
      </x:c>
      <x:c r="D2547" s="30" t="n">
        <x:v>5</x:v>
      </x:c>
      <x:c r="E2547" s="38" t="str">
        <x:v>XLK</x:v>
      </x:c>
      <x:c r="F2547" s="38" t="n">
        <x:v>-0.8985210282</x:v>
      </x:c>
      <x:c r="G2547" s="38" t="n">
        <x:v>-3.6567199265</x:v>
      </x:c>
      <x:c r="H2547" s="42" t="b">
        <x:v>0</x:v>
      </x:c>
      <x:c r="I2547" s="42" t="b">
        <x:v>0</x:v>
      </x:c>
      <x:c r="J2547" s="38" t="n">
        <x:v>0.291709022</x:v>
      </x:c>
    </x:row>
    <x:row r="2548" ht="19" customHeight="1">
      <x:c r="A2548" s="29" t="str">
        <x:v>stagger_1</x:v>
      </x:c>
      <x:c r="B2548" s="38" t="str">
        <x:v>WELL</x:v>
      </x:c>
      <x:c r="C2548" s="38" t="str">
        <x:v>Other sectors</x:v>
      </x:c>
      <x:c r="D2548" s="30" t="n">
        <x:v>5</x:v>
      </x:c>
      <x:c r="E2548" s="38" t="str">
        <x:v>XLP</x:v>
      </x:c>
      <x:c r="F2548" s="38" t="n">
        <x:v>-0.2390774072</x:v>
      </x:c>
      <x:c r="G2548" s="38" t="n">
        <x:v>-1.0615938255</x:v>
      </x:c>
      <x:c r="H2548" s="42" t="b">
        <x:v>0</x:v>
      </x:c>
      <x:c r="I2548" s="42" t="b">
        <x:v>0</x:v>
      </x:c>
      <x:c r="J2548" s="38" t="n">
        <x:v>0.291709022</x:v>
      </x:c>
    </x:row>
    <x:row r="2549" ht="19" customHeight="1">
      <x:c r="A2549" s="29" t="str">
        <x:v>stagger_1</x:v>
      </x:c>
      <x:c r="B2549" s="38" t="str">
        <x:v>WELL</x:v>
      </x:c>
      <x:c r="C2549" s="38" t="str">
        <x:v>Other sectors</x:v>
      </x:c>
      <x:c r="D2549" s="30" t="n">
        <x:v>5</x:v>
      </x:c>
      <x:c r="E2549" s="38" t="str">
        <x:v>XLY</x:v>
      </x:c>
      <x:c r="F2549" s="38" t="n">
        <x:v>-0.4312938684</x:v>
      </x:c>
      <x:c r="G2549" s="38" t="n">
        <x:v>-1.9688435565</x:v>
      </x:c>
      <x:c r="H2549" s="42" t="b">
        <x:v>0</x:v>
      </x:c>
      <x:c r="I2549" s="42" t="b">
        <x:v>0</x:v>
      </x:c>
      <x:c r="J2549" s="38" t="n">
        <x:v>0.291709022</x:v>
      </x:c>
    </x:row>
    <x:row r="2550" ht="19" customHeight="1">
      <x:c r="A2550" s="29" t="str">
        <x:v>stagger_1</x:v>
      </x:c>
      <x:c r="B2550" s="38" t="str">
        <x:v>WELL</x:v>
      </x:c>
      <x:c r="C2550" s="38" t="str">
        <x:v>Other sectors</x:v>
      </x:c>
      <x:c r="D2550" s="30" t="n">
        <x:v>6</x:v>
      </x:c>
      <x:c r="E2550" s="38" t="str">
        <x:v>XLB</x:v>
      </x:c>
      <x:c r="F2550" s="38" t="n">
        <x:v>-0.8674545678</x:v>
      </x:c>
      <x:c r="G2550" s="38" t="n">
        <x:v>-3.4007945641</x:v>
      </x:c>
      <x:c r="H2550" s="42" t="b">
        <x:v>0</x:v>
      </x:c>
      <x:c r="I2550" s="42" t="b">
        <x:v>0</x:v>
      </x:c>
      <x:c r="J2550" s="38" t="n">
        <x:v>0.2838427975</x:v>
      </x:c>
    </x:row>
    <x:row r="2551" ht="19" customHeight="1">
      <x:c r="A2551" s="29" t="str">
        <x:v>stagger_1</x:v>
      </x:c>
      <x:c r="B2551" s="38" t="str">
        <x:v>WELL</x:v>
      </x:c>
      <x:c r="C2551" s="38" t="str">
        <x:v>Other sectors</x:v>
      </x:c>
      <x:c r="D2551" s="30" t="n">
        <x:v>6</x:v>
      </x:c>
      <x:c r="E2551" s="38" t="str">
        <x:v>XLI</x:v>
      </x:c>
      <x:c r="F2551" s="38" t="n">
        <x:v>0.2855722759</x:v>
      </x:c>
      <x:c r="G2551" s="38" t="n">
        <x:v>0.885181283</x:v>
      </x:c>
      <x:c r="H2551" s="42" t="b">
        <x:v>1</x:v>
      </x:c>
      <x:c r="I2551" s="42" t="b">
        <x:v>0</x:v>
      </x:c>
      <x:c r="J2551" s="38" t="n">
        <x:v>0.2838427975</x:v>
      </x:c>
    </x:row>
    <x:row r="2552" ht="19" customHeight="1">
      <x:c r="A2552" s="29" t="str">
        <x:v>stagger_1</x:v>
      </x:c>
      <x:c r="B2552" s="38" t="str">
        <x:v>WELL</x:v>
      </x:c>
      <x:c r="C2552" s="38" t="str">
        <x:v>Other sectors</x:v>
      </x:c>
      <x:c r="D2552" s="30" t="n">
        <x:v>6</x:v>
      </x:c>
      <x:c r="E2552" s="38" t="str">
        <x:v>XLK</x:v>
      </x:c>
      <x:c r="F2552" s="38" t="n">
        <x:v>-0.9908852198</x:v>
      </x:c>
      <x:c r="G2552" s="38" t="n">
        <x:v>-4.4435233679</x:v>
      </x:c>
      <x:c r="H2552" s="42" t="b">
        <x:v>0</x:v>
      </x:c>
      <x:c r="I2552" s="42" t="b">
        <x:v>0</x:v>
      </x:c>
      <x:c r="J2552" s="38" t="n">
        <x:v>0.2838427975</x:v>
      </x:c>
    </x:row>
    <x:row r="2553" ht="19" customHeight="1">
      <x:c r="A2553" s="29" t="str">
        <x:v>stagger_1</x:v>
      </x:c>
      <x:c r="B2553" s="38" t="str">
        <x:v>WELL</x:v>
      </x:c>
      <x:c r="C2553" s="38" t="str">
        <x:v>Other sectors</x:v>
      </x:c>
      <x:c r="D2553" s="30" t="n">
        <x:v>6</x:v>
      </x:c>
      <x:c r="E2553" s="38" t="str">
        <x:v>XLP</x:v>
      </x:c>
      <x:c r="F2553" s="38" t="n">
        <x:v>-0.281683318</x:v>
      </x:c>
      <x:c r="G2553" s="38" t="n">
        <x:v>-1.2809776135</x:v>
      </x:c>
      <x:c r="H2553" s="42" t="b">
        <x:v>0</x:v>
      </x:c>
      <x:c r="I2553" s="42" t="b">
        <x:v>0</x:v>
      </x:c>
      <x:c r="J2553" s="38" t="n">
        <x:v>0.2838427975</x:v>
      </x:c>
    </x:row>
    <x:row r="2554" ht="19" customHeight="1">
      <x:c r="A2554" s="29" t="str">
        <x:v>stagger_1</x:v>
      </x:c>
      <x:c r="B2554" s="38" t="str">
        <x:v>WELL</x:v>
      </x:c>
      <x:c r="C2554" s="38" t="str">
        <x:v>Other sectors</x:v>
      </x:c>
      <x:c r="D2554" s="30" t="n">
        <x:v>6</x:v>
      </x:c>
      <x:c r="E2554" s="38" t="str">
        <x:v>XLY</x:v>
      </x:c>
      <x:c r="F2554" s="38" t="n">
        <x:v>-0.5058117356</x:v>
      </x:c>
      <x:c r="G2554" s="38" t="n">
        <x:v>-2.4970339273</x:v>
      </x:c>
      <x:c r="H2554" s="42" t="b">
        <x:v>0</x:v>
      </x:c>
      <x:c r="I2554" s="42" t="b">
        <x:v>0</x:v>
      </x:c>
      <x:c r="J2554" s="38" t="n">
        <x:v>0.2838427975</x:v>
      </x:c>
    </x:row>
    <x:row r="2555" ht="19" customHeight="1">
      <x:c r="A2555" s="29" t="str">
        <x:v>stagger_1</x:v>
      </x:c>
      <x:c r="B2555" s="38" t="str">
        <x:v>WELL</x:v>
      </x:c>
      <x:c r="C2555" s="38" t="str">
        <x:v>Other sectors</x:v>
      </x:c>
      <x:c r="D2555" s="30" t="n">
        <x:v>7</x:v>
      </x:c>
      <x:c r="E2555" s="38" t="str">
        <x:v>XLB</x:v>
      </x:c>
      <x:c r="F2555" s="38" t="n">
        <x:v>-0.7041630863</x:v>
      </x:c>
      <x:c r="G2555" s="38" t="n">
        <x:v>-4.0030481561</x:v>
      </x:c>
      <x:c r="H2555" s="42" t="b">
        <x:v>0</x:v>
      </x:c>
      <x:c r="I2555" s="42" t="b">
        <x:v>0</x:v>
      </x:c>
      <x:c r="J2555" s="38" t="n">
        <x:v>0.276259797</x:v>
      </x:c>
    </x:row>
    <x:row r="2556" ht="19" customHeight="1">
      <x:c r="A2556" s="29" t="str">
        <x:v>stagger_1</x:v>
      </x:c>
      <x:c r="B2556" s="38" t="str">
        <x:v>WELL</x:v>
      </x:c>
      <x:c r="C2556" s="38" t="str">
        <x:v>Other sectors</x:v>
      </x:c>
      <x:c r="D2556" s="30" t="n">
        <x:v>7</x:v>
      </x:c>
      <x:c r="E2556" s="38" t="str">
        <x:v>XLK</x:v>
      </x:c>
      <x:c r="F2556" s="38" t="n">
        <x:v>-0.981283821</x:v>
      </x:c>
      <x:c r="G2556" s="38" t="n">
        <x:v>-4.4120531762</x:v>
      </x:c>
      <x:c r="H2556" s="42" t="b">
        <x:v>0</x:v>
      </x:c>
      <x:c r="I2556" s="42" t="b">
        <x:v>0</x:v>
      </x:c>
      <x:c r="J2556" s="38" t="n">
        <x:v>0.276259797</x:v>
      </x:c>
    </x:row>
    <x:row r="2557" ht="19" customHeight="1">
      <x:c r="A2557" s="29" t="str">
        <x:v>stagger_1</x:v>
      </x:c>
      <x:c r="B2557" s="38" t="str">
        <x:v>WELL</x:v>
      </x:c>
      <x:c r="C2557" s="38" t="str">
        <x:v>Other sectors</x:v>
      </x:c>
      <x:c r="D2557" s="30" t="n">
        <x:v>7</x:v>
      </x:c>
      <x:c r="E2557" s="38" t="str">
        <x:v>XLP</x:v>
      </x:c>
      <x:c r="F2557" s="38" t="n">
        <x:v>-0.2632579397</x:v>
      </x:c>
      <x:c r="G2557" s="38" t="n">
        <x:v>-1.2043258248</x:v>
      </x:c>
      <x:c r="H2557" s="42" t="b">
        <x:v>1</x:v>
      </x:c>
      <x:c r="I2557" s="42" t="b">
        <x:v>0</x:v>
      </x:c>
      <x:c r="J2557" s="38" t="n">
        <x:v>0.276259797</x:v>
      </x:c>
    </x:row>
    <x:row r="2558" ht="19" customHeight="1">
      <x:c r="A2558" s="29" t="str">
        <x:v>stagger_1</x:v>
      </x:c>
      <x:c r="B2558" s="38" t="str">
        <x:v>WELL</x:v>
      </x:c>
      <x:c r="C2558" s="38" t="str">
        <x:v>Other sectors</x:v>
      </x:c>
      <x:c r="D2558" s="30" t="n">
        <x:v>7</x:v>
      </x:c>
      <x:c r="E2558" s="38" t="str">
        <x:v>XLY</x:v>
      </x:c>
      <x:c r="F2558" s="38" t="n">
        <x:v>-0.5199063018</x:v>
      </x:c>
      <x:c r="G2558" s="38" t="n">
        <x:v>-2.5783039752</x:v>
      </x:c>
      <x:c r="H2558" s="42" t="b">
        <x:v>0</x:v>
      </x:c>
      <x:c r="I2558" s="42" t="b">
        <x:v>0</x:v>
      </x:c>
      <x:c r="J2558" s="38" t="n">
        <x:v>0.276259797</x:v>
      </x:c>
    </x:row>
    <x:row r="2559" ht="19" customHeight="1">
      <x:c r="A2559" s="29" t="str">
        <x:v>stagger_1</x:v>
      </x:c>
      <x:c r="B2559" s="38" t="str">
        <x:v>WELL</x:v>
      </x:c>
      <x:c r="C2559" s="38" t="str">
        <x:v>Other sectors</x:v>
      </x:c>
      <x:c r="D2559" s="30" t="n">
        <x:v>8</x:v>
      </x:c>
      <x:c r="E2559" s="38" t="str">
        <x:v>XLB</x:v>
      </x:c>
      <x:c r="F2559" s="38" t="n">
        <x:v>-0.7639729894</x:v>
      </x:c>
      <x:c r="G2559" s="38" t="n">
        <x:v>-4.513872438</x:v>
      </x:c>
      <x:c r="H2559" s="42" t="b">
        <x:v>0</x:v>
      </x:c>
      <x:c r="I2559" s="42" t="b">
        <x:v>1</x:v>
      </x:c>
      <x:c r="J2559" s="38" t="n">
        <x:v>0.2622636197</x:v>
      </x:c>
    </x:row>
    <x:row r="2560" ht="19" customHeight="1">
      <x:c r="A2560" s="29" t="str">
        <x:v>stagger_1</x:v>
      </x:c>
      <x:c r="B2560" s="38" t="str">
        <x:v>WELL</x:v>
      </x:c>
      <x:c r="C2560" s="38" t="str">
        <x:v>Other sectors</x:v>
      </x:c>
      <x:c r="D2560" s="30" t="n">
        <x:v>8</x:v>
      </x:c>
      <x:c r="E2560" s="38" t="str">
        <x:v>XLK</x:v>
      </x:c>
      <x:c r="F2560" s="38" t="n">
        <x:v>-0.8783955743</x:v>
      </x:c>
      <x:c r="G2560" s="38" t="n">
        <x:v>-4.2649936913</x:v>
      </x:c>
      <x:c r="H2560" s="42" t="b">
        <x:v>0</x:v>
      </x:c>
      <x:c r="I2560" s="42" t="b">
        <x:v>1</x:v>
      </x:c>
      <x:c r="J2560" s="38" t="n">
        <x:v>0.2622636197</x:v>
      </x:c>
    </x:row>
    <x:row r="2561" ht="19" customHeight="1">
      <x:c r="A2561" s="29" t="str">
        <x:v>stagger_1</x:v>
      </x:c>
      <x:c r="B2561" s="38" t="str">
        <x:v>WELL</x:v>
      </x:c>
      <x:c r="C2561" s="38" t="str">
        <x:v>Other sectors</x:v>
      </x:c>
      <x:c r="D2561" s="30" t="n">
        <x:v>8</x:v>
      </x:c>
      <x:c r="E2561" s="38" t="str">
        <x:v>XLY</x:v>
      </x:c>
      <x:c r="F2561" s="38" t="n">
        <x:v>-0.4723060404</x:v>
      </x:c>
      <x:c r="G2561" s="38" t="n">
        <x:v>-2.3815327972</x:v>
      </x:c>
      <x:c r="H2561" s="42" t="b">
        <x:v>0</x:v>
      </x:c>
      <x:c r="I2561" s="42" t="b">
        <x:v>1</x:v>
      </x:c>
      <x:c r="J2561" s="38" t="n">
        <x:v>0.2622636197</x:v>
      </x:c>
    </x:row>
    <x:row r="2562" ht="19" customHeight="1">
      <x:c r="A2562" s="29" t="str">
        <x:v>stagger_1</x:v>
      </x:c>
      <x:c r="B2562" s="38" t="str">
        <x:v>NOK</x:v>
      </x:c>
      <x:c r="C2562" s="38" t="str">
        <x:v>Other FX</x:v>
      </x:c>
      <x:c r="D2562" s="30" t="n">
        <x:v>1</x:v>
      </x:c>
      <x:c r="E2562" s="38" t="str">
        <x:v>AUD/USD</x:v>
      </x:c>
      <x:c r="F2562" s="38" t="n">
        <x:v>1.3289098704</x:v>
      </x:c>
      <x:c r="G2562" s="38" t="n">
        <x:v>1.2027743726</x:v>
      </x:c>
      <x:c r="H2562" s="42" t="b">
        <x:v>0</x:v>
      </x:c>
      <x:c r="I2562" s="42" t="b">
        <x:v>0</x:v>
      </x:c>
      <x:c r="J2562" s="38" t="n">
        <x:v>0.0487804334</x:v>
      </x:c>
    </x:row>
    <x:row r="2563" ht="19" customHeight="1">
      <x:c r="A2563" s="29" t="str">
        <x:v>stagger_1</x:v>
      </x:c>
      <x:c r="B2563" s="38" t="str">
        <x:v>NOK</x:v>
      </x:c>
      <x:c r="C2563" s="38" t="str">
        <x:v>Other FX</x:v>
      </x:c>
      <x:c r="D2563" s="30" t="n">
        <x:v>1</x:v>
      </x:c>
      <x:c r="E2563" s="38" t="str">
        <x:v>CAD/USD</x:v>
      </x:c>
      <x:c r="F2563" s="38" t="n">
        <x:v>-0.1059343998</x:v>
      </x:c>
      <x:c r="G2563" s="38" t="n">
        <x:v>-0.0795468803</x:v>
      </x:c>
      <x:c r="H2563" s="42" t="b">
        <x:v>0</x:v>
      </x:c>
      <x:c r="I2563" s="42" t="b">
        <x:v>0</x:v>
      </x:c>
      <x:c r="J2563" s="38" t="n">
        <x:v>0.0487804334</x:v>
      </x:c>
    </x:row>
    <x:row r="2564" ht="19" customHeight="1">
      <x:c r="A2564" s="29" t="str">
        <x:v>stagger_1</x:v>
      </x:c>
      <x:c r="B2564" s="38" t="str">
        <x:v>NOK</x:v>
      </x:c>
      <x:c r="C2564" s="38" t="str">
        <x:v>Other FX</x:v>
      </x:c>
      <x:c r="D2564" s="30" t="n">
        <x:v>1</x:v>
      </x:c>
      <x:c r="E2564" s="38" t="str">
        <x:v>DKK/USD</x:v>
      </x:c>
      <x:c r="F2564" s="38" t="n">
        <x:v>-1.4559635549</x:v>
      </x:c>
      <x:c r="G2564" s="38" t="n">
        <x:v>-0.9830221907</x:v>
      </x:c>
      <x:c r="H2564" s="42" t="b">
        <x:v>0</x:v>
      </x:c>
      <x:c r="I2564" s="42" t="b">
        <x:v>0</x:v>
      </x:c>
      <x:c r="J2564" s="38" t="n">
        <x:v>0.0487804334</x:v>
      </x:c>
    </x:row>
    <x:row r="2565" ht="19" customHeight="1">
      <x:c r="A2565" s="29" t="str">
        <x:v>stagger_1</x:v>
      </x:c>
      <x:c r="B2565" s="38" t="str">
        <x:v>NOK</x:v>
      </x:c>
      <x:c r="C2565" s="38" t="str">
        <x:v>Other FX</x:v>
      </x:c>
      <x:c r="D2565" s="30" t="n">
        <x:v>1</x:v>
      </x:c>
      <x:c r="E2565" s="38" t="str">
        <x:v>MXN/USD</x:v>
      </x:c>
      <x:c r="F2565" s="38" t="n">
        <x:v>0.6964613033</x:v>
      </x:c>
      <x:c r="G2565" s="38" t="n">
        <x:v>1.0198464728</x:v>
      </x:c>
      <x:c r="H2565" s="42" t="b">
        <x:v>0</x:v>
      </x:c>
      <x:c r="I2565" s="42" t="b">
        <x:v>0</x:v>
      </x:c>
      <x:c r="J2565" s="38" t="n">
        <x:v>0.0487804334</x:v>
      </x:c>
    </x:row>
    <x:row r="2566" ht="19" customHeight="1">
      <x:c r="A2566" s="29" t="str">
        <x:v>stagger_1</x:v>
      </x:c>
      <x:c r="B2566" s="38" t="str">
        <x:v>NOK</x:v>
      </x:c>
      <x:c r="C2566" s="38" t="str">
        <x:v>Other FX</x:v>
      </x:c>
      <x:c r="D2566" s="30" t="n">
        <x:v>1</x:v>
      </x:c>
      <x:c r="E2566" s="38" t="str">
        <x:v>SGD/USD</x:v>
      </x:c>
      <x:c r="F2566" s="38" t="n">
        <x:v>-0.0455592378</x:v>
      </x:c>
      <x:c r="G2566" s="38" t="n">
        <x:v>-0.0178416066</x:v>
      </x:c>
      <x:c r="H2566" s="42" t="b">
        <x:v>1</x:v>
      </x:c>
      <x:c r="I2566" s="42" t="b">
        <x:v>0</x:v>
      </x:c>
      <x:c r="J2566" s="38" t="n">
        <x:v>0.0487804334</x:v>
      </x:c>
    </x:row>
    <x:row r="2567" ht="19" customHeight="1">
      <x:c r="A2567" s="29" t="str">
        <x:v>stagger_1</x:v>
      </x:c>
      <x:c r="B2567" s="38" t="str">
        <x:v>NOK</x:v>
      </x:c>
      <x:c r="C2567" s="38" t="str">
        <x:v>Other FX</x:v>
      </x:c>
      <x:c r="D2567" s="30" t="n">
        <x:v>2</x:v>
      </x:c>
      <x:c r="E2567" s="38" t="str">
        <x:v>AUD/USD</x:v>
      </x:c>
      <x:c r="F2567" s="38" t="n">
        <x:v>1.3193586487</x:v>
      </x:c>
      <x:c r="G2567" s="38" t="n">
        <x:v>1.3742539421</x:v>
      </x:c>
      <x:c r="H2567" s="42" t="b">
        <x:v>0</x:v>
      </x:c>
      <x:c r="I2567" s="42" t="b">
        <x:v>0</x:v>
      </x:c>
      <x:c r="J2567" s="38" t="n">
        <x:v>0.0487763416</x:v>
      </x:c>
    </x:row>
    <x:row r="2568" ht="19" customHeight="1">
      <x:c r="A2568" s="29" t="str">
        <x:v>stagger_1</x:v>
      </x:c>
      <x:c r="B2568" s="38" t="str">
        <x:v>NOK</x:v>
      </x:c>
      <x:c r="C2568" s="38" t="str">
        <x:v>Other FX</x:v>
      </x:c>
      <x:c r="D2568" s="30" t="n">
        <x:v>2</x:v>
      </x:c>
      <x:c r="E2568" s="38" t="str">
        <x:v>CAD/USD</x:v>
      </x:c>
      <x:c r="F2568" s="38" t="n">
        <x:v>-0.1064468404</x:v>
      </x:c>
      <x:c r="G2568" s="38" t="n">
        <x:v>-0.0804884908</x:v>
      </x:c>
      <x:c r="H2568" s="42" t="b">
        <x:v>1</x:v>
      </x:c>
      <x:c r="I2568" s="42" t="b">
        <x:v>0</x:v>
      </x:c>
      <x:c r="J2568" s="38" t="n">
        <x:v>0.0487763416</x:v>
      </x:c>
    </x:row>
    <x:row r="2569" ht="19" customHeight="1">
      <x:c r="A2569" s="29" t="str">
        <x:v>stagger_1</x:v>
      </x:c>
      <x:c r="B2569" s="38" t="str">
        <x:v>NOK</x:v>
      </x:c>
      <x:c r="C2569" s="38" t="str">
        <x:v>Other FX</x:v>
      </x:c>
      <x:c r="D2569" s="30" t="n">
        <x:v>2</x:v>
      </x:c>
      <x:c r="E2569" s="38" t="str">
        <x:v>DKK/USD</x:v>
      </x:c>
      <x:c r="F2569" s="38" t="n">
        <x:v>-1.4715679495</x:v>
      </x:c>
      <x:c r="G2569" s="38" t="n">
        <x:v>-1.2394138223</x:v>
      </x:c>
      <x:c r="H2569" s="42" t="b">
        <x:v>0</x:v>
      </x:c>
      <x:c r="I2569" s="42" t="b">
        <x:v>0</x:v>
      </x:c>
      <x:c r="J2569" s="38" t="n">
        <x:v>0.0487763416</x:v>
      </x:c>
    </x:row>
    <x:row r="2570" ht="19" customHeight="1">
      <x:c r="A2570" s="29" t="str">
        <x:v>stagger_1</x:v>
      </x:c>
      <x:c r="B2570" s="38" t="str">
        <x:v>NOK</x:v>
      </x:c>
      <x:c r="C2570" s="38" t="str">
        <x:v>Other FX</x:v>
      </x:c>
      <x:c r="D2570" s="30" t="n">
        <x:v>2</x:v>
      </x:c>
      <x:c r="E2570" s="38" t="str">
        <x:v>MXN/USD</x:v>
      </x:c>
      <x:c r="F2570" s="38" t="n">
        <x:v>0.696847135</x:v>
      </x:c>
      <x:c r="G2570" s="38" t="n">
        <x:v>1.0277962353</x:v>
      </x:c>
      <x:c r="H2570" s="42" t="b">
        <x:v>0</x:v>
      </x:c>
      <x:c r="I2570" s="42" t="b">
        <x:v>0</x:v>
      </x:c>
      <x:c r="J2570" s="38" t="n">
        <x:v>0.0487763416</x:v>
      </x:c>
    </x:row>
    <x:row r="2571" ht="19" customHeight="1">
      <x:c r="A2571" s="29" t="str">
        <x:v>stagger_1</x:v>
      </x:c>
      <x:c r="B2571" s="38" t="str">
        <x:v>NOK</x:v>
      </x:c>
      <x:c r="C2571" s="38" t="str">
        <x:v>Other FX</x:v>
      </x:c>
      <x:c r="D2571" s="30" t="n">
        <x:v>3</x:v>
      </x:c>
      <x:c r="E2571" s="38" t="str">
        <x:v>AUD/USD</x:v>
      </x:c>
      <x:c r="F2571" s="38" t="n">
        <x:v>1.2969080915</x:v>
      </x:c>
      <x:c r="G2571" s="38" t="n">
        <x:v>1.4210856642</x:v>
      </x:c>
      <x:c r="H2571" s="42" t="b">
        <x:v>0</x:v>
      </x:c>
      <x:c r="I2571" s="42" t="b">
        <x:v>0</x:v>
      </x:c>
      <x:c r="J2571" s="38" t="n">
        <x:v>0.0486941762</x:v>
      </x:c>
    </x:row>
    <x:row r="2572" ht="19" customHeight="1">
      <x:c r="A2572" s="29" t="str">
        <x:v>stagger_1</x:v>
      </x:c>
      <x:c r="B2572" s="38" t="str">
        <x:v>NOK</x:v>
      </x:c>
      <x:c r="C2572" s="38" t="str">
        <x:v>Other FX</x:v>
      </x:c>
      <x:c r="D2572" s="30" t="n">
        <x:v>3</x:v>
      </x:c>
      <x:c r="E2572" s="38" t="str">
        <x:v>DKK/USD</x:v>
      </x:c>
      <x:c r="F2572" s="38" t="n">
        <x:v>-1.5025103686</x:v>
      </x:c>
      <x:c r="G2572" s="38" t="n">
        <x:v>-1.3463554909</x:v>
      </x:c>
      <x:c r="H2572" s="42" t="b">
        <x:v>0</x:v>
      </x:c>
      <x:c r="I2572" s="42" t="b">
        <x:v>0</x:v>
      </x:c>
      <x:c r="J2572" s="38" t="n">
        <x:v>0.0486941762</x:v>
      </x:c>
    </x:row>
    <x:row r="2573" ht="19" customHeight="1">
      <x:c r="A2573" s="29" t="str">
        <x:v>stagger_1</x:v>
      </x:c>
      <x:c r="B2573" s="38" t="str">
        <x:v>NOK</x:v>
      </x:c>
      <x:c r="C2573" s="38" t="str">
        <x:v>Other FX</x:v>
      </x:c>
      <x:c r="D2573" s="30" t="n">
        <x:v>3</x:v>
      </x:c>
      <x:c r="E2573" s="38" t="str">
        <x:v>MXN/USD</x:v>
      </x:c>
      <x:c r="F2573" s="38" t="n">
        <x:v>0.6971140732</x:v>
      </x:c>
      <x:c r="G2573" s="38" t="n">
        <x:v>1.0349895343</x:v>
      </x:c>
      <x:c r="H2573" s="42" t="b">
        <x:v>1</x:v>
      </x:c>
      <x:c r="I2573" s="42" t="b">
        <x:v>0</x:v>
      </x:c>
      <x:c r="J2573" s="38" t="n">
        <x:v>0.0486941762</x:v>
      </x:c>
    </x:row>
    <x:row r="2574" ht="19" customHeight="1">
      <x:c r="A2574" s="29" t="str">
        <x:v>stagger_1</x:v>
      </x:c>
      <x:c r="B2574" s="38" t="str">
        <x:v>NOK</x:v>
      </x:c>
      <x:c r="C2574" s="38" t="str">
        <x:v>Other FX</x:v>
      </x:c>
      <x:c r="D2574" s="30" t="n">
        <x:v>4</x:v>
      </x:c>
      <x:c r="E2574" s="38" t="str">
        <x:v>AUD/USD</x:v>
      </x:c>
      <x:c r="F2574" s="38" t="n">
        <x:v>1.4968582294</x:v>
      </x:c>
      <x:c r="G2574" s="38" t="n">
        <x:v>1.6774383779</x:v>
      </x:c>
      <x:c r="H2574" s="42" t="b">
        <x:v>0</x:v>
      </x:c>
      <x:c r="I2574" s="42" t="b">
        <x:v>0</x:v>
      </x:c>
      <x:c r="J2574" s="38" t="n">
        <x:v>0.0352857292</x:v>
      </x:c>
    </x:row>
    <x:row r="2575" ht="19" customHeight="1">
      <x:c r="A2575" s="29" t="str">
        <x:v>stagger_1</x:v>
      </x:c>
      <x:c r="B2575" s="38" t="str">
        <x:v>NOK</x:v>
      </x:c>
      <x:c r="C2575" s="38" t="str">
        <x:v>Other FX</x:v>
      </x:c>
      <x:c r="D2575" s="30" t="n">
        <x:v>4</x:v>
      </x:c>
      <x:c r="E2575" s="38" t="str">
        <x:v>DKK/USD</x:v>
      </x:c>
      <x:c r="F2575" s="38" t="n">
        <x:v>-1.1116210084</x:v>
      </x:c>
      <x:c r="G2575" s="38" t="n">
        <x:v>-1.0580628093</x:v>
      </x:c>
      <x:c r="H2575" s="42" t="b">
        <x:v>1</x:v>
      </x:c>
      <x:c r="I2575" s="42" t="b">
        <x:v>0</x:v>
      </x:c>
      <x:c r="J2575" s="38" t="n">
        <x:v>0.0352857292</x:v>
      </x:c>
    </x:row>
    <x:row r="2576" ht="19" customHeight="1">
      <x:c r="A2576" s="29" t="str">
        <x:v>stagger_1</x:v>
      </x:c>
      <x:c r="B2576" s="38" t="str">
        <x:v>NOK</x:v>
      </x:c>
      <x:c r="C2576" s="38" t="str">
        <x:v>Other FX</x:v>
      </x:c>
      <x:c r="D2576" s="30" t="n">
        <x:v>5</x:v>
      </x:c>
      <x:c r="E2576" s="38" t="str">
        <x:v>AUD/USD</x:v>
      </x:c>
      <x:c r="F2576" s="38" t="n">
        <x:v>0.8796845615</x:v>
      </x:c>
      <x:c r="G2576" s="38" t="n">
        <x:v>1.3016476341</x:v>
      </x:c>
      <x:c r="H2576" s="42" t="b">
        <x:v>1</x:v>
      </x:c>
      <x:c r="I2576" s="42" t="b">
        <x:v>0</x:v>
      </x:c>
      <x:c r="J2576" s="38" t="n">
        <x:v>0.0212598247</x:v>
      </x:c>
    </x:row>
    <x:row r="2577" ht="19" customHeight="1">
      <x:c r="A2577" s="29" t="str">
        <x:v>stagger_1</x:v>
      </x:c>
      <x:c r="B2577" s="38" t="str">
        <x:v>NOK</x:v>
      </x:c>
      <x:c r="C2577" s="38" t="str">
        <x:v>Other sectors</x:v>
      </x:c>
      <x:c r="D2577" s="30" t="n">
        <x:v>1</x:v>
      </x:c>
      <x:c r="E2577" s="38" t="str">
        <x:v>XLB</x:v>
      </x:c>
      <x:c r="F2577" s="38" t="n">
        <x:v>-0.5345082813</x:v>
      </x:c>
      <x:c r="G2577" s="38" t="n">
        <x:v>-0.89544129</x:v>
      </x:c>
      <x:c r="H2577" s="42" t="b">
        <x:v>0</x:v>
      </x:c>
      <x:c r="I2577" s="42" t="b">
        <x:v>0</x:v>
      </x:c>
      <x:c r="J2577" s="38" t="n">
        <x:v>0.1935232649</x:v>
      </x:c>
    </x:row>
    <x:row r="2578" ht="19" customHeight="1">
      <x:c r="A2578" s="29" t="str">
        <x:v>stagger_1</x:v>
      </x:c>
      <x:c r="B2578" s="38" t="str">
        <x:v>NOK</x:v>
      </x:c>
      <x:c r="C2578" s="38" t="str">
        <x:v>Other sectors</x:v>
      </x:c>
      <x:c r="D2578" s="30" t="n">
        <x:v>1</x:v>
      </x:c>
      <x:c r="E2578" s="38" t="str">
        <x:v>XLC</x:v>
      </x:c>
      <x:c r="F2578" s="38" t="n">
        <x:v>-0.546066608</x:v>
      </x:c>
      <x:c r="G2578" s="38" t="n">
        <x:v>-1.0919613751</x:v>
      </x:c>
      <x:c r="H2578" s="42" t="b">
        <x:v>0</x:v>
      </x:c>
      <x:c r="I2578" s="42" t="b">
        <x:v>0</x:v>
      </x:c>
      <x:c r="J2578" s="38" t="n">
        <x:v>0.1935232649</x:v>
      </x:c>
    </x:row>
    <x:row r="2579" ht="19" customHeight="1">
      <x:c r="A2579" s="29" t="str">
        <x:v>stagger_1</x:v>
      </x:c>
      <x:c r="B2579" s="38" t="str">
        <x:v>NOK</x:v>
      </x:c>
      <x:c r="C2579" s="38" t="str">
        <x:v>Other sectors</x:v>
      </x:c>
      <x:c r="D2579" s="30" t="n">
        <x:v>1</x:v>
      </x:c>
      <x:c r="E2579" s="38" t="str">
        <x:v>XLE</x:v>
      </x:c>
      <x:c r="F2579" s="38" t="n">
        <x:v>0.4884424968</x:v>
      </x:c>
      <x:c r="G2579" s="38" t="n">
        <x:v>2.4463489119</x:v>
      </x:c>
      <x:c r="H2579" s="42" t="b">
        <x:v>0</x:v>
      </x:c>
      <x:c r="I2579" s="42" t="b">
        <x:v>0</x:v>
      </x:c>
      <x:c r="J2579" s="38" t="n">
        <x:v>0.1935232649</x:v>
      </x:c>
    </x:row>
    <x:row r="2580" ht="19" customHeight="1">
      <x:c r="A2580" s="29" t="str">
        <x:v>stagger_1</x:v>
      </x:c>
      <x:c r="B2580" s="38" t="str">
        <x:v>NOK</x:v>
      </x:c>
      <x:c r="C2580" s="38" t="str">
        <x:v>Other sectors</x:v>
      </x:c>
      <x:c r="D2580" s="30" t="n">
        <x:v>1</x:v>
      </x:c>
      <x:c r="E2580" s="38" t="str">
        <x:v>XLF</x:v>
      </x:c>
      <x:c r="F2580" s="38" t="n">
        <x:v>-0.7875067874</x:v>
      </x:c>
      <x:c r="G2580" s="38" t="n">
        <x:v>-1.599413517</x:v>
      </x:c>
      <x:c r="H2580" s="42" t="b">
        <x:v>0</x:v>
      </x:c>
      <x:c r="I2580" s="42" t="b">
        <x:v>0</x:v>
      </x:c>
      <x:c r="J2580" s="38" t="n">
        <x:v>0.1935232649</x:v>
      </x:c>
    </x:row>
    <x:row r="2581" ht="19" customHeight="1">
      <x:c r="A2581" s="29" t="str">
        <x:v>stagger_1</x:v>
      </x:c>
      <x:c r="B2581" s="38" t="str">
        <x:v>NOK</x:v>
      </x:c>
      <x:c r="C2581" s="38" t="str">
        <x:v>Other sectors</x:v>
      </x:c>
      <x:c r="D2581" s="30" t="n">
        <x:v>1</x:v>
      </x:c>
      <x:c r="E2581" s="38" t="str">
        <x:v>XLI</x:v>
      </x:c>
      <x:c r="F2581" s="38" t="n">
        <x:v>0.2623263788</x:v>
      </x:c>
      <x:c r="G2581" s="38" t="n">
        <x:v>0.3415851776</x:v>
      </x:c>
      <x:c r="H2581" s="42" t="b">
        <x:v>0</x:v>
      </x:c>
      <x:c r="I2581" s="42" t="b">
        <x:v>0</x:v>
      </x:c>
      <x:c r="J2581" s="38" t="n">
        <x:v>0.1935232649</x:v>
      </x:c>
    </x:row>
    <x:row r="2582" ht="19" customHeight="1">
      <x:c r="A2582" s="29" t="str">
        <x:v>stagger_1</x:v>
      </x:c>
      <x:c r="B2582" s="38" t="str">
        <x:v>NOK</x:v>
      </x:c>
      <x:c r="C2582" s="38" t="str">
        <x:v>Other sectors</x:v>
      </x:c>
      <x:c r="D2582" s="30" t="n">
        <x:v>1</x:v>
      </x:c>
      <x:c r="E2582" s="38" t="str">
        <x:v>XLP</x:v>
      </x:c>
      <x:c r="F2582" s="38" t="n">
        <x:v>-0.185894521</x:v>
      </x:c>
      <x:c r="G2582" s="38" t="n">
        <x:v>-0.3116083614</x:v>
      </x:c>
      <x:c r="H2582" s="42" t="b">
        <x:v>0</x:v>
      </x:c>
      <x:c r="I2582" s="42" t="b">
        <x:v>0</x:v>
      </x:c>
      <x:c r="J2582" s="38" t="n">
        <x:v>0.1935232649</x:v>
      </x:c>
    </x:row>
    <x:row r="2583" ht="19" customHeight="1">
      <x:c r="A2583" s="29" t="str">
        <x:v>stagger_1</x:v>
      </x:c>
      <x:c r="B2583" s="38" t="str">
        <x:v>NOK</x:v>
      </x:c>
      <x:c r="C2583" s="38" t="str">
        <x:v>Other sectors</x:v>
      </x:c>
      <x:c r="D2583" s="30" t="n">
        <x:v>1</x:v>
      </x:c>
      <x:c r="E2583" s="38" t="str">
        <x:v>XLRE</x:v>
      </x:c>
      <x:c r="F2583" s="38" t="n">
        <x:v>0.4918483517</x:v>
      </x:c>
      <x:c r="G2583" s="38" t="n">
        <x:v>0.9682311296</x:v>
      </x:c>
      <x:c r="H2583" s="42" t="b">
        <x:v>0</x:v>
      </x:c>
      <x:c r="I2583" s="42" t="b">
        <x:v>0</x:v>
      </x:c>
      <x:c r="J2583" s="38" t="n">
        <x:v>0.1935232649</x:v>
      </x:c>
    </x:row>
    <x:row r="2584" ht="19" customHeight="1">
      <x:c r="A2584" s="29" t="str">
        <x:v>stagger_1</x:v>
      </x:c>
      <x:c r="B2584" s="38" t="str">
        <x:v>NOK</x:v>
      </x:c>
      <x:c r="C2584" s="38" t="str">
        <x:v>Other sectors</x:v>
      </x:c>
      <x:c r="D2584" s="30" t="n">
        <x:v>1</x:v>
      </x:c>
      <x:c r="E2584" s="38" t="str">
        <x:v>XLU</x:v>
      </x:c>
      <x:c r="F2584" s="38" t="n">
        <x:v>0.5194049435</x:v>
      </x:c>
      <x:c r="G2584" s="38" t="n">
        <x:v>1.3461585451</x:v>
      </x:c>
      <x:c r="H2584" s="42" t="b">
        <x:v>0</x:v>
      </x:c>
      <x:c r="I2584" s="42" t="b">
        <x:v>0</x:v>
      </x:c>
      <x:c r="J2584" s="38" t="n">
        <x:v>0.1935232649</x:v>
      </x:c>
    </x:row>
    <x:row r="2585" ht="19" customHeight="1">
      <x:c r="A2585" s="29" t="str">
        <x:v>stagger_1</x:v>
      </x:c>
      <x:c r="B2585" s="38" t="str">
        <x:v>NOK</x:v>
      </x:c>
      <x:c r="C2585" s="38" t="str">
        <x:v>Other sectors</x:v>
      </x:c>
      <x:c r="D2585" s="30" t="n">
        <x:v>1</x:v>
      </x:c>
      <x:c r="E2585" s="38" t="str">
        <x:v>XLV</x:v>
      </x:c>
      <x:c r="F2585" s="38" t="n">
        <x:v>-0.0551093862</x:v>
      </x:c>
      <x:c r="G2585" s="38" t="n">
        <x:v>-0.1209643793</x:v>
      </x:c>
      <x:c r="H2585" s="42" t="b">
        <x:v>1</x:v>
      </x:c>
      <x:c r="I2585" s="42" t="b">
        <x:v>0</x:v>
      </x:c>
      <x:c r="J2585" s="38" t="n">
        <x:v>0.1935232649</x:v>
      </x:c>
    </x:row>
    <x:row r="2586" ht="19" customHeight="1">
      <x:c r="A2586" s="29" t="str">
        <x:v>stagger_1</x:v>
      </x:c>
      <x:c r="B2586" s="38" t="str">
        <x:v>NOK</x:v>
      </x:c>
      <x:c r="C2586" s="38" t="str">
        <x:v>Other sectors</x:v>
      </x:c>
      <x:c r="D2586" s="30" t="n">
        <x:v>1</x:v>
      </x:c>
      <x:c r="E2586" s="38" t="str">
        <x:v>XLY</x:v>
      </x:c>
      <x:c r="F2586" s="38" t="n">
        <x:v>-0.3962607594</x:v>
      </x:c>
      <x:c r="G2586" s="38" t="n">
        <x:v>-0.7588099127</x:v>
      </x:c>
      <x:c r="H2586" s="42" t="b">
        <x:v>0</x:v>
      </x:c>
      <x:c r="I2586" s="42" t="b">
        <x:v>0</x:v>
      </x:c>
      <x:c r="J2586" s="38" t="n">
        <x:v>0.1935232649</x:v>
      </x:c>
    </x:row>
    <x:row r="2587" ht="19" customHeight="1">
      <x:c r="A2587" s="29" t="str">
        <x:v>stagger_1</x:v>
      </x:c>
      <x:c r="B2587" s="38" t="str">
        <x:v>NOK</x:v>
      </x:c>
      <x:c r="C2587" s="38" t="str">
        <x:v>Other sectors</x:v>
      </x:c>
      <x:c r="D2587" s="30" t="n">
        <x:v>2</x:v>
      </x:c>
      <x:c r="E2587" s="38" t="str">
        <x:v>XLB</x:v>
      </x:c>
      <x:c r="F2587" s="38" t="n">
        <x:v>-0.5416136871</x:v>
      </x:c>
      <x:c r="G2587" s="38" t="n">
        <x:v>-0.9182558656</x:v>
      </x:c>
      <x:c r="H2587" s="42" t="b">
        <x:v>0</x:v>
      </x:c>
      <x:c r="I2587" s="42" t="b">
        <x:v>0</x:v>
      </x:c>
      <x:c r="J2587" s="38" t="n">
        <x:v>0.1933522406</x:v>
      </x:c>
    </x:row>
    <x:row r="2588" ht="19" customHeight="1">
      <x:c r="A2588" s="29" t="str">
        <x:v>stagger_1</x:v>
      </x:c>
      <x:c r="B2588" s="38" t="str">
        <x:v>NOK</x:v>
      </x:c>
      <x:c r="C2588" s="38" t="str">
        <x:v>Other sectors</x:v>
      </x:c>
      <x:c r="D2588" s="30" t="n">
        <x:v>2</x:v>
      </x:c>
      <x:c r="E2588" s="38" t="str">
        <x:v>XLC</x:v>
      </x:c>
      <x:c r="F2588" s="38" t="n">
        <x:v>-0.5490379546</x:v>
      </x:c>
      <x:c r="G2588" s="38" t="n">
        <x:v>-1.1070494316</x:v>
      </x:c>
      <x:c r="H2588" s="42" t="b">
        <x:v>0</x:v>
      </x:c>
      <x:c r="I2588" s="42" t="b">
        <x:v>0</x:v>
      </x:c>
      <x:c r="J2588" s="38" t="n">
        <x:v>0.1933522406</x:v>
      </x:c>
    </x:row>
    <x:row r="2589" ht="19" customHeight="1">
      <x:c r="A2589" s="29" t="str">
        <x:v>stagger_1</x:v>
      </x:c>
      <x:c r="B2589" s="38" t="str">
        <x:v>NOK</x:v>
      </x:c>
      <x:c r="C2589" s="38" t="str">
        <x:v>Other sectors</x:v>
      </x:c>
      <x:c r="D2589" s="30" t="n">
        <x:v>2</x:v>
      </x:c>
      <x:c r="E2589" s="38" t="str">
        <x:v>XLE</x:v>
      </x:c>
      <x:c r="F2589" s="38" t="n">
        <x:v>0.489469211</x:v>
      </x:c>
      <x:c r="G2589" s="38" t="n">
        <x:v>2.471163824</x:v>
      </x:c>
      <x:c r="H2589" s="42" t="b">
        <x:v>0</x:v>
      </x:c>
      <x:c r="I2589" s="42" t="b">
        <x:v>0</x:v>
      </x:c>
      <x:c r="J2589" s="38" t="n">
        <x:v>0.1933522406</x:v>
      </x:c>
    </x:row>
    <x:row r="2590" ht="19" customHeight="1">
      <x:c r="A2590" s="29" t="str">
        <x:v>stagger_1</x:v>
      </x:c>
      <x:c r="B2590" s="38" t="str">
        <x:v>NOK</x:v>
      </x:c>
      <x:c r="C2590" s="38" t="str">
        <x:v>Other sectors</x:v>
      </x:c>
      <x:c r="D2590" s="30" t="n">
        <x:v>2</x:v>
      </x:c>
      <x:c r="E2590" s="38" t="str">
        <x:v>XLF</x:v>
      </x:c>
      <x:c r="F2590" s="38" t="n">
        <x:v>-0.7997462868</x:v>
      </x:c>
      <x:c r="G2590" s="38" t="n">
        <x:v>-1.6715008269</x:v>
      </x:c>
      <x:c r="H2590" s="42" t="b">
        <x:v>0</x:v>
      </x:c>
      <x:c r="I2590" s="42" t="b">
        <x:v>0</x:v>
      </x:c>
      <x:c r="J2590" s="38" t="n">
        <x:v>0.1933522406</x:v>
      </x:c>
    </x:row>
    <x:row r="2591" ht="19" customHeight="1">
      <x:c r="A2591" s="29" t="str">
        <x:v>stagger_1</x:v>
      </x:c>
      <x:c r="B2591" s="38" t="str">
        <x:v>NOK</x:v>
      </x:c>
      <x:c r="C2591" s="38" t="str">
        <x:v>Other sectors</x:v>
      </x:c>
      <x:c r="D2591" s="30" t="n">
        <x:v>2</x:v>
      </x:c>
      <x:c r="E2591" s="38" t="str">
        <x:v>XLI</x:v>
      </x:c>
      <x:c r="F2591" s="38" t="n">
        <x:v>0.2788983872</x:v>
      </x:c>
      <x:c r="G2591" s="38" t="n">
        <x:v>0.3717099973</x:v>
      </x:c>
      <x:c r="H2591" s="42" t="b">
        <x:v>0</x:v>
      </x:c>
      <x:c r="I2591" s="42" t="b">
        <x:v>0</x:v>
      </x:c>
      <x:c r="J2591" s="38" t="n">
        <x:v>0.1933522406</x:v>
      </x:c>
    </x:row>
    <x:row r="2592" ht="19" customHeight="1">
      <x:c r="A2592" s="29" t="str">
        <x:v>stagger_1</x:v>
      </x:c>
      <x:c r="B2592" s="38" t="str">
        <x:v>NOK</x:v>
      </x:c>
      <x:c r="C2592" s="38" t="str">
        <x:v>Other sectors</x:v>
      </x:c>
      <x:c r="D2592" s="30" t="n">
        <x:v>2</x:v>
      </x:c>
      <x:c r="E2592" s="38" t="str">
        <x:v>XLP</x:v>
      </x:c>
      <x:c r="F2592" s="38" t="n">
        <x:v>-0.2064560262</x:v>
      </x:c>
      <x:c r="G2592" s="38" t="n">
        <x:v>-0.3636090193</x:v>
      </x:c>
      <x:c r="H2592" s="42" t="b">
        <x:v>1</x:v>
      </x:c>
      <x:c r="I2592" s="42" t="b">
        <x:v>0</x:v>
      </x:c>
      <x:c r="J2592" s="38" t="n">
        <x:v>0.1933522406</x:v>
      </x:c>
    </x:row>
    <x:row r="2593" ht="19" customHeight="1">
      <x:c r="A2593" s="29" t="str">
        <x:v>stagger_1</x:v>
      </x:c>
      <x:c r="B2593" s="38" t="str">
        <x:v>NOK</x:v>
      </x:c>
      <x:c r="C2593" s="38" t="str">
        <x:v>Other sectors</x:v>
      </x:c>
      <x:c r="D2593" s="30" t="n">
        <x:v>2</x:v>
      </x:c>
      <x:c r="E2593" s="38" t="str">
        <x:v>XLRE</x:v>
      </x:c>
      <x:c r="F2593" s="38" t="n">
        <x:v>0.4792017161</x:v>
      </x:c>
      <x:c r="G2593" s="38" t="n">
        <x:v>0.9708293957</x:v>
      </x:c>
      <x:c r="H2593" s="42" t="b">
        <x:v>0</x:v>
      </x:c>
      <x:c r="I2593" s="42" t="b">
        <x:v>0</x:v>
      </x:c>
      <x:c r="J2593" s="38" t="n">
        <x:v>0.1933522406</x:v>
      </x:c>
    </x:row>
    <x:row r="2594" ht="19" customHeight="1">
      <x:c r="A2594" s="29" t="str">
        <x:v>stagger_1</x:v>
      </x:c>
      <x:c r="B2594" s="38" t="str">
        <x:v>NOK</x:v>
      </x:c>
      <x:c r="C2594" s="38" t="str">
        <x:v>Other sectors</x:v>
      </x:c>
      <x:c r="D2594" s="30" t="n">
        <x:v>2</x:v>
      </x:c>
      <x:c r="E2594" s="38" t="str">
        <x:v>XLU</x:v>
      </x:c>
      <x:c r="F2594" s="38" t="n">
        <x:v>0.5195493853</x:v>
      </x:c>
      <x:c r="G2594" s="38" t="n">
        <x:v>1.3561179958</x:v>
      </x:c>
      <x:c r="H2594" s="42" t="b">
        <x:v>0</x:v>
      </x:c>
      <x:c r="I2594" s="42" t="b">
        <x:v>0</x:v>
      </x:c>
      <x:c r="J2594" s="38" t="n">
        <x:v>0.1933522406</x:v>
      </x:c>
    </x:row>
    <x:row r="2595" ht="19" customHeight="1">
      <x:c r="A2595" s="29" t="str">
        <x:v>stagger_1</x:v>
      </x:c>
      <x:c r="B2595" s="38" t="str">
        <x:v>NOK</x:v>
      </x:c>
      <x:c r="C2595" s="38" t="str">
        <x:v>Other sectors</x:v>
      </x:c>
      <x:c r="D2595" s="30" t="n">
        <x:v>2</x:v>
      </x:c>
      <x:c r="E2595" s="38" t="str">
        <x:v>XLY</x:v>
      </x:c>
      <x:c r="F2595" s="38" t="n">
        <x:v>-0.3763386246</x:v>
      </x:c>
      <x:c r="G2595" s="38" t="n">
        <x:v>-0.7648183846</x:v>
      </x:c>
      <x:c r="H2595" s="42" t="b">
        <x:v>0</x:v>
      </x:c>
      <x:c r="I2595" s="42" t="b">
        <x:v>0</x:v>
      </x:c>
      <x:c r="J2595" s="38" t="n">
        <x:v>0.1933522406</x:v>
      </x:c>
    </x:row>
    <x:row r="2596" ht="19" customHeight="1">
      <x:c r="A2596" s="29" t="str">
        <x:v>stagger_1</x:v>
      </x:c>
      <x:c r="B2596" s="38" t="str">
        <x:v>NOK</x:v>
      </x:c>
      <x:c r="C2596" s="38" t="str">
        <x:v>Other sectors</x:v>
      </x:c>
      <x:c r="D2596" s="30" t="n">
        <x:v>3</x:v>
      </x:c>
      <x:c r="E2596" s="38" t="str">
        <x:v>XLB</x:v>
      </x:c>
      <x:c r="F2596" s="38" t="n">
        <x:v>-0.5729287644</x:v>
      </x:c>
      <x:c r="G2596" s="38" t="n">
        <x:v>-0.9879267463</x:v>
      </x:c>
      <x:c r="H2596" s="42" t="b">
        <x:v>0</x:v>
      </x:c>
      <x:c r="I2596" s="42" t="b">
        <x:v>0</x:v>
      </x:c>
      <x:c r="J2596" s="38" t="n">
        <x:v>0.1918286959</x:v>
      </x:c>
    </x:row>
    <x:row r="2597" ht="19" customHeight="1">
      <x:c r="A2597" s="29" t="str">
        <x:v>stagger_1</x:v>
      </x:c>
      <x:c r="B2597" s="38" t="str">
        <x:v>NOK</x:v>
      </x:c>
      <x:c r="C2597" s="38" t="str">
        <x:v>Other sectors</x:v>
      </x:c>
      <x:c r="D2597" s="30" t="n">
        <x:v>3</x:v>
      </x:c>
      <x:c r="E2597" s="38" t="str">
        <x:v>XLC</x:v>
      </x:c>
      <x:c r="F2597" s="38" t="n">
        <x:v>-0.5962778869</x:v>
      </x:c>
      <x:c r="G2597" s="38" t="n">
        <x:v>-1.253491309</x:v>
      </x:c>
      <x:c r="H2597" s="42" t="b">
        <x:v>0</x:v>
      </x:c>
      <x:c r="I2597" s="42" t="b">
        <x:v>0</x:v>
      </x:c>
      <x:c r="J2597" s="38" t="n">
        <x:v>0.1918286959</x:v>
      </x:c>
    </x:row>
    <x:row r="2598" ht="19" customHeight="1">
      <x:c r="A2598" s="29" t="str">
        <x:v>stagger_1</x:v>
      </x:c>
      <x:c r="B2598" s="38" t="str">
        <x:v>NOK</x:v>
      </x:c>
      <x:c r="C2598" s="38" t="str">
        <x:v>Other sectors</x:v>
      </x:c>
      <x:c r="D2598" s="30" t="n">
        <x:v>3</x:v>
      </x:c>
      <x:c r="E2598" s="38" t="str">
        <x:v>XLE</x:v>
      </x:c>
      <x:c r="F2598" s="38" t="n">
        <x:v>0.4926823374</x:v>
      </x:c>
      <x:c r="G2598" s="38" t="n">
        <x:v>2.5052218932</x:v>
      </x:c>
      <x:c r="H2598" s="42" t="b">
        <x:v>0</x:v>
      </x:c>
      <x:c r="I2598" s="42" t="b">
        <x:v>0</x:v>
      </x:c>
      <x:c r="J2598" s="38" t="n">
        <x:v>0.1918286959</x:v>
      </x:c>
    </x:row>
    <x:row r="2599" ht="19" customHeight="1">
      <x:c r="A2599" s="29" t="str">
        <x:v>stagger_1</x:v>
      </x:c>
      <x:c r="B2599" s="38" t="str">
        <x:v>NOK</x:v>
      </x:c>
      <x:c r="C2599" s="38" t="str">
        <x:v>Other sectors</x:v>
      </x:c>
      <x:c r="D2599" s="30" t="n">
        <x:v>3</x:v>
      </x:c>
      <x:c r="E2599" s="38" t="str">
        <x:v>XLF</x:v>
      </x:c>
      <x:c r="F2599" s="38" t="n">
        <x:v>-0.751150668</x:v>
      </x:c>
      <x:c r="G2599" s="38" t="n">
        <x:v>-1.6450998068</x:v>
      </x:c>
      <x:c r="H2599" s="42" t="b">
        <x:v>0</x:v>
      </x:c>
      <x:c r="I2599" s="42" t="b">
        <x:v>0</x:v>
      </x:c>
      <x:c r="J2599" s="38" t="n">
        <x:v>0.1918286959</x:v>
      </x:c>
    </x:row>
    <x:row r="2600" ht="19" customHeight="1">
      <x:c r="A2600" s="29" t="str">
        <x:v>stagger_1</x:v>
      </x:c>
      <x:c r="B2600" s="38" t="str">
        <x:v>NOK</x:v>
      </x:c>
      <x:c r="C2600" s="38" t="str">
        <x:v>Other sectors</x:v>
      </x:c>
      <x:c r="D2600" s="30" t="n">
        <x:v>3</x:v>
      </x:c>
      <x:c r="E2600" s="38" t="str">
        <x:v>XLI</x:v>
      </x:c>
      <x:c r="F2600" s="38" t="n">
        <x:v>0.2373790676</x:v>
      </x:c>
      <x:c r="G2600" s="38" t="n">
        <x:v>0.32207681</x:v>
      </x:c>
      <x:c r="H2600" s="42" t="b">
        <x:v>1</x:v>
      </x:c>
      <x:c r="I2600" s="42" t="b">
        <x:v>0</x:v>
      </x:c>
      <x:c r="J2600" s="38" t="n">
        <x:v>0.1918286959</x:v>
      </x:c>
    </x:row>
    <x:row r="2601" ht="19" customHeight="1">
      <x:c r="A2601" s="29" t="str">
        <x:v>stagger_1</x:v>
      </x:c>
      <x:c r="B2601" s="38" t="str">
        <x:v>NOK</x:v>
      </x:c>
      <x:c r="C2601" s="38" t="str">
        <x:v>Other sectors</x:v>
      </x:c>
      <x:c r="D2601" s="30" t="n">
        <x:v>3</x:v>
      </x:c>
      <x:c r="E2601" s="38" t="str">
        <x:v>XLRE</x:v>
      </x:c>
      <x:c r="F2601" s="38" t="n">
        <x:v>0.4009273272</x:v>
      </x:c>
      <x:c r="G2601" s="38" t="n">
        <x:v>0.90818171</x:v>
      </x:c>
      <x:c r="H2601" s="42" t="b">
        <x:v>0</x:v>
      </x:c>
      <x:c r="I2601" s="42" t="b">
        <x:v>0</x:v>
      </x:c>
      <x:c r="J2601" s="38" t="n">
        <x:v>0.1918286959</x:v>
      </x:c>
    </x:row>
    <x:row r="2602" ht="19" customHeight="1">
      <x:c r="A2602" s="29" t="str">
        <x:v>stagger_1</x:v>
      </x:c>
      <x:c r="B2602" s="38" t="str">
        <x:v>NOK</x:v>
      </x:c>
      <x:c r="C2602" s="38" t="str">
        <x:v>Other sectors</x:v>
      </x:c>
      <x:c r="D2602" s="30" t="n">
        <x:v>3</x:v>
      </x:c>
      <x:c r="E2602" s="38" t="str">
        <x:v>XLU</x:v>
      </x:c>
      <x:c r="F2602" s="38" t="n">
        <x:v>0.4897900812</x:v>
      </x:c>
      <x:c r="G2602" s="38" t="n">
        <x:v>1.3167224823</x:v>
      </x:c>
      <x:c r="H2602" s="42" t="b">
        <x:v>0</x:v>
      </x:c>
      <x:c r="I2602" s="42" t="b">
        <x:v>0</x:v>
      </x:c>
      <x:c r="J2602" s="38" t="n">
        <x:v>0.1918286959</x:v>
      </x:c>
    </x:row>
    <x:row r="2603" ht="19" customHeight="1">
      <x:c r="A2603" s="29" t="str">
        <x:v>stagger_1</x:v>
      </x:c>
      <x:c r="B2603" s="38" t="str">
        <x:v>NOK</x:v>
      </x:c>
      <x:c r="C2603" s="38" t="str">
        <x:v>Other sectors</x:v>
      </x:c>
      <x:c r="D2603" s="30" t="n">
        <x:v>3</x:v>
      </x:c>
      <x:c r="E2603" s="38" t="str">
        <x:v>XLY</x:v>
      </x:c>
      <x:c r="F2603" s="38" t="n">
        <x:v>-0.3323379745</x:v>
      </x:c>
      <x:c r="G2603" s="38" t="n">
        <x:v>-0.7010948278</x:v>
      </x:c>
      <x:c r="H2603" s="42" t="b">
        <x:v>0</x:v>
      </x:c>
      <x:c r="I2603" s="42" t="b">
        <x:v>0</x:v>
      </x:c>
      <x:c r="J2603" s="38" t="n">
        <x:v>0.1918286959</x:v>
      </x:c>
    </x:row>
    <x:row r="2604" ht="19" customHeight="1">
      <x:c r="A2604" s="29" t="str">
        <x:v>stagger_1</x:v>
      </x:c>
      <x:c r="B2604" s="38" t="str">
        <x:v>NOK</x:v>
      </x:c>
      <x:c r="C2604" s="38" t="str">
        <x:v>Other sectors</x:v>
      </x:c>
      <x:c r="D2604" s="30" t="n">
        <x:v>4</x:v>
      </x:c>
      <x:c r="E2604" s="38" t="str">
        <x:v>XLB</x:v>
      </x:c>
      <x:c r="F2604" s="38" t="n">
        <x:v>-0.4356850291</x:v>
      </x:c>
      <x:c r="G2604" s="38" t="n">
        <x:v>-1.1145288115</x:v>
      </x:c>
      <x:c r="H2604" s="42" t="b">
        <x:v>0</x:v>
      </x:c>
      <x:c r="I2604" s="42" t="b">
        <x:v>0</x:v>
      </x:c>
      <x:c r="J2604" s="38" t="n">
        <x:v>0.1906479295</x:v>
      </x:c>
    </x:row>
    <x:row r="2605" ht="19" customHeight="1">
      <x:c r="A2605" s="29" t="str">
        <x:v>stagger_1</x:v>
      </x:c>
      <x:c r="B2605" s="38" t="str">
        <x:v>NOK</x:v>
      </x:c>
      <x:c r="C2605" s="38" t="str">
        <x:v>Other sectors</x:v>
      </x:c>
      <x:c r="D2605" s="30" t="n">
        <x:v>4</x:v>
      </x:c>
      <x:c r="E2605" s="38" t="str">
        <x:v>XLC</x:v>
      </x:c>
      <x:c r="F2605" s="38" t="n">
        <x:v>-0.6118862208</x:v>
      </x:c>
      <x:c r="G2605" s="38" t="n">
        <x:v>-1.3011543165</x:v>
      </x:c>
      <x:c r="H2605" s="42" t="b">
        <x:v>0</x:v>
      </x:c>
      <x:c r="I2605" s="42" t="b">
        <x:v>0</x:v>
      </x:c>
      <x:c r="J2605" s="38" t="n">
        <x:v>0.1906479295</x:v>
      </x:c>
    </x:row>
    <x:row r="2606" ht="19" customHeight="1">
      <x:c r="A2606" s="29" t="str">
        <x:v>stagger_1</x:v>
      </x:c>
      <x:c r="B2606" s="38" t="str">
        <x:v>NOK</x:v>
      </x:c>
      <x:c r="C2606" s="38" t="str">
        <x:v>Other sectors</x:v>
      </x:c>
      <x:c r="D2606" s="30" t="n">
        <x:v>4</x:v>
      </x:c>
      <x:c r="E2606" s="38" t="str">
        <x:v>XLE</x:v>
      </x:c>
      <x:c r="F2606" s="38" t="n">
        <x:v>0.4836022796</x:v>
      </x:c>
      <x:c r="G2606" s="38" t="n">
        <x:v>2.5003252481</x:v>
      </x:c>
      <x:c r="H2606" s="42" t="b">
        <x:v>0</x:v>
      </x:c>
      <x:c r="I2606" s="42" t="b">
        <x:v>0</x:v>
      </x:c>
      <x:c r="J2606" s="38" t="n">
        <x:v>0.1906479295</x:v>
      </x:c>
    </x:row>
    <x:row r="2607" ht="19" customHeight="1">
      <x:c r="A2607" s="29" t="str">
        <x:v>stagger_1</x:v>
      </x:c>
      <x:c r="B2607" s="38" t="str">
        <x:v>NOK</x:v>
      </x:c>
      <x:c r="C2607" s="38" t="str">
        <x:v>Other sectors</x:v>
      </x:c>
      <x:c r="D2607" s="30" t="n">
        <x:v>4</x:v>
      </x:c>
      <x:c r="E2607" s="38" t="str">
        <x:v>XLF</x:v>
      </x:c>
      <x:c r="F2607" s="38" t="n">
        <x:v>-0.7327045324</x:v>
      </x:c>
      <x:c r="G2607" s="38" t="n">
        <x:v>-1.6276377006</x:v>
      </x:c>
      <x:c r="H2607" s="42" t="b">
        <x:v>0</x:v>
      </x:c>
      <x:c r="I2607" s="42" t="b">
        <x:v>0</x:v>
      </x:c>
      <x:c r="J2607" s="38" t="n">
        <x:v>0.1906479295</x:v>
      </x:c>
    </x:row>
    <x:row r="2608" ht="19" customHeight="1">
      <x:c r="A2608" s="29" t="str">
        <x:v>stagger_1</x:v>
      </x:c>
      <x:c r="B2608" s="38" t="str">
        <x:v>NOK</x:v>
      </x:c>
      <x:c r="C2608" s="38" t="str">
        <x:v>Other sectors</x:v>
      </x:c>
      <x:c r="D2608" s="30" t="n">
        <x:v>4</x:v>
      </x:c>
      <x:c r="E2608" s="38" t="str">
        <x:v>XLRE</x:v>
      </x:c>
      <x:c r="F2608" s="38" t="n">
        <x:v>0.3817532108</x:v>
      </x:c>
      <x:c r="G2608" s="38" t="n">
        <x:v>0.8782034174</x:v>
      </x:c>
      <x:c r="H2608" s="42" t="b">
        <x:v>0</x:v>
      </x:c>
      <x:c r="I2608" s="42" t="b">
        <x:v>0</x:v>
      </x:c>
      <x:c r="J2608" s="38" t="n">
        <x:v>0.1906479295</x:v>
      </x:c>
    </x:row>
    <x:row r="2609" ht="19" customHeight="1">
      <x:c r="A2609" s="29" t="str">
        <x:v>stagger_1</x:v>
      </x:c>
      <x:c r="B2609" s="38" t="str">
        <x:v>NOK</x:v>
      </x:c>
      <x:c r="C2609" s="38" t="str">
        <x:v>Other sectors</x:v>
      </x:c>
      <x:c r="D2609" s="30" t="n">
        <x:v>4</x:v>
      </x:c>
      <x:c r="E2609" s="38" t="str">
        <x:v>XLU</x:v>
      </x:c>
      <x:c r="F2609" s="38" t="n">
        <x:v>0.5079638684</x:v>
      </x:c>
      <x:c r="G2609" s="38" t="n">
        <x:v>1.3902482423</x:v>
      </x:c>
      <x:c r="H2609" s="42" t="b">
        <x:v>0</x:v>
      </x:c>
      <x:c r="I2609" s="42" t="b">
        <x:v>0</x:v>
      </x:c>
      <x:c r="J2609" s="38" t="n">
        <x:v>0.1906479295</x:v>
      </x:c>
    </x:row>
    <x:row r="2610" ht="19" customHeight="1">
      <x:c r="A2610" s="29" t="str">
        <x:v>stagger_1</x:v>
      </x:c>
      <x:c r="B2610" s="38" t="str">
        <x:v>NOK</x:v>
      </x:c>
      <x:c r="C2610" s="38" t="str">
        <x:v>Other sectors</x:v>
      </x:c>
      <x:c r="D2610" s="30" t="n">
        <x:v>4</x:v>
      </x:c>
      <x:c r="E2610" s="38" t="str">
        <x:v>XLY</x:v>
      </x:c>
      <x:c r="F2610" s="38" t="n">
        <x:v>-0.3435402821</x:v>
      </x:c>
      <x:c r="G2610" s="38" t="n">
        <x:v>-0.7312514594</x:v>
      </x:c>
      <x:c r="H2610" s="42" t="b">
        <x:v>1</x:v>
      </x:c>
      <x:c r="I2610" s="42" t="b">
        <x:v>0</x:v>
      </x:c>
      <x:c r="J2610" s="38" t="n">
        <x:v>0.1906479295</x:v>
      </x:c>
    </x:row>
    <x:row r="2611" ht="19" customHeight="1">
      <x:c r="A2611" s="29" t="str">
        <x:v>stagger_1</x:v>
      </x:c>
      <x:c r="B2611" s="38" t="str">
        <x:v>NOK</x:v>
      </x:c>
      <x:c r="C2611" s="38" t="str">
        <x:v>Other sectors</x:v>
      </x:c>
      <x:c r="D2611" s="30" t="n">
        <x:v>5</x:v>
      </x:c>
      <x:c r="E2611" s="38" t="str">
        <x:v>XLB</x:v>
      </x:c>
      <x:c r="F2611" s="38" t="n">
        <x:v>-0.4340460634</x:v>
      </x:c>
      <x:c r="G2611" s="38" t="n">
        <x:v>-1.1139098838</x:v>
      </x:c>
      <x:c r="H2611" s="42" t="b">
        <x:v>0</x:v>
      </x:c>
      <x:c r="I2611" s="42" t="b">
        <x:v>0</x:v>
      </x:c>
      <x:c r="J2611" s="38" t="n">
        <x:v>0.1846370437</x:v>
      </x:c>
    </x:row>
    <x:row r="2612" ht="19" customHeight="1">
      <x:c r="A2612" s="29" t="str">
        <x:v>stagger_1</x:v>
      </x:c>
      <x:c r="B2612" s="38" t="str">
        <x:v>NOK</x:v>
      </x:c>
      <x:c r="C2612" s="38" t="str">
        <x:v>Other sectors</x:v>
      </x:c>
      <x:c r="D2612" s="30" t="n">
        <x:v>5</x:v>
      </x:c>
      <x:c r="E2612" s="38" t="str">
        <x:v>XLC</x:v>
      </x:c>
      <x:c r="F2612" s="38" t="n">
        <x:v>-0.7280508424</x:v>
      </x:c>
      <x:c r="G2612" s="38" t="n">
        <x:v>-1.6501324973</x:v>
      </x:c>
      <x:c r="H2612" s="42" t="b">
        <x:v>0</x:v>
      </x:c>
      <x:c r="I2612" s="42" t="b">
        <x:v>0</x:v>
      </x:c>
      <x:c r="J2612" s="38" t="n">
        <x:v>0.1846370437</x:v>
      </x:c>
    </x:row>
    <x:row r="2613" ht="19" customHeight="1">
      <x:c r="A2613" s="29" t="str">
        <x:v>stagger_1</x:v>
      </x:c>
      <x:c r="B2613" s="38" t="str">
        <x:v>NOK</x:v>
      </x:c>
      <x:c r="C2613" s="38" t="str">
        <x:v>Other sectors</x:v>
      </x:c>
      <x:c r="D2613" s="30" t="n">
        <x:v>5</x:v>
      </x:c>
      <x:c r="E2613" s="38" t="str">
        <x:v>XLE</x:v>
      </x:c>
      <x:c r="F2613" s="38" t="n">
        <x:v>0.5233528736</x:v>
      </x:c>
      <x:c r="G2613" s="38" t="n">
        <x:v>2.8285180535</x:v>
      </x:c>
      <x:c r="H2613" s="42" t="b">
        <x:v>0</x:v>
      </x:c>
      <x:c r="I2613" s="42" t="b">
        <x:v>0</x:v>
      </x:c>
      <x:c r="J2613" s="38" t="n">
        <x:v>0.1846370437</x:v>
      </x:c>
    </x:row>
    <x:row r="2614" ht="19" customHeight="1">
      <x:c r="A2614" s="29" t="str">
        <x:v>stagger_1</x:v>
      </x:c>
      <x:c r="B2614" s="38" t="str">
        <x:v>NOK</x:v>
      </x:c>
      <x:c r="C2614" s="38" t="str">
        <x:v>Other sectors</x:v>
      </x:c>
      <x:c r="D2614" s="30" t="n">
        <x:v>5</x:v>
      </x:c>
      <x:c r="E2614" s="38" t="str">
        <x:v>XLF</x:v>
      </x:c>
      <x:c r="F2614" s="38" t="n">
        <x:v>-0.7299797911</x:v>
      </x:c>
      <x:c r="G2614" s="38" t="n">
        <x:v>-1.6268331464</x:v>
      </x:c>
      <x:c r="H2614" s="42" t="b">
        <x:v>0</x:v>
      </x:c>
      <x:c r="I2614" s="42" t="b">
        <x:v>0</x:v>
      </x:c>
      <x:c r="J2614" s="38" t="n">
        <x:v>0.1846370437</x:v>
      </x:c>
    </x:row>
    <x:row r="2615" ht="19" customHeight="1">
      <x:c r="A2615" s="29" t="str">
        <x:v>stagger_1</x:v>
      </x:c>
      <x:c r="B2615" s="38" t="str">
        <x:v>NOK</x:v>
      </x:c>
      <x:c r="C2615" s="38" t="str">
        <x:v>Other sectors</x:v>
      </x:c>
      <x:c r="D2615" s="30" t="n">
        <x:v>5</x:v>
      </x:c>
      <x:c r="E2615" s="38" t="str">
        <x:v>XLRE</x:v>
      </x:c>
      <x:c r="F2615" s="38" t="n">
        <x:v>0.320451424</x:v>
      </x:c>
      <x:c r="G2615" s="38" t="n">
        <x:v>0.7536904105</x:v>
      </x:c>
      <x:c r="H2615" s="42" t="b">
        <x:v>1</x:v>
      </x:c>
      <x:c r="I2615" s="42" t="b">
        <x:v>0</x:v>
      </x:c>
      <x:c r="J2615" s="38" t="n">
        <x:v>0.1846370437</x:v>
      </x:c>
    </x:row>
    <x:row r="2616" ht="19" customHeight="1">
      <x:c r="A2616" s="29" t="str">
        <x:v>stagger_1</x:v>
      </x:c>
      <x:c r="B2616" s="38" t="str">
        <x:v>NOK</x:v>
      </x:c>
      <x:c r="C2616" s="38" t="str">
        <x:v>Other sectors</x:v>
      </x:c>
      <x:c r="D2616" s="30" t="n">
        <x:v>5</x:v>
      </x:c>
      <x:c r="E2616" s="38" t="str">
        <x:v>XLU</x:v>
      </x:c>
      <x:c r="F2616" s="38" t="n">
        <x:v>0.5314645522</x:v>
      </x:c>
      <x:c r="G2616" s="38" t="n">
        <x:v>1.4649026687</x:v>
      </x:c>
      <x:c r="H2616" s="42" t="b">
        <x:v>0</x:v>
      </x:c>
      <x:c r="I2616" s="42" t="b">
        <x:v>0</x:v>
      </x:c>
      <x:c r="J2616" s="38" t="n">
        <x:v>0.1846370437</x:v>
      </x:c>
    </x:row>
    <x:row r="2617" ht="19" customHeight="1">
      <x:c r="A2617" s="29" t="str">
        <x:v>stagger_1</x:v>
      </x:c>
      <x:c r="B2617" s="38" t="str">
        <x:v>NOK</x:v>
      </x:c>
      <x:c r="C2617" s="38" t="str">
        <x:v>Other sectors</x:v>
      </x:c>
      <x:c r="D2617" s="30" t="n">
        <x:v>6</x:v>
      </x:c>
      <x:c r="E2617" s="38" t="str">
        <x:v>XLB</x:v>
      </x:c>
      <x:c r="F2617" s="38" t="n">
        <x:v>-0.381448518</x:v>
      </x:c>
      <x:c r="G2617" s="38" t="n">
        <x:v>-0.9979313501</x:v>
      </x:c>
      <x:c r="H2617" s="42" t="b">
        <x:v>1</x:v>
      </x:c>
      <x:c r="I2617" s="42" t="b">
        <x:v>0</x:v>
      </x:c>
      <x:c r="J2617" s="38" t="n">
        <x:v>0.1782922998</x:v>
      </x:c>
    </x:row>
    <x:row r="2618" ht="19" customHeight="1">
      <x:c r="A2618" s="29" t="str">
        <x:v>stagger_1</x:v>
      </x:c>
      <x:c r="B2618" s="38" t="str">
        <x:v>NOK</x:v>
      </x:c>
      <x:c r="C2618" s="38" t="str">
        <x:v>Other sectors</x:v>
      </x:c>
      <x:c r="D2618" s="30" t="n">
        <x:v>6</x:v>
      </x:c>
      <x:c r="E2618" s="38" t="str">
        <x:v>XLC</x:v>
      </x:c>
      <x:c r="F2618" s="38" t="n">
        <x:v>-0.7126790741</x:v>
      </x:c>
      <x:c r="G2618" s="38" t="n">
        <x:v>-1.6217610471</x:v>
      </x:c>
      <x:c r="H2618" s="42" t="b">
        <x:v>0</x:v>
      </x:c>
      <x:c r="I2618" s="42" t="b">
        <x:v>0</x:v>
      </x:c>
      <x:c r="J2618" s="38" t="n">
        <x:v>0.1782922998</x:v>
      </x:c>
    </x:row>
    <x:row r="2619" ht="19" customHeight="1">
      <x:c r="A2619" s="29" t="str">
        <x:v>stagger_1</x:v>
      </x:c>
      <x:c r="B2619" s="38" t="str">
        <x:v>NOK</x:v>
      </x:c>
      <x:c r="C2619" s="38" t="str">
        <x:v>Other sectors</x:v>
      </x:c>
      <x:c r="D2619" s="30" t="n">
        <x:v>6</x:v>
      </x:c>
      <x:c r="E2619" s="38" t="str">
        <x:v>XLE</x:v>
      </x:c>
      <x:c r="F2619" s="38" t="n">
        <x:v>0.5256811396</x:v>
      </x:c>
      <x:c r="G2619" s="38" t="n">
        <x:v>2.8498271169</x:v>
      </x:c>
      <x:c r="H2619" s="42" t="b">
        <x:v>0</x:v>
      </x:c>
      <x:c r="I2619" s="42" t="b">
        <x:v>0</x:v>
      </x:c>
      <x:c r="J2619" s="38" t="n">
        <x:v>0.1782922998</x:v>
      </x:c>
    </x:row>
    <x:row r="2620" ht="19" customHeight="1">
      <x:c r="A2620" s="29" t="str">
        <x:v>stagger_1</x:v>
      </x:c>
      <x:c r="B2620" s="38" t="str">
        <x:v>NOK</x:v>
      </x:c>
      <x:c r="C2620" s="38" t="str">
        <x:v>Other sectors</x:v>
      </x:c>
      <x:c r="D2620" s="30" t="n">
        <x:v>6</x:v>
      </x:c>
      <x:c r="E2620" s="38" t="str">
        <x:v>XLF</x:v>
      </x:c>
      <x:c r="F2620" s="38" t="n">
        <x:v>-0.6872095915</x:v>
      </x:c>
      <x:c r="G2620" s="38" t="n">
        <x:v>-1.5484378737</x:v>
      </x:c>
      <x:c r="H2620" s="42" t="b">
        <x:v>0</x:v>
      </x:c>
      <x:c r="I2620" s="42" t="b">
        <x:v>0</x:v>
      </x:c>
      <x:c r="J2620" s="38" t="n">
        <x:v>0.1782922998</x:v>
      </x:c>
    </x:row>
    <x:row r="2621" ht="19" customHeight="1">
      <x:c r="A2621" s="29" t="str">
        <x:v>stagger_1</x:v>
      </x:c>
      <x:c r="B2621" s="38" t="str">
        <x:v>NOK</x:v>
      </x:c>
      <x:c r="C2621" s="38" t="str">
        <x:v>Other sectors</x:v>
      </x:c>
      <x:c r="D2621" s="30" t="n">
        <x:v>6</x:v>
      </x:c>
      <x:c r="E2621" s="38" t="str">
        <x:v>XLU</x:v>
      </x:c>
      <x:c r="F2621" s="38" t="n">
        <x:v>0.6510102104</x:v>
      </x:c>
      <x:c r="G2621" s="38" t="n">
        <x:v>2.0010443206</x:v>
      </x:c>
      <x:c r="H2621" s="42" t="b">
        <x:v>0</x:v>
      </x:c>
      <x:c r="I2621" s="42" t="b">
        <x:v>0</x:v>
      </x:c>
      <x:c r="J2621" s="38" t="n">
        <x:v>0.1782922998</x:v>
      </x:c>
    </x:row>
    <x:row r="2622" ht="19" customHeight="1">
      <x:c r="A2622" s="29" t="str">
        <x:v>stagger_1</x:v>
      </x:c>
      <x:c r="B2622" s="38" t="str">
        <x:v>NOK</x:v>
      </x:c>
      <x:c r="C2622" s="38" t="str">
        <x:v>Other sectors</x:v>
      </x:c>
      <x:c r="D2622" s="30" t="n">
        <x:v>7</x:v>
      </x:c>
      <x:c r="E2622" s="38" t="str">
        <x:v>XLC</x:v>
      </x:c>
      <x:c r="F2622" s="38" t="n">
        <x:v>-0.687594226</x:v>
      </x:c>
      <x:c r="G2622" s="38" t="n">
        <x:v>-1.5672876322</x:v>
      </x:c>
      <x:c r="H2622" s="42" t="b">
        <x:v>1</x:v>
      </x:c>
      <x:c r="I2622" s="42" t="b">
        <x:v>0</x:v>
      </x:c>
      <x:c r="J2622" s="38" t="n">
        <x:v>0.1672340354</x:v>
      </x:c>
    </x:row>
    <x:row r="2623" ht="19" customHeight="1">
      <x:c r="A2623" s="29" t="str">
        <x:v>stagger_1</x:v>
      </x:c>
      <x:c r="B2623" s="38" t="str">
        <x:v>NOK</x:v>
      </x:c>
      <x:c r="C2623" s="38" t="str">
        <x:v>Other sectors</x:v>
      </x:c>
      <x:c r="D2623" s="30" t="n">
        <x:v>7</x:v>
      </x:c>
      <x:c r="E2623" s="38" t="str">
        <x:v>XLE</x:v>
      </x:c>
      <x:c r="F2623" s="38" t="n">
        <x:v>0.480365048</x:v>
      </x:c>
      <x:c r="G2623" s="38" t="n">
        <x:v>2.6869213557</x:v>
      </x:c>
      <x:c r="H2623" s="42" t="b">
        <x:v>0</x:v>
      </x:c>
      <x:c r="I2623" s="42" t="b">
        <x:v>0</x:v>
      </x:c>
      <x:c r="J2623" s="38" t="n">
        <x:v>0.1672340354</x:v>
      </x:c>
    </x:row>
    <x:row r="2624" ht="19" customHeight="1">
      <x:c r="A2624" s="29" t="str">
        <x:v>stagger_1</x:v>
      </x:c>
      <x:c r="B2624" s="38" t="str">
        <x:v>NOK</x:v>
      </x:c>
      <x:c r="C2624" s="38" t="str">
        <x:v>Other sectors</x:v>
      </x:c>
      <x:c r="D2624" s="30" t="n">
        <x:v>7</x:v>
      </x:c>
      <x:c r="E2624" s="38" t="str">
        <x:v>XLF</x:v>
      </x:c>
      <x:c r="F2624" s="38" t="n">
        <x:v>-0.8199416451</x:v>
      </x:c>
      <x:c r="G2624" s="38" t="n">
        <x:v>-1.9365787804</x:v>
      </x:c>
      <x:c r="H2624" s="42" t="b">
        <x:v>0</x:v>
      </x:c>
      <x:c r="I2624" s="42" t="b">
        <x:v>0</x:v>
      </x:c>
      <x:c r="J2624" s="38" t="n">
        <x:v>0.1672340354</x:v>
      </x:c>
    </x:row>
    <x:row r="2625" ht="19" customHeight="1">
      <x:c r="A2625" s="29" t="str">
        <x:v>stagger_1</x:v>
      </x:c>
      <x:c r="B2625" s="38" t="str">
        <x:v>NOK</x:v>
      </x:c>
      <x:c r="C2625" s="38" t="str">
        <x:v>Other sectors</x:v>
      </x:c>
      <x:c r="D2625" s="30" t="n">
        <x:v>7</x:v>
      </x:c>
      <x:c r="E2625" s="38" t="str">
        <x:v>XLU</x:v>
      </x:c>
      <x:c r="F2625" s="38" t="n">
        <x:v>0.5267959221</x:v>
      </x:c>
      <x:c r="G2625" s="38" t="n">
        <x:v>1.7526322693</x:v>
      </x:c>
      <x:c r="H2625" s="42" t="b">
        <x:v>0</x:v>
      </x:c>
      <x:c r="I2625" s="42" t="b">
        <x:v>0</x:v>
      </x:c>
      <x:c r="J2625" s="38" t="n">
        <x:v>0.1672340354</x:v>
      </x:c>
    </x:row>
    <x:row r="2626" ht="19" customHeight="1">
      <x:c r="A2626" s="29" t="str">
        <x:v>stagger_1</x:v>
      </x:c>
      <x:c r="B2626" s="38" t="str">
        <x:v>NOK</x:v>
      </x:c>
      <x:c r="C2626" s="38" t="str">
        <x:v>Other sectors</x:v>
      </x:c>
      <x:c r="D2626" s="30" t="n">
        <x:v>8</x:v>
      </x:c>
      <x:c r="E2626" s="38" t="str">
        <x:v>XLE</x:v>
      </x:c>
      <x:c r="F2626" s="38" t="n">
        <x:v>0.4627069972</x:v>
      </x:c>
      <x:c r="G2626" s="38" t="n">
        <x:v>2.5688095643</x:v>
      </x:c>
      <x:c r="H2626" s="42" t="b">
        <x:v>0</x:v>
      </x:c>
      <x:c r="I2626" s="42" t="b">
        <x:v>0</x:v>
      </x:c>
      <x:c r="J2626" s="38" t="n">
        <x:v>0.1399593898</x:v>
      </x:c>
    </x:row>
    <x:row r="2627" ht="19" customHeight="1">
      <x:c r="A2627" s="29" t="str">
        <x:v>stagger_1</x:v>
      </x:c>
      <x:c r="B2627" s="38" t="str">
        <x:v>NOK</x:v>
      </x:c>
      <x:c r="C2627" s="38" t="str">
        <x:v>Other sectors</x:v>
      </x:c>
      <x:c r="D2627" s="30" t="n">
        <x:v>8</x:v>
      </x:c>
      <x:c r="E2627" s="38" t="str">
        <x:v>XLF</x:v>
      </x:c>
      <x:c r="F2627" s="38" t="n">
        <x:v>-0.8491861171</x:v>
      </x:c>
      <x:c r="G2627" s="38" t="n">
        <x:v>-1.9886366185</x:v>
      </x:c>
      <x:c r="H2627" s="42" t="b">
        <x:v>0</x:v>
      </x:c>
      <x:c r="I2627" s="42" t="b">
        <x:v>0</x:v>
      </x:c>
      <x:c r="J2627" s="38" t="n">
        <x:v>0.1399593898</x:v>
      </x:c>
    </x:row>
    <x:row r="2628" ht="19" customHeight="1">
      <x:c r="A2628" s="29" t="str">
        <x:v>stagger_1</x:v>
      </x:c>
      <x:c r="B2628" s="38" t="str">
        <x:v>NOK</x:v>
      </x:c>
      <x:c r="C2628" s="38" t="str">
        <x:v>Other sectors</x:v>
      </x:c>
      <x:c r="D2628" s="30" t="n">
        <x:v>8</x:v>
      </x:c>
      <x:c r="E2628" s="38" t="str">
        <x:v>XLU</x:v>
      </x:c>
      <x:c r="F2628" s="38" t="n">
        <x:v>0.5871311619</x:v>
      </x:c>
      <x:c r="G2628" s="38" t="n">
        <x:v>1.9509819566</x:v>
      </x:c>
      <x:c r="H2628" s="42" t="b">
        <x:v>1</x:v>
      </x:c>
      <x:c r="I2628" s="42" t="b">
        <x:v>0</x:v>
      </x:c>
      <x:c r="J2628" s="38" t="n">
        <x:v>0.1399593898</x:v>
      </x:c>
    </x:row>
    <x:row r="2629" ht="19" customHeight="1">
      <x:c r="A2629" s="29" t="str">
        <x:v>stagger_1</x:v>
      </x:c>
      <x:c r="B2629" s="38" t="str">
        <x:v>NOK</x:v>
      </x:c>
      <x:c r="C2629" s="38" t="str">
        <x:v>Other sectors</x:v>
      </x:c>
      <x:c r="D2629" s="30" t="n">
        <x:v>9</x:v>
      </x:c>
      <x:c r="E2629" s="38" t="str">
        <x:v>XLE</x:v>
      </x:c>
      <x:c r="F2629" s="38" t="n">
        <x:v>0.4826294728</x:v>
      </x:c>
      <x:c r="G2629" s="38" t="n">
        <x:v>2.6361212712</x:v>
      </x:c>
      <x:c r="H2629" s="42" t="b">
        <x:v>0</x:v>
      </x:c>
      <x:c r="I2629" s="42" t="b">
        <x:v>0</x:v>
      </x:c>
      <x:c r="J2629" s="38" t="n">
        <x:v>0.0968857202</x:v>
      </x:c>
    </x:row>
    <x:row r="2630" ht="19" customHeight="1">
      <x:c r="A2630" s="29" t="str">
        <x:v>stagger_1</x:v>
      </x:c>
      <x:c r="B2630" s="38" t="str">
        <x:v>NOK</x:v>
      </x:c>
      <x:c r="C2630" s="38" t="str">
        <x:v>Other sectors</x:v>
      </x:c>
      <x:c r="D2630" s="30" t="n">
        <x:v>9</x:v>
      </x:c>
      <x:c r="E2630" s="38" t="str">
        <x:v>XLF</x:v>
      </x:c>
      <x:c r="F2630" s="38" t="n">
        <x:v>-0.7870771078</x:v>
      </x:c>
      <x:c r="G2630" s="38" t="n">
        <x:v>-1.8155439211</x:v>
      </x:c>
      <x:c r="H2630" s="42" t="b">
        <x:v>1</x:v>
      </x:c>
      <x:c r="I2630" s="42" t="b">
        <x:v>0</x:v>
      </x:c>
      <x:c r="J2630" s="38" t="n">
        <x:v>0.0968857202</x:v>
      </x:c>
    </x:row>
    <x:row r="2631" ht="19" customHeight="1">
      <x:c r="A2631" s="29" t="str">
        <x:v>stagger_1</x:v>
      </x:c>
      <x:c r="B2631" s="38" t="str">
        <x:v>NOK</x:v>
      </x:c>
      <x:c r="C2631" s="38" t="str">
        <x:v>Other sectors</x:v>
      </x:c>
      <x:c r="D2631" s="30" t="n">
        <x:v>10</x:v>
      </x:c>
      <x:c r="E2631" s="38" t="str">
        <x:v>XLE</x:v>
      </x:c>
      <x:c r="F2631" s="38" t="n">
        <x:v>0.3927158483</x:v>
      </x:c>
      <x:c r="G2631" s="38" t="n">
        <x:v>2.1959883676</x:v>
      </x:c>
      <x:c r="H2631" s="42" t="b">
        <x:v>0</x:v>
      </x:c>
      <x:c r="I2631" s="42" t="b">
        <x:v>1</x:v>
      </x:c>
      <x:c r="J2631" s="38" t="n">
        <x:v>0.058225395</x:v>
      </x:c>
    </x:row>
    <x:row r="2632" ht="19" customHeight="1">
      <x:c r="A2632" s="29" t="str">
        <x:v>stagger_1</x:v>
      </x:c>
      <x:c r="B2632" s="38" t="str">
        <x:v>MSFT</x:v>
      </x:c>
      <x:c r="C2632" s="38" t="str">
        <x:v>Other FX</x:v>
      </x:c>
      <x:c r="D2632" s="30" t="n">
        <x:v>1</x:v>
      </x:c>
      <x:c r="E2632" s="38" t="str">
        <x:v>AUD/USD</x:v>
      </x:c>
      <x:c r="F2632" s="38" t="n">
        <x:v>-0.7501542856</x:v>
      </x:c>
      <x:c r="G2632" s="38" t="n">
        <x:v>-1.1936530627</x:v>
      </x:c>
      <x:c r="H2632" s="42" t="b">
        <x:v>0</x:v>
      </x:c>
      <x:c r="I2632" s="42" t="b">
        <x:v>0</x:v>
      </x:c>
      <x:c r="J2632" s="38" t="n">
        <x:v>0.1981007062</x:v>
      </x:c>
    </x:row>
    <x:row r="2633" ht="19" customHeight="1">
      <x:c r="A2633" s="29" t="str">
        <x:v>stagger_1</x:v>
      </x:c>
      <x:c r="B2633" s="38" t="str">
        <x:v>MSFT</x:v>
      </x:c>
      <x:c r="C2633" s="38" t="str">
        <x:v>Other FX</x:v>
      </x:c>
      <x:c r="D2633" s="30" t="n">
        <x:v>1</x:v>
      </x:c>
      <x:c r="E2633" s="38" t="str">
        <x:v>CAD/USD</x:v>
      </x:c>
      <x:c r="F2633" s="38" t="n">
        <x:v>0.6670376784</x:v>
      </x:c>
      <x:c r="G2633" s="38" t="n">
        <x:v>0.8789707028</x:v>
      </x:c>
      <x:c r="H2633" s="42" t="b">
        <x:v>1</x:v>
      </x:c>
      <x:c r="I2633" s="42" t="b">
        <x:v>0</x:v>
      </x:c>
      <x:c r="J2633" s="38" t="n">
        <x:v>0.1981007062</x:v>
      </x:c>
    </x:row>
    <x:row r="2634" ht="19" customHeight="1">
      <x:c r="A2634" s="29" t="str">
        <x:v>stagger_1</x:v>
      </x:c>
      <x:c r="B2634" s="38" t="str">
        <x:v>MSFT</x:v>
      </x:c>
      <x:c r="C2634" s="38" t="str">
        <x:v>Other FX</x:v>
      </x:c>
      <x:c r="D2634" s="30" t="n">
        <x:v>1</x:v>
      </x:c>
      <x:c r="E2634" s="38" t="str">
        <x:v>DKK/USD</x:v>
      </x:c>
      <x:c r="F2634" s="38" t="n">
        <x:v>10.3244045493</x:v>
      </x:c>
      <x:c r="G2634" s="38" t="n">
        <x:v>1.9541959664</x:v>
      </x:c>
      <x:c r="H2634" s="42" t="b">
        <x:v>0</x:v>
      </x:c>
      <x:c r="I2634" s="42" t="b">
        <x:v>0</x:v>
      </x:c>
      <x:c r="J2634" s="38" t="n">
        <x:v>0.1981007062</x:v>
      </x:c>
    </x:row>
    <x:row r="2635" ht="19" customHeight="1">
      <x:c r="A2635" s="29" t="str">
        <x:v>stagger_1</x:v>
      </x:c>
      <x:c r="B2635" s="38" t="str">
        <x:v>MSFT</x:v>
      </x:c>
      <x:c r="C2635" s="38" t="str">
        <x:v>Other FX</x:v>
      </x:c>
      <x:c r="D2635" s="30" t="n">
        <x:v>1</x:v>
      </x:c>
      <x:c r="E2635" s="38" t="str">
        <x:v>EUR/USD</x:v>
      </x:c>
      <x:c r="F2635" s="38" t="n">
        <x:v>-9.9199727317</x:v>
      </x:c>
      <x:c r="G2635" s="38" t="n">
        <x:v>-2.0527168488</x:v>
      </x:c>
      <x:c r="H2635" s="42" t="b">
        <x:v>0</x:v>
      </x:c>
      <x:c r="I2635" s="42" t="b">
        <x:v>0</x:v>
      </x:c>
      <x:c r="J2635" s="38" t="n">
        <x:v>0.1981007062</x:v>
      </x:c>
    </x:row>
    <x:row r="2636" ht="19" customHeight="1">
      <x:c r="A2636" s="29" t="str">
        <x:v>stagger_1</x:v>
      </x:c>
      <x:c r="B2636" s="38" t="str">
        <x:v>MSFT</x:v>
      </x:c>
      <x:c r="C2636" s="38" t="str">
        <x:v>Other FX</x:v>
      </x:c>
      <x:c r="D2636" s="30" t="n">
        <x:v>1</x:v>
      </x:c>
      <x:c r="E2636" s="38" t="str">
        <x:v>MXN/USD</x:v>
      </x:c>
      <x:c r="F2636" s="38" t="n">
        <x:v>0.3675772268</x:v>
      </x:c>
      <x:c r="G2636" s="38" t="n">
        <x:v>0.9129713057</x:v>
      </x:c>
      <x:c r="H2636" s="42" t="b">
        <x:v>0</x:v>
      </x:c>
      <x:c r="I2636" s="42" t="b">
        <x:v>0</x:v>
      </x:c>
      <x:c r="J2636" s="38" t="n">
        <x:v>0.1981007062</x:v>
      </x:c>
    </x:row>
    <x:row r="2637" ht="19" customHeight="1">
      <x:c r="A2637" s="29" t="str">
        <x:v>stagger_1</x:v>
      </x:c>
      <x:c r="B2637" s="38" t="str">
        <x:v>MSFT</x:v>
      </x:c>
      <x:c r="C2637" s="38" t="str">
        <x:v>Other FX</x:v>
      </x:c>
      <x:c r="D2637" s="30" t="n">
        <x:v>1</x:v>
      </x:c>
      <x:c r="E2637" s="38" t="str">
        <x:v>SGD/USD</x:v>
      </x:c>
      <x:c r="F2637" s="38" t="n">
        <x:v>1.8047933463</x:v>
      </x:c>
      <x:c r="G2637" s="38" t="n">
        <x:v>1.186111415</x:v>
      </x:c>
      <x:c r="H2637" s="42" t="b">
        <x:v>0</x:v>
      </x:c>
      <x:c r="I2637" s="42" t="b">
        <x:v>0</x:v>
      </x:c>
      <x:c r="J2637" s="38" t="n">
        <x:v>0.1981007062</x:v>
      </x:c>
    </x:row>
    <x:row r="2638" ht="19" customHeight="1">
      <x:c r="A2638" s="29" t="str">
        <x:v>stagger_1</x:v>
      </x:c>
      <x:c r="B2638" s="38" t="str">
        <x:v>MSFT</x:v>
      </x:c>
      <x:c r="C2638" s="38" t="str">
        <x:v>Other FX</x:v>
      </x:c>
      <x:c r="D2638" s="30" t="n">
        <x:v>2</x:v>
      </x:c>
      <x:c r="E2638" s="38" t="str">
        <x:v>AUD/USD</x:v>
      </x:c>
      <x:c r="F2638" s="38" t="n">
        <x:v>-0.6157343496</x:v>
      </x:c>
      <x:c r="G2638" s="38" t="n">
        <x:v>-1.0116822186</x:v>
      </x:c>
      <x:c r="H2638" s="42" t="b">
        <x:v>0</x:v>
      </x:c>
      <x:c r="I2638" s="42" t="b">
        <x:v>0</x:v>
      </x:c>
      <x:c r="J2638" s="38" t="n">
        <x:v>0.1896138709</x:v>
      </x:c>
    </x:row>
    <x:row r="2639" ht="19" customHeight="1">
      <x:c r="A2639" s="29" t="str">
        <x:v>stagger_1</x:v>
      </x:c>
      <x:c r="B2639" s="38" t="str">
        <x:v>MSFT</x:v>
      </x:c>
      <x:c r="C2639" s="38" t="str">
        <x:v>Other FX</x:v>
      </x:c>
      <x:c r="D2639" s="30" t="n">
        <x:v>2</x:v>
      </x:c>
      <x:c r="E2639" s="38" t="str">
        <x:v>DKK/USD</x:v>
      </x:c>
      <x:c r="F2639" s="38" t="n">
        <x:v>10.7864796433</x:v>
      </x:c>
      <x:c r="G2639" s="38" t="n">
        <x:v>2.0550002521</x:v>
      </x:c>
      <x:c r="H2639" s="42" t="b">
        <x:v>0</x:v>
      </x:c>
      <x:c r="I2639" s="42" t="b">
        <x:v>0</x:v>
      </x:c>
      <x:c r="J2639" s="38" t="n">
        <x:v>0.1896138709</x:v>
      </x:c>
    </x:row>
    <x:row r="2640" ht="19" customHeight="1">
      <x:c r="A2640" s="29" t="str">
        <x:v>stagger_1</x:v>
      </x:c>
      <x:c r="B2640" s="38" t="str">
        <x:v>MSFT</x:v>
      </x:c>
      <x:c r="C2640" s="38" t="str">
        <x:v>Other FX</x:v>
      </x:c>
      <x:c r="D2640" s="30" t="n">
        <x:v>2</x:v>
      </x:c>
      <x:c r="E2640" s="38" t="str">
        <x:v>EUR/USD</x:v>
      </x:c>
      <x:c r="F2640" s="38" t="n">
        <x:v>-10.1779255687</x:v>
      </x:c>
      <x:c r="G2640" s="38" t="n">
        <x:v>-2.1132382549</x:v>
      </x:c>
      <x:c r="H2640" s="42" t="b">
        <x:v>0</x:v>
      </x:c>
      <x:c r="I2640" s="42" t="b">
        <x:v>0</x:v>
      </x:c>
      <x:c r="J2640" s="38" t="n">
        <x:v>0.1896138709</x:v>
      </x:c>
    </x:row>
    <x:row r="2641" ht="19" customHeight="1">
      <x:c r="A2641" s="29" t="str">
        <x:v>stagger_1</x:v>
      </x:c>
      <x:c r="B2641" s="38" t="str">
        <x:v>MSFT</x:v>
      </x:c>
      <x:c r="C2641" s="38" t="str">
        <x:v>Other FX</x:v>
      </x:c>
      <x:c r="D2641" s="30" t="n">
        <x:v>2</x:v>
      </x:c>
      <x:c r="E2641" s="38" t="str">
        <x:v>MXN/USD</x:v>
      </x:c>
      <x:c r="F2641" s="38" t="n">
        <x:v>0.3604912784</x:v>
      </x:c>
      <x:c r="G2641" s="38" t="n">
        <x:v>0.8969303433</x:v>
      </x:c>
      <x:c r="H2641" s="42" t="b">
        <x:v>1</x:v>
      </x:c>
      <x:c r="I2641" s="42" t="b">
        <x:v>0</x:v>
      </x:c>
      <x:c r="J2641" s="38" t="n">
        <x:v>0.1896138709</x:v>
      </x:c>
    </x:row>
    <x:row r="2642" ht="19" customHeight="1">
      <x:c r="A2642" s="29" t="str">
        <x:v>stagger_1</x:v>
      </x:c>
      <x:c r="B2642" s="38" t="str">
        <x:v>MSFT</x:v>
      </x:c>
      <x:c r="C2642" s="38" t="str">
        <x:v>Other FX</x:v>
      </x:c>
      <x:c r="D2642" s="30" t="n">
        <x:v>2</x:v>
      </x:c>
      <x:c r="E2642" s="38" t="str">
        <x:v>SGD/USD</x:v>
      </x:c>
      <x:c r="F2642" s="38" t="n">
        <x:v>1.8080700976</x:v>
      </x:c>
      <x:c r="G2642" s="38" t="n">
        <x:v>1.1900985263</x:v>
      </x:c>
      <x:c r="H2642" s="42" t="b">
        <x:v>0</x:v>
      </x:c>
      <x:c r="I2642" s="42" t="b">
        <x:v>0</x:v>
      </x:c>
      <x:c r="J2642" s="38" t="n">
        <x:v>0.1896138709</x:v>
      </x:c>
    </x:row>
    <x:row r="2643" ht="19" customHeight="1">
      <x:c r="A2643" s="29" t="str">
        <x:v>stagger_1</x:v>
      </x:c>
      <x:c r="B2643" s="38" t="str">
        <x:v>MSFT</x:v>
      </x:c>
      <x:c r="C2643" s="38" t="str">
        <x:v>Other FX</x:v>
      </x:c>
      <x:c r="D2643" s="30" t="n">
        <x:v>3</x:v>
      </x:c>
      <x:c r="E2643" s="38" t="str">
        <x:v>AUD/USD</x:v>
      </x:c>
      <x:c r="F2643" s="38" t="n">
        <x:v>-0.5129251851</x:v>
      </x:c>
      <x:c r="G2643" s="38" t="n">
        <x:v>-0.8592379621</x:v>
      </x:c>
      <x:c r="H2643" s="42" t="b">
        <x:v>1</x:v>
      </x:c>
      <x:c r="I2643" s="42" t="b">
        <x:v>0</x:v>
      </x:c>
      <x:c r="J2643" s="38" t="n">
        <x:v>0.1808038343</x:v>
      </x:c>
    </x:row>
    <x:row r="2644" ht="19" customHeight="1">
      <x:c r="A2644" s="29" t="str">
        <x:v>stagger_1</x:v>
      </x:c>
      <x:c r="B2644" s="38" t="str">
        <x:v>MSFT</x:v>
      </x:c>
      <x:c r="C2644" s="38" t="str">
        <x:v>Other FX</x:v>
      </x:c>
      <x:c r="D2644" s="30" t="n">
        <x:v>3</x:v>
      </x:c>
      <x:c r="E2644" s="38" t="str">
        <x:v>DKK/USD</x:v>
      </x:c>
      <x:c r="F2644" s="38" t="n">
        <x:v>12.2084887433</x:v>
      </x:c>
      <x:c r="G2644" s="38" t="n">
        <x:v>2.4430625326</x:v>
      </x:c>
      <x:c r="H2644" s="42" t="b">
        <x:v>0</x:v>
      </x:c>
      <x:c r="I2644" s="42" t="b">
        <x:v>0</x:v>
      </x:c>
      <x:c r="J2644" s="38" t="n">
        <x:v>0.1808038343</x:v>
      </x:c>
    </x:row>
    <x:row r="2645" ht="19" customHeight="1">
      <x:c r="A2645" s="29" t="str">
        <x:v>stagger_1</x:v>
      </x:c>
      <x:c r="B2645" s="38" t="str">
        <x:v>MSFT</x:v>
      </x:c>
      <x:c r="C2645" s="38" t="str">
        <x:v>Other FX</x:v>
      </x:c>
      <x:c r="D2645" s="30" t="n">
        <x:v>3</x:v>
      </x:c>
      <x:c r="E2645" s="38" t="str">
        <x:v>EUR/USD</x:v>
      </x:c>
      <x:c r="F2645" s="38" t="n">
        <x:v>-11.3112854267</x:v>
      </x:c>
      <x:c r="G2645" s="38" t="n">
        <x:v>-2.4369924236</x:v>
      </x:c>
      <x:c r="H2645" s="42" t="b">
        <x:v>0</x:v>
      </x:c>
      <x:c r="I2645" s="42" t="b">
        <x:v>0</x:v>
      </x:c>
      <x:c r="J2645" s="38" t="n">
        <x:v>0.1808038343</x:v>
      </x:c>
    </x:row>
    <x:row r="2646" ht="19" customHeight="1">
      <x:c r="A2646" s="29" t="str">
        <x:v>stagger_1</x:v>
      </x:c>
      <x:c r="B2646" s="38" t="str">
        <x:v>MSFT</x:v>
      </x:c>
      <x:c r="C2646" s="38" t="str">
        <x:v>Other FX</x:v>
      </x:c>
      <x:c r="D2646" s="30" t="n">
        <x:v>3</x:v>
      </x:c>
      <x:c r="E2646" s="38" t="str">
        <x:v>SGD/USD</x:v>
      </x:c>
      <x:c r="F2646" s="38" t="n">
        <x:v>1.6614056268</x:v>
      </x:c>
      <x:c r="G2646" s="38" t="n">
        <x:v>1.1013879399</x:v>
      </x:c>
      <x:c r="H2646" s="42" t="b">
        <x:v>0</x:v>
      </x:c>
      <x:c r="I2646" s="42" t="b">
        <x:v>0</x:v>
      </x:c>
      <x:c r="J2646" s="38" t="n">
        <x:v>0.1808038343</x:v>
      </x:c>
    </x:row>
    <x:row r="2647" ht="19" customHeight="1">
      <x:c r="A2647" s="29" t="str">
        <x:v>stagger_1</x:v>
      </x:c>
      <x:c r="B2647" s="38" t="str">
        <x:v>MSFT</x:v>
      </x:c>
      <x:c r="C2647" s="38" t="str">
        <x:v>Other FX</x:v>
      </x:c>
      <x:c r="D2647" s="30" t="n">
        <x:v>4</x:v>
      </x:c>
      <x:c r="E2647" s="38" t="str">
        <x:v>DKK/USD</x:v>
      </x:c>
      <x:c r="F2647" s="38" t="n">
        <x:v>11.8546363044</x:v>
      </x:c>
      <x:c r="G2647" s="38" t="n">
        <x:v>2.3844583221</x:v>
      </x:c>
      <x:c r="H2647" s="42" t="b">
        <x:v>0</x:v>
      </x:c>
      <x:c r="I2647" s="42" t="b">
        <x:v>0</x:v>
      </x:c>
      <x:c r="J2647" s="38" t="n">
        <x:v>0.1727397779</x:v>
      </x:c>
    </x:row>
    <x:row r="2648" ht="19" customHeight="1">
      <x:c r="A2648" s="29" t="str">
        <x:v>stagger_1</x:v>
      </x:c>
      <x:c r="B2648" s="38" t="str">
        <x:v>MSFT</x:v>
      </x:c>
      <x:c r="C2648" s="38" t="str">
        <x:v>Other FX</x:v>
      </x:c>
      <x:c r="D2648" s="30" t="n">
        <x:v>4</x:v>
      </x:c>
      <x:c r="E2648" s="38" t="str">
        <x:v>EUR/USD</x:v>
      </x:c>
      <x:c r="F2648" s="38" t="n">
        <x:v>-11.0497034642</x:v>
      </x:c>
      <x:c r="G2648" s="38" t="n">
        <x:v>-2.3898909132</x:v>
      </x:c>
      <x:c r="H2648" s="42" t="b">
        <x:v>0</x:v>
      </x:c>
      <x:c r="I2648" s="42" t="b">
        <x:v>0</x:v>
      </x:c>
      <x:c r="J2648" s="38" t="n">
        <x:v>0.1727397779</x:v>
      </x:c>
    </x:row>
    <x:row r="2649" ht="19" customHeight="1">
      <x:c r="A2649" s="29" t="str">
        <x:v>stagger_1</x:v>
      </x:c>
      <x:c r="B2649" s="38" t="str">
        <x:v>MSFT</x:v>
      </x:c>
      <x:c r="C2649" s="38" t="str">
        <x:v>Other FX</x:v>
      </x:c>
      <x:c r="D2649" s="30" t="n">
        <x:v>4</x:v>
      </x:c>
      <x:c r="E2649" s="38" t="str">
        <x:v>SGD/USD</x:v>
      </x:c>
      <x:c r="F2649" s="38" t="n">
        <x:v>1.0535248205</x:v>
      </x:c>
      <x:c r="G2649" s="38" t="n">
        <x:v>0.7921353441</x:v>
      </x:c>
      <x:c r="H2649" s="42" t="b">
        <x:v>1</x:v>
      </x:c>
      <x:c r="I2649" s="42" t="b">
        <x:v>0</x:v>
      </x:c>
      <x:c r="J2649" s="38" t="n">
        <x:v>0.1727397779</x:v>
      </x:c>
    </x:row>
    <x:row r="2650" ht="19" customHeight="1">
      <x:c r="A2650" s="29" t="str">
        <x:v>stagger_1</x:v>
      </x:c>
      <x:c r="B2650" s="38" t="str">
        <x:v>MSFT</x:v>
      </x:c>
      <x:c r="C2650" s="38" t="str">
        <x:v>Other FX</x:v>
      </x:c>
      <x:c r="D2650" s="30" t="n">
        <x:v>5</x:v>
      </x:c>
      <x:c r="E2650" s="38" t="str">
        <x:v>DKK/USD</x:v>
      </x:c>
      <x:c r="F2650" s="38" t="n">
        <x:v>13.6976269848</x:v>
      </x:c>
      <x:c r="G2650" s="38" t="n">
        <x:v>3.1251819693</x:v>
      </x:c>
      <x:c r="H2650" s="42" t="b">
        <x:v>0</x:v>
      </x:c>
      <x:c r="I2650" s="42" t="b">
        <x:v>1</x:v>
      </x:c>
      <x:c r="J2650" s="38" t="n">
        <x:v>0.1659096736</x:v>
      </x:c>
    </x:row>
    <x:row r="2651" ht="19" customHeight="1">
      <x:c r="A2651" s="29" t="str">
        <x:v>stagger_1</x:v>
      </x:c>
      <x:c r="B2651" s="38" t="str">
        <x:v>MSFT</x:v>
      </x:c>
      <x:c r="C2651" s="38" t="str">
        <x:v>Other FX</x:v>
      </x:c>
      <x:c r="D2651" s="30" t="n">
        <x:v>5</x:v>
      </x:c>
      <x:c r="E2651" s="38" t="str">
        <x:v>EUR/USD</x:v>
      </x:c>
      <x:c r="F2651" s="38" t="n">
        <x:v>-12.3492944523</x:v>
      </x:c>
      <x:c r="G2651" s="38" t="n">
        <x:v>-2.8638171726</x:v>
      </x:c>
      <x:c r="H2651" s="42" t="b">
        <x:v>0</x:v>
      </x:c>
      <x:c r="I2651" s="42" t="b">
        <x:v>1</x:v>
      </x:c>
      <x:c r="J2651" s="38" t="n">
        <x:v>0.1659096736</x:v>
      </x:c>
    </x:row>
    <x:row r="2652" ht="19" customHeight="1">
      <x:c r="A2652" s="29" t="str">
        <x:v>stagger_1</x:v>
      </x:c>
      <x:c r="B2652" s="38" t="str">
        <x:v>MSFT</x:v>
      </x:c>
      <x:c r="C2652" s="38" t="str">
        <x:v>Other sectors</x:v>
      </x:c>
      <x:c r="D2652" s="30" t="n">
        <x:v>1</x:v>
      </x:c>
      <x:c r="E2652" s="38" t="str">
        <x:v>XLB</x:v>
      </x:c>
      <x:c r="F2652" s="38" t="n">
        <x:v>-0.2836998062</x:v>
      </x:c>
      <x:c r="G2652" s="38" t="n">
        <x:v>-0.8785226697</x:v>
      </x:c>
      <x:c r="H2652" s="42" t="b">
        <x:v>0</x:v>
      </x:c>
      <x:c r="I2652" s="42" t="b">
        <x:v>0</x:v>
      </x:c>
      <x:c r="J2652" s="38" t="n">
        <x:v>0.1584147597</x:v>
      </x:c>
    </x:row>
    <x:row r="2653" ht="19" customHeight="1">
      <x:c r="A2653" s="29" t="str">
        <x:v>stagger_1</x:v>
      </x:c>
      <x:c r="B2653" s="38" t="str">
        <x:v>MSFT</x:v>
      </x:c>
      <x:c r="C2653" s="38" t="str">
        <x:v>Other sectors</x:v>
      </x:c>
      <x:c r="D2653" s="30" t="n">
        <x:v>1</x:v>
      </x:c>
      <x:c r="E2653" s="38" t="str">
        <x:v>XLC</x:v>
      </x:c>
      <x:c r="F2653" s="38" t="n">
        <x:v>0.2301187931</x:v>
      </x:c>
      <x:c r="G2653" s="38" t="n">
        <x:v>0.850599258</x:v>
      </x:c>
      <x:c r="H2653" s="42" t="b">
        <x:v>0</x:v>
      </x:c>
      <x:c r="I2653" s="42" t="b">
        <x:v>0</x:v>
      </x:c>
      <x:c r="J2653" s="38" t="n">
        <x:v>0.1584147597</x:v>
      </x:c>
    </x:row>
    <x:row r="2654" ht="19" customHeight="1">
      <x:c r="A2654" s="29" t="str">
        <x:v>stagger_1</x:v>
      </x:c>
      <x:c r="B2654" s="38" t="str">
        <x:v>MSFT</x:v>
      </x:c>
      <x:c r="C2654" s="38" t="str">
        <x:v>Other sectors</x:v>
      </x:c>
      <x:c r="D2654" s="30" t="n">
        <x:v>1</x:v>
      </x:c>
      <x:c r="E2654" s="38" t="str">
        <x:v>XLE</x:v>
      </x:c>
      <x:c r="F2654" s="38" t="n">
        <x:v>0.0626806213</x:v>
      </x:c>
      <x:c r="G2654" s="38" t="n">
        <x:v>0.5802959029</x:v>
      </x:c>
      <x:c r="H2654" s="42" t="b">
        <x:v>0</x:v>
      </x:c>
      <x:c r="I2654" s="42" t="b">
        <x:v>0</x:v>
      </x:c>
      <x:c r="J2654" s="38" t="n">
        <x:v>0.1584147597</x:v>
      </x:c>
    </x:row>
    <x:row r="2655" ht="19" customHeight="1">
      <x:c r="A2655" s="29" t="str">
        <x:v>stagger_1</x:v>
      </x:c>
      <x:c r="B2655" s="38" t="str">
        <x:v>MSFT</x:v>
      </x:c>
      <x:c r="C2655" s="38" t="str">
        <x:v>Other sectors</x:v>
      </x:c>
      <x:c r="D2655" s="30" t="n">
        <x:v>1</x:v>
      </x:c>
      <x:c r="E2655" s="38" t="str">
        <x:v>XLF</x:v>
      </x:c>
      <x:c r="F2655" s="38" t="n">
        <x:v>0.18866296</x:v>
      </x:c>
      <x:c r="G2655" s="38" t="n">
        <x:v>0.7082789842</x:v>
      </x:c>
      <x:c r="H2655" s="42" t="b">
        <x:v>0</x:v>
      </x:c>
      <x:c r="I2655" s="42" t="b">
        <x:v>0</x:v>
      </x:c>
      <x:c r="J2655" s="38" t="n">
        <x:v>0.1584147597</x:v>
      </x:c>
    </x:row>
    <x:row r="2656" ht="19" customHeight="1">
      <x:c r="A2656" s="29" t="str">
        <x:v>stagger_1</x:v>
      </x:c>
      <x:c r="B2656" s="38" t="str">
        <x:v>MSFT</x:v>
      </x:c>
      <x:c r="C2656" s="38" t="str">
        <x:v>Other sectors</x:v>
      </x:c>
      <x:c r="D2656" s="30" t="n">
        <x:v>1</x:v>
      </x:c>
      <x:c r="E2656" s="38" t="str">
        <x:v>XLI</x:v>
      </x:c>
      <x:c r="F2656" s="38" t="n">
        <x:v>-0.5082373108</x:v>
      </x:c>
      <x:c r="G2656" s="38" t="n">
        <x:v>-1.223305287</x:v>
      </x:c>
      <x:c r="H2656" s="42" t="b">
        <x:v>0</x:v>
      </x:c>
      <x:c r="I2656" s="42" t="b">
        <x:v>0</x:v>
      </x:c>
      <x:c r="J2656" s="38" t="n">
        <x:v>0.1584147597</x:v>
      </x:c>
    </x:row>
    <x:row r="2657" ht="19" customHeight="1">
      <x:c r="A2657" s="29" t="str">
        <x:v>stagger_1</x:v>
      </x:c>
      <x:c r="B2657" s="38" t="str">
        <x:v>MSFT</x:v>
      </x:c>
      <x:c r="C2657" s="38" t="str">
        <x:v>Other sectors</x:v>
      </x:c>
      <x:c r="D2657" s="30" t="n">
        <x:v>1</x:v>
      </x:c>
      <x:c r="E2657" s="38" t="str">
        <x:v>XLP</x:v>
      </x:c>
      <x:c r="F2657" s="38" t="n">
        <x:v>0.1381121272</x:v>
      </x:c>
      <x:c r="G2657" s="38" t="n">
        <x:v>0.4279426608</x:v>
      </x:c>
      <x:c r="H2657" s="42" t="b">
        <x:v>0</x:v>
      </x:c>
      <x:c r="I2657" s="42" t="b">
        <x:v>0</x:v>
      </x:c>
      <x:c r="J2657" s="38" t="n">
        <x:v>0.1584147597</x:v>
      </x:c>
    </x:row>
    <x:row r="2658" ht="19" customHeight="1">
      <x:c r="A2658" s="29" t="str">
        <x:v>stagger_1</x:v>
      </x:c>
      <x:c r="B2658" s="38" t="str">
        <x:v>MSFT</x:v>
      </x:c>
      <x:c r="C2658" s="38" t="str">
        <x:v>Other sectors</x:v>
      </x:c>
      <x:c r="D2658" s="30" t="n">
        <x:v>1</x:v>
      </x:c>
      <x:c r="E2658" s="38" t="str">
        <x:v>XLRE</x:v>
      </x:c>
      <x:c r="F2658" s="38" t="n">
        <x:v>-0.3145918156</x:v>
      </x:c>
      <x:c r="G2658" s="38" t="n">
        <x:v>-1.1447390461</x:v>
      </x:c>
      <x:c r="H2658" s="42" t="b">
        <x:v>0</x:v>
      </x:c>
      <x:c r="I2658" s="42" t="b">
        <x:v>0</x:v>
      </x:c>
      <x:c r="J2658" s="38" t="n">
        <x:v>0.1584147597</x:v>
      </x:c>
    </x:row>
    <x:row r="2659" ht="19" customHeight="1">
      <x:c r="A2659" s="29" t="str">
        <x:v>stagger_1</x:v>
      </x:c>
      <x:c r="B2659" s="38" t="str">
        <x:v>MSFT</x:v>
      </x:c>
      <x:c r="C2659" s="38" t="str">
        <x:v>Other sectors</x:v>
      </x:c>
      <x:c r="D2659" s="30" t="n">
        <x:v>1</x:v>
      </x:c>
      <x:c r="E2659" s="38" t="str">
        <x:v>XLU</x:v>
      </x:c>
      <x:c r="F2659" s="38" t="n">
        <x:v>0.181725244</x:v>
      </x:c>
      <x:c r="G2659" s="38" t="n">
        <x:v>0.8705959641</x:v>
      </x:c>
      <x:c r="H2659" s="42" t="b">
        <x:v>0</x:v>
      </x:c>
      <x:c r="I2659" s="42" t="b">
        <x:v>0</x:v>
      </x:c>
      <x:c r="J2659" s="38" t="n">
        <x:v>0.1584147597</x:v>
      </x:c>
    </x:row>
    <x:row r="2660" ht="19" customHeight="1">
      <x:c r="A2660" s="29" t="str">
        <x:v>stagger_1</x:v>
      </x:c>
      <x:c r="B2660" s="38" t="str">
        <x:v>MSFT</x:v>
      </x:c>
      <x:c r="C2660" s="38" t="str">
        <x:v>Other sectors</x:v>
      </x:c>
      <x:c r="D2660" s="30" t="n">
        <x:v>1</x:v>
      </x:c>
      <x:c r="E2660" s="38" t="str">
        <x:v>XLV</x:v>
      </x:c>
      <x:c r="F2660" s="38" t="n">
        <x:v>0.0813342009</x:v>
      </x:c>
      <x:c r="G2660" s="38" t="n">
        <x:v>0.3300018591</x:v>
      </x:c>
      <x:c r="H2660" s="42" t="b">
        <x:v>1</x:v>
      </x:c>
      <x:c r="I2660" s="42" t="b">
        <x:v>0</x:v>
      </x:c>
      <x:c r="J2660" s="38" t="n">
        <x:v>0.1584147597</x:v>
      </x:c>
    </x:row>
    <x:row r="2661" ht="19" customHeight="1">
      <x:c r="A2661" s="29" t="str">
        <x:v>stagger_1</x:v>
      </x:c>
      <x:c r="B2661" s="38" t="str">
        <x:v>MSFT</x:v>
      </x:c>
      <x:c r="C2661" s="38" t="str">
        <x:v>Other sectors</x:v>
      </x:c>
      <x:c r="D2661" s="30" t="n">
        <x:v>1</x:v>
      </x:c>
      <x:c r="E2661" s="38" t="str">
        <x:v>XLY</x:v>
      </x:c>
      <x:c r="F2661" s="38" t="n">
        <x:v>0.1867043406</x:v>
      </x:c>
      <x:c r="G2661" s="38" t="n">
        <x:v>0.6608723749</x:v>
      </x:c>
      <x:c r="H2661" s="42" t="b">
        <x:v>0</x:v>
      </x:c>
      <x:c r="I2661" s="42" t="b">
        <x:v>0</x:v>
      </x:c>
      <x:c r="J2661" s="38" t="n">
        <x:v>0.1584147597</x:v>
      </x:c>
    </x:row>
    <x:row r="2662" ht="19" customHeight="1">
      <x:c r="A2662" s="29" t="str">
        <x:v>stagger_1</x:v>
      </x:c>
      <x:c r="B2662" s="38" t="str">
        <x:v>MSFT</x:v>
      </x:c>
      <x:c r="C2662" s="38" t="str">
        <x:v>Other sectors</x:v>
      </x:c>
      <x:c r="D2662" s="30" t="n">
        <x:v>2</x:v>
      </x:c>
      <x:c r="E2662" s="38" t="str">
        <x:v>XLB</x:v>
      </x:c>
      <x:c r="F2662" s="38" t="n">
        <x:v>-0.2732131626</x:v>
      </x:c>
      <x:c r="G2662" s="38" t="n">
        <x:v>-0.8556389571</x:v>
      </x:c>
      <x:c r="H2662" s="42" t="b">
        <x:v>0</x:v>
      </x:c>
      <x:c r="I2662" s="42" t="b">
        <x:v>0</x:v>
      </x:c>
      <x:c r="J2662" s="38" t="n">
        <x:v>0.1570865037</x:v>
      </x:c>
    </x:row>
    <x:row r="2663" ht="19" customHeight="1">
      <x:c r="A2663" s="29" t="str">
        <x:v>stagger_1</x:v>
      </x:c>
      <x:c r="B2663" s="38" t="str">
        <x:v>MSFT</x:v>
      </x:c>
      <x:c r="C2663" s="38" t="str">
        <x:v>Other sectors</x:v>
      </x:c>
      <x:c r="D2663" s="30" t="n">
        <x:v>2</x:v>
      </x:c>
      <x:c r="E2663" s="38" t="str">
        <x:v>XLC</x:v>
      </x:c>
      <x:c r="F2663" s="38" t="n">
        <x:v>0.2345041097</x:v>
      </x:c>
      <x:c r="G2663" s="38" t="n">
        <x:v>0.8734337197</x:v>
      </x:c>
      <x:c r="H2663" s="42" t="b">
        <x:v>0</x:v>
      </x:c>
      <x:c r="I2663" s="42" t="b">
        <x:v>0</x:v>
      </x:c>
      <x:c r="J2663" s="38" t="n">
        <x:v>0.1570865037</x:v>
      </x:c>
    </x:row>
    <x:row r="2664" ht="19" customHeight="1">
      <x:c r="A2664" s="29" t="str">
        <x:v>stagger_1</x:v>
      </x:c>
      <x:c r="B2664" s="38" t="str">
        <x:v>MSFT</x:v>
      </x:c>
      <x:c r="C2664" s="38" t="str">
        <x:v>Other sectors</x:v>
      </x:c>
      <x:c r="D2664" s="30" t="n">
        <x:v>2</x:v>
      </x:c>
      <x:c r="E2664" s="38" t="str">
        <x:v>XLE</x:v>
      </x:c>
      <x:c r="F2664" s="38" t="n">
        <x:v>0.0611653264</x:v>
      </x:c>
      <x:c r="G2664" s="38" t="n">
        <x:v>0.5704220532</x:v>
      </x:c>
      <x:c r="H2664" s="42" t="b">
        <x:v>0</x:v>
      </x:c>
      <x:c r="I2664" s="42" t="b">
        <x:v>0</x:v>
      </x:c>
      <x:c r="J2664" s="38" t="n">
        <x:v>0.1570865037</x:v>
      </x:c>
    </x:row>
    <x:row r="2665" ht="19" customHeight="1">
      <x:c r="A2665" s="29" t="str">
        <x:v>stagger_1</x:v>
      </x:c>
      <x:c r="B2665" s="38" t="str">
        <x:v>MSFT</x:v>
      </x:c>
      <x:c r="C2665" s="38" t="str">
        <x:v>Other sectors</x:v>
      </x:c>
      <x:c r="D2665" s="30" t="n">
        <x:v>2</x:v>
      </x:c>
      <x:c r="E2665" s="38" t="str">
        <x:v>XLF</x:v>
      </x:c>
      <x:c r="F2665" s="38" t="n">
        <x:v>0.2067268502</x:v>
      </x:c>
      <x:c r="G2665" s="38" t="n">
        <x:v>0.7981161555</x:v>
      </x:c>
      <x:c r="H2665" s="42" t="b">
        <x:v>0</x:v>
      </x:c>
      <x:c r="I2665" s="42" t="b">
        <x:v>0</x:v>
      </x:c>
      <x:c r="J2665" s="38" t="n">
        <x:v>0.1570865037</x:v>
      </x:c>
    </x:row>
    <x:row r="2666" ht="19" customHeight="1">
      <x:c r="A2666" s="29" t="str">
        <x:v>stagger_1</x:v>
      </x:c>
      <x:c r="B2666" s="38" t="str">
        <x:v>MSFT</x:v>
      </x:c>
      <x:c r="C2666" s="38" t="str">
        <x:v>Other sectors</x:v>
      </x:c>
      <x:c r="D2666" s="30" t="n">
        <x:v>2</x:v>
      </x:c>
      <x:c r="E2666" s="38" t="str">
        <x:v>XLI</x:v>
      </x:c>
      <x:c r="F2666" s="38" t="n">
        <x:v>-0.5326954142</x:v>
      </x:c>
      <x:c r="G2666" s="38" t="n">
        <x:v>-1.3114509372</x:v>
      </x:c>
      <x:c r="H2666" s="42" t="b">
        <x:v>0</x:v>
      </x:c>
      <x:c r="I2666" s="42" t="b">
        <x:v>0</x:v>
      </x:c>
      <x:c r="J2666" s="38" t="n">
        <x:v>0.1570865037</x:v>
      </x:c>
    </x:row>
    <x:row r="2667" ht="19" customHeight="1">
      <x:c r="A2667" s="29" t="str">
        <x:v>stagger_1</x:v>
      </x:c>
      <x:c r="B2667" s="38" t="str">
        <x:v>MSFT</x:v>
      </x:c>
      <x:c r="C2667" s="38" t="str">
        <x:v>Other sectors</x:v>
      </x:c>
      <x:c r="D2667" s="30" t="n">
        <x:v>2</x:v>
      </x:c>
      <x:c r="E2667" s="38" t="str">
        <x:v>XLP</x:v>
      </x:c>
      <x:c r="F2667" s="38" t="n">
        <x:v>0.1684582027</x:v>
      </x:c>
      <x:c r="G2667" s="38" t="n">
        <x:v>0.5480423212</x:v>
      </x:c>
      <x:c r="H2667" s="42" t="b">
        <x:v>1</x:v>
      </x:c>
      <x:c r="I2667" s="42" t="b">
        <x:v>0</x:v>
      </x:c>
      <x:c r="J2667" s="38" t="n">
        <x:v>0.1570865037</x:v>
      </x:c>
    </x:row>
    <x:row r="2668" ht="19" customHeight="1">
      <x:c r="A2668" s="29" t="str">
        <x:v>stagger_1</x:v>
      </x:c>
      <x:c r="B2668" s="38" t="str">
        <x:v>MSFT</x:v>
      </x:c>
      <x:c r="C2668" s="38" t="str">
        <x:v>Other sectors</x:v>
      </x:c>
      <x:c r="D2668" s="30" t="n">
        <x:v>2</x:v>
      </x:c>
      <x:c r="E2668" s="38" t="str">
        <x:v>XLRE</x:v>
      </x:c>
      <x:c r="F2668" s="38" t="n">
        <x:v>-0.2959270459</x:v>
      </x:c>
      <x:c r="G2668" s="38" t="n">
        <x:v>-1.1074498353</x:v>
      </x:c>
      <x:c r="H2668" s="42" t="b">
        <x:v>0</x:v>
      </x:c>
      <x:c r="I2668" s="42" t="b">
        <x:v>0</x:v>
      </x:c>
      <x:c r="J2668" s="38" t="n">
        <x:v>0.1570865037</x:v>
      </x:c>
    </x:row>
    <x:row r="2669" ht="19" customHeight="1">
      <x:c r="A2669" s="29" t="str">
        <x:v>stagger_1</x:v>
      </x:c>
      <x:c r="B2669" s="38" t="str">
        <x:v>MSFT</x:v>
      </x:c>
      <x:c r="C2669" s="38" t="str">
        <x:v>Other sectors</x:v>
      </x:c>
      <x:c r="D2669" s="30" t="n">
        <x:v>2</x:v>
      </x:c>
      <x:c r="E2669" s="38" t="str">
        <x:v>XLU</x:v>
      </x:c>
      <x:c r="F2669" s="38" t="n">
        <x:v>0.181512067</x:v>
      </x:c>
      <x:c r="G2669" s="38" t="n">
        <x:v>0.8751671283</x:v>
      </x:c>
      <x:c r="H2669" s="42" t="b">
        <x:v>0</x:v>
      </x:c>
      <x:c r="I2669" s="42" t="b">
        <x:v>0</x:v>
      </x:c>
      <x:c r="J2669" s="38" t="n">
        <x:v>0.1570865037</x:v>
      </x:c>
    </x:row>
    <x:row r="2670" ht="19" customHeight="1">
      <x:c r="A2670" s="29" t="str">
        <x:v>stagger_1</x:v>
      </x:c>
      <x:c r="B2670" s="38" t="str">
        <x:v>MSFT</x:v>
      </x:c>
      <x:c r="C2670" s="38" t="str">
        <x:v>Other sectors</x:v>
      </x:c>
      <x:c r="D2670" s="30" t="n">
        <x:v>2</x:v>
      </x:c>
      <x:c r="E2670" s="38" t="str">
        <x:v>XLY</x:v>
      </x:c>
      <x:c r="F2670" s="38" t="n">
        <x:v>0.1573018916</x:v>
      </x:c>
      <x:c r="G2670" s="38" t="n">
        <x:v>0.5905114482</x:v>
      </x:c>
      <x:c r="H2670" s="42" t="b">
        <x:v>0</x:v>
      </x:c>
      <x:c r="I2670" s="42" t="b">
        <x:v>0</x:v>
      </x:c>
      <x:c r="J2670" s="38" t="n">
        <x:v>0.1570865037</x:v>
      </x:c>
    </x:row>
    <x:row r="2671" ht="19" customHeight="1">
      <x:c r="A2671" s="29" t="str">
        <x:v>stagger_1</x:v>
      </x:c>
      <x:c r="B2671" s="38" t="str">
        <x:v>MSFT</x:v>
      </x:c>
      <x:c r="C2671" s="38" t="str">
        <x:v>Other sectors</x:v>
      </x:c>
      <x:c r="D2671" s="30" t="n">
        <x:v>3</x:v>
      </x:c>
      <x:c r="E2671" s="38" t="str">
        <x:v>XLB</x:v>
      </x:c>
      <x:c r="F2671" s="38" t="n">
        <x:v>-0.2476615633</x:v>
      </x:c>
      <x:c r="G2671" s="38" t="n">
        <x:v>-0.7879117903</x:v>
      </x:c>
      <x:c r="H2671" s="42" t="b">
        <x:v>0</x:v>
      </x:c>
      <x:c r="I2671" s="42" t="b">
        <x:v>0</x:v>
      </x:c>
      <x:c r="J2671" s="38" t="n">
        <x:v>0.1534697981</x:v>
      </x:c>
    </x:row>
    <x:row r="2672" ht="19" customHeight="1">
      <x:c r="A2672" s="29" t="str">
        <x:v>stagger_1</x:v>
      </x:c>
      <x:c r="B2672" s="38" t="str">
        <x:v>MSFT</x:v>
      </x:c>
      <x:c r="C2672" s="38" t="str">
        <x:v>Other sectors</x:v>
      </x:c>
      <x:c r="D2672" s="30" t="n">
        <x:v>3</x:v>
      </x:c>
      <x:c r="E2672" s="38" t="str">
        <x:v>XLC</x:v>
      </x:c>
      <x:c r="F2672" s="38" t="n">
        <x:v>0.2730496258</x:v>
      </x:c>
      <x:c r="G2672" s="38" t="n">
        <x:v>1.0590319976</x:v>
      </x:c>
      <x:c r="H2672" s="42" t="b">
        <x:v>0</x:v>
      </x:c>
      <x:c r="I2672" s="42" t="b">
        <x:v>0</x:v>
      </x:c>
      <x:c r="J2672" s="38" t="n">
        <x:v>0.1534697981</x:v>
      </x:c>
    </x:row>
    <x:row r="2673" ht="19" customHeight="1">
      <x:c r="A2673" s="29" t="str">
        <x:v>stagger_1</x:v>
      </x:c>
      <x:c r="B2673" s="38" t="str">
        <x:v>MSFT</x:v>
      </x:c>
      <x:c r="C2673" s="38" t="str">
        <x:v>Other sectors</x:v>
      </x:c>
      <x:c r="D2673" s="30" t="n">
        <x:v>3</x:v>
      </x:c>
      <x:c r="E2673" s="38" t="str">
        <x:v>XLE</x:v>
      </x:c>
      <x:c r="F2673" s="38" t="n">
        <x:v>0.0585435696</x:v>
      </x:c>
      <x:c r="G2673" s="38" t="n">
        <x:v>0.5492287682</x:v>
      </x:c>
      <x:c r="H2673" s="42" t="b">
        <x:v>0</x:v>
      </x:c>
      <x:c r="I2673" s="42" t="b">
        <x:v>0</x:v>
      </x:c>
      <x:c r="J2673" s="38" t="n">
        <x:v>0.1534697981</x:v>
      </x:c>
    </x:row>
    <x:row r="2674" ht="19" customHeight="1">
      <x:c r="A2674" s="29" t="str">
        <x:v>stagger_1</x:v>
      </x:c>
      <x:c r="B2674" s="38" t="str">
        <x:v>MSFT</x:v>
      </x:c>
      <x:c r="C2674" s="38" t="str">
        <x:v>Other sectors</x:v>
      </x:c>
      <x:c r="D2674" s="30" t="n">
        <x:v>3</x:v>
      </x:c>
      <x:c r="E2674" s="38" t="str">
        <x:v>XLF</x:v>
      </x:c>
      <x:c r="F2674" s="38" t="n">
        <x:v>0.167075159</x:v>
      </x:c>
      <x:c r="G2674" s="38" t="n">
        <x:v>0.6751059719</x:v>
      </x:c>
      <x:c r="H2674" s="42" t="b">
        <x:v>0</x:v>
      </x:c>
      <x:c r="I2674" s="42" t="b">
        <x:v>0</x:v>
      </x:c>
      <x:c r="J2674" s="38" t="n">
        <x:v>0.1534697981</x:v>
      </x:c>
    </x:row>
    <x:row r="2675" ht="19" customHeight="1">
      <x:c r="A2675" s="29" t="str">
        <x:v>stagger_1</x:v>
      </x:c>
      <x:c r="B2675" s="38" t="str">
        <x:v>MSFT</x:v>
      </x:c>
      <x:c r="C2675" s="38" t="str">
        <x:v>Other sectors</x:v>
      </x:c>
      <x:c r="D2675" s="30" t="n">
        <x:v>3</x:v>
      </x:c>
      <x:c r="E2675" s="38" t="str">
        <x:v>XLI</x:v>
      </x:c>
      <x:c r="F2675" s="38" t="n">
        <x:v>-0.4988176433</x:v>
      </x:c>
      <x:c r="G2675" s="38" t="n">
        <x:v>-1.2486873602</x:v>
      </x:c>
      <x:c r="H2675" s="42" t="b">
        <x:v>0</x:v>
      </x:c>
      <x:c r="I2675" s="42" t="b">
        <x:v>0</x:v>
      </x:c>
      <x:c r="J2675" s="38" t="n">
        <x:v>0.1534697981</x:v>
      </x:c>
    </x:row>
    <x:row r="2676" ht="19" customHeight="1">
      <x:c r="A2676" s="29" t="str">
        <x:v>stagger_1</x:v>
      </x:c>
      <x:c r="B2676" s="38" t="str">
        <x:v>MSFT</x:v>
      </x:c>
      <x:c r="C2676" s="38" t="str">
        <x:v>Other sectors</x:v>
      </x:c>
      <x:c r="D2676" s="30" t="n">
        <x:v>3</x:v>
      </x:c>
      <x:c r="E2676" s="38" t="str">
        <x:v>XLRE</x:v>
      </x:c>
      <x:c r="F2676" s="38" t="n">
        <x:v>-0.2320589036</x:v>
      </x:c>
      <x:c r="G2676" s="38" t="n">
        <x:v>-0.9698402444</x:v>
      </x:c>
      <x:c r="H2676" s="42" t="b">
        <x:v>0</x:v>
      </x:c>
      <x:c r="I2676" s="42" t="b">
        <x:v>0</x:v>
      </x:c>
      <x:c r="J2676" s="38" t="n">
        <x:v>0.1534697981</x:v>
      </x:c>
    </x:row>
    <x:row r="2677" ht="19" customHeight="1">
      <x:c r="A2677" s="29" t="str">
        <x:v>stagger_1</x:v>
      </x:c>
      <x:c r="B2677" s="38" t="str">
        <x:v>MSFT</x:v>
      </x:c>
      <x:c r="C2677" s="38" t="str">
        <x:v>Other sectors</x:v>
      </x:c>
      <x:c r="D2677" s="30" t="n">
        <x:v>3</x:v>
      </x:c>
      <x:c r="E2677" s="38" t="str">
        <x:v>XLU</x:v>
      </x:c>
      <x:c r="F2677" s="38" t="n">
        <x:v>0.2057942299</x:v>
      </x:c>
      <x:c r="G2677" s="38" t="n">
        <x:v>1.0207334144</x:v>
      </x:c>
      <x:c r="H2677" s="42" t="b">
        <x:v>0</x:v>
      </x:c>
      <x:c r="I2677" s="42" t="b">
        <x:v>0</x:v>
      </x:c>
      <x:c r="J2677" s="38" t="n">
        <x:v>0.1534697981</x:v>
      </x:c>
    </x:row>
    <x:row r="2678" ht="19" customHeight="1">
      <x:c r="A2678" s="29" t="str">
        <x:v>stagger_1</x:v>
      </x:c>
      <x:c r="B2678" s="38" t="str">
        <x:v>MSFT</x:v>
      </x:c>
      <x:c r="C2678" s="38" t="str">
        <x:v>Other sectors</x:v>
      </x:c>
      <x:c r="D2678" s="30" t="n">
        <x:v>3</x:v>
      </x:c>
      <x:c r="E2678" s="38" t="str">
        <x:v>XLY</x:v>
      </x:c>
      <x:c r="F2678" s="38" t="n">
        <x:v>0.1213994742</x:v>
      </x:c>
      <x:c r="G2678" s="38" t="n">
        <x:v>0.4725072466</x:v>
      </x:c>
      <x:c r="H2678" s="42" t="b">
        <x:v>1</x:v>
      </x:c>
      <x:c r="I2678" s="42" t="b">
        <x:v>0</x:v>
      </x:c>
      <x:c r="J2678" s="38" t="n">
        <x:v>0.1534697981</x:v>
      </x:c>
    </x:row>
    <x:row r="2679" ht="19" customHeight="1">
      <x:c r="A2679" s="29" t="str">
        <x:v>stagger_1</x:v>
      </x:c>
      <x:c r="B2679" s="38" t="str">
        <x:v>MSFT</x:v>
      </x:c>
      <x:c r="C2679" s="38" t="str">
        <x:v>Other sectors</x:v>
      </x:c>
      <x:c r="D2679" s="30" t="n">
        <x:v>4</x:v>
      </x:c>
      <x:c r="E2679" s="38" t="str">
        <x:v>XLB</x:v>
      </x:c>
      <x:c r="F2679" s="38" t="n">
        <x:v>-0.2402302194</x:v>
      </x:c>
      <x:c r="G2679" s="38" t="n">
        <x:v>-0.7693895122</x:v>
      </x:c>
      <x:c r="H2679" s="42" t="b">
        <x:v>0</x:v>
      </x:c>
      <x:c r="I2679" s="42" t="b">
        <x:v>0</x:v>
      </x:c>
      <x:c r="J2679" s="38" t="n">
        <x:v>0.150807841</x:v>
      </x:c>
    </x:row>
    <x:row r="2680" ht="19" customHeight="1">
      <x:c r="A2680" s="29" t="str">
        <x:v>stagger_1</x:v>
      </x:c>
      <x:c r="B2680" s="38" t="str">
        <x:v>MSFT</x:v>
      </x:c>
      <x:c r="C2680" s="38" t="str">
        <x:v>Other sectors</x:v>
      </x:c>
      <x:c r="D2680" s="30" t="n">
        <x:v>4</x:v>
      </x:c>
      <x:c r="E2680" s="38" t="str">
        <x:v>XLC</x:v>
      </x:c>
      <x:c r="F2680" s="38" t="n">
        <x:v>0.3129679487</x:v>
      </x:c>
      <x:c r="G2680" s="38" t="n">
        <x:v>1.2917715407</x:v>
      </x:c>
      <x:c r="H2680" s="42" t="b">
        <x:v>0</x:v>
      </x:c>
      <x:c r="I2680" s="42" t="b">
        <x:v>0</x:v>
      </x:c>
      <x:c r="J2680" s="38" t="n">
        <x:v>0.150807841</x:v>
      </x:c>
    </x:row>
    <x:row r="2681" ht="19" customHeight="1">
      <x:c r="A2681" s="29" t="str">
        <x:v>stagger_1</x:v>
      </x:c>
      <x:c r="B2681" s="38" t="str">
        <x:v>MSFT</x:v>
      </x:c>
      <x:c r="C2681" s="38" t="str">
        <x:v>Other sectors</x:v>
      </x:c>
      <x:c r="D2681" s="30" t="n">
        <x:v>4</x:v>
      </x:c>
      <x:c r="E2681" s="38" t="str">
        <x:v>XLE</x:v>
      </x:c>
      <x:c r="F2681" s="38" t="n">
        <x:v>0.0440424521</x:v>
      </x:c>
      <x:c r="G2681" s="38" t="n">
        <x:v>0.4338020655</x:v>
      </x:c>
      <x:c r="H2681" s="42" t="b">
        <x:v>1</x:v>
      </x:c>
      <x:c r="I2681" s="42" t="b">
        <x:v>0</x:v>
      </x:c>
      <x:c r="J2681" s="38" t="n">
        <x:v>0.150807841</x:v>
      </x:c>
    </x:row>
    <x:row r="2682" ht="19" customHeight="1">
      <x:c r="A2682" s="29" t="str">
        <x:v>stagger_1</x:v>
      </x:c>
      <x:c r="B2682" s="38" t="str">
        <x:v>MSFT</x:v>
      </x:c>
      <x:c r="C2682" s="38" t="str">
        <x:v>Other sectors</x:v>
      </x:c>
      <x:c r="D2682" s="30" t="n">
        <x:v>4</x:v>
      </x:c>
      <x:c r="E2682" s="38" t="str">
        <x:v>XLF</x:v>
      </x:c>
      <x:c r="F2682" s="38" t="n">
        <x:v>0.1671937083</x:v>
      </x:c>
      <x:c r="G2682" s="38" t="n">
        <x:v>0.6792592088</x:v>
      </x:c>
      <x:c r="H2682" s="42" t="b">
        <x:v>0</x:v>
      </x:c>
      <x:c r="I2682" s="42" t="b">
        <x:v>0</x:v>
      </x:c>
      <x:c r="J2682" s="38" t="n">
        <x:v>0.150807841</x:v>
      </x:c>
    </x:row>
    <x:row r="2683" ht="19" customHeight="1">
      <x:c r="A2683" s="29" t="str">
        <x:v>stagger_1</x:v>
      </x:c>
      <x:c r="B2683" s="38" t="str">
        <x:v>MSFT</x:v>
      </x:c>
      <x:c r="C2683" s="38" t="str">
        <x:v>Other sectors</x:v>
      </x:c>
      <x:c r="D2683" s="30" t="n">
        <x:v>4</x:v>
      </x:c>
      <x:c r="E2683" s="38" t="str">
        <x:v>XLI</x:v>
      </x:c>
      <x:c r="F2683" s="38" t="n">
        <x:v>-0.512667376</x:v>
      </x:c>
      <x:c r="G2683" s="38" t="n">
        <x:v>-1.2938238232</x:v>
      </x:c>
      <x:c r="H2683" s="42" t="b">
        <x:v>0</x:v>
      </x:c>
      <x:c r="I2683" s="42" t="b">
        <x:v>0</x:v>
      </x:c>
      <x:c r="J2683" s="38" t="n">
        <x:v>0.150807841</x:v>
      </x:c>
    </x:row>
    <x:row r="2684" ht="19" customHeight="1">
      <x:c r="A2684" s="29" t="str">
        <x:v>stagger_1</x:v>
      </x:c>
      <x:c r="B2684" s="38" t="str">
        <x:v>MSFT</x:v>
      </x:c>
      <x:c r="C2684" s="38" t="str">
        <x:v>Other sectors</x:v>
      </x:c>
      <x:c r="D2684" s="30" t="n">
        <x:v>4</x:v>
      </x:c>
      <x:c r="E2684" s="38" t="str">
        <x:v>XLRE</x:v>
      </x:c>
      <x:c r="F2684" s="38" t="n">
        <x:v>-0.2116315488</x:v>
      </x:c>
      <x:c r="G2684" s="38" t="n">
        <x:v>-0.9041586858</x:v>
      </x:c>
      <x:c r="H2684" s="42" t="b">
        <x:v>0</x:v>
      </x:c>
      <x:c r="I2684" s="42" t="b">
        <x:v>0</x:v>
      </x:c>
      <x:c r="J2684" s="38" t="n">
        <x:v>0.150807841</x:v>
      </x:c>
    </x:row>
    <x:row r="2685" ht="19" customHeight="1">
      <x:c r="A2685" s="29" t="str">
        <x:v>stagger_1</x:v>
      </x:c>
      <x:c r="B2685" s="38" t="str">
        <x:v>MSFT</x:v>
      </x:c>
      <x:c r="C2685" s="38" t="str">
        <x:v>Other sectors</x:v>
      </x:c>
      <x:c r="D2685" s="30" t="n">
        <x:v>4</x:v>
      </x:c>
      <x:c r="E2685" s="38" t="str">
        <x:v>XLU</x:v>
      </x:c>
      <x:c r="F2685" s="38" t="n">
        <x:v>0.1985946611</x:v>
      </x:c>
      <x:c r="G2685" s="38" t="n">
        <x:v>0.9932208445</x:v>
      </x:c>
      <x:c r="H2685" s="42" t="b">
        <x:v>0</x:v>
      </x:c>
      <x:c r="I2685" s="42" t="b">
        <x:v>0</x:v>
      </x:c>
      <x:c r="J2685" s="38" t="n">
        <x:v>0.150807841</x:v>
      </x:c>
    </x:row>
    <x:row r="2686" ht="19" customHeight="1">
      <x:c r="A2686" s="29" t="str">
        <x:v>stagger_1</x:v>
      </x:c>
      <x:c r="B2686" s="38" t="str">
        <x:v>MSFT</x:v>
      </x:c>
      <x:c r="C2686" s="38" t="str">
        <x:v>Other sectors</x:v>
      </x:c>
      <x:c r="D2686" s="30" t="n">
        <x:v>5</x:v>
      </x:c>
      <x:c r="E2686" s="38" t="str">
        <x:v>XLB</x:v>
      </x:c>
      <x:c r="F2686" s="38" t="n">
        <x:v>-0.205686425</x:v>
      </x:c>
      <x:c r="G2686" s="38" t="n">
        <x:v>-0.6851041232</x:v>
      </x:c>
      <x:c r="H2686" s="42" t="b">
        <x:v>1</x:v>
      </x:c>
      <x:c r="I2686" s="42" t="b">
        <x:v>0</x:v>
      </x:c>
      <x:c r="J2686" s="38" t="n">
        <x:v>0.148588333</x:v>
      </x:c>
    </x:row>
    <x:row r="2687" ht="19" customHeight="1">
      <x:c r="A2687" s="29" t="str">
        <x:v>stagger_1</x:v>
      </x:c>
      <x:c r="B2687" s="38" t="str">
        <x:v>MSFT</x:v>
      </x:c>
      <x:c r="C2687" s="38" t="str">
        <x:v>Other sectors</x:v>
      </x:c>
      <x:c r="D2687" s="30" t="n">
        <x:v>5</x:v>
      </x:c>
      <x:c r="E2687" s="38" t="str">
        <x:v>XLC</x:v>
      </x:c>
      <x:c r="F2687" s="38" t="n">
        <x:v>0.3188354099</x:v>
      </x:c>
      <x:c r="G2687" s="38" t="n">
        <x:v>1.3254354996</x:v>
      </x:c>
      <x:c r="H2687" s="42" t="b">
        <x:v>0</x:v>
      </x:c>
      <x:c r="I2687" s="42" t="b">
        <x:v>0</x:v>
      </x:c>
      <x:c r="J2687" s="38" t="n">
        <x:v>0.148588333</x:v>
      </x:c>
    </x:row>
    <x:row r="2688" ht="19" customHeight="1">
      <x:c r="A2688" s="29" t="str">
        <x:v>stagger_1</x:v>
      </x:c>
      <x:c r="B2688" s="38" t="str">
        <x:v>MSFT</x:v>
      </x:c>
      <x:c r="C2688" s="38" t="str">
        <x:v>Other sectors</x:v>
      </x:c>
      <x:c r="D2688" s="30" t="n">
        <x:v>5</x:v>
      </x:c>
      <x:c r="E2688" s="38" t="str">
        <x:v>XLF</x:v>
      </x:c>
      <x:c r="F2688" s="38" t="n">
        <x:v>0.1862004158</x:v>
      </x:c>
      <x:c r="G2688" s="38" t="n">
        <x:v>0.7730657344</x:v>
      </x:c>
      <x:c r="H2688" s="42" t="b">
        <x:v>0</x:v>
      </x:c>
      <x:c r="I2688" s="42" t="b">
        <x:v>0</x:v>
      </x:c>
      <x:c r="J2688" s="38" t="n">
        <x:v>0.148588333</x:v>
      </x:c>
    </x:row>
    <x:row r="2689" ht="19" customHeight="1">
      <x:c r="A2689" s="29" t="str">
        <x:v>stagger_1</x:v>
      </x:c>
      <x:c r="B2689" s="38" t="str">
        <x:v>MSFT</x:v>
      </x:c>
      <x:c r="C2689" s="38" t="str">
        <x:v>Other sectors</x:v>
      </x:c>
      <x:c r="D2689" s="30" t="n">
        <x:v>5</x:v>
      </x:c>
      <x:c r="E2689" s="38" t="str">
        <x:v>XLI</x:v>
      </x:c>
      <x:c r="F2689" s="38" t="n">
        <x:v>-0.5346654699</x:v>
      </x:c>
      <x:c r="G2689" s="38" t="n">
        <x:v>-1.3681568656</x:v>
      </x:c>
      <x:c r="H2689" s="42" t="b">
        <x:v>0</x:v>
      </x:c>
      <x:c r="I2689" s="42" t="b">
        <x:v>0</x:v>
      </x:c>
      <x:c r="J2689" s="38" t="n">
        <x:v>0.148588333</x:v>
      </x:c>
    </x:row>
    <x:row r="2690" ht="19" customHeight="1">
      <x:c r="A2690" s="29" t="str">
        <x:v>stagger_1</x:v>
      </x:c>
      <x:c r="B2690" s="38" t="str">
        <x:v>MSFT</x:v>
      </x:c>
      <x:c r="C2690" s="38" t="str">
        <x:v>Other sectors</x:v>
      </x:c>
      <x:c r="D2690" s="30" t="n">
        <x:v>5</x:v>
      </x:c>
      <x:c r="E2690" s="38" t="str">
        <x:v>XLRE</x:v>
      </x:c>
      <x:c r="F2690" s="38" t="n">
        <x:v>-0.2119316496</x:v>
      </x:c>
      <x:c r="G2690" s="38" t="n">
        <x:v>-0.9105217715</x:v>
      </x:c>
      <x:c r="H2690" s="42" t="b">
        <x:v>0</x:v>
      </x:c>
      <x:c r="I2690" s="42" t="b">
        <x:v>0</x:v>
      </x:c>
      <x:c r="J2690" s="38" t="n">
        <x:v>0.148588333</x:v>
      </x:c>
    </x:row>
    <x:row r="2691" ht="19" customHeight="1">
      <x:c r="A2691" s="29" t="str">
        <x:v>stagger_1</x:v>
      </x:c>
      <x:c r="B2691" s="38" t="str">
        <x:v>MSFT</x:v>
      </x:c>
      <x:c r="C2691" s="38" t="str">
        <x:v>Other sectors</x:v>
      </x:c>
      <x:c r="D2691" s="30" t="n">
        <x:v>5</x:v>
      </x:c>
      <x:c r="E2691" s="38" t="str">
        <x:v>XLU</x:v>
      </x:c>
      <x:c r="F2691" s="38" t="n">
        <x:v>0.1969256998</x:v>
      </x:c>
      <x:c r="G2691" s="38" t="n">
        <x:v>0.9905797215</x:v>
      </x:c>
      <x:c r="H2691" s="42" t="b">
        <x:v>0</x:v>
      </x:c>
      <x:c r="I2691" s="42" t="b">
        <x:v>0</x:v>
      </x:c>
      <x:c r="J2691" s="38" t="n">
        <x:v>0.148588333</x:v>
      </x:c>
    </x:row>
    <x:row r="2692" ht="19" customHeight="1">
      <x:c r="A2692" s="29" t="str">
        <x:v>stagger_1</x:v>
      </x:c>
      <x:c r="B2692" s="38" t="str">
        <x:v>MSFT</x:v>
      </x:c>
      <x:c r="C2692" s="38" t="str">
        <x:v>Other sectors</x:v>
      </x:c>
      <x:c r="D2692" s="30" t="n">
        <x:v>6</x:v>
      </x:c>
      <x:c r="E2692" s="38" t="str">
        <x:v>XLC</x:v>
      </x:c>
      <x:c r="F2692" s="38" t="n">
        <x:v>0.3070707091</x:v>
      </x:c>
      <x:c r="G2692" s="38" t="n">
        <x:v>1.284406725</x:v>
      </x:c>
      <x:c r="H2692" s="42" t="b">
        <x:v>0</x:v>
      </x:c>
      <x:c r="I2692" s="42" t="b">
        <x:v>0</x:v>
      </x:c>
      <x:c r="J2692" s="38" t="n">
        <x:v>0.1431140165</x:v>
      </x:c>
    </x:row>
    <x:row r="2693" ht="19" customHeight="1">
      <x:c r="A2693" s="29" t="str">
        <x:v>stagger_1</x:v>
      </x:c>
      <x:c r="B2693" s="38" t="str">
        <x:v>MSFT</x:v>
      </x:c>
      <x:c r="C2693" s="38" t="str">
        <x:v>Other sectors</x:v>
      </x:c>
      <x:c r="D2693" s="30" t="n">
        <x:v>6</x:v>
      </x:c>
      <x:c r="E2693" s="38" t="str">
        <x:v>XLF</x:v>
      </x:c>
      <x:c r="F2693" s="38" t="n">
        <x:v>0.1627987839</x:v>
      </x:c>
      <x:c r="G2693" s="38" t="n">
        <x:v>0.685269458</x:v>
      </x:c>
      <x:c r="H2693" s="42" t="b">
        <x:v>1</x:v>
      </x:c>
      <x:c r="I2693" s="42" t="b">
        <x:v>0</x:v>
      </x:c>
      <x:c r="J2693" s="38" t="n">
        <x:v>0.1431140165</x:v>
      </x:c>
    </x:row>
    <x:row r="2694" ht="19" customHeight="1">
      <x:c r="A2694" s="29" t="str">
        <x:v>stagger_1</x:v>
      </x:c>
      <x:c r="B2694" s="38" t="str">
        <x:v>MSFT</x:v>
      </x:c>
      <x:c r="C2694" s="38" t="str">
        <x:v>Other sectors</x:v>
      </x:c>
      <x:c r="D2694" s="30" t="n">
        <x:v>6</x:v>
      </x:c>
      <x:c r="E2694" s="38" t="str">
        <x:v>XLI</x:v>
      </x:c>
      <x:c r="F2694" s="38" t="n">
        <x:v>-0.7304764509</x:v>
      </x:c>
      <x:c r="G2694" s="38" t="n">
        <x:v>-2.7507246795</x:v>
      </x:c>
      <x:c r="H2694" s="42" t="b">
        <x:v>0</x:v>
      </x:c>
      <x:c r="I2694" s="42" t="b">
        <x:v>0</x:v>
      </x:c>
      <x:c r="J2694" s="38" t="n">
        <x:v>0.1431140165</x:v>
      </x:c>
    </x:row>
    <x:row r="2695" ht="19" customHeight="1">
      <x:c r="A2695" s="29" t="str">
        <x:v>stagger_1</x:v>
      </x:c>
      <x:c r="B2695" s="38" t="str">
        <x:v>MSFT</x:v>
      </x:c>
      <x:c r="C2695" s="38" t="str">
        <x:v>Other sectors</x:v>
      </x:c>
      <x:c r="D2695" s="30" t="n">
        <x:v>6</x:v>
      </x:c>
      <x:c r="E2695" s="38" t="str">
        <x:v>XLRE</x:v>
      </x:c>
      <x:c r="F2695" s="38" t="n">
        <x:v>-0.2499148785</x:v>
      </x:c>
      <x:c r="G2695" s="38" t="n">
        <x:v>-1.1095138684</x:v>
      </x:c>
      <x:c r="H2695" s="42" t="b">
        <x:v>0</x:v>
      </x:c>
      <x:c r="I2695" s="42" t="b">
        <x:v>0</x:v>
      </x:c>
      <x:c r="J2695" s="38" t="n">
        <x:v>0.1431140165</x:v>
      </x:c>
    </x:row>
    <x:row r="2696" ht="19" customHeight="1">
      <x:c r="A2696" s="29" t="str">
        <x:v>stagger_1</x:v>
      </x:c>
      <x:c r="B2696" s="38" t="str">
        <x:v>MSFT</x:v>
      </x:c>
      <x:c r="C2696" s="38" t="str">
        <x:v>Other sectors</x:v>
      </x:c>
      <x:c r="D2696" s="30" t="n">
        <x:v>6</x:v>
      </x:c>
      <x:c r="E2696" s="38" t="str">
        <x:v>XLU</x:v>
      </x:c>
      <x:c r="F2696" s="38" t="n">
        <x:v>0.1893821907</x:v>
      </x:c>
      <x:c r="G2696" s="38" t="n">
        <x:v>0.9575380467</x:v>
      </x:c>
      <x:c r="H2696" s="42" t="b">
        <x:v>0</x:v>
      </x:c>
      <x:c r="I2696" s="42" t="b">
        <x:v>0</x:v>
      </x:c>
      <x:c r="J2696" s="38" t="n">
        <x:v>0.1431140165</x:v>
      </x:c>
    </x:row>
    <x:row r="2697" ht="19" customHeight="1">
      <x:c r="A2697" s="29" t="str">
        <x:v>stagger_1</x:v>
      </x:c>
      <x:c r="B2697" s="38" t="str">
        <x:v>MSFT</x:v>
      </x:c>
      <x:c r="C2697" s="38" t="str">
        <x:v>Other sectors</x:v>
      </x:c>
      <x:c r="D2697" s="30" t="n">
        <x:v>7</x:v>
      </x:c>
      <x:c r="E2697" s="38" t="str">
        <x:v>XLC</x:v>
      </x:c>
      <x:c r="F2697" s="38" t="n">
        <x:v>0.3220218871</x:v>
      </x:c>
      <x:c r="G2697" s="38" t="n">
        <x:v>1.3573965717</x:v>
      </x:c>
      <x:c r="H2697" s="42" t="b">
        <x:v>0</x:v>
      </x:c>
      <x:c r="I2697" s="42" t="b">
        <x:v>0</x:v>
      </x:c>
      <x:c r="J2697" s="38" t="n">
        <x:v>0.1376763312</x:v>
      </x:c>
    </x:row>
    <x:row r="2698" ht="19" customHeight="1">
      <x:c r="A2698" s="29" t="str">
        <x:v>stagger_1</x:v>
      </x:c>
      <x:c r="B2698" s="38" t="str">
        <x:v>MSFT</x:v>
      </x:c>
      <x:c r="C2698" s="38" t="str">
        <x:v>Other sectors</x:v>
      </x:c>
      <x:c r="D2698" s="30" t="n">
        <x:v>7</x:v>
      </x:c>
      <x:c r="E2698" s="38" t="str">
        <x:v>XLI</x:v>
      </x:c>
      <x:c r="F2698" s="38" t="n">
        <x:v>-0.6740914866</x:v>
      </x:c>
      <x:c r="G2698" s="38" t="n">
        <x:v>-2.6792758908</x:v>
      </x:c>
      <x:c r="H2698" s="42" t="b">
        <x:v>0</x:v>
      </x:c>
      <x:c r="I2698" s="42" t="b">
        <x:v>0</x:v>
      </x:c>
      <x:c r="J2698" s="38" t="n">
        <x:v>0.1376763312</x:v>
      </x:c>
    </x:row>
    <x:row r="2699" ht="19" customHeight="1">
      <x:c r="A2699" s="29" t="str">
        <x:v>stagger_1</x:v>
      </x:c>
      <x:c r="B2699" s="38" t="str">
        <x:v>MSFT</x:v>
      </x:c>
      <x:c r="C2699" s="38" t="str">
        <x:v>Other sectors</x:v>
      </x:c>
      <x:c r="D2699" s="30" t="n">
        <x:v>7</x:v>
      </x:c>
      <x:c r="E2699" s="38" t="str">
        <x:v>XLRE</x:v>
      </x:c>
      <x:c r="F2699" s="38" t="n">
        <x:v>-0.2212446586</x:v>
      </x:c>
      <x:c r="G2699" s="38" t="n">
        <x:v>-1.0031790228</x:v>
      </x:c>
      <x:c r="H2699" s="42" t="b">
        <x:v>0</x:v>
      </x:c>
      <x:c r="I2699" s="42" t="b">
        <x:v>0</x:v>
      </x:c>
      <x:c r="J2699" s="38" t="n">
        <x:v>0.1376763312</x:v>
      </x:c>
    </x:row>
    <x:row r="2700" ht="19" customHeight="1">
      <x:c r="A2700" s="29" t="str">
        <x:v>stagger_1</x:v>
      </x:c>
      <x:c r="B2700" s="38" t="str">
        <x:v>MSFT</x:v>
      </x:c>
      <x:c r="C2700" s="38" t="str">
        <x:v>Other sectors</x:v>
      </x:c>
      <x:c r="D2700" s="30" t="n">
        <x:v>7</x:v>
      </x:c>
      <x:c r="E2700" s="38" t="str">
        <x:v>XLU</x:v>
      </x:c>
      <x:c r="F2700" s="38" t="n">
        <x:v>0.1742326863</x:v>
      </x:c>
      <x:c r="G2700" s="38" t="n">
        <x:v>0.8896472541</x:v>
      </x:c>
      <x:c r="H2700" s="42" t="b">
        <x:v>1</x:v>
      </x:c>
      <x:c r="I2700" s="42" t="b">
        <x:v>0</x:v>
      </x:c>
      <x:c r="J2700" s="38" t="n">
        <x:v>0.1376763312</x:v>
      </x:c>
    </x:row>
    <x:row r="2701" ht="19" customHeight="1">
      <x:c r="A2701" s="29" t="str">
        <x:v>stagger_1</x:v>
      </x:c>
      <x:c r="B2701" s="38" t="str">
        <x:v>MSFT</x:v>
      </x:c>
      <x:c r="C2701" s="38" t="str">
        <x:v>Other sectors</x:v>
      </x:c>
      <x:c r="D2701" s="30" t="n">
        <x:v>8</x:v>
      </x:c>
      <x:c r="E2701" s="38" t="str">
        <x:v>XLC</x:v>
      </x:c>
      <x:c r="F2701" s="38" t="n">
        <x:v>0.3025996092</x:v>
      </x:c>
      <x:c r="G2701" s="38" t="n">
        <x:v>1.2827236155</x:v>
      </x:c>
      <x:c r="H2701" s="42" t="b">
        <x:v>0</x:v>
      </x:c>
      <x:c r="I2701" s="42" t="b">
        <x:v>0</x:v>
      </x:c>
      <x:c r="J2701" s="38" t="n">
        <x:v>0.1285762613</x:v>
      </x:c>
    </x:row>
    <x:row r="2702" ht="19" customHeight="1">
      <x:c r="A2702" s="29" t="str">
        <x:v>stagger_1</x:v>
      </x:c>
      <x:c r="B2702" s="38" t="str">
        <x:v>MSFT</x:v>
      </x:c>
      <x:c r="C2702" s="38" t="str">
        <x:v>Other sectors</x:v>
      </x:c>
      <x:c r="D2702" s="30" t="n">
        <x:v>8</x:v>
      </x:c>
      <x:c r="E2702" s="38" t="str">
        <x:v>XLI</x:v>
      </x:c>
      <x:c r="F2702" s="38" t="n">
        <x:v>-0.6118637982</x:v>
      </x:c>
      <x:c r="G2702" s="38" t="n">
        <x:v>-2.535231339</x:v>
      </x:c>
      <x:c r="H2702" s="42" t="b">
        <x:v>0</x:v>
      </x:c>
      <x:c r="I2702" s="42" t="b">
        <x:v>0</x:v>
      </x:c>
      <x:c r="J2702" s="38" t="n">
        <x:v>0.1285762613</x:v>
      </x:c>
    </x:row>
    <x:row r="2703" ht="19" customHeight="1">
      <x:c r="A2703" s="29" t="str">
        <x:v>stagger_1</x:v>
      </x:c>
      <x:c r="B2703" s="38" t="str">
        <x:v>MSFT</x:v>
      </x:c>
      <x:c r="C2703" s="38" t="str">
        <x:v>Other sectors</x:v>
      </x:c>
      <x:c r="D2703" s="30" t="n">
        <x:v>8</x:v>
      </x:c>
      <x:c r="E2703" s="38" t="str">
        <x:v>XLRE</x:v>
      </x:c>
      <x:c r="F2703" s="38" t="n">
        <x:v>-0.1292789056</x:v>
      </x:c>
      <x:c r="G2703" s="38" t="n">
        <x:v>-0.6645058798</x:v>
      </x:c>
      <x:c r="H2703" s="42" t="b">
        <x:v>1</x:v>
      </x:c>
      <x:c r="I2703" s="42" t="b">
        <x:v>0</x:v>
      </x:c>
      <x:c r="J2703" s="38" t="n">
        <x:v>0.1285762613</x:v>
      </x:c>
    </x:row>
    <x:row r="2704" ht="19" customHeight="1">
      <x:c r="A2704" s="29" t="str">
        <x:v>stagger_1</x:v>
      </x:c>
      <x:c r="B2704" s="38" t="str">
        <x:v>MSFT</x:v>
      </x:c>
      <x:c r="C2704" s="38" t="str">
        <x:v>Other sectors</x:v>
      </x:c>
      <x:c r="D2704" s="30" t="n">
        <x:v>9</x:v>
      </x:c>
      <x:c r="E2704" s="38" t="str">
        <x:v>XLC</x:v>
      </x:c>
      <x:c r="F2704" s="38" t="n">
        <x:v>0.2993057442</x:v>
      </x:c>
      <x:c r="G2704" s="38" t="n">
        <x:v>1.2736680153</x:v>
      </x:c>
      <x:c r="H2704" s="42" t="b">
        <x:v>1</x:v>
      </x:c>
      <x:c r="I2704" s="42" t="b">
        <x:v>0</x:v>
      </x:c>
      <x:c r="J2704" s="38" t="n">
        <x:v>0.1235131969</x:v>
      </x:c>
    </x:row>
    <x:row r="2705" ht="19" customHeight="1">
      <x:c r="A2705" s="29" t="str">
        <x:v>stagger_1</x:v>
      </x:c>
      <x:c r="B2705" s="38" t="str">
        <x:v>MSFT</x:v>
      </x:c>
      <x:c r="C2705" s="38" t="str">
        <x:v>Other sectors</x:v>
      </x:c>
      <x:c r="D2705" s="30" t="n">
        <x:v>9</x:v>
      </x:c>
      <x:c r="E2705" s="38" t="str">
        <x:v>XLI</x:v>
      </x:c>
      <x:c r="F2705" s="38" t="n">
        <x:v>-0.6549591716</x:v>
      </x:c>
      <x:c r="G2705" s="38" t="n">
        <x:v>-2.8276944351</x:v>
      </x:c>
      <x:c r="H2705" s="42" t="b">
        <x:v>0</x:v>
      </x:c>
      <x:c r="I2705" s="42" t="b">
        <x:v>0</x:v>
      </x:c>
      <x:c r="J2705" s="38" t="n">
        <x:v>0.1235131969</x:v>
      </x:c>
    </x:row>
    <x:row r="2706" ht="19" customHeight="1">
      <x:c r="A2706" s="29" t="str">
        <x:v>stagger_1</x:v>
      </x:c>
      <x:c r="B2706" s="38" t="str">
        <x:v>MSFT</x:v>
      </x:c>
      <x:c r="C2706" s="38" t="str">
        <x:v>Other sectors</x:v>
      </x:c>
      <x:c r="D2706" s="30" t="n">
        <x:v>10</x:v>
      </x:c>
      <x:c r="E2706" s="38" t="str">
        <x:v>XLI</x:v>
      </x:c>
      <x:c r="F2706" s="38" t="n">
        <x:v>-0.6965924641</x:v>
      </x:c>
      <x:c r="G2706" s="38" t="n">
        <x:v>-3.0257986713</x:v>
      </x:c>
      <x:c r="H2706" s="42" t="b">
        <x:v>0</x:v>
      </x:c>
      <x:c r="I2706" s="42" t="b">
        <x:v>1</x:v>
      </x:c>
      <x:c r="J2706" s="38" t="n">
        <x:v>0.1050474388</x:v>
      </x:c>
    </x:row>
    <x:row r="2707" ht="19" customHeight="1">
      <x:c r="A2707" s="29" t="str">
        <x:v>stagger_1</x:v>
      </x:c>
      <x:c r="B2707" s="38" t="str">
        <x:v>GOOGL</x:v>
      </x:c>
      <x:c r="C2707" s="38" t="str">
        <x:v>Other FX</x:v>
      </x:c>
      <x:c r="D2707" s="30" t="n">
        <x:v>1</x:v>
      </x:c>
      <x:c r="E2707" s="38" t="str">
        <x:v>AUD/USD</x:v>
      </x:c>
      <x:c r="F2707" s="38" t="n">
        <x:v>1.9127357423</x:v>
      </x:c>
      <x:c r="G2707" s="38" t="n">
        <x:v>2.6812002465</x:v>
      </x:c>
      <x:c r="H2707" s="42" t="b">
        <x:v>0</x:v>
      </x:c>
      <x:c r="I2707" s="42" t="b">
        <x:v>0</x:v>
      </x:c>
      <x:c r="J2707" s="38" t="n">
        <x:v>0.2322435258</x:v>
      </x:c>
    </x:row>
    <x:row r="2708" ht="19" customHeight="1">
      <x:c r="A2708" s="29" t="str">
        <x:v>stagger_1</x:v>
      </x:c>
      <x:c r="B2708" s="38" t="str">
        <x:v>GOOGL</x:v>
      </x:c>
      <x:c r="C2708" s="38" t="str">
        <x:v>Other FX</x:v>
      </x:c>
      <x:c r="D2708" s="30" t="n">
        <x:v>1</x:v>
      </x:c>
      <x:c r="E2708" s="38" t="str">
        <x:v>CAD/USD</x:v>
      </x:c>
      <x:c r="F2708" s="38" t="n">
        <x:v>-1.4869611702</x:v>
      </x:c>
      <x:c r="G2708" s="38" t="n">
        <x:v>-1.726117742</x:v>
      </x:c>
      <x:c r="H2708" s="42" t="b">
        <x:v>0</x:v>
      </x:c>
      <x:c r="I2708" s="42" t="b">
        <x:v>0</x:v>
      </x:c>
      <x:c r="J2708" s="38" t="n">
        <x:v>0.2322435258</x:v>
      </x:c>
    </x:row>
    <x:row r="2709" ht="19" customHeight="1">
      <x:c r="A2709" s="29" t="str">
        <x:v>stagger_1</x:v>
      </x:c>
      <x:c r="B2709" s="38" t="str">
        <x:v>GOOGL</x:v>
      </x:c>
      <x:c r="C2709" s="38" t="str">
        <x:v>Other FX</x:v>
      </x:c>
      <x:c r="D2709" s="30" t="n">
        <x:v>1</x:v>
      </x:c>
      <x:c r="E2709" s="38" t="str">
        <x:v>DKK/USD</x:v>
      </x:c>
      <x:c r="F2709" s="38" t="n">
        <x:v>17.6727126888</x:v>
      </x:c>
      <x:c r="G2709" s="38" t="n">
        <x:v>2.9468163537</x:v>
      </x:c>
      <x:c r="H2709" s="42" t="b">
        <x:v>0</x:v>
      </x:c>
      <x:c r="I2709" s="42" t="b">
        <x:v>0</x:v>
      </x:c>
      <x:c r="J2709" s="38" t="n">
        <x:v>0.2322435258</x:v>
      </x:c>
    </x:row>
    <x:row r="2710" ht="19" customHeight="1">
      <x:c r="A2710" s="29" t="str">
        <x:v>stagger_1</x:v>
      </x:c>
      <x:c r="B2710" s="38" t="str">
        <x:v>GOOGL</x:v>
      </x:c>
      <x:c r="C2710" s="38" t="str">
        <x:v>Other FX</x:v>
      </x:c>
      <x:c r="D2710" s="30" t="n">
        <x:v>1</x:v>
      </x:c>
      <x:c r="E2710" s="38" t="str">
        <x:v>EUR/USD</x:v>
      </x:c>
      <x:c r="F2710" s="38" t="n">
        <x:v>-16.1509214894</x:v>
      </x:c>
      <x:c r="G2710" s="38" t="n">
        <x:v>-2.9441682841</x:v>
      </x:c>
      <x:c r="H2710" s="42" t="b">
        <x:v>0</x:v>
      </x:c>
      <x:c r="I2710" s="42" t="b">
        <x:v>0</x:v>
      </x:c>
      <x:c r="J2710" s="38" t="n">
        <x:v>0.2322435258</x:v>
      </x:c>
    </x:row>
    <x:row r="2711" ht="19" customHeight="1">
      <x:c r="A2711" s="29" t="str">
        <x:v>stagger_1</x:v>
      </x:c>
      <x:c r="B2711" s="38" t="str">
        <x:v>GOOGL</x:v>
      </x:c>
      <x:c r="C2711" s="38" t="str">
        <x:v>Other FX</x:v>
      </x:c>
      <x:c r="D2711" s="30" t="n">
        <x:v>1</x:v>
      </x:c>
      <x:c r="E2711" s="38" t="str">
        <x:v>MXN/USD</x:v>
      </x:c>
      <x:c r="F2711" s="38" t="n">
        <x:v>0.333910975</x:v>
      </x:c>
      <x:c r="G2711" s="38" t="n">
        <x:v>0.7306106189</x:v>
      </x:c>
      <x:c r="H2711" s="42" t="b">
        <x:v>1</x:v>
      </x:c>
      <x:c r="I2711" s="42" t="b">
        <x:v>0</x:v>
      </x:c>
      <x:c r="J2711" s="38" t="n">
        <x:v>0.2322435258</x:v>
      </x:c>
    </x:row>
    <x:row r="2712" ht="19" customHeight="1">
      <x:c r="A2712" s="29" t="str">
        <x:v>stagger_1</x:v>
      </x:c>
      <x:c r="B2712" s="38" t="str">
        <x:v>GOOGL</x:v>
      </x:c>
      <x:c r="C2712" s="38" t="str">
        <x:v>Other FX</x:v>
      </x:c>
      <x:c r="D2712" s="30" t="n">
        <x:v>1</x:v>
      </x:c>
      <x:c r="E2712" s="38" t="str">
        <x:v>SGD/USD</x:v>
      </x:c>
      <x:c r="F2712" s="38" t="n">
        <x:v>-3.7147774166</x:v>
      </x:c>
      <x:c r="G2712" s="38" t="n">
        <x:v>-2.1506887148</x:v>
      </x:c>
      <x:c r="H2712" s="42" t="b">
        <x:v>0</x:v>
      </x:c>
      <x:c r="I2712" s="42" t="b">
        <x:v>0</x:v>
      </x:c>
      <x:c r="J2712" s="38" t="n">
        <x:v>0.2322435258</x:v>
      </x:c>
    </x:row>
    <x:row r="2713" ht="19" customHeight="1">
      <x:c r="A2713" s="29" t="str">
        <x:v>stagger_1</x:v>
      </x:c>
      <x:c r="B2713" s="38" t="str">
        <x:v>GOOGL</x:v>
      </x:c>
      <x:c r="C2713" s="38" t="str">
        <x:v>Other FX</x:v>
      </x:c>
      <x:c r="D2713" s="30" t="n">
        <x:v>2</x:v>
      </x:c>
      <x:c r="E2713" s="38" t="str">
        <x:v>AUD/USD</x:v>
      </x:c>
      <x:c r="F2713" s="38" t="n">
        <x:v>2.0104658145</x:v>
      </x:c>
      <x:c r="G2713" s="38" t="n">
        <x:v>2.8781631649</x:v>
      </x:c>
      <x:c r="H2713" s="42" t="b">
        <x:v>0</x:v>
      </x:c>
      <x:c r="I2713" s="42" t="b">
        <x:v>0</x:v>
      </x:c>
      <x:c r="J2713" s="38" t="n">
        <x:v>0.2266295235</x:v>
      </x:c>
    </x:row>
    <x:row r="2714" ht="19" customHeight="1">
      <x:c r="A2714" s="29" t="str">
        <x:v>stagger_1</x:v>
      </x:c>
      <x:c r="B2714" s="38" t="str">
        <x:v>GOOGL</x:v>
      </x:c>
      <x:c r="C2714" s="38" t="str">
        <x:v>Other FX</x:v>
      </x:c>
      <x:c r="D2714" s="30" t="n">
        <x:v>2</x:v>
      </x:c>
      <x:c r="E2714" s="38" t="str">
        <x:v>CAD/USD</x:v>
      </x:c>
      <x:c r="F2714" s="38" t="n">
        <x:v>-1.4995633975</x:v>
      </x:c>
      <x:c r="G2714" s="38" t="n">
        <x:v>-1.7466065182</x:v>
      </x:c>
      <x:c r="H2714" s="42" t="b">
        <x:v>1</x:v>
      </x:c>
      <x:c r="I2714" s="42" t="b">
        <x:v>0</x:v>
      </x:c>
      <x:c r="J2714" s="38" t="n">
        <x:v>0.2266295235</x:v>
      </x:c>
    </x:row>
    <x:row r="2715" ht="19" customHeight="1">
      <x:c r="A2715" s="29" t="str">
        <x:v>stagger_1</x:v>
      </x:c>
      <x:c r="B2715" s="38" t="str">
        <x:v>GOOGL</x:v>
      </x:c>
      <x:c r="C2715" s="38" t="str">
        <x:v>Other FX</x:v>
      </x:c>
      <x:c r="D2715" s="30" t="n">
        <x:v>2</x:v>
      </x:c>
      <x:c r="E2715" s="38" t="str">
        <x:v>DKK/USD</x:v>
      </x:c>
      <x:c r="F2715" s="38" t="n">
        <x:v>18.998073824</x:v>
      </x:c>
      <x:c r="G2715" s="38" t="n">
        <x:v>3.3340191154</x:v>
      </x:c>
      <x:c r="H2715" s="42" t="b">
        <x:v>0</x:v>
      </x:c>
      <x:c r="I2715" s="42" t="b">
        <x:v>0</x:v>
      </x:c>
      <x:c r="J2715" s="38" t="n">
        <x:v>0.2266295235</x:v>
      </x:c>
    </x:row>
    <x:row r="2716" ht="19" customHeight="1">
      <x:c r="A2716" s="29" t="str">
        <x:v>stagger_1</x:v>
      </x:c>
      <x:c r="B2716" s="38" t="str">
        <x:v>GOOGL</x:v>
      </x:c>
      <x:c r="C2716" s="38" t="str">
        <x:v>Other FX</x:v>
      </x:c>
      <x:c r="D2716" s="30" t="n">
        <x:v>2</x:v>
      </x:c>
      <x:c r="E2716" s="38" t="str">
        <x:v>EUR/USD</x:v>
      </x:c>
      <x:c r="F2716" s="38" t="n">
        <x:v>-17.205167265</x:v>
      </x:c>
      <x:c r="G2716" s="38" t="n">
        <x:v>-3.2611145067</x:v>
      </x:c>
      <x:c r="H2716" s="42" t="b">
        <x:v>0</x:v>
      </x:c>
      <x:c r="I2716" s="42" t="b">
        <x:v>0</x:v>
      </x:c>
      <x:c r="J2716" s="38" t="n">
        <x:v>0.2266295235</x:v>
      </x:c>
    </x:row>
    <x:row r="2717" ht="19" customHeight="1">
      <x:c r="A2717" s="29" t="str">
        <x:v>stagger_1</x:v>
      </x:c>
      <x:c r="B2717" s="38" t="str">
        <x:v>GOOGL</x:v>
      </x:c>
      <x:c r="C2717" s="38" t="str">
        <x:v>Other FX</x:v>
      </x:c>
      <x:c r="D2717" s="30" t="n">
        <x:v>2</x:v>
      </x:c>
      <x:c r="E2717" s="38" t="str">
        <x:v>SGD/USD</x:v>
      </x:c>
      <x:c r="F2717" s="38" t="n">
        <x:v>-3.8505114215</x:v>
      </x:c>
      <x:c r="G2717" s="38" t="n">
        <x:v>-2.2493776225</x:v>
      </x:c>
      <x:c r="H2717" s="42" t="b">
        <x:v>0</x:v>
      </x:c>
      <x:c r="I2717" s="42" t="b">
        <x:v>0</x:v>
      </x:c>
      <x:c r="J2717" s="38" t="n">
        <x:v>0.2266295235</x:v>
      </x:c>
    </x:row>
    <x:row r="2718" ht="19" customHeight="1">
      <x:c r="A2718" s="29" t="str">
        <x:v>stagger_1</x:v>
      </x:c>
      <x:c r="B2718" s="38" t="str">
        <x:v>GOOGL</x:v>
      </x:c>
      <x:c r="C2718" s="38" t="str">
        <x:v>Other FX</x:v>
      </x:c>
      <x:c r="D2718" s="30" t="n">
        <x:v>3</x:v>
      </x:c>
      <x:c r="E2718" s="38" t="str">
        <x:v>AUD/USD</x:v>
      </x:c>
      <x:c r="F2718" s="38" t="n">
        <x:v>1.7128202349</x:v>
      </x:c>
      <x:c r="G2718" s="38" t="n">
        <x:v>2.4945815882</x:v>
      </x:c>
      <x:c r="H2718" s="42" t="b">
        <x:v>0</x:v>
      </x:c>
      <x:c r="I2718" s="42" t="b">
        <x:v>1</x:v>
      </x:c>
      <x:c r="J2718" s="38" t="n">
        <x:v>0.1947474894</x:v>
      </x:c>
    </x:row>
    <x:row r="2719" ht="19" customHeight="1">
      <x:c r="A2719" s="29" t="str">
        <x:v>stagger_1</x:v>
      </x:c>
      <x:c r="B2719" s="38" t="str">
        <x:v>GOOGL</x:v>
      </x:c>
      <x:c r="C2719" s="38" t="str">
        <x:v>Other FX</x:v>
      </x:c>
      <x:c r="D2719" s="30" t="n">
        <x:v>3</x:v>
      </x:c>
      <x:c r="E2719" s="38" t="str">
        <x:v>DKK/USD</x:v>
      </x:c>
      <x:c r="F2719" s="38" t="n">
        <x:v>18.0221232497</x:v>
      </x:c>
      <x:c r="G2719" s="38" t="n">
        <x:v>3.1354878826</x:v>
      </x:c>
      <x:c r="H2719" s="42" t="b">
        <x:v>0</x:v>
      </x:c>
      <x:c r="I2719" s="42" t="b">
        <x:v>1</x:v>
      </x:c>
      <x:c r="J2719" s="38" t="n">
        <x:v>0.1947474894</x:v>
      </x:c>
    </x:row>
    <x:row r="2720" ht="19" customHeight="1">
      <x:c r="A2720" s="29" t="str">
        <x:v>stagger_1</x:v>
      </x:c>
      <x:c r="B2720" s="38" t="str">
        <x:v>GOOGL</x:v>
      </x:c>
      <x:c r="C2720" s="38" t="str">
        <x:v>Other FX</x:v>
      </x:c>
      <x:c r="D2720" s="30" t="n">
        <x:v>3</x:v>
      </x:c>
      <x:c r="E2720" s="38" t="str">
        <x:v>EUR/USD</x:v>
      </x:c>
      <x:c r="F2720" s="38" t="n">
        <x:v>-16.6753474859</x:v>
      </x:c>
      <x:c r="G2720" s="38" t="n">
        <x:v>-3.1235150679</x:v>
      </x:c>
      <x:c r="H2720" s="42" t="b">
        <x:v>0</x:v>
      </x:c>
      <x:c r="I2720" s="42" t="b">
        <x:v>1</x:v>
      </x:c>
      <x:c r="J2720" s="38" t="n">
        <x:v>0.1947474894</x:v>
      </x:c>
    </x:row>
    <x:row r="2721" ht="19" customHeight="1">
      <x:c r="A2721" s="29" t="str">
        <x:v>stagger_1</x:v>
      </x:c>
      <x:c r="B2721" s="38" t="str">
        <x:v>GOOGL</x:v>
      </x:c>
      <x:c r="C2721" s="38" t="str">
        <x:v>Other FX</x:v>
      </x:c>
      <x:c r="D2721" s="30" t="n">
        <x:v>3</x:v>
      </x:c>
      <x:c r="E2721" s="38" t="str">
        <x:v>SGD/USD</x:v>
      </x:c>
      <x:c r="F2721" s="38" t="n">
        <x:v>-3.864358875</x:v>
      </x:c>
      <x:c r="G2721" s="38" t="n">
        <x:v>-2.2272480453</x:v>
      </x:c>
      <x:c r="H2721" s="42" t="b">
        <x:v>0</x:v>
      </x:c>
      <x:c r="I2721" s="42" t="b">
        <x:v>1</x:v>
      </x:c>
      <x:c r="J2721" s="38" t="n">
        <x:v>0.1947474894</x:v>
      </x:c>
    </x:row>
    <x:row r="2722" ht="19" customHeight="1">
      <x:c r="A2722" s="29" t="str">
        <x:v>stagger_1</x:v>
      </x:c>
      <x:c r="B2722" s="38" t="str">
        <x:v>GOOGL</x:v>
      </x:c>
      <x:c r="C2722" s="38" t="str">
        <x:v>Other sectors</x:v>
      </x:c>
      <x:c r="D2722" s="30" t="n">
        <x:v>1</x:v>
      </x:c>
      <x:c r="E2722" s="38" t="str">
        <x:v>XLB</x:v>
      </x:c>
      <x:c r="F2722" s="38" t="n">
        <x:v>-0.2571276633</x:v>
      </x:c>
      <x:c r="G2722" s="38" t="n">
        <x:v>-0.7449373007</x:v>
      </x:c>
      <x:c r="H2722" s="42" t="b">
        <x:v>0</x:v>
      </x:c>
      <x:c r="I2722" s="42" t="b">
        <x:v>0</x:v>
      </x:c>
      <x:c r="J2722" s="38" t="n">
        <x:v>0.2899595008</x:v>
      </x:c>
    </x:row>
    <x:row r="2723" ht="19" customHeight="1">
      <x:c r="A2723" s="29" t="str">
        <x:v>stagger_1</x:v>
      </x:c>
      <x:c r="B2723" s="38" t="str">
        <x:v>GOOGL</x:v>
      </x:c>
      <x:c r="C2723" s="38" t="str">
        <x:v>Other sectors</x:v>
      </x:c>
      <x:c r="D2723" s="30" t="n">
        <x:v>1</x:v>
      </x:c>
      <x:c r="E2723" s="38" t="str">
        <x:v>XLE</x:v>
      </x:c>
      <x:c r="F2723" s="38" t="n">
        <x:v>-0.1093019333</x:v>
      </x:c>
      <x:c r="G2723" s="38" t="n">
        <x:v>-0.845053282</x:v>
      </x:c>
      <x:c r="H2723" s="42" t="b">
        <x:v>0</x:v>
      </x:c>
      <x:c r="I2723" s="42" t="b">
        <x:v>0</x:v>
      </x:c>
      <x:c r="J2723" s="38" t="n">
        <x:v>0.2899595008</x:v>
      </x:c>
    </x:row>
    <x:row r="2724" ht="19" customHeight="1">
      <x:c r="A2724" s="29" t="str">
        <x:v>stagger_1</x:v>
      </x:c>
      <x:c r="B2724" s="38" t="str">
        <x:v>GOOGL</x:v>
      </x:c>
      <x:c r="C2724" s="38" t="str">
        <x:v>Other sectors</x:v>
      </x:c>
      <x:c r="D2724" s="30" t="n">
        <x:v>1</x:v>
      </x:c>
      <x:c r="E2724" s="38" t="str">
        <x:v>XLF</x:v>
      </x:c>
      <x:c r="F2724" s="38" t="n">
        <x:v>-0.7966019355</x:v>
      </x:c>
      <x:c r="G2724" s="38" t="n">
        <x:v>-2.2002248536</x:v>
      </x:c>
      <x:c r="H2724" s="42" t="b">
        <x:v>0</x:v>
      </x:c>
      <x:c r="I2724" s="42" t="b">
        <x:v>0</x:v>
      </x:c>
      <x:c r="J2724" s="38" t="n">
        <x:v>0.2899595008</x:v>
      </x:c>
    </x:row>
    <x:row r="2725" ht="19" customHeight="1">
      <x:c r="A2725" s="29" t="str">
        <x:v>stagger_1</x:v>
      </x:c>
      <x:c r="B2725" s="38" t="str">
        <x:v>GOOGL</x:v>
      </x:c>
      <x:c r="C2725" s="38" t="str">
        <x:v>Other sectors</x:v>
      </x:c>
      <x:c r="D2725" s="30" t="n">
        <x:v>1</x:v>
      </x:c>
      <x:c r="E2725" s="38" t="str">
        <x:v>XLI</x:v>
      </x:c>
      <x:c r="F2725" s="38" t="n">
        <x:v>-0.1530423243</x:v>
      </x:c>
      <x:c r="G2725" s="38" t="n">
        <x:v>-0.3473542786</x:v>
      </x:c>
      <x:c r="H2725" s="42" t="b">
        <x:v>0</x:v>
      </x:c>
      <x:c r="I2725" s="42" t="b">
        <x:v>0</x:v>
      </x:c>
      <x:c r="J2725" s="38" t="n">
        <x:v>0.2899595008</x:v>
      </x:c>
    </x:row>
    <x:row r="2726" ht="19" customHeight="1">
      <x:c r="A2726" s="29" t="str">
        <x:v>stagger_1</x:v>
      </x:c>
      <x:c r="B2726" s="38" t="str">
        <x:v>GOOGL</x:v>
      </x:c>
      <x:c r="C2726" s="38" t="str">
        <x:v>Other sectors</x:v>
      </x:c>
      <x:c r="D2726" s="30" t="n">
        <x:v>1</x:v>
      </x:c>
      <x:c r="E2726" s="38" t="str">
        <x:v>XLK</x:v>
      </x:c>
      <x:c r="F2726" s="38" t="n">
        <x:v>-0.7395257215</x:v>
      </x:c>
      <x:c r="G2726" s="38" t="n">
        <x:v>-1.5137035725</x:v>
      </x:c>
      <x:c r="H2726" s="42" t="b">
        <x:v>0</x:v>
      </x:c>
      <x:c r="I2726" s="42" t="b">
        <x:v>0</x:v>
      </x:c>
      <x:c r="J2726" s="38" t="n">
        <x:v>0.2899595008</x:v>
      </x:c>
    </x:row>
    <x:row r="2727" ht="19" customHeight="1">
      <x:c r="A2727" s="29" t="str">
        <x:v>stagger_1</x:v>
      </x:c>
      <x:c r="B2727" s="38" t="str">
        <x:v>GOOGL</x:v>
      </x:c>
      <x:c r="C2727" s="38" t="str">
        <x:v>Other sectors</x:v>
      </x:c>
      <x:c r="D2727" s="30" t="n">
        <x:v>1</x:v>
      </x:c>
      <x:c r="E2727" s="38" t="str">
        <x:v>XLP</x:v>
      </x:c>
      <x:c r="F2727" s="38" t="n">
        <x:v>-0.6600524677</x:v>
      </x:c>
      <x:c r="G2727" s="38" t="n">
        <x:v>-1.7813240529</x:v>
      </x:c>
      <x:c r="H2727" s="42" t="b">
        <x:v>0</x:v>
      </x:c>
      <x:c r="I2727" s="42" t="b">
        <x:v>0</x:v>
      </x:c>
      <x:c r="J2727" s="38" t="n">
        <x:v>0.2899595008</x:v>
      </x:c>
    </x:row>
    <x:row r="2728" ht="19" customHeight="1">
      <x:c r="A2728" s="29" t="str">
        <x:v>stagger_1</x:v>
      </x:c>
      <x:c r="B2728" s="38" t="str">
        <x:v>GOOGL</x:v>
      </x:c>
      <x:c r="C2728" s="38" t="str">
        <x:v>Other sectors</x:v>
      </x:c>
      <x:c r="D2728" s="30" t="n">
        <x:v>1</x:v>
      </x:c>
      <x:c r="E2728" s="38" t="str">
        <x:v>XLRE</x:v>
      </x:c>
      <x:c r="F2728" s="38" t="n">
        <x:v>-0.355098368</x:v>
      </x:c>
      <x:c r="G2728" s="38" t="n">
        <x:v>-1.2155763172</x:v>
      </x:c>
      <x:c r="H2728" s="42" t="b">
        <x:v>0</x:v>
      </x:c>
      <x:c r="I2728" s="42" t="b">
        <x:v>0</x:v>
      </x:c>
      <x:c r="J2728" s="38" t="n">
        <x:v>0.2899595008</x:v>
      </x:c>
    </x:row>
    <x:row r="2729" ht="19" customHeight="1">
      <x:c r="A2729" s="29" t="str">
        <x:v>stagger_1</x:v>
      </x:c>
      <x:c r="B2729" s="38" t="str">
        <x:v>GOOGL</x:v>
      </x:c>
      <x:c r="C2729" s="38" t="str">
        <x:v>Other sectors</x:v>
      </x:c>
      <x:c r="D2729" s="30" t="n">
        <x:v>1</x:v>
      </x:c>
      <x:c r="E2729" s="38" t="str">
        <x:v>XLU</x:v>
      </x:c>
      <x:c r="F2729" s="38" t="n">
        <x:v>-0.091619438</x:v>
      </x:c>
      <x:c r="G2729" s="38" t="n">
        <x:v>-0.4056468738</x:v>
      </x:c>
      <x:c r="H2729" s="42" t="b">
        <x:v>0</x:v>
      </x:c>
      <x:c r="I2729" s="42" t="b">
        <x:v>0</x:v>
      </x:c>
      <x:c r="J2729" s="38" t="n">
        <x:v>0.2899595008</x:v>
      </x:c>
    </x:row>
    <x:row r="2730" ht="19" customHeight="1">
      <x:c r="A2730" s="29" t="str">
        <x:v>stagger_1</x:v>
      </x:c>
      <x:c r="B2730" s="38" t="str">
        <x:v>GOOGL</x:v>
      </x:c>
      <x:c r="C2730" s="38" t="str">
        <x:v>Other sectors</x:v>
      </x:c>
      <x:c r="D2730" s="30" t="n">
        <x:v>1</x:v>
      </x:c>
      <x:c r="E2730" s="38" t="str">
        <x:v>XLV</x:v>
      </x:c>
      <x:c r="F2730" s="38" t="n">
        <x:v>0.0313699809</x:v>
      </x:c>
      <x:c r="G2730" s="38" t="n">
        <x:v>0.1022412295</x:v>
      </x:c>
      <x:c r="H2730" s="42" t="b">
        <x:v>1</x:v>
      </x:c>
      <x:c r="I2730" s="42" t="b">
        <x:v>0</x:v>
      </x:c>
      <x:c r="J2730" s="38" t="n">
        <x:v>0.2899595008</x:v>
      </x:c>
    </x:row>
    <x:row r="2731" ht="19" customHeight="1">
      <x:c r="A2731" s="29" t="str">
        <x:v>stagger_1</x:v>
      </x:c>
      <x:c r="B2731" s="38" t="str">
        <x:v>GOOGL</x:v>
      </x:c>
      <x:c r="C2731" s="38" t="str">
        <x:v>Other sectors</x:v>
      </x:c>
      <x:c r="D2731" s="30" t="n">
        <x:v>1</x:v>
      </x:c>
      <x:c r="E2731" s="38" t="str">
        <x:v>XLY</x:v>
      </x:c>
      <x:c r="F2731" s="38" t="n">
        <x:v>-0.088603008</x:v>
      </x:c>
      <x:c r="G2731" s="38" t="n">
        <x:v>-0.2477987119</x:v>
      </x:c>
      <x:c r="H2731" s="42" t="b">
        <x:v>0</x:v>
      </x:c>
      <x:c r="I2731" s="42" t="b">
        <x:v>0</x:v>
      </x:c>
      <x:c r="J2731" s="38" t="n">
        <x:v>0.2899595008</x:v>
      </x:c>
    </x:row>
    <x:row r="2732" ht="19" customHeight="1">
      <x:c r="A2732" s="29" t="str">
        <x:v>stagger_1</x:v>
      </x:c>
      <x:c r="B2732" s="38" t="str">
        <x:v>GOOGL</x:v>
      </x:c>
      <x:c r="C2732" s="38" t="str">
        <x:v>Other sectors</x:v>
      </x:c>
      <x:c r="D2732" s="30" t="n">
        <x:v>2</x:v>
      </x:c>
      <x:c r="E2732" s="38" t="str">
        <x:v>XLB</x:v>
      </x:c>
      <x:c r="F2732" s="38" t="n">
        <x:v>-0.2539616178</x:v>
      </x:c>
      <x:c r="G2732" s="38" t="n">
        <x:v>-0.7440213541</x:v>
      </x:c>
      <x:c r="H2732" s="42" t="b">
        <x:v>0</x:v>
      </x:c>
      <x:c r="I2732" s="42" t="b">
        <x:v>0</x:v>
      </x:c>
      <x:c r="J2732" s="38" t="n">
        <x:v>0.2898519321</x:v>
      </x:c>
    </x:row>
    <x:row r="2733" ht="19" customHeight="1">
      <x:c r="A2733" s="29" t="str">
        <x:v>stagger_1</x:v>
      </x:c>
      <x:c r="B2733" s="38" t="str">
        <x:v>GOOGL</x:v>
      </x:c>
      <x:c r="C2733" s="38" t="str">
        <x:v>Other sectors</x:v>
      </x:c>
      <x:c r="D2733" s="30" t="n">
        <x:v>2</x:v>
      </x:c>
      <x:c r="E2733" s="38" t="str">
        <x:v>XLE</x:v>
      </x:c>
      <x:c r="F2733" s="38" t="n">
        <x:v>-0.112861268</x:v>
      </x:c>
      <x:c r="G2733" s="38" t="n">
        <x:v>-0.9124782324</x:v>
      </x:c>
      <x:c r="H2733" s="42" t="b">
        <x:v>0</x:v>
      </x:c>
      <x:c r="I2733" s="42" t="b">
        <x:v>0</x:v>
      </x:c>
      <x:c r="J2733" s="38" t="n">
        <x:v>0.2898519321</x:v>
      </x:c>
    </x:row>
    <x:row r="2734" ht="19" customHeight="1">
      <x:c r="A2734" s="29" t="str">
        <x:v>stagger_1</x:v>
      </x:c>
      <x:c r="B2734" s="38" t="str">
        <x:v>GOOGL</x:v>
      </x:c>
      <x:c r="C2734" s="38" t="str">
        <x:v>Other sectors</x:v>
      </x:c>
      <x:c r="D2734" s="30" t="n">
        <x:v>2</x:v>
      </x:c>
      <x:c r="E2734" s="38" t="str">
        <x:v>XLF</x:v>
      </x:c>
      <x:c r="F2734" s="38" t="n">
        <x:v>-0.8032180119</x:v>
      </x:c>
      <x:c r="G2734" s="38" t="n">
        <x:v>-2.2709139026</x:v>
      </x:c>
      <x:c r="H2734" s="42" t="b">
        <x:v>0</x:v>
      </x:c>
      <x:c r="I2734" s="42" t="b">
        <x:v>0</x:v>
      </x:c>
      <x:c r="J2734" s="38" t="n">
        <x:v>0.2898519321</x:v>
      </x:c>
    </x:row>
    <x:row r="2735" ht="19" customHeight="1">
      <x:c r="A2735" s="29" t="str">
        <x:v>stagger_1</x:v>
      </x:c>
      <x:c r="B2735" s="38" t="str">
        <x:v>GOOGL</x:v>
      </x:c>
      <x:c r="C2735" s="38" t="str">
        <x:v>Other sectors</x:v>
      </x:c>
      <x:c r="D2735" s="30" t="n">
        <x:v>2</x:v>
      </x:c>
      <x:c r="E2735" s="38" t="str">
        <x:v>XLI</x:v>
      </x:c>
      <x:c r="F2735" s="38" t="n">
        <x:v>-0.1606264055</x:v>
      </x:c>
      <x:c r="G2735" s="38" t="n">
        <x:v>-0.3724891008</x:v>
      </x:c>
      <x:c r="H2735" s="42" t="b">
        <x:v>0</x:v>
      </x:c>
      <x:c r="I2735" s="42" t="b">
        <x:v>0</x:v>
      </x:c>
      <x:c r="J2735" s="38" t="n">
        <x:v>0.2898519321</x:v>
      </x:c>
    </x:row>
    <x:row r="2736" ht="19" customHeight="1">
      <x:c r="A2736" s="29" t="str">
        <x:v>stagger_1</x:v>
      </x:c>
      <x:c r="B2736" s="38" t="str">
        <x:v>GOOGL</x:v>
      </x:c>
      <x:c r="C2736" s="38" t="str">
        <x:v>Other sectors</x:v>
      </x:c>
      <x:c r="D2736" s="30" t="n">
        <x:v>2</x:v>
      </x:c>
      <x:c r="E2736" s="38" t="str">
        <x:v>XLK</x:v>
      </x:c>
      <x:c r="F2736" s="38" t="n">
        <x:v>-0.7652200395</x:v>
      </x:c>
      <x:c r="G2736" s="38" t="n">
        <x:v>-1.8395219416</x:v>
      </x:c>
      <x:c r="H2736" s="42" t="b">
        <x:v>0</x:v>
      </x:c>
      <x:c r="I2736" s="42" t="b">
        <x:v>0</x:v>
      </x:c>
      <x:c r="J2736" s="38" t="n">
        <x:v>0.2898519321</x:v>
      </x:c>
    </x:row>
    <x:row r="2737" ht="19" customHeight="1">
      <x:c r="A2737" s="29" t="str">
        <x:v>stagger_1</x:v>
      </x:c>
      <x:c r="B2737" s="38" t="str">
        <x:v>GOOGL</x:v>
      </x:c>
      <x:c r="C2737" s="38" t="str">
        <x:v>Other sectors</x:v>
      </x:c>
      <x:c r="D2737" s="30" t="n">
        <x:v>2</x:v>
      </x:c>
      <x:c r="E2737" s="38" t="str">
        <x:v>XLP</x:v>
      </x:c>
      <x:c r="F2737" s="38" t="n">
        <x:v>-0.6593842758</x:v>
      </x:c>
      <x:c r="G2737" s="38" t="n">
        <x:v>-1.7925125348</x:v>
      </x:c>
      <x:c r="H2737" s="42" t="b">
        <x:v>0</x:v>
      </x:c>
      <x:c r="I2737" s="42" t="b">
        <x:v>0</x:v>
      </x:c>
      <x:c r="J2737" s="38" t="n">
        <x:v>0.2898519321</x:v>
      </x:c>
    </x:row>
    <x:row r="2738" ht="19" customHeight="1">
      <x:c r="A2738" s="29" t="str">
        <x:v>stagger_1</x:v>
      </x:c>
      <x:c r="B2738" s="38" t="str">
        <x:v>GOOGL</x:v>
      </x:c>
      <x:c r="C2738" s="38" t="str">
        <x:v>Other sectors</x:v>
      </x:c>
      <x:c r="D2738" s="30" t="n">
        <x:v>2</x:v>
      </x:c>
      <x:c r="E2738" s="38" t="str">
        <x:v>XLRE</x:v>
      </x:c>
      <x:c r="F2738" s="38" t="n">
        <x:v>-0.3482764644</x:v>
      </x:c>
      <x:c r="G2738" s="38" t="n">
        <x:v>-1.233343875</x:v>
      </x:c>
      <x:c r="H2738" s="42" t="b">
        <x:v>0</x:v>
      </x:c>
      <x:c r="I2738" s="42" t="b">
        <x:v>0</x:v>
      </x:c>
      <x:c r="J2738" s="38" t="n">
        <x:v>0.2898519321</x:v>
      </x:c>
    </x:row>
    <x:row r="2739" ht="19" customHeight="1">
      <x:c r="A2739" s="29" t="str">
        <x:v>stagger_1</x:v>
      </x:c>
      <x:c r="B2739" s="38" t="str">
        <x:v>GOOGL</x:v>
      </x:c>
      <x:c r="C2739" s="38" t="str">
        <x:v>Other sectors</x:v>
      </x:c>
      <x:c r="D2739" s="30" t="n">
        <x:v>2</x:v>
      </x:c>
      <x:c r="E2739" s="38" t="str">
        <x:v>XLU</x:v>
      </x:c>
      <x:c r="F2739" s="38" t="n">
        <x:v>-0.0940123916</x:v>
      </x:c>
      <x:c r="G2739" s="38" t="n">
        <x:v>-0.4214844957</x:v>
      </x:c>
      <x:c r="H2739" s="42" t="b">
        <x:v>0</x:v>
      </x:c>
      <x:c r="I2739" s="42" t="b">
        <x:v>0</x:v>
      </x:c>
      <x:c r="J2739" s="38" t="n">
        <x:v>0.2898519321</x:v>
      </x:c>
    </x:row>
    <x:row r="2740" ht="19" customHeight="1">
      <x:c r="A2740" s="29" t="str">
        <x:v>stagger_1</x:v>
      </x:c>
      <x:c r="B2740" s="38" t="str">
        <x:v>GOOGL</x:v>
      </x:c>
      <x:c r="C2740" s="38" t="str">
        <x:v>Other sectors</x:v>
      </x:c>
      <x:c r="D2740" s="30" t="n">
        <x:v>2</x:v>
      </x:c>
      <x:c r="E2740" s="38" t="str">
        <x:v>XLY</x:v>
      </x:c>
      <x:c r="F2740" s="38" t="n">
        <x:v>-0.1081212361</x:v>
      </x:c>
      <x:c r="G2740" s="38" t="n">
        <x:v>-0.3601779089</x:v>
      </x:c>
      <x:c r="H2740" s="42" t="b">
        <x:v>1</x:v>
      </x:c>
      <x:c r="I2740" s="42" t="b">
        <x:v>0</x:v>
      </x:c>
      <x:c r="J2740" s="38" t="n">
        <x:v>0.2898519321</x:v>
      </x:c>
    </x:row>
    <x:row r="2741" ht="19" customHeight="1">
      <x:c r="A2741" s="29" t="str">
        <x:v>stagger_1</x:v>
      </x:c>
      <x:c r="B2741" s="38" t="str">
        <x:v>GOOGL</x:v>
      </x:c>
      <x:c r="C2741" s="38" t="str">
        <x:v>Other sectors</x:v>
      </x:c>
      <x:c r="D2741" s="30" t="n">
        <x:v>3</x:v>
      </x:c>
      <x:c r="E2741" s="38" t="str">
        <x:v>XLB</x:v>
      </x:c>
      <x:c r="F2741" s="38" t="n">
        <x:v>-0.2611221801</x:v>
      </x:c>
      <x:c r="G2741" s="38" t="n">
        <x:v>-0.7710402624</x:v>
      </x:c>
      <x:c r="H2741" s="42" t="b">
        <x:v>0</x:v>
      </x:c>
      <x:c r="I2741" s="42" t="b">
        <x:v>0</x:v>
      </x:c>
      <x:c r="J2741" s="38" t="n">
        <x:v>0.2885358438</x:v>
      </x:c>
    </x:row>
    <x:row r="2742" ht="19" customHeight="1">
      <x:c r="A2742" s="29" t="str">
        <x:v>stagger_1</x:v>
      </x:c>
      <x:c r="B2742" s="38" t="str">
        <x:v>GOOGL</x:v>
      </x:c>
      <x:c r="C2742" s="38" t="str">
        <x:v>Other sectors</x:v>
      </x:c>
      <x:c r="D2742" s="30" t="n">
        <x:v>3</x:v>
      </x:c>
      <x:c r="E2742" s="38" t="str">
        <x:v>XLE</x:v>
      </x:c>
      <x:c r="F2742" s="38" t="n">
        <x:v>-0.0952103658</x:v>
      </x:c>
      <x:c r="G2742" s="38" t="n">
        <x:v>-0.8435716169</x:v>
      </x:c>
      <x:c r="H2742" s="42" t="b">
        <x:v>0</x:v>
      </x:c>
      <x:c r="I2742" s="42" t="b">
        <x:v>0</x:v>
      </x:c>
      <x:c r="J2742" s="38" t="n">
        <x:v>0.2885358438</x:v>
      </x:c>
    </x:row>
    <x:row r="2743" ht="19" customHeight="1">
      <x:c r="A2743" s="29" t="str">
        <x:v>stagger_1</x:v>
      </x:c>
      <x:c r="B2743" s="38" t="str">
        <x:v>GOOGL</x:v>
      </x:c>
      <x:c r="C2743" s="38" t="str">
        <x:v>Other sectors</x:v>
      </x:c>
      <x:c r="D2743" s="30" t="n">
        <x:v>3</x:v>
      </x:c>
      <x:c r="E2743" s="38" t="str">
        <x:v>XLF</x:v>
      </x:c>
      <x:c r="F2743" s="38" t="n">
        <x:v>-0.7632832211</x:v>
      </x:c>
      <x:c r="G2743" s="38" t="n">
        <x:v>-2.2866084952</x:v>
      </x:c>
      <x:c r="H2743" s="42" t="b">
        <x:v>0</x:v>
      </x:c>
      <x:c r="I2743" s="42" t="b">
        <x:v>0</x:v>
      </x:c>
      <x:c r="J2743" s="38" t="n">
        <x:v>0.2885358438</x:v>
      </x:c>
    </x:row>
    <x:row r="2744" ht="19" customHeight="1">
      <x:c r="A2744" s="29" t="str">
        <x:v>stagger_1</x:v>
      </x:c>
      <x:c r="B2744" s="38" t="str">
        <x:v>GOOGL</x:v>
      </x:c>
      <x:c r="C2744" s="38" t="str">
        <x:v>Other sectors</x:v>
      </x:c>
      <x:c r="D2744" s="30" t="n">
        <x:v>3</x:v>
      </x:c>
      <x:c r="E2744" s="38" t="str">
        <x:v>XLI</x:v>
      </x:c>
      <x:c r="F2744" s="38" t="n">
        <x:v>-0.1543187476</x:v>
      </x:c>
      <x:c r="G2744" s="38" t="n">
        <x:v>-0.360372671</x:v>
      </x:c>
      <x:c r="H2744" s="42" t="b">
        <x:v>1</x:v>
      </x:c>
      <x:c r="I2744" s="42" t="b">
        <x:v>0</x:v>
      </x:c>
      <x:c r="J2744" s="38" t="n">
        <x:v>0.2885358438</x:v>
      </x:c>
    </x:row>
    <x:row r="2745" ht="19" customHeight="1">
      <x:c r="A2745" s="29" t="str">
        <x:v>stagger_1</x:v>
      </x:c>
      <x:c r="B2745" s="38" t="str">
        <x:v>GOOGL</x:v>
      </x:c>
      <x:c r="C2745" s="38" t="str">
        <x:v>Other sectors</x:v>
      </x:c>
      <x:c r="D2745" s="30" t="n">
        <x:v>3</x:v>
      </x:c>
      <x:c r="E2745" s="38" t="str">
        <x:v>XLK</x:v>
      </x:c>
      <x:c r="F2745" s="38" t="n">
        <x:v>-0.6941066252</x:v>
      </x:c>
      <x:c r="G2745" s="38" t="n">
        <x:v>-1.9074279807</x:v>
      </x:c>
      <x:c r="H2745" s="42" t="b">
        <x:v>0</x:v>
      </x:c>
      <x:c r="I2745" s="42" t="b">
        <x:v>0</x:v>
      </x:c>
      <x:c r="J2745" s="38" t="n">
        <x:v>0.2885358438</x:v>
      </x:c>
    </x:row>
    <x:row r="2746" ht="19" customHeight="1">
      <x:c r="A2746" s="29" t="str">
        <x:v>stagger_1</x:v>
      </x:c>
      <x:c r="B2746" s="38" t="str">
        <x:v>GOOGL</x:v>
      </x:c>
      <x:c r="C2746" s="38" t="str">
        <x:v>Other sectors</x:v>
      </x:c>
      <x:c r="D2746" s="30" t="n">
        <x:v>3</x:v>
      </x:c>
      <x:c r="E2746" s="38" t="str">
        <x:v>XLP</x:v>
      </x:c>
      <x:c r="F2746" s="38" t="n">
        <x:v>-0.6107640121</x:v>
      </x:c>
      <x:c r="G2746" s="38" t="n">
        <x:v>-1.7959013172</x:v>
      </x:c>
      <x:c r="H2746" s="42" t="b">
        <x:v>0</x:v>
      </x:c>
      <x:c r="I2746" s="42" t="b">
        <x:v>0</x:v>
      </x:c>
      <x:c r="J2746" s="38" t="n">
        <x:v>0.2885358438</x:v>
      </x:c>
    </x:row>
    <x:row r="2747" ht="19" customHeight="1">
      <x:c r="A2747" s="29" t="str">
        <x:v>stagger_1</x:v>
      </x:c>
      <x:c r="B2747" s="38" t="str">
        <x:v>GOOGL</x:v>
      </x:c>
      <x:c r="C2747" s="38" t="str">
        <x:v>Other sectors</x:v>
      </x:c>
      <x:c r="D2747" s="30" t="n">
        <x:v>3</x:v>
      </x:c>
      <x:c r="E2747" s="38" t="str">
        <x:v>XLRE</x:v>
      </x:c>
      <x:c r="F2747" s="38" t="n">
        <x:v>-0.3684606823</x:v>
      </x:c>
      <x:c r="G2747" s="38" t="n">
        <x:v>-1.3395353836</x:v>
      </x:c>
      <x:c r="H2747" s="42" t="b">
        <x:v>0</x:v>
      </x:c>
      <x:c r="I2747" s="42" t="b">
        <x:v>0</x:v>
      </x:c>
      <x:c r="J2747" s="38" t="n">
        <x:v>0.2885358438</x:v>
      </x:c>
    </x:row>
    <x:row r="2748" ht="19" customHeight="1">
      <x:c r="A2748" s="29" t="str">
        <x:v>stagger_1</x:v>
      </x:c>
      <x:c r="B2748" s="38" t="str">
        <x:v>GOOGL</x:v>
      </x:c>
      <x:c r="C2748" s="38" t="str">
        <x:v>Other sectors</x:v>
      </x:c>
      <x:c r="D2748" s="30" t="n">
        <x:v>3</x:v>
      </x:c>
      <x:c r="E2748" s="38" t="str">
        <x:v>XLU</x:v>
      </x:c>
      <x:c r="F2748" s="38" t="n">
        <x:v>-0.0835740549</x:v>
      </x:c>
      <x:c r="G2748" s="38" t="n">
        <x:v>-0.3802272416</x:v>
      </x:c>
      <x:c r="H2748" s="42" t="b">
        <x:v>0</x:v>
      </x:c>
      <x:c r="I2748" s="42" t="b">
        <x:v>0</x:v>
      </x:c>
      <x:c r="J2748" s="38" t="n">
        <x:v>0.2885358438</x:v>
      </x:c>
    </x:row>
    <x:row r="2749" ht="19" customHeight="1">
      <x:c r="A2749" s="29" t="str">
        <x:v>stagger_1</x:v>
      </x:c>
      <x:c r="B2749" s="38" t="str">
        <x:v>GOOGL</x:v>
      </x:c>
      <x:c r="C2749" s="38" t="str">
        <x:v>Other sectors</x:v>
      </x:c>
      <x:c r="D2749" s="30" t="n">
        <x:v>4</x:v>
      </x:c>
      <x:c r="E2749" s="38" t="str">
        <x:v>XLB</x:v>
      </x:c>
      <x:c r="F2749" s="38" t="n">
        <x:v>-0.3469574367</x:v>
      </x:c>
      <x:c r="G2749" s="38" t="n">
        <x:v>-1.4499458791</x:v>
      </x:c>
      <x:c r="H2749" s="42" t="b">
        <x:v>0</x:v>
      </x:c>
      <x:c r="I2749" s="42" t="b">
        <x:v>0</x:v>
      </x:c>
      <x:c r="J2749" s="38" t="n">
        <x:v>0.287234481</x:v>
      </x:c>
    </x:row>
    <x:row r="2750" ht="19" customHeight="1">
      <x:c r="A2750" s="29" t="str">
        <x:v>stagger_1</x:v>
      </x:c>
      <x:c r="B2750" s="38" t="str">
        <x:v>GOOGL</x:v>
      </x:c>
      <x:c r="C2750" s="38" t="str">
        <x:v>Other sectors</x:v>
      </x:c>
      <x:c r="D2750" s="30" t="n">
        <x:v>4</x:v>
      </x:c>
      <x:c r="E2750" s="38" t="str">
        <x:v>XLE</x:v>
      </x:c>
      <x:c r="F2750" s="38" t="n">
        <x:v>-0.0909763903</x:v>
      </x:c>
      <x:c r="G2750" s="38" t="n">
        <x:v>-0.8154033994</x:v>
      </x:c>
      <x:c r="H2750" s="42" t="b">
        <x:v>0</x:v>
      </x:c>
      <x:c r="I2750" s="42" t="b">
        <x:v>0</x:v>
      </x:c>
      <x:c r="J2750" s="38" t="n">
        <x:v>0.287234481</x:v>
      </x:c>
    </x:row>
    <x:row r="2751" ht="19" customHeight="1">
      <x:c r="A2751" s="29" t="str">
        <x:v>stagger_1</x:v>
      </x:c>
      <x:c r="B2751" s="38" t="str">
        <x:v>GOOGL</x:v>
      </x:c>
      <x:c r="C2751" s="38" t="str">
        <x:v>Other sectors</x:v>
      </x:c>
      <x:c r="D2751" s="30" t="n">
        <x:v>4</x:v>
      </x:c>
      <x:c r="E2751" s="38" t="str">
        <x:v>XLF</x:v>
      </x:c>
      <x:c r="F2751" s="38" t="n">
        <x:v>-0.7858114317</x:v>
      </x:c>
      <x:c r="G2751" s="38" t="n">
        <x:v>-2.4111112823</x:v>
      </x:c>
      <x:c r="H2751" s="42" t="b">
        <x:v>0</x:v>
      </x:c>
      <x:c r="I2751" s="42" t="b">
        <x:v>0</x:v>
      </x:c>
      <x:c r="J2751" s="38" t="n">
        <x:v>0.287234481</x:v>
      </x:c>
    </x:row>
    <x:row r="2752" ht="19" customHeight="1">
      <x:c r="A2752" s="29" t="str">
        <x:v>stagger_1</x:v>
      </x:c>
      <x:c r="B2752" s="38" t="str">
        <x:v>GOOGL</x:v>
      </x:c>
      <x:c r="C2752" s="38" t="str">
        <x:v>Other sectors</x:v>
      </x:c>
      <x:c r="D2752" s="30" t="n">
        <x:v>4</x:v>
      </x:c>
      <x:c r="E2752" s="38" t="str">
        <x:v>XLK</x:v>
      </x:c>
      <x:c r="F2752" s="38" t="n">
        <x:v>-0.7092963985</x:v>
      </x:c>
      <x:c r="G2752" s="38" t="n">
        <x:v>-1.9743450712</x:v>
      </x:c>
      <x:c r="H2752" s="42" t="b">
        <x:v>0</x:v>
      </x:c>
      <x:c r="I2752" s="42" t="b">
        <x:v>0</x:v>
      </x:c>
      <x:c r="J2752" s="38" t="n">
        <x:v>0.287234481</x:v>
      </x:c>
    </x:row>
    <x:row r="2753" ht="19" customHeight="1">
      <x:c r="A2753" s="29" t="str">
        <x:v>stagger_1</x:v>
      </x:c>
      <x:c r="B2753" s="38" t="str">
        <x:v>GOOGL</x:v>
      </x:c>
      <x:c r="C2753" s="38" t="str">
        <x:v>Other sectors</x:v>
      </x:c>
      <x:c r="D2753" s="30" t="n">
        <x:v>4</x:v>
      </x:c>
      <x:c r="E2753" s="38" t="str">
        <x:v>XLP</x:v>
      </x:c>
      <x:c r="F2753" s="38" t="n">
        <x:v>-0.6320301296</x:v>
      </x:c>
      <x:c r="G2753" s="38" t="n">
        <x:v>-1.8985651572</x:v>
      </x:c>
      <x:c r="H2753" s="42" t="b">
        <x:v>0</x:v>
      </x:c>
      <x:c r="I2753" s="42" t="b">
        <x:v>0</x:v>
      </x:c>
      <x:c r="J2753" s="38" t="n">
        <x:v>0.287234481</x:v>
      </x:c>
    </x:row>
    <x:row r="2754" ht="19" customHeight="1">
      <x:c r="A2754" s="29" t="str">
        <x:v>stagger_1</x:v>
      </x:c>
      <x:c r="B2754" s="38" t="str">
        <x:v>GOOGL</x:v>
      </x:c>
      <x:c r="C2754" s="38" t="str">
        <x:v>Other sectors</x:v>
      </x:c>
      <x:c r="D2754" s="30" t="n">
        <x:v>4</x:v>
      </x:c>
      <x:c r="E2754" s="38" t="str">
        <x:v>XLRE</x:v>
      </x:c>
      <x:c r="F2754" s="38" t="n">
        <x:v>-0.3505826468</x:v>
      </x:c>
      <x:c r="G2754" s="38" t="n">
        <x:v>-1.3036907195</x:v>
      </x:c>
      <x:c r="H2754" s="42" t="b">
        <x:v>0</x:v>
      </x:c>
      <x:c r="I2754" s="42" t="b">
        <x:v>0</x:v>
      </x:c>
      <x:c r="J2754" s="38" t="n">
        <x:v>0.287234481</x:v>
      </x:c>
    </x:row>
    <x:row r="2755" ht="19" customHeight="1">
      <x:c r="A2755" s="29" t="str">
        <x:v>stagger_1</x:v>
      </x:c>
      <x:c r="B2755" s="38" t="str">
        <x:v>GOOGL</x:v>
      </x:c>
      <x:c r="C2755" s="38" t="str">
        <x:v>Other sectors</x:v>
      </x:c>
      <x:c r="D2755" s="30" t="n">
        <x:v>4</x:v>
      </x:c>
      <x:c r="E2755" s="38" t="str">
        <x:v>XLU</x:v>
      </x:c>
      <x:c r="F2755" s="38" t="n">
        <x:v>-0.0953072453</x:v>
      </x:c>
      <x:c r="G2755" s="38" t="n">
        <x:v>-0.4411187985</x:v>
      </x:c>
      <x:c r="H2755" s="42" t="b">
        <x:v>1</x:v>
      </x:c>
      <x:c r="I2755" s="42" t="b">
        <x:v>0</x:v>
      </x:c>
      <x:c r="J2755" s="38" t="n">
        <x:v>0.287234481</x:v>
      </x:c>
    </x:row>
    <x:row r="2756" ht="19" customHeight="1">
      <x:c r="A2756" s="29" t="str">
        <x:v>stagger_1</x:v>
      </x:c>
      <x:c r="B2756" s="38" t="str">
        <x:v>GOOGL</x:v>
      </x:c>
      <x:c r="C2756" s="38" t="str">
        <x:v>Other sectors</x:v>
      </x:c>
      <x:c r="D2756" s="30" t="n">
        <x:v>5</x:v>
      </x:c>
      <x:c r="E2756" s="38" t="str">
        <x:v>XLB</x:v>
      </x:c>
      <x:c r="F2756" s="38" t="n">
        <x:v>-0.3648629821</x:v>
      </x:c>
      <x:c r="G2756" s="38" t="n">
        <x:v>-1.5558029167</x:v>
      </x:c>
      <x:c r="H2756" s="42" t="b">
        <x:v>0</x:v>
      </x:c>
      <x:c r="I2756" s="42" t="b">
        <x:v>0</x:v>
      </x:c>
      <x:c r="J2756" s="38" t="n">
        <x:v>0.2853081749</x:v>
      </x:c>
    </x:row>
    <x:row r="2757" ht="19" customHeight="1">
      <x:c r="A2757" s="29" t="str">
        <x:v>stagger_1</x:v>
      </x:c>
      <x:c r="B2757" s="38" t="str">
        <x:v>GOOGL</x:v>
      </x:c>
      <x:c r="C2757" s="38" t="str">
        <x:v>Other sectors</x:v>
      </x:c>
      <x:c r="D2757" s="30" t="n">
        <x:v>5</x:v>
      </x:c>
      <x:c r="E2757" s="38" t="str">
        <x:v>XLE</x:v>
      </x:c>
      <x:c r="F2757" s="38" t="n">
        <x:v>-0.0872317686</x:v>
      </x:c>
      <x:c r="G2757" s="38" t="n">
        <x:v>-0.7884756674</x:v>
      </x:c>
      <x:c r="H2757" s="42" t="b">
        <x:v>1</x:v>
      </x:c>
      <x:c r="I2757" s="42" t="b">
        <x:v>0</x:v>
      </x:c>
      <x:c r="J2757" s="38" t="n">
        <x:v>0.2853081749</x:v>
      </x:c>
    </x:row>
    <x:row r="2758" ht="19" customHeight="1">
      <x:c r="A2758" s="29" t="str">
        <x:v>stagger_1</x:v>
      </x:c>
      <x:c r="B2758" s="38" t="str">
        <x:v>GOOGL</x:v>
      </x:c>
      <x:c r="C2758" s="38" t="str">
        <x:v>Other sectors</x:v>
      </x:c>
      <x:c r="D2758" s="30" t="n">
        <x:v>5</x:v>
      </x:c>
      <x:c r="E2758" s="38" t="str">
        <x:v>XLF</x:v>
      </x:c>
      <x:c r="F2758" s="38" t="n">
        <x:v>-0.7733296688</x:v>
      </x:c>
      <x:c r="G2758" s="38" t="n">
        <x:v>-2.3950560982</x:v>
      </x:c>
      <x:c r="H2758" s="42" t="b">
        <x:v>0</x:v>
      </x:c>
      <x:c r="I2758" s="42" t="b">
        <x:v>0</x:v>
      </x:c>
      <x:c r="J2758" s="38" t="n">
        <x:v>0.2853081749</x:v>
      </x:c>
    </x:row>
    <x:row r="2759" ht="19" customHeight="1">
      <x:c r="A2759" s="29" t="str">
        <x:v>stagger_1</x:v>
      </x:c>
      <x:c r="B2759" s="38" t="str">
        <x:v>GOOGL</x:v>
      </x:c>
      <x:c r="C2759" s="38" t="str">
        <x:v>Other sectors</x:v>
      </x:c>
      <x:c r="D2759" s="30" t="n">
        <x:v>5</x:v>
      </x:c>
      <x:c r="E2759" s="38" t="str">
        <x:v>XLK</x:v>
      </x:c>
      <x:c r="F2759" s="38" t="n">
        <x:v>-0.6943281434</x:v>
      </x:c>
      <x:c r="G2759" s="38" t="n">
        <x:v>-1.9521585628</x:v>
      </x:c>
      <x:c r="H2759" s="42" t="b">
        <x:v>0</x:v>
      </x:c>
      <x:c r="I2759" s="42" t="b">
        <x:v>0</x:v>
      </x:c>
      <x:c r="J2759" s="38" t="n">
        <x:v>0.2853081749</x:v>
      </x:c>
    </x:row>
    <x:row r="2760" ht="19" customHeight="1">
      <x:c r="A2760" s="29" t="str">
        <x:v>stagger_1</x:v>
      </x:c>
      <x:c r="B2760" s="38" t="str">
        <x:v>GOOGL</x:v>
      </x:c>
      <x:c r="C2760" s="38" t="str">
        <x:v>Other sectors</x:v>
      </x:c>
      <x:c r="D2760" s="30" t="n">
        <x:v>5</x:v>
      </x:c>
      <x:c r="E2760" s="38" t="str">
        <x:v>XLP</x:v>
      </x:c>
      <x:c r="F2760" s="38" t="n">
        <x:v>-0.6575184295</x:v>
      </x:c>
      <x:c r="G2760" s="38" t="n">
        <x:v>-2.0167273244</x:v>
      </x:c>
      <x:c r="H2760" s="42" t="b">
        <x:v>0</x:v>
      </x:c>
      <x:c r="I2760" s="42" t="b">
        <x:v>0</x:v>
      </x:c>
      <x:c r="J2760" s="38" t="n">
        <x:v>0.2853081749</x:v>
      </x:c>
    </x:row>
    <x:row r="2761" ht="19" customHeight="1">
      <x:c r="A2761" s="29" t="str">
        <x:v>stagger_1</x:v>
      </x:c>
      <x:c r="B2761" s="38" t="str">
        <x:v>GOOGL</x:v>
      </x:c>
      <x:c r="C2761" s="38" t="str">
        <x:v>Other sectors</x:v>
      </x:c>
      <x:c r="D2761" s="30" t="n">
        <x:v>5</x:v>
      </x:c>
      <x:c r="E2761" s="38" t="str">
        <x:v>XLRE</x:v>
      </x:c>
      <x:c r="F2761" s="38" t="n">
        <x:v>-0.3846051365</x:v>
      </x:c>
      <x:c r="G2761" s="38" t="n">
        <x:v>-1.5012345578</x:v>
      </x:c>
      <x:c r="H2761" s="42" t="b">
        <x:v>0</x:v>
      </x:c>
      <x:c r="I2761" s="42" t="b">
        <x:v>0</x:v>
      </x:c>
      <x:c r="J2761" s="38" t="n">
        <x:v>0.2853081749</x:v>
      </x:c>
    </x:row>
    <x:row r="2762" ht="19" customHeight="1">
      <x:c r="A2762" s="29" t="str">
        <x:v>stagger_1</x:v>
      </x:c>
      <x:c r="B2762" s="38" t="str">
        <x:v>GOOGL</x:v>
      </x:c>
      <x:c r="C2762" s="38" t="str">
        <x:v>Other sectors</x:v>
      </x:c>
      <x:c r="D2762" s="30" t="n">
        <x:v>6</x:v>
      </x:c>
      <x:c r="E2762" s="38" t="str">
        <x:v>XLB</x:v>
      </x:c>
      <x:c r="F2762" s="38" t="n">
        <x:v>-0.4015757008</x:v>
      </x:c>
      <x:c r="G2762" s="38" t="n">
        <x:v>-1.7516130587</x:v>
      </x:c>
      <x:c r="H2762" s="42" t="b">
        <x:v>0</x:v>
      </x:c>
      <x:c r="I2762" s="42" t="b">
        <x:v>0</x:v>
      </x:c>
      <x:c r="J2762" s="38" t="n">
        <x:v>0.2792216059</x:v>
      </x:c>
    </x:row>
    <x:row r="2763" ht="19" customHeight="1">
      <x:c r="A2763" s="29" t="str">
        <x:v>stagger_1</x:v>
      </x:c>
      <x:c r="B2763" s="38" t="str">
        <x:v>GOOGL</x:v>
      </x:c>
      <x:c r="C2763" s="38" t="str">
        <x:v>Other sectors</x:v>
      </x:c>
      <x:c r="D2763" s="30" t="n">
        <x:v>6</x:v>
      </x:c>
      <x:c r="E2763" s="38" t="str">
        <x:v>XLF</x:v>
      </x:c>
      <x:c r="F2763" s="38" t="n">
        <x:v>-0.7680905055</x:v>
      </x:c>
      <x:c r="G2763" s="38" t="n">
        <x:v>-2.3854392031</x:v>
      </x:c>
      <x:c r="H2763" s="42" t="b">
        <x:v>0</x:v>
      </x:c>
      <x:c r="I2763" s="42" t="b">
        <x:v>0</x:v>
      </x:c>
      <x:c r="J2763" s="38" t="n">
        <x:v>0.2792216059</x:v>
      </x:c>
    </x:row>
    <x:row r="2764" ht="19" customHeight="1">
      <x:c r="A2764" s="29" t="str">
        <x:v>stagger_1</x:v>
      </x:c>
      <x:c r="B2764" s="38" t="str">
        <x:v>GOOGL</x:v>
      </x:c>
      <x:c r="C2764" s="38" t="str">
        <x:v>Other sectors</x:v>
      </x:c>
      <x:c r="D2764" s="30" t="n">
        <x:v>6</x:v>
      </x:c>
      <x:c r="E2764" s="38" t="str">
        <x:v>XLK</x:v>
      </x:c>
      <x:c r="F2764" s="38" t="n">
        <x:v>-0.6169236097</x:v>
      </x:c>
      <x:c r="G2764" s="38" t="n">
        <x:v>-1.8092627589</x:v>
      </x:c>
      <x:c r="H2764" s="42" t="b">
        <x:v>0</x:v>
      </x:c>
      <x:c r="I2764" s="42" t="b">
        <x:v>0</x:v>
      </x:c>
      <x:c r="J2764" s="38" t="n">
        <x:v>0.2792216059</x:v>
      </x:c>
    </x:row>
    <x:row r="2765" ht="19" customHeight="1">
      <x:c r="A2765" s="29" t="str">
        <x:v>stagger_1</x:v>
      </x:c>
      <x:c r="B2765" s="38" t="str">
        <x:v>GOOGL</x:v>
      </x:c>
      <x:c r="C2765" s="38" t="str">
        <x:v>Other sectors</x:v>
      </x:c>
      <x:c r="D2765" s="30" t="n">
        <x:v>6</x:v>
      </x:c>
      <x:c r="E2765" s="38" t="str">
        <x:v>XLP</x:v>
      </x:c>
      <x:c r="F2765" s="38" t="n">
        <x:v>-0.6294130735</x:v>
      </x:c>
      <x:c r="G2765" s="38" t="n">
        <x:v>-1.9471490014</x:v>
      </x:c>
      <x:c r="H2765" s="42" t="b">
        <x:v>0</x:v>
      </x:c>
      <x:c r="I2765" s="42" t="b">
        <x:v>0</x:v>
      </x:c>
      <x:c r="J2765" s="38" t="n">
        <x:v>0.2792216059</x:v>
      </x:c>
    </x:row>
    <x:row r="2766" ht="19" customHeight="1">
      <x:c r="A2766" s="29" t="str">
        <x:v>stagger_1</x:v>
      </x:c>
      <x:c r="B2766" s="38" t="str">
        <x:v>GOOGL</x:v>
      </x:c>
      <x:c r="C2766" s="38" t="str">
        <x:v>Other sectors</x:v>
      </x:c>
      <x:c r="D2766" s="30" t="n">
        <x:v>6</x:v>
      </x:c>
      <x:c r="E2766" s="38" t="str">
        <x:v>XLRE</x:v>
      </x:c>
      <x:c r="F2766" s="38" t="n">
        <x:v>-0.3738056642</x:v>
      </x:c>
      <x:c r="G2766" s="38" t="n">
        <x:v>-1.464919807</x:v>
      </x:c>
      <x:c r="H2766" s="42" t="b">
        <x:v>1</x:v>
      </x:c>
      <x:c r="I2766" s="42" t="b">
        <x:v>0</x:v>
      </x:c>
      <x:c r="J2766" s="38" t="n">
        <x:v>0.2792216059</x:v>
      </x:c>
    </x:row>
    <x:row r="2767" ht="19" customHeight="1">
      <x:c r="A2767" s="29" t="str">
        <x:v>stagger_1</x:v>
      </x:c>
      <x:c r="B2767" s="38" t="str">
        <x:v>GOOGL</x:v>
      </x:c>
      <x:c r="C2767" s="38" t="str">
        <x:v>Other sectors</x:v>
      </x:c>
      <x:c r="D2767" s="30" t="n">
        <x:v>7</x:v>
      </x:c>
      <x:c r="E2767" s="38" t="str">
        <x:v>XLB</x:v>
      </x:c>
      <x:c r="F2767" s="38" t="n">
        <x:v>-0.4259462773</x:v>
      </x:c>
      <x:c r="G2767" s="38" t="n">
        <x:v>-1.8487539424</x:v>
      </x:c>
      <x:c r="H2767" s="42" t="b">
        <x:v>0</x:v>
      </x:c>
      <x:c r="I2767" s="42" t="b">
        <x:v>0</x:v>
      </x:c>
      <x:c r="J2767" s="38" t="n">
        <x:v>0.2583191295</x:v>
      </x:c>
    </x:row>
    <x:row r="2768" ht="19" customHeight="1">
      <x:c r="A2768" s="29" t="str">
        <x:v>stagger_1</x:v>
      </x:c>
      <x:c r="B2768" s="38" t="str">
        <x:v>GOOGL</x:v>
      </x:c>
      <x:c r="C2768" s="38" t="str">
        <x:v>Other sectors</x:v>
      </x:c>
      <x:c r="D2768" s="30" t="n">
        <x:v>7</x:v>
      </x:c>
      <x:c r="E2768" s="38" t="str">
        <x:v>XLF</x:v>
      </x:c>
      <x:c r="F2768" s="38" t="n">
        <x:v>-0.7995231192</x:v>
      </x:c>
      <x:c r="G2768" s="38" t="n">
        <x:v>-2.4697927649</x:v>
      </x:c>
      <x:c r="H2768" s="42" t="b">
        <x:v>0</x:v>
      </x:c>
      <x:c r="I2768" s="42" t="b">
        <x:v>0</x:v>
      </x:c>
      <x:c r="J2768" s="38" t="n">
        <x:v>0.2583191295</x:v>
      </x:c>
    </x:row>
    <x:row r="2769" ht="19" customHeight="1">
      <x:c r="A2769" s="29" t="str">
        <x:v>stagger_1</x:v>
      </x:c>
      <x:c r="B2769" s="38" t="str">
        <x:v>GOOGL</x:v>
      </x:c>
      <x:c r="C2769" s="38" t="str">
        <x:v>Other sectors</x:v>
      </x:c>
      <x:c r="D2769" s="30" t="n">
        <x:v>7</x:v>
      </x:c>
      <x:c r="E2769" s="38" t="str">
        <x:v>XLK</x:v>
      </x:c>
      <x:c r="F2769" s="38" t="n">
        <x:v>-0.5322583972</x:v>
      </x:c>
      <x:c r="G2769" s="38" t="n">
        <x:v>-1.5719173616</x:v>
      </x:c>
      <x:c r="H2769" s="42" t="b">
        <x:v>1</x:v>
      </x:c>
      <x:c r="I2769" s="42" t="b">
        <x:v>0</x:v>
      </x:c>
      <x:c r="J2769" s="38" t="n">
        <x:v>0.2583191295</x:v>
      </x:c>
    </x:row>
    <x:row r="2770" ht="19" customHeight="1">
      <x:c r="A2770" s="29" t="str">
        <x:v>stagger_1</x:v>
      </x:c>
      <x:c r="B2770" s="38" t="str">
        <x:v>GOOGL</x:v>
      </x:c>
      <x:c r="C2770" s="38" t="str">
        <x:v>Other sectors</x:v>
      </x:c>
      <x:c r="D2770" s="30" t="n">
        <x:v>7</x:v>
      </x:c>
      <x:c r="E2770" s="38" t="str">
        <x:v>XLP</x:v>
      </x:c>
      <x:c r="F2770" s="38" t="n">
        <x:v>-0.8027137762</x:v>
      </x:c>
      <x:c r="G2770" s="38" t="n">
        <x:v>-2.6482345924</x:v>
      </x:c>
      <x:c r="H2770" s="42" t="b">
        <x:v>0</x:v>
      </x:c>
      <x:c r="I2770" s="42" t="b">
        <x:v>0</x:v>
      </x:c>
      <x:c r="J2770" s="38" t="n">
        <x:v>0.2583191295</x:v>
      </x:c>
    </x:row>
    <x:row r="2771" ht="19" customHeight="1">
      <x:c r="A2771" s="29" t="str">
        <x:v>stagger_1</x:v>
      </x:c>
      <x:c r="B2771" s="38" t="str">
        <x:v>GOOGL</x:v>
      </x:c>
      <x:c r="C2771" s="38" t="str">
        <x:v>Other sectors</x:v>
      </x:c>
      <x:c r="D2771" s="30" t="n">
        <x:v>8</x:v>
      </x:c>
      <x:c r="E2771" s="38" t="str">
        <x:v>XLB</x:v>
      </x:c>
      <x:c r="F2771" s="38" t="n">
        <x:v>-0.3953341497</x:v>
      </x:c>
      <x:c r="G2771" s="38" t="n">
        <x:v>-1.7056229759</x:v>
      </x:c>
      <x:c r="H2771" s="42" t="b">
        <x:v>1</x:v>
      </x:c>
      <x:c r="I2771" s="42" t="b">
        <x:v>0</x:v>
      </x:c>
      <x:c r="J2771" s="38" t="n">
        <x:v>0.2338839668</x:v>
      </x:c>
    </x:row>
    <x:row r="2772" ht="19" customHeight="1">
      <x:c r="A2772" s="29" t="str">
        <x:v>stagger_1</x:v>
      </x:c>
      <x:c r="B2772" s="38" t="str">
        <x:v>GOOGL</x:v>
      </x:c>
      <x:c r="C2772" s="38" t="str">
        <x:v>Other sectors</x:v>
      </x:c>
      <x:c r="D2772" s="30" t="n">
        <x:v>8</x:v>
      </x:c>
      <x:c r="E2772" s="38" t="str">
        <x:v>XLF</x:v>
      </x:c>
      <x:c r="F2772" s="38" t="n">
        <x:v>-0.4917416994</x:v>
      </x:c>
      <x:c r="G2772" s="38" t="n">
        <x:v>-1.8893071076</x:v>
      </x:c>
      <x:c r="H2772" s="42" t="b">
        <x:v>0</x:v>
      </x:c>
      <x:c r="I2772" s="42" t="b">
        <x:v>0</x:v>
      </x:c>
      <x:c r="J2772" s="38" t="n">
        <x:v>0.2338839668</x:v>
      </x:c>
    </x:row>
    <x:row r="2773" ht="19" customHeight="1">
      <x:c r="A2773" s="29" t="str">
        <x:v>stagger_1</x:v>
      </x:c>
      <x:c r="B2773" s="38" t="str">
        <x:v>GOOGL</x:v>
      </x:c>
      <x:c r="C2773" s="38" t="str">
        <x:v>Other sectors</x:v>
      </x:c>
      <x:c r="D2773" s="30" t="n">
        <x:v>8</x:v>
      </x:c>
      <x:c r="E2773" s="38" t="str">
        <x:v>XLP</x:v>
      </x:c>
      <x:c r="F2773" s="38" t="n">
        <x:v>-0.5580060434</x:v>
      </x:c>
      <x:c r="G2773" s="38" t="n">
        <x:v>-2.1250329998</x:v>
      </x:c>
      <x:c r="H2773" s="42" t="b">
        <x:v>0</x:v>
      </x:c>
      <x:c r="I2773" s="42" t="b">
        <x:v>0</x:v>
      </x:c>
      <x:c r="J2773" s="38" t="n">
        <x:v>0.2338839668</x:v>
      </x:c>
    </x:row>
    <x:row r="2774" ht="19" customHeight="1">
      <x:c r="A2774" s="29" t="str">
        <x:v>stagger_1</x:v>
      </x:c>
      <x:c r="B2774" s="38" t="str">
        <x:v>GOOGL</x:v>
      </x:c>
      <x:c r="C2774" s="38" t="str">
        <x:v>Other sectors</x:v>
      </x:c>
      <x:c r="D2774" s="30" t="n">
        <x:v>9</x:v>
      </x:c>
      <x:c r="E2774" s="38" t="str">
        <x:v>XLF</x:v>
      </x:c>
      <x:c r="F2774" s="38" t="n">
        <x:v>-0.6695132584</x:v>
      </x:c>
      <x:c r="G2774" s="38" t="n">
        <x:v>-2.7730595799</x:v>
      </x:c>
      <x:c r="H2774" s="42" t="b">
        <x:v>0</x:v>
      </x:c>
      <x:c r="I2774" s="42" t="b">
        <x:v>1</x:v>
      </x:c>
      <x:c r="J2774" s="38" t="n">
        <x:v>0.2045583581</x:v>
      </x:c>
    </x:row>
    <x:row r="2775" ht="19" customHeight="1">
      <x:c r="A2775" s="29" t="str">
        <x:v>stagger_1</x:v>
      </x:c>
      <x:c r="B2775" s="38" t="str">
        <x:v>GOOGL</x:v>
      </x:c>
      <x:c r="C2775" s="38" t="str">
        <x:v>Other sectors</x:v>
      </x:c>
      <x:c r="D2775" s="30" t="n">
        <x:v>9</x:v>
      </x:c>
      <x:c r="E2775" s="38" t="str">
        <x:v>XLP</x:v>
      </x:c>
      <x:c r="F2775" s="38" t="n">
        <x:v>-0.7844789443</x:v>
      </x:c>
      <x:c r="G2775" s="38" t="n">
        <x:v>-3.4206913517</x:v>
      </x:c>
      <x:c r="H2775" s="42" t="b">
        <x:v>0</x:v>
      </x:c>
      <x:c r="I2775" s="42" t="b">
        <x:v>1</x:v>
      </x:c>
      <x:c r="J2775" s="38" t="n">
        <x:v>0.2045583581</x:v>
      </x:c>
    </x:row>
    <x:row r="2776" ht="19" customHeight="1">
      <x:c r="A2776" s="29" t="str">
        <x:v>stagger_1</x:v>
      </x:c>
      <x:c r="B2776" s="38" t="str">
        <x:v>COST</x:v>
      </x:c>
      <x:c r="C2776" s="38" t="str">
        <x:v>Other FX</x:v>
      </x:c>
      <x:c r="D2776" s="30" t="n">
        <x:v>1</x:v>
      </x:c>
      <x:c r="E2776" s="38" t="str">
        <x:v>AUD/USD</x:v>
      </x:c>
      <x:c r="F2776" s="38" t="n">
        <x:v>0.1898424863</x:v>
      </x:c>
      <x:c r="G2776" s="38" t="n">
        <x:v>0.4294312238</x:v>
      </x:c>
      <x:c r="H2776" s="42" t="b">
        <x:v>1</x:v>
      </x:c>
      <x:c r="I2776" s="42" t="b">
        <x:v>0</x:v>
      </x:c>
      <x:c r="J2776" s="38" t="n">
        <x:v>0.2253656783</x:v>
      </x:c>
    </x:row>
    <x:row r="2777" ht="19" customHeight="1">
      <x:c r="A2777" s="29" t="str">
        <x:v>stagger_1</x:v>
      </x:c>
      <x:c r="B2777" s="38" t="str">
        <x:v>COST</x:v>
      </x:c>
      <x:c r="C2777" s="38" t="str">
        <x:v>Other FX</x:v>
      </x:c>
      <x:c r="D2777" s="30" t="n">
        <x:v>1</x:v>
      </x:c>
      <x:c r="E2777" s="38" t="str">
        <x:v>CAD/USD</x:v>
      </x:c>
      <x:c r="F2777" s="38" t="n">
        <x:v>0.7465227247</x:v>
      </x:c>
      <x:c r="G2777" s="38" t="n">
        <x:v>1.3984268362</x:v>
      </x:c>
      <x:c r="H2777" s="42" t="b">
        <x:v>0</x:v>
      </x:c>
      <x:c r="I2777" s="42" t="b">
        <x:v>0</x:v>
      </x:c>
      <x:c r="J2777" s="38" t="n">
        <x:v>0.2253656783</x:v>
      </x:c>
    </x:row>
    <x:row r="2778" ht="19" customHeight="1">
      <x:c r="A2778" s="29" t="str">
        <x:v>stagger_1</x:v>
      </x:c>
      <x:c r="B2778" s="38" t="str">
        <x:v>COST</x:v>
      </x:c>
      <x:c r="C2778" s="38" t="str">
        <x:v>Other FX</x:v>
      </x:c>
      <x:c r="D2778" s="30" t="n">
        <x:v>1</x:v>
      </x:c>
      <x:c r="E2778" s="38" t="str">
        <x:v>DKK/USD</x:v>
      </x:c>
      <x:c r="F2778" s="38" t="n">
        <x:v>2.3126304965</x:v>
      </x:c>
      <x:c r="G2778" s="38" t="n">
        <x:v>0.6222745379</x:v>
      </x:c>
      <x:c r="H2778" s="42" t="b">
        <x:v>0</x:v>
      </x:c>
      <x:c r="I2778" s="42" t="b">
        <x:v>0</x:v>
      </x:c>
      <x:c r="J2778" s="38" t="n">
        <x:v>0.2253656783</x:v>
      </x:c>
    </x:row>
    <x:row r="2779" ht="19" customHeight="1">
      <x:c r="A2779" s="29" t="str">
        <x:v>stagger_1</x:v>
      </x:c>
      <x:c r="B2779" s="38" t="str">
        <x:v>COST</x:v>
      </x:c>
      <x:c r="C2779" s="38" t="str">
        <x:v>Other FX</x:v>
      </x:c>
      <x:c r="D2779" s="30" t="n">
        <x:v>1</x:v>
      </x:c>
      <x:c r="E2779" s="38" t="str">
        <x:v>EUR/USD</x:v>
      </x:c>
      <x:c r="F2779" s="38" t="n">
        <x:v>-3.4295015958</x:v>
      </x:c>
      <x:c r="G2779" s="38" t="n">
        <x:v>-1.0088399259</x:v>
      </x:c>
      <x:c r="H2779" s="42" t="b">
        <x:v>0</x:v>
      </x:c>
      <x:c r="I2779" s="42" t="b">
        <x:v>0</x:v>
      </x:c>
      <x:c r="J2779" s="38" t="n">
        <x:v>0.2253656783</x:v>
      </x:c>
    </x:row>
    <x:row r="2780" ht="19" customHeight="1">
      <x:c r="A2780" s="29" t="str">
        <x:v>stagger_1</x:v>
      </x:c>
      <x:c r="B2780" s="38" t="str">
        <x:v>COST</x:v>
      </x:c>
      <x:c r="C2780" s="38" t="str">
        <x:v>Other FX</x:v>
      </x:c>
      <x:c r="D2780" s="30" t="n">
        <x:v>1</x:v>
      </x:c>
      <x:c r="E2780" s="38" t="str">
        <x:v>MXN/USD</x:v>
      </x:c>
      <x:c r="F2780" s="38" t="n">
        <x:v>-0.1820806305</x:v>
      </x:c>
      <x:c r="G2780" s="38" t="n">
        <x:v>-0.6429022761</x:v>
      </x:c>
      <x:c r="H2780" s="42" t="b">
        <x:v>0</x:v>
      </x:c>
      <x:c r="I2780" s="42" t="b">
        <x:v>0</x:v>
      </x:c>
      <x:c r="J2780" s="38" t="n">
        <x:v>0.2253656783</x:v>
      </x:c>
    </x:row>
    <x:row r="2781" ht="19" customHeight="1">
      <x:c r="A2781" s="29" t="str">
        <x:v>stagger_1</x:v>
      </x:c>
      <x:c r="B2781" s="38" t="str">
        <x:v>COST</x:v>
      </x:c>
      <x:c r="C2781" s="38" t="str">
        <x:v>Other FX</x:v>
      </x:c>
      <x:c r="D2781" s="30" t="n">
        <x:v>1</x:v>
      </x:c>
      <x:c r="E2781" s="38" t="str">
        <x:v>SGD/USD</x:v>
      </x:c>
      <x:c r="F2781" s="38" t="n">
        <x:v>2.6348179168</x:v>
      </x:c>
      <x:c r="G2781" s="38" t="n">
        <x:v>2.4616216105</x:v>
      </x:c>
      <x:c r="H2781" s="42" t="b">
        <x:v>0</x:v>
      </x:c>
      <x:c r="I2781" s="42" t="b">
        <x:v>0</x:v>
      </x:c>
      <x:c r="J2781" s="38" t="n">
        <x:v>0.2253656783</x:v>
      </x:c>
    </x:row>
    <x:row r="2782" ht="19" customHeight="1">
      <x:c r="A2782" s="29" t="str">
        <x:v>stagger_1</x:v>
      </x:c>
      <x:c r="B2782" s="38" t="str">
        <x:v>COST</x:v>
      </x:c>
      <x:c r="C2782" s="38" t="str">
        <x:v>Other FX</x:v>
      </x:c>
      <x:c r="D2782" s="30" t="n">
        <x:v>2</x:v>
      </x:c>
      <x:c r="E2782" s="38" t="str">
        <x:v>CAD/USD</x:v>
      </x:c>
      <x:c r="F2782" s="38" t="n">
        <x:v>0.8023072457</x:v>
      </x:c>
      <x:c r="G2782" s="38" t="n">
        <x:v>1.5581126977</x:v>
      </x:c>
      <x:c r="H2782" s="42" t="b">
        <x:v>0</x:v>
      </x:c>
      <x:c r="I2782" s="42" t="b">
        <x:v>0</x:v>
      </x:c>
      <x:c r="J2782" s="38" t="n">
        <x:v>0.2234088122</x:v>
      </x:c>
    </x:row>
    <x:row r="2783" ht="19" customHeight="1">
      <x:c r="A2783" s="29" t="str">
        <x:v>stagger_1</x:v>
      </x:c>
      <x:c r="B2783" s="38" t="str">
        <x:v>COST</x:v>
      </x:c>
      <x:c r="C2783" s="38" t="str">
        <x:v>Other FX</x:v>
      </x:c>
      <x:c r="D2783" s="30" t="n">
        <x:v>2</x:v>
      </x:c>
      <x:c r="E2783" s="38" t="str">
        <x:v>DKK/USD</x:v>
      </x:c>
      <x:c r="F2783" s="38" t="n">
        <x:v>2.3052088025</x:v>
      </x:c>
      <x:c r="G2783" s="38" t="n">
        <x:v>0.6237309812</x:v>
      </x:c>
      <x:c r="H2783" s="42" t="b">
        <x:v>0</x:v>
      </x:c>
      <x:c r="I2783" s="42" t="b">
        <x:v>0</x:v>
      </x:c>
      <x:c r="J2783" s="38" t="n">
        <x:v>0.2234088122</x:v>
      </x:c>
    </x:row>
    <x:row r="2784" ht="19" customHeight="1">
      <x:c r="A2784" s="29" t="str">
        <x:v>stagger_1</x:v>
      </x:c>
      <x:c r="B2784" s="38" t="str">
        <x:v>COST</x:v>
      </x:c>
      <x:c r="C2784" s="38" t="str">
        <x:v>Other FX</x:v>
      </x:c>
      <x:c r="D2784" s="30" t="n">
        <x:v>2</x:v>
      </x:c>
      <x:c r="E2784" s="38" t="str">
        <x:v>EUR/USD</x:v>
      </x:c>
      <x:c r="F2784" s="38" t="n">
        <x:v>-3.4259472764</x:v>
      </x:c>
      <x:c r="G2784" s="38" t="n">
        <x:v>-1.0133973938</x:v>
      </x:c>
      <x:c r="H2784" s="42" t="b">
        <x:v>0</x:v>
      </x:c>
      <x:c r="I2784" s="42" t="b">
        <x:v>0</x:v>
      </x:c>
      <x:c r="J2784" s="38" t="n">
        <x:v>0.2234088122</x:v>
      </x:c>
    </x:row>
    <x:row r="2785" ht="19" customHeight="1">
      <x:c r="A2785" s="29" t="str">
        <x:v>stagger_1</x:v>
      </x:c>
      <x:c r="B2785" s="38" t="str">
        <x:v>COST</x:v>
      </x:c>
      <x:c r="C2785" s="38" t="str">
        <x:v>Other FX</x:v>
      </x:c>
      <x:c r="D2785" s="30" t="n">
        <x:v>2</x:v>
      </x:c>
      <x:c r="E2785" s="38" t="str">
        <x:v>MXN/USD</x:v>
      </x:c>
      <x:c r="F2785" s="38" t="n">
        <x:v>-0.1592756912</x:v>
      </x:c>
      <x:c r="G2785" s="38" t="n">
        <x:v>-0.5757173837</x:v>
      </x:c>
      <x:c r="H2785" s="42" t="b">
        <x:v>1</x:v>
      </x:c>
      <x:c r="I2785" s="42" t="b">
        <x:v>0</x:v>
      </x:c>
      <x:c r="J2785" s="38" t="n">
        <x:v>0.2234088122</x:v>
      </x:c>
    </x:row>
    <x:row r="2786" ht="19" customHeight="1">
      <x:c r="A2786" s="29" t="str">
        <x:v>stagger_1</x:v>
      </x:c>
      <x:c r="B2786" s="38" t="str">
        <x:v>COST</x:v>
      </x:c>
      <x:c r="C2786" s="38" t="str">
        <x:v>Other FX</x:v>
      </x:c>
      <x:c r="D2786" s="30" t="n">
        <x:v>2</x:v>
      </x:c>
      <x:c r="E2786" s="38" t="str">
        <x:v>SGD/USD</x:v>
      </x:c>
      <x:c r="F2786" s="38" t="n">
        <x:v>2.8477379072</x:v>
      </x:c>
      <x:c r="G2786" s="38" t="n">
        <x:v>3.0187419538</x:v>
      </x:c>
      <x:c r="H2786" s="42" t="b">
        <x:v>0</x:v>
      </x:c>
      <x:c r="I2786" s="42" t="b">
        <x:v>0</x:v>
      </x:c>
      <x:c r="J2786" s="38" t="n">
        <x:v>0.2234088122</x:v>
      </x:c>
    </x:row>
    <x:row r="2787" ht="19" customHeight="1">
      <x:c r="A2787" s="29" t="str">
        <x:v>stagger_1</x:v>
      </x:c>
      <x:c r="B2787" s="38" t="str">
        <x:v>COST</x:v>
      </x:c>
      <x:c r="C2787" s="38" t="str">
        <x:v>Other FX</x:v>
      </x:c>
      <x:c r="D2787" s="30" t="n">
        <x:v>3</x:v>
      </x:c>
      <x:c r="E2787" s="38" t="str">
        <x:v>CAD/USD</x:v>
      </x:c>
      <x:c r="F2787" s="38" t="n">
        <x:v>0.7943400782</x:v>
      </x:c>
      <x:c r="G2787" s="38" t="n">
        <x:v>1.5501219049</x:v>
      </x:c>
      <x:c r="H2787" s="42" t="b">
        <x:v>0</x:v>
      </x:c>
      <x:c r="I2787" s="42" t="b">
        <x:v>0</x:v>
      </x:c>
      <x:c r="J2787" s="38" t="n">
        <x:v>0.219930413</x:v>
      </x:c>
    </x:row>
    <x:row r="2788" ht="19" customHeight="1">
      <x:c r="A2788" s="29" t="str">
        <x:v>stagger_1</x:v>
      </x:c>
      <x:c r="B2788" s="38" t="str">
        <x:v>COST</x:v>
      </x:c>
      <x:c r="C2788" s="38" t="str">
        <x:v>Other FX</x:v>
      </x:c>
      <x:c r="D2788" s="30" t="n">
        <x:v>3</x:v>
      </x:c>
      <x:c r="E2788" s="38" t="str">
        <x:v>DKK/USD</x:v>
      </x:c>
      <x:c r="F2788" s="38" t="n">
        <x:v>1.6518625592</x:v>
      </x:c>
      <x:c r="G2788" s="38" t="n">
        <x:v>0.4717473655</x:v>
      </x:c>
      <x:c r="H2788" s="42" t="b">
        <x:v>1</x:v>
      </x:c>
      <x:c r="I2788" s="42" t="b">
        <x:v>0</x:v>
      </x:c>
      <x:c r="J2788" s="38" t="n">
        <x:v>0.219930413</x:v>
      </x:c>
    </x:row>
    <x:row r="2789" ht="19" customHeight="1">
      <x:c r="A2789" s="29" t="str">
        <x:v>stagger_1</x:v>
      </x:c>
      <x:c r="B2789" s="38" t="str">
        <x:v>COST</x:v>
      </x:c>
      <x:c r="C2789" s="38" t="str">
        <x:v>Other FX</x:v>
      </x:c>
      <x:c r="D2789" s="30" t="n">
        <x:v>3</x:v>
      </x:c>
      <x:c r="E2789" s="38" t="str">
        <x:v>EUR/USD</x:v>
      </x:c>
      <x:c r="F2789" s="38" t="n">
        <x:v>-2.9056514031</x:v>
      </x:c>
      <x:c r="G2789" s="38" t="n">
        <x:v>-0.8959572788</x:v>
      </x:c>
      <x:c r="H2789" s="42" t="b">
        <x:v>0</x:v>
      </x:c>
      <x:c r="I2789" s="42" t="b">
        <x:v>0</x:v>
      </x:c>
      <x:c r="J2789" s="38" t="n">
        <x:v>0.219930413</x:v>
      </x:c>
    </x:row>
    <x:row r="2790" ht="19" customHeight="1">
      <x:c r="A2790" s="29" t="str">
        <x:v>stagger_1</x:v>
      </x:c>
      <x:c r="B2790" s="38" t="str">
        <x:v>COST</x:v>
      </x:c>
      <x:c r="C2790" s="38" t="str">
        <x:v>Other FX</x:v>
      </x:c>
      <x:c r="D2790" s="30" t="n">
        <x:v>3</x:v>
      </x:c>
      <x:c r="E2790" s="38" t="str">
        <x:v>SGD/USD</x:v>
      </x:c>
      <x:c r="F2790" s="38" t="n">
        <x:v>2.8606530202</x:v>
      </x:c>
      <x:c r="G2790" s="38" t="n">
        <x:v>3.0469008111</x:v>
      </x:c>
      <x:c r="H2790" s="42" t="b">
        <x:v>0</x:v>
      </x:c>
      <x:c r="I2790" s="42" t="b">
        <x:v>0</x:v>
      </x:c>
      <x:c r="J2790" s="38" t="n">
        <x:v>0.219930413</x:v>
      </x:c>
    </x:row>
    <x:row r="2791" ht="19" customHeight="1">
      <x:c r="A2791" s="29" t="str">
        <x:v>stagger_1</x:v>
      </x:c>
      <x:c r="B2791" s="38" t="str">
        <x:v>COST</x:v>
      </x:c>
      <x:c r="C2791" s="38" t="str">
        <x:v>Other FX</x:v>
      </x:c>
      <x:c r="D2791" s="30" t="n">
        <x:v>4</x:v>
      </x:c>
      <x:c r="E2791" s="38" t="str">
        <x:v>CAD/USD</x:v>
      </x:c>
      <x:c r="F2791" s="38" t="n">
        <x:v>0.8222088079</x:v>
      </x:c>
      <x:c r="G2791" s="38" t="n">
        <x:v>1.6236020195</x:v>
      </x:c>
      <x:c r="H2791" s="42" t="b">
        <x:v>1</x:v>
      </x:c>
      <x:c r="I2791" s="42" t="b">
        <x:v>0</x:v>
      </x:c>
      <x:c r="J2791" s="38" t="n">
        <x:v>0.2176157325</x:v>
      </x:c>
    </x:row>
    <x:row r="2792" ht="19" customHeight="1">
      <x:c r="A2792" s="29" t="str">
        <x:v>stagger_1</x:v>
      </x:c>
      <x:c r="B2792" s="38" t="str">
        <x:v>COST</x:v>
      </x:c>
      <x:c r="C2792" s="38" t="str">
        <x:v>Other FX</x:v>
      </x:c>
      <x:c r="D2792" s="30" t="n">
        <x:v>4</x:v>
      </x:c>
      <x:c r="E2792" s="38" t="str">
        <x:v>EUR/USD</x:v>
      </x:c>
      <x:c r="F2792" s="38" t="n">
        <x:v>-1.3956495258</x:v>
      </x:c>
      <x:c r="G2792" s="38" t="n">
        <x:v>-2.6901742608</x:v>
      </x:c>
      <x:c r="H2792" s="42" t="b">
        <x:v>0</x:v>
      </x:c>
      <x:c r="I2792" s="42" t="b">
        <x:v>0</x:v>
      </x:c>
      <x:c r="J2792" s="38" t="n">
        <x:v>0.2176157325</x:v>
      </x:c>
    </x:row>
    <x:row r="2793" ht="19" customHeight="1">
      <x:c r="A2793" s="29" t="str">
        <x:v>stagger_1</x:v>
      </x:c>
      <x:c r="B2793" s="38" t="str">
        <x:v>COST</x:v>
      </x:c>
      <x:c r="C2793" s="38" t="str">
        <x:v>Other FX</x:v>
      </x:c>
      <x:c r="D2793" s="30" t="n">
        <x:v>4</x:v>
      </x:c>
      <x:c r="E2793" s="38" t="str">
        <x:v>SGD/USD</x:v>
      </x:c>
      <x:c r="F2793" s="38" t="n">
        <x:v>3.0578894734</x:v>
      </x:c>
      <x:c r="G2793" s="38" t="n">
        <x:v>3.6563191906</x:v>
      </x:c>
      <x:c r="H2793" s="42" t="b">
        <x:v>0</x:v>
      </x:c>
      <x:c r="I2793" s="42" t="b">
        <x:v>0</x:v>
      </x:c>
      <x:c r="J2793" s="38" t="n">
        <x:v>0.2176157325</x:v>
      </x:c>
    </x:row>
    <x:row r="2794" ht="19" customHeight="1">
      <x:c r="A2794" s="29" t="str">
        <x:v>stagger_1</x:v>
      </x:c>
      <x:c r="B2794" s="38" t="str">
        <x:v>COST</x:v>
      </x:c>
      <x:c r="C2794" s="38" t="str">
        <x:v>Other FX</x:v>
      </x:c>
      <x:c r="D2794" s="30" t="n">
        <x:v>5</x:v>
      </x:c>
      <x:c r="E2794" s="38" t="str">
        <x:v>EUR/USD</x:v>
      </x:c>
      <x:c r="F2794" s="38" t="n">
        <x:v>-1.1743614956</x:v>
      </x:c>
      <x:c r="G2794" s="38" t="n">
        <x:v>-2.3215054931</x:v>
      </x:c>
      <x:c r="H2794" s="42" t="b">
        <x:v>0</x:v>
      </x:c>
      <x:c r="I2794" s="42" t="b">
        <x:v>1</x:v>
      </x:c>
      <x:c r="J2794" s="38" t="n">
        <x:v>0.1904784921</x:v>
      </x:c>
    </x:row>
    <x:row r="2795" ht="19" customHeight="1">
      <x:c r="A2795" s="29" t="str">
        <x:v>stagger_1</x:v>
      </x:c>
      <x:c r="B2795" s="38" t="str">
        <x:v>COST</x:v>
      </x:c>
      <x:c r="C2795" s="38" t="str">
        <x:v>Other FX</x:v>
      </x:c>
      <x:c r="D2795" s="30" t="n">
        <x:v>5</x:v>
      </x:c>
      <x:c r="E2795" s="38" t="str">
        <x:v>SGD/USD</x:v>
      </x:c>
      <x:c r="F2795" s="38" t="n">
        <x:v>3.3399788611</x:v>
      </x:c>
      <x:c r="G2795" s="38" t="n">
        <x:v>4.0399900284</x:v>
      </x:c>
      <x:c r="H2795" s="42" t="b">
        <x:v>0</x:v>
      </x:c>
      <x:c r="I2795" s="42" t="b">
        <x:v>1</x:v>
      </x:c>
      <x:c r="J2795" s="38" t="n">
        <x:v>0.1904784921</x:v>
      </x:c>
    </x:row>
    <x:row r="2796" ht="19" customHeight="1">
      <x:c r="A2796" s="29" t="str">
        <x:v>stagger_1</x:v>
      </x:c>
      <x:c r="B2796" s="38" t="str">
        <x:v>COST</x:v>
      </x:c>
      <x:c r="C2796" s="38" t="str">
        <x:v>Other sectors</x:v>
      </x:c>
      <x:c r="D2796" s="30" t="n">
        <x:v>1</x:v>
      </x:c>
      <x:c r="E2796" s="38" t="str">
        <x:v>XLB</x:v>
      </x:c>
      <x:c r="F2796" s="38" t="n">
        <x:v>0.0822377222</x:v>
      </x:c>
      <x:c r="G2796" s="38" t="n">
        <x:v>0.3507255034</x:v>
      </x:c>
      <x:c r="H2796" s="42" t="b">
        <x:v>0</x:v>
      </x:c>
      <x:c r="I2796" s="42" t="b">
        <x:v>0</x:v>
      </x:c>
      <x:c r="J2796" s="38" t="n">
        <x:v>0.2402472557</x:v>
      </x:c>
    </x:row>
    <x:row r="2797" ht="19" customHeight="1">
      <x:c r="A2797" s="29" t="str">
        <x:v>stagger_1</x:v>
      </x:c>
      <x:c r="B2797" s="38" t="str">
        <x:v>COST</x:v>
      </x:c>
      <x:c r="C2797" s="38" t="str">
        <x:v>Other sectors</x:v>
      </x:c>
      <x:c r="D2797" s="30" t="n">
        <x:v>1</x:v>
      </x:c>
      <x:c r="E2797" s="38" t="str">
        <x:v>XLC</x:v>
      </x:c>
      <x:c r="F2797" s="38" t="n">
        <x:v>0.1954013645</x:v>
      </x:c>
      <x:c r="G2797" s="38" t="n">
        <x:v>0.8688108423</x:v>
      </x:c>
      <x:c r="H2797" s="42" t="b">
        <x:v>0</x:v>
      </x:c>
      <x:c r="I2797" s="42" t="b">
        <x:v>0</x:v>
      </x:c>
      <x:c r="J2797" s="38" t="n">
        <x:v>0.2402472557</x:v>
      </x:c>
    </x:row>
    <x:row r="2798" ht="19" customHeight="1">
      <x:c r="A2798" s="29" t="str">
        <x:v>stagger_1</x:v>
      </x:c>
      <x:c r="B2798" s="38" t="str">
        <x:v>COST</x:v>
      </x:c>
      <x:c r="C2798" s="38" t="str">
        <x:v>Other sectors</x:v>
      </x:c>
      <x:c r="D2798" s="30" t="n">
        <x:v>1</x:v>
      </x:c>
      <x:c r="E2798" s="38" t="str">
        <x:v>XLE</x:v>
      </x:c>
      <x:c r="F2798" s="38" t="n">
        <x:v>0.0845947997</x:v>
      </x:c>
      <x:c r="G2798" s="38" t="n">
        <x:v>0.9708185922</x:v>
      </x:c>
      <x:c r="H2798" s="42" t="b">
        <x:v>0</x:v>
      </x:c>
      <x:c r="I2798" s="42" t="b">
        <x:v>0</x:v>
      </x:c>
      <x:c r="J2798" s="38" t="n">
        <x:v>0.2402472557</x:v>
      </x:c>
    </x:row>
    <x:row r="2799" ht="19" customHeight="1">
      <x:c r="A2799" s="29" t="str">
        <x:v>stagger_1</x:v>
      </x:c>
      <x:c r="B2799" s="38" t="str">
        <x:v>COST</x:v>
      </x:c>
      <x:c r="C2799" s="38" t="str">
        <x:v>Other sectors</x:v>
      </x:c>
      <x:c r="D2799" s="30" t="n">
        <x:v>1</x:v>
      </x:c>
      <x:c r="E2799" s="38" t="str">
        <x:v>XLF</x:v>
      </x:c>
      <x:c r="F2799" s="38" t="n">
        <x:v>-0.2888840521</x:v>
      </x:c>
      <x:c r="G2799" s="38" t="n">
        <x:v>-1.2837467582</x:v>
      </x:c>
      <x:c r="H2799" s="42" t="b">
        <x:v>0</x:v>
      </x:c>
      <x:c r="I2799" s="42" t="b">
        <x:v>0</x:v>
      </x:c>
      <x:c r="J2799" s="38" t="n">
        <x:v>0.2402472557</x:v>
      </x:c>
    </x:row>
    <x:row r="2800" ht="19" customHeight="1">
      <x:c r="A2800" s="29" t="str">
        <x:v>stagger_1</x:v>
      </x:c>
      <x:c r="B2800" s="38" t="str">
        <x:v>COST</x:v>
      </x:c>
      <x:c r="C2800" s="38" t="str">
        <x:v>Other sectors</x:v>
      </x:c>
      <x:c r="D2800" s="30" t="n">
        <x:v>1</x:v>
      </x:c>
      <x:c r="E2800" s="38" t="str">
        <x:v>XLI</x:v>
      </x:c>
      <x:c r="F2800" s="38" t="n">
        <x:v>-0.4817056129</x:v>
      </x:c>
      <x:c r="G2800" s="38" t="n">
        <x:v>-1.5994647729</x:v>
      </x:c>
      <x:c r="H2800" s="42" t="b">
        <x:v>0</x:v>
      </x:c>
      <x:c r="I2800" s="42" t="b">
        <x:v>0</x:v>
      </x:c>
      <x:c r="J2800" s="38" t="n">
        <x:v>0.2402472557</x:v>
      </x:c>
    </x:row>
    <x:row r="2801" ht="19" customHeight="1">
      <x:c r="A2801" s="29" t="str">
        <x:v>stagger_1</x:v>
      </x:c>
      <x:c r="B2801" s="38" t="str">
        <x:v>COST</x:v>
      </x:c>
      <x:c r="C2801" s="38" t="str">
        <x:v>Other sectors</x:v>
      </x:c>
      <x:c r="D2801" s="30" t="n">
        <x:v>1</x:v>
      </x:c>
      <x:c r="E2801" s="38" t="str">
        <x:v>XLK</x:v>
      </x:c>
      <x:c r="F2801" s="38" t="n">
        <x:v>0.1845038209</x:v>
      </x:c>
      <x:c r="G2801" s="38" t="n">
        <x:v>0.5215631982</x:v>
      </x:c>
      <x:c r="H2801" s="42" t="b">
        <x:v>0</x:v>
      </x:c>
      <x:c r="I2801" s="42" t="b">
        <x:v>0</x:v>
      </x:c>
      <x:c r="J2801" s="38" t="n">
        <x:v>0.2402472557</x:v>
      </x:c>
    </x:row>
    <x:row r="2802" ht="19" customHeight="1">
      <x:c r="A2802" s="29" t="str">
        <x:v>stagger_1</x:v>
      </x:c>
      <x:c r="B2802" s="38" t="str">
        <x:v>COST</x:v>
      </x:c>
      <x:c r="C2802" s="38" t="str">
        <x:v>Other sectors</x:v>
      </x:c>
      <x:c r="D2802" s="30" t="n">
        <x:v>1</x:v>
      </x:c>
      <x:c r="E2802" s="38" t="str">
        <x:v>XLRE</x:v>
      </x:c>
      <x:c r="F2802" s="38" t="n">
        <x:v>0.1797457308</x:v>
      </x:c>
      <x:c r="G2802" s="38" t="n">
        <x:v>0.9521605806</x:v>
      </x:c>
      <x:c r="H2802" s="42" t="b">
        <x:v>0</x:v>
      </x:c>
      <x:c r="I2802" s="42" t="b">
        <x:v>0</x:v>
      </x:c>
      <x:c r="J2802" s="38" t="n">
        <x:v>0.2402472557</x:v>
      </x:c>
    </x:row>
    <x:row r="2803" ht="19" customHeight="1">
      <x:c r="A2803" s="29" t="str">
        <x:v>stagger_1</x:v>
      </x:c>
      <x:c r="B2803" s="38" t="str">
        <x:v>COST</x:v>
      </x:c>
      <x:c r="C2803" s="38" t="str">
        <x:v>Other sectors</x:v>
      </x:c>
      <x:c r="D2803" s="30" t="n">
        <x:v>1</x:v>
      </x:c>
      <x:c r="E2803" s="38" t="str">
        <x:v>XLU</x:v>
      </x:c>
      <x:c r="F2803" s="38" t="n">
        <x:v>0.107986734</x:v>
      </x:c>
      <x:c r="G2803" s="38" t="n">
        <x:v>0.6858885255</x:v>
      </x:c>
      <x:c r="H2803" s="42" t="b">
        <x:v>0</x:v>
      </x:c>
      <x:c r="I2803" s="42" t="b">
        <x:v>0</x:v>
      </x:c>
      <x:c r="J2803" s="38" t="n">
        <x:v>0.2402472557</x:v>
      </x:c>
    </x:row>
    <x:row r="2804" ht="19" customHeight="1">
      <x:c r="A2804" s="29" t="str">
        <x:v>stagger_1</x:v>
      </x:c>
      <x:c r="B2804" s="38" t="str">
        <x:v>COST</x:v>
      </x:c>
      <x:c r="C2804" s="38" t="str">
        <x:v>Other sectors</x:v>
      </x:c>
      <x:c r="D2804" s="30" t="n">
        <x:v>1</x:v>
      </x:c>
      <x:c r="E2804" s="38" t="str">
        <x:v>XLV</x:v>
      </x:c>
      <x:c r="F2804" s="38" t="n">
        <x:v>-0.0394863105</x:v>
      </x:c>
      <x:c r="G2804" s="38" t="n">
        <x:v>-0.1835393624</x:v>
      </x:c>
      <x:c r="H2804" s="42" t="b">
        <x:v>1</x:v>
      </x:c>
      <x:c r="I2804" s="42" t="b">
        <x:v>0</x:v>
      </x:c>
      <x:c r="J2804" s="38" t="n">
        <x:v>0.2402472557</x:v>
      </x:c>
    </x:row>
    <x:row r="2805" ht="19" customHeight="1">
      <x:c r="A2805" s="29" t="str">
        <x:v>stagger_1</x:v>
      </x:c>
      <x:c r="B2805" s="38" t="str">
        <x:v>COST</x:v>
      </x:c>
      <x:c r="C2805" s="38" t="str">
        <x:v>Other sectors</x:v>
      </x:c>
      <x:c r="D2805" s="30" t="n">
        <x:v>1</x:v>
      </x:c>
      <x:c r="E2805" s="38" t="str">
        <x:v>XLY</x:v>
      </x:c>
      <x:c r="F2805" s="38" t="n">
        <x:v>0.4274178433</x:v>
      </x:c>
      <x:c r="G2805" s="38" t="n">
        <x:v>1.834599352</x:v>
      </x:c>
      <x:c r="H2805" s="42" t="b">
        <x:v>0</x:v>
      </x:c>
      <x:c r="I2805" s="42" t="b">
        <x:v>0</x:v>
      </x:c>
      <x:c r="J2805" s="38" t="n">
        <x:v>0.2402472557</x:v>
      </x:c>
    </x:row>
    <x:row r="2806" ht="19" customHeight="1">
      <x:c r="A2806" s="29" t="str">
        <x:v>stagger_1</x:v>
      </x:c>
      <x:c r="B2806" s="38" t="str">
        <x:v>COST</x:v>
      </x:c>
      <x:c r="C2806" s="38" t="str">
        <x:v>Other sectors</x:v>
      </x:c>
      <x:c r="D2806" s="30" t="n">
        <x:v>2</x:v>
      </x:c>
      <x:c r="E2806" s="38" t="str">
        <x:v>XLB</x:v>
      </x:c>
      <x:c r="F2806" s="38" t="n">
        <x:v>0.0784030726</x:v>
      </x:c>
      <x:c r="G2806" s="38" t="n">
        <x:v>0.3380482829</x:v>
      </x:c>
      <x:c r="H2806" s="42" t="b">
        <x:v>1</x:v>
      </x:c>
      <x:c r="I2806" s="42" t="b">
        <x:v>0</x:v>
      </x:c>
      <x:c r="J2806" s="38" t="n">
        <x:v>0.2398763345</x:v>
      </x:c>
    </x:row>
    <x:row r="2807" ht="19" customHeight="1">
      <x:c r="A2807" s="29" t="str">
        <x:v>stagger_1</x:v>
      </x:c>
      <x:c r="B2807" s="38" t="str">
        <x:v>COST</x:v>
      </x:c>
      <x:c r="C2807" s="38" t="str">
        <x:v>Other sectors</x:v>
      </x:c>
      <x:c r="D2807" s="30" t="n">
        <x:v>2</x:v>
      </x:c>
      <x:c r="E2807" s="38" t="str">
        <x:v>XLC</x:v>
      </x:c>
      <x:c r="F2807" s="38" t="n">
        <x:v>0.20472217</x:v>
      </x:c>
      <x:c r="G2807" s="38" t="n">
        <x:v>0.9409022333</x:v>
      </x:c>
      <x:c r="H2807" s="42" t="b">
        <x:v>0</x:v>
      </x:c>
      <x:c r="I2807" s="42" t="b">
        <x:v>0</x:v>
      </x:c>
      <x:c r="J2807" s="38" t="n">
        <x:v>0.2398763345</x:v>
      </x:c>
    </x:row>
    <x:row r="2808" ht="19" customHeight="1">
      <x:c r="A2808" s="29" t="str">
        <x:v>stagger_1</x:v>
      </x:c>
      <x:c r="B2808" s="38" t="str">
        <x:v>COST</x:v>
      </x:c>
      <x:c r="C2808" s="38" t="str">
        <x:v>Other sectors</x:v>
      </x:c>
      <x:c r="D2808" s="30" t="n">
        <x:v>2</x:v>
      </x:c>
      <x:c r="E2808" s="38" t="str">
        <x:v>XLE</x:v>
      </x:c>
      <x:c r="F2808" s="38" t="n">
        <x:v>0.0892857147</x:v>
      </x:c>
      <x:c r="G2808" s="38" t="n">
        <x:v>1.079266526</x:v>
      </x:c>
      <x:c r="H2808" s="42" t="b">
        <x:v>0</x:v>
      </x:c>
      <x:c r="I2808" s="42" t="b">
        <x:v>0</x:v>
      </x:c>
      <x:c r="J2808" s="38" t="n">
        <x:v>0.2398763345</x:v>
      </x:c>
    </x:row>
    <x:row r="2809" ht="19" customHeight="1">
      <x:c r="A2809" s="29" t="str">
        <x:v>stagger_1</x:v>
      </x:c>
      <x:c r="B2809" s="38" t="str">
        <x:v>COST</x:v>
      </x:c>
      <x:c r="C2809" s="38" t="str">
        <x:v>Other sectors</x:v>
      </x:c>
      <x:c r="D2809" s="30" t="n">
        <x:v>2</x:v>
      </x:c>
      <x:c r="E2809" s="38" t="str">
        <x:v>XLF</x:v>
      </x:c>
      <x:c r="F2809" s="38" t="n">
        <x:v>-0.2781233309</x:v>
      </x:c>
      <x:c r="G2809" s="38" t="n">
        <x:v>-1.2890672416</x:v>
      </x:c>
      <x:c r="H2809" s="42" t="b">
        <x:v>0</x:v>
      </x:c>
      <x:c r="I2809" s="42" t="b">
        <x:v>0</x:v>
      </x:c>
      <x:c r="J2809" s="38" t="n">
        <x:v>0.2398763345</x:v>
      </x:c>
    </x:row>
    <x:row r="2810" ht="19" customHeight="1">
      <x:c r="A2810" s="29" t="str">
        <x:v>stagger_1</x:v>
      </x:c>
      <x:c r="B2810" s="38" t="str">
        <x:v>COST</x:v>
      </x:c>
      <x:c r="C2810" s="38" t="str">
        <x:v>Other sectors</x:v>
      </x:c>
      <x:c r="D2810" s="30" t="n">
        <x:v>2</x:v>
      </x:c>
      <x:c r="E2810" s="38" t="str">
        <x:v>XLI</x:v>
      </x:c>
      <x:c r="F2810" s="38" t="n">
        <x:v>-0.4709010219</x:v>
      </x:c>
      <x:c r="G2810" s="38" t="n">
        <x:v>-1.6054630346</x:v>
      </x:c>
      <x:c r="H2810" s="42" t="b">
        <x:v>0</x:v>
      </x:c>
      <x:c r="I2810" s="42" t="b">
        <x:v>0</x:v>
      </x:c>
      <x:c r="J2810" s="38" t="n">
        <x:v>0.2398763345</x:v>
      </x:c>
    </x:row>
    <x:row r="2811" ht="19" customHeight="1">
      <x:c r="A2811" s="29" t="str">
        <x:v>stagger_1</x:v>
      </x:c>
      <x:c r="B2811" s="38" t="str">
        <x:v>COST</x:v>
      </x:c>
      <x:c r="C2811" s="38" t="str">
        <x:v>Other sectors</x:v>
      </x:c>
      <x:c r="D2811" s="30" t="n">
        <x:v>2</x:v>
      </x:c>
      <x:c r="E2811" s="38" t="str">
        <x:v>XLK</x:v>
      </x:c>
      <x:c r="F2811" s="38" t="n">
        <x:v>0.2232979735</x:v>
      </x:c>
      <x:c r="G2811" s="38" t="n">
        <x:v>0.7926872369</x:v>
      </x:c>
      <x:c r="H2811" s="42" t="b">
        <x:v>0</x:v>
      </x:c>
      <x:c r="I2811" s="42" t="b">
        <x:v>0</x:v>
      </x:c>
      <x:c r="J2811" s="38" t="n">
        <x:v>0.2398763345</x:v>
      </x:c>
    </x:row>
    <x:row r="2812" ht="19" customHeight="1">
      <x:c r="A2812" s="29" t="str">
        <x:v>stagger_1</x:v>
      </x:c>
      <x:c r="B2812" s="38" t="str">
        <x:v>COST</x:v>
      </x:c>
      <x:c r="C2812" s="38" t="str">
        <x:v>Other sectors</x:v>
      </x:c>
      <x:c r="D2812" s="30" t="n">
        <x:v>2</x:v>
      </x:c>
      <x:c r="E2812" s="38" t="str">
        <x:v>XLRE</x:v>
      </x:c>
      <x:c r="F2812" s="38" t="n">
        <x:v>0.1722666793</x:v>
      </x:c>
      <x:c r="G2812" s="38" t="n">
        <x:v>0.9410931959</x:v>
      </x:c>
      <x:c r="H2812" s="42" t="b">
        <x:v>0</x:v>
      </x:c>
      <x:c r="I2812" s="42" t="b">
        <x:v>0</x:v>
      </x:c>
      <x:c r="J2812" s="38" t="n">
        <x:v>0.2398763345</x:v>
      </x:c>
    </x:row>
    <x:row r="2813" ht="19" customHeight="1">
      <x:c r="A2813" s="29" t="str">
        <x:v>stagger_1</x:v>
      </x:c>
      <x:c r="B2813" s="38" t="str">
        <x:v>COST</x:v>
      </x:c>
      <x:c r="C2813" s="38" t="str">
        <x:v>Other sectors</x:v>
      </x:c>
      <x:c r="D2813" s="30" t="n">
        <x:v>2</x:v>
      </x:c>
      <x:c r="E2813" s="38" t="str">
        <x:v>XLU</x:v>
      </x:c>
      <x:c r="F2813" s="38" t="n">
        <x:v>0.112212167</x:v>
      </x:c>
      <x:c r="G2813" s="38" t="n">
        <x:v>0.7254959435</x:v>
      </x:c>
      <x:c r="H2813" s="42" t="b">
        <x:v>0</x:v>
      </x:c>
      <x:c r="I2813" s="42" t="b">
        <x:v>0</x:v>
      </x:c>
      <x:c r="J2813" s="38" t="n">
        <x:v>0.2398763345</x:v>
      </x:c>
    </x:row>
    <x:row r="2814" ht="19" customHeight="1">
      <x:c r="A2814" s="29" t="str">
        <x:v>stagger_1</x:v>
      </x:c>
      <x:c r="B2814" s="38" t="str">
        <x:v>COST</x:v>
      </x:c>
      <x:c r="C2814" s="38" t="str">
        <x:v>Other sectors</x:v>
      </x:c>
      <x:c r="D2814" s="30" t="n">
        <x:v>2</x:v>
      </x:c>
      <x:c r="E2814" s="38" t="str">
        <x:v>XLY</x:v>
      </x:c>
      <x:c r="F2814" s="38" t="n">
        <x:v>0.4508676357</x:v>
      </x:c>
      <x:c r="G2814" s="38" t="n">
        <x:v>2.3304403146</x:v>
      </x:c>
      <x:c r="H2814" s="42" t="b">
        <x:v>0</x:v>
      </x:c>
      <x:c r="I2814" s="42" t="b">
        <x:v>0</x:v>
      </x:c>
      <x:c r="J2814" s="38" t="n">
        <x:v>0.2398763345</x:v>
      </x:c>
    </x:row>
    <x:row r="2815" ht="19" customHeight="1">
      <x:c r="A2815" s="29" t="str">
        <x:v>stagger_1</x:v>
      </x:c>
      <x:c r="B2815" s="38" t="str">
        <x:v>COST</x:v>
      </x:c>
      <x:c r="C2815" s="38" t="str">
        <x:v>Other sectors</x:v>
      </x:c>
      <x:c r="D2815" s="30" t="n">
        <x:v>3</x:v>
      </x:c>
      <x:c r="E2815" s="38" t="str">
        <x:v>XLC</x:v>
      </x:c>
      <x:c r="F2815" s="38" t="n">
        <x:v>0.2029826673</x:v>
      </x:c>
      <x:c r="G2815" s="38" t="n">
        <x:v>0.9390441466</x:v>
      </x:c>
      <x:c r="H2815" s="42" t="b">
        <x:v>0</x:v>
      </x:c>
      <x:c r="I2815" s="42" t="b">
        <x:v>0</x:v>
      </x:c>
      <x:c r="J2815" s="38" t="n">
        <x:v>0.2386354148</x:v>
      </x:c>
    </x:row>
    <x:row r="2816" ht="19" customHeight="1">
      <x:c r="A2816" s="29" t="str">
        <x:v>stagger_1</x:v>
      </x:c>
      <x:c r="B2816" s="38" t="str">
        <x:v>COST</x:v>
      </x:c>
      <x:c r="C2816" s="38" t="str">
        <x:v>Other sectors</x:v>
      </x:c>
      <x:c r="D2816" s="30" t="n">
        <x:v>3</x:v>
      </x:c>
      <x:c r="E2816" s="38" t="str">
        <x:v>XLE</x:v>
      </x:c>
      <x:c r="F2816" s="38" t="n">
        <x:v>0.0950724693</x:v>
      </x:c>
      <x:c r="G2816" s="38" t="n">
        <x:v>1.1820333565</x:v>
      </x:c>
      <x:c r="H2816" s="42" t="b">
        <x:v>0</x:v>
      </x:c>
      <x:c r="I2816" s="42" t="b">
        <x:v>0</x:v>
      </x:c>
      <x:c r="J2816" s="38" t="n">
        <x:v>0.2386354148</x:v>
      </x:c>
    </x:row>
    <x:row r="2817" ht="19" customHeight="1">
      <x:c r="A2817" s="29" t="str">
        <x:v>stagger_1</x:v>
      </x:c>
      <x:c r="B2817" s="38" t="str">
        <x:v>COST</x:v>
      </x:c>
      <x:c r="C2817" s="38" t="str">
        <x:v>Other sectors</x:v>
      </x:c>
      <x:c r="D2817" s="30" t="n">
        <x:v>3</x:v>
      </x:c>
      <x:c r="E2817" s="38" t="str">
        <x:v>XLF</x:v>
      </x:c>
      <x:c r="F2817" s="38" t="n">
        <x:v>-0.2769816195</x:v>
      </x:c>
      <x:c r="G2817" s="38" t="n">
        <x:v>-1.2920170993</x:v>
      </x:c>
      <x:c r="H2817" s="42" t="b">
        <x:v>0</x:v>
      </x:c>
      <x:c r="I2817" s="42" t="b">
        <x:v>0</x:v>
      </x:c>
      <x:c r="J2817" s="38" t="n">
        <x:v>0.2386354148</x:v>
      </x:c>
    </x:row>
    <x:row r="2818" ht="19" customHeight="1">
      <x:c r="A2818" s="29" t="str">
        <x:v>stagger_1</x:v>
      </x:c>
      <x:c r="B2818" s="38" t="str">
        <x:v>COST</x:v>
      </x:c>
      <x:c r="C2818" s="38" t="str">
        <x:v>Other sectors</x:v>
      </x:c>
      <x:c r="D2818" s="30" t="n">
        <x:v>3</x:v>
      </x:c>
      <x:c r="E2818" s="38" t="str">
        <x:v>XLI</x:v>
      </x:c>
      <x:c r="F2818" s="38" t="n">
        <x:v>-0.3990691111</x:v>
      </x:c>
      <x:c r="G2818" s="38" t="n">
        <x:v>-1.9861876185</x:v>
      </x:c>
      <x:c r="H2818" s="42" t="b">
        <x:v>0</x:v>
      </x:c>
      <x:c r="I2818" s="42" t="b">
        <x:v>0</x:v>
      </x:c>
      <x:c r="J2818" s="38" t="n">
        <x:v>0.2386354148</x:v>
      </x:c>
    </x:row>
    <x:row r="2819" ht="19" customHeight="1">
      <x:c r="A2819" s="29" t="str">
        <x:v>stagger_1</x:v>
      </x:c>
      <x:c r="B2819" s="38" t="str">
        <x:v>COST</x:v>
      </x:c>
      <x:c r="C2819" s="38" t="str">
        <x:v>Other sectors</x:v>
      </x:c>
      <x:c r="D2819" s="30" t="n">
        <x:v>3</x:v>
      </x:c>
      <x:c r="E2819" s="38" t="str">
        <x:v>XLK</x:v>
      </x:c>
      <x:c r="F2819" s="38" t="n">
        <x:v>0.2128896977</x:v>
      </x:c>
      <x:c r="G2819" s="38" t="n">
        <x:v>0.7650809799</x:v>
      </x:c>
      <x:c r="H2819" s="42" t="b">
        <x:v>0</x:v>
      </x:c>
      <x:c r="I2819" s="42" t="b">
        <x:v>0</x:v>
      </x:c>
      <x:c r="J2819" s="38" t="n">
        <x:v>0.2386354148</x:v>
      </x:c>
    </x:row>
    <x:row r="2820" ht="19" customHeight="1">
      <x:c r="A2820" s="29" t="str">
        <x:v>stagger_1</x:v>
      </x:c>
      <x:c r="B2820" s="38" t="str">
        <x:v>COST</x:v>
      </x:c>
      <x:c r="C2820" s="38" t="str">
        <x:v>Other sectors</x:v>
      </x:c>
      <x:c r="D2820" s="30" t="n">
        <x:v>3</x:v>
      </x:c>
      <x:c r="E2820" s="38" t="str">
        <x:v>XLRE</x:v>
      </x:c>
      <x:c r="F2820" s="38" t="n">
        <x:v>0.1831955726</x:v>
      </x:c>
      <x:c r="G2820" s="38" t="n">
        <x:v>1.0231837731</x:v>
      </x:c>
      <x:c r="H2820" s="42" t="b">
        <x:v>0</x:v>
      </x:c>
      <x:c r="I2820" s="42" t="b">
        <x:v>0</x:v>
      </x:c>
      <x:c r="J2820" s="38" t="n">
        <x:v>0.2386354148</x:v>
      </x:c>
    </x:row>
    <x:row r="2821" ht="19" customHeight="1">
      <x:c r="A2821" s="29" t="str">
        <x:v>stagger_1</x:v>
      </x:c>
      <x:c r="B2821" s="38" t="str">
        <x:v>COST</x:v>
      </x:c>
      <x:c r="C2821" s="38" t="str">
        <x:v>Other sectors</x:v>
      </x:c>
      <x:c r="D2821" s="30" t="n">
        <x:v>3</x:v>
      </x:c>
      <x:c r="E2821" s="38" t="str">
        <x:v>XLU</x:v>
      </x:c>
      <x:c r="F2821" s="38" t="n">
        <x:v>0.1136168682</x:v>
      </x:c>
      <x:c r="G2821" s="38" t="n">
        <x:v>0.7394700453</x:v>
      </x:c>
      <x:c r="H2821" s="42" t="b">
        <x:v>1</x:v>
      </x:c>
      <x:c r="I2821" s="42" t="b">
        <x:v>0</x:v>
      </x:c>
      <x:c r="J2821" s="38" t="n">
        <x:v>0.2386354148</x:v>
      </x:c>
    </x:row>
    <x:row r="2822" ht="19" customHeight="1">
      <x:c r="A2822" s="29" t="str">
        <x:v>stagger_1</x:v>
      </x:c>
      <x:c r="B2822" s="38" t="str">
        <x:v>COST</x:v>
      </x:c>
      <x:c r="C2822" s="38" t="str">
        <x:v>Other sectors</x:v>
      </x:c>
      <x:c r="D2822" s="30" t="n">
        <x:v>3</x:v>
      </x:c>
      <x:c r="E2822" s="38" t="str">
        <x:v>XLY</x:v>
      </x:c>
      <x:c r="F2822" s="38" t="n">
        <x:v>0.4524165637</x:v>
      </x:c>
      <x:c r="G2822" s="38" t="n">
        <x:v>2.3538305566</x:v>
      </x:c>
      <x:c r="H2822" s="42" t="b">
        <x:v>0</x:v>
      </x:c>
      <x:c r="I2822" s="42" t="b">
        <x:v>0</x:v>
      </x:c>
      <x:c r="J2822" s="38" t="n">
        <x:v>0.2386354148</x:v>
      </x:c>
    </x:row>
    <x:row r="2823" ht="19" customHeight="1">
      <x:c r="A2823" s="29" t="str">
        <x:v>stagger_1</x:v>
      </x:c>
      <x:c r="B2823" s="38" t="str">
        <x:v>COST</x:v>
      </x:c>
      <x:c r="C2823" s="38" t="str">
        <x:v>Other sectors</x:v>
      </x:c>
      <x:c r="D2823" s="30" t="n">
        <x:v>4</x:v>
      </x:c>
      <x:c r="E2823" s="38" t="str">
        <x:v>XLC</x:v>
      </x:c>
      <x:c r="F2823" s="38" t="n">
        <x:v>0.172550212</x:v>
      </x:c>
      <x:c r="G2823" s="38" t="n">
        <x:v>0.8157011087</x:v>
      </x:c>
      <x:c r="H2823" s="42" t="b">
        <x:v>0</x:v>
      </x:c>
      <x:c r="I2823" s="42" t="b">
        <x:v>0</x:v>
      </x:c>
      <x:c r="J2823" s="38" t="n">
        <x:v>0.2327716642</x:v>
      </x:c>
    </x:row>
    <x:row r="2824" ht="19" customHeight="1">
      <x:c r="A2824" s="29" t="str">
        <x:v>stagger_1</x:v>
      </x:c>
      <x:c r="B2824" s="38" t="str">
        <x:v>COST</x:v>
      </x:c>
      <x:c r="C2824" s="38" t="str">
        <x:v>Other sectors</x:v>
      </x:c>
      <x:c r="D2824" s="30" t="n">
        <x:v>4</x:v>
      </x:c>
      <x:c r="E2824" s="38" t="str">
        <x:v>XLE</x:v>
      </x:c>
      <x:c r="F2824" s="38" t="n">
        <x:v>0.0873738419</x:v>
      </x:c>
      <x:c r="G2824" s="38" t="n">
        <x:v>1.0989970658</x:v>
      </x:c>
      <x:c r="H2824" s="42" t="b">
        <x:v>0</x:v>
      </x:c>
      <x:c r="I2824" s="42" t="b">
        <x:v>0</x:v>
      </x:c>
      <x:c r="J2824" s="38" t="n">
        <x:v>0.2327716642</x:v>
      </x:c>
    </x:row>
    <x:row r="2825" ht="19" customHeight="1">
      <x:c r="A2825" s="29" t="str">
        <x:v>stagger_1</x:v>
      </x:c>
      <x:c r="B2825" s="38" t="str">
        <x:v>COST</x:v>
      </x:c>
      <x:c r="C2825" s="38" t="str">
        <x:v>Other sectors</x:v>
      </x:c>
      <x:c r="D2825" s="30" t="n">
        <x:v>4</x:v>
      </x:c>
      <x:c r="E2825" s="38" t="str">
        <x:v>XLF</x:v>
      </x:c>
      <x:c r="F2825" s="38" t="n">
        <x:v>-0.3164184834</x:v>
      </x:c>
      <x:c r="G2825" s="38" t="n">
        <x:v>-1.5287012846</x:v>
      </x:c>
      <x:c r="H2825" s="42" t="b">
        <x:v>0</x:v>
      </x:c>
      <x:c r="I2825" s="42" t="b">
        <x:v>0</x:v>
      </x:c>
      <x:c r="J2825" s="38" t="n">
        <x:v>0.2327716642</x:v>
      </x:c>
    </x:row>
    <x:row r="2826" ht="19" customHeight="1">
      <x:c r="A2826" s="29" t="str">
        <x:v>stagger_1</x:v>
      </x:c>
      <x:c r="B2826" s="38" t="str">
        <x:v>COST</x:v>
      </x:c>
      <x:c r="C2826" s="38" t="str">
        <x:v>Other sectors</x:v>
      </x:c>
      <x:c r="D2826" s="30" t="n">
        <x:v>4</x:v>
      </x:c>
      <x:c r="E2826" s="38" t="str">
        <x:v>XLI</x:v>
      </x:c>
      <x:c r="F2826" s="38" t="n">
        <x:v>-0.3666001559</x:v>
      </x:c>
      <x:c r="G2826" s="38" t="n">
        <x:v>-1.8756943431</x:v>
      </x:c>
      <x:c r="H2826" s="42" t="b">
        <x:v>0</x:v>
      </x:c>
      <x:c r="I2826" s="42" t="b">
        <x:v>0</x:v>
      </x:c>
      <x:c r="J2826" s="38" t="n">
        <x:v>0.2327716642</x:v>
      </x:c>
    </x:row>
    <x:row r="2827" ht="19" customHeight="1">
      <x:c r="A2827" s="29" t="str">
        <x:v>stagger_1</x:v>
      </x:c>
      <x:c r="B2827" s="38" t="str">
        <x:v>COST</x:v>
      </x:c>
      <x:c r="C2827" s="38" t="str">
        <x:v>Other sectors</x:v>
      </x:c>
      <x:c r="D2827" s="30" t="n">
        <x:v>4</x:v>
      </x:c>
      <x:c r="E2827" s="38" t="str">
        <x:v>XLK</x:v>
      </x:c>
      <x:c r="F2827" s="38" t="n">
        <x:v>0.1515639138</x:v>
      </x:c>
      <x:c r="G2827" s="38" t="n">
        <x:v>0.5724262151</x:v>
      </x:c>
      <x:c r="H2827" s="42" t="b">
        <x:v>1</x:v>
      </x:c>
      <x:c r="I2827" s="42" t="b">
        <x:v>0</x:v>
      </x:c>
      <x:c r="J2827" s="38" t="n">
        <x:v>0.2327716642</x:v>
      </x:c>
    </x:row>
    <x:row r="2828" ht="19" customHeight="1">
      <x:c r="A2828" s="29" t="str">
        <x:v>stagger_1</x:v>
      </x:c>
      <x:c r="B2828" s="38" t="str">
        <x:v>COST</x:v>
      </x:c>
      <x:c r="C2828" s="38" t="str">
        <x:v>Other sectors</x:v>
      </x:c>
      <x:c r="D2828" s="30" t="n">
        <x:v>4</x:v>
      </x:c>
      <x:c r="E2828" s="38" t="str">
        <x:v>XLRE</x:v>
      </x:c>
      <x:c r="F2828" s="38" t="n">
        <x:v>0.2288065509</x:v>
      </x:c>
      <x:c r="G2828" s="38" t="n">
        <x:v>1.3655613928</x:v>
      </x:c>
      <x:c r="H2828" s="42" t="b">
        <x:v>0</x:v>
      </x:c>
      <x:c r="I2828" s="42" t="b">
        <x:v>0</x:v>
      </x:c>
      <x:c r="J2828" s="38" t="n">
        <x:v>0.2327716642</x:v>
      </x:c>
    </x:row>
    <x:row r="2829" ht="19" customHeight="1">
      <x:c r="A2829" s="29" t="str">
        <x:v>stagger_1</x:v>
      </x:c>
      <x:c r="B2829" s="38" t="str">
        <x:v>COST</x:v>
      </x:c>
      <x:c r="C2829" s="38" t="str">
        <x:v>Other sectors</x:v>
      </x:c>
      <x:c r="D2829" s="30" t="n">
        <x:v>4</x:v>
      </x:c>
      <x:c r="E2829" s="38" t="str">
        <x:v>XLY</x:v>
      </x:c>
      <x:c r="F2829" s="38" t="n">
        <x:v>0.4330518506</x:v>
      </x:c>
      <x:c r="G2829" s="38" t="n">
        <x:v>2.2814793189</x:v>
      </x:c>
      <x:c r="H2829" s="42" t="b">
        <x:v>0</x:v>
      </x:c>
      <x:c r="I2829" s="42" t="b">
        <x:v>0</x:v>
      </x:c>
      <x:c r="J2829" s="38" t="n">
        <x:v>0.2327716642</x:v>
      </x:c>
    </x:row>
    <x:row r="2830" ht="19" customHeight="1">
      <x:c r="A2830" s="29" t="str">
        <x:v>stagger_1</x:v>
      </x:c>
      <x:c r="B2830" s="38" t="str">
        <x:v>COST</x:v>
      </x:c>
      <x:c r="C2830" s="38" t="str">
        <x:v>Other sectors</x:v>
      </x:c>
      <x:c r="D2830" s="30" t="n">
        <x:v>5</x:v>
      </x:c>
      <x:c r="E2830" s="38" t="str">
        <x:v>XLC</x:v>
      </x:c>
      <x:c r="F2830" s="38" t="n">
        <x:v>0.1159024766</x:v>
      </x:c>
      <x:c r="G2830" s="38" t="n">
        <x:v>0.6228044833</x:v>
      </x:c>
      <x:c r="H2830" s="42" t="b">
        <x:v>1</x:v>
      </x:c>
      <x:c r="I2830" s="42" t="b">
        <x:v>0</x:v>
      </x:c>
      <x:c r="J2830" s="38" t="n">
        <x:v>0.2292800104</x:v>
      </x:c>
    </x:row>
    <x:row r="2831" ht="19" customHeight="1">
      <x:c r="A2831" s="29" t="str">
        <x:v>stagger_1</x:v>
      </x:c>
      <x:c r="B2831" s="38" t="str">
        <x:v>COST</x:v>
      </x:c>
      <x:c r="C2831" s="38" t="str">
        <x:v>Other sectors</x:v>
      </x:c>
      <x:c r="D2831" s="30" t="n">
        <x:v>5</x:v>
      </x:c>
      <x:c r="E2831" s="38" t="str">
        <x:v>XLE</x:v>
      </x:c>
      <x:c r="F2831" s="38" t="n">
        <x:v>0.0719413298</x:v>
      </x:c>
      <x:c r="G2831" s="38" t="n">
        <x:v>0.9663377436</x:v>
      </x:c>
      <x:c r="H2831" s="42" t="b">
        <x:v>0</x:v>
      </x:c>
      <x:c r="I2831" s="42" t="b">
        <x:v>0</x:v>
      </x:c>
      <x:c r="J2831" s="38" t="n">
        <x:v>0.2292800104</x:v>
      </x:c>
    </x:row>
    <x:row r="2832" ht="19" customHeight="1">
      <x:c r="A2832" s="29" t="str">
        <x:v>stagger_1</x:v>
      </x:c>
      <x:c r="B2832" s="38" t="str">
        <x:v>COST</x:v>
      </x:c>
      <x:c r="C2832" s="38" t="str">
        <x:v>Other sectors</x:v>
      </x:c>
      <x:c r="D2832" s="30" t="n">
        <x:v>5</x:v>
      </x:c>
      <x:c r="E2832" s="38" t="str">
        <x:v>XLF</x:v>
      </x:c>
      <x:c r="F2832" s="38" t="n">
        <x:v>-0.3768427866</x:v>
      </x:c>
      <x:c r="G2832" s="38" t="n">
        <x:v>-2.1263639524</x:v>
      </x:c>
      <x:c r="H2832" s="42" t="b">
        <x:v>0</x:v>
      </x:c>
      <x:c r="I2832" s="42" t="b">
        <x:v>0</x:v>
      </x:c>
      <x:c r="J2832" s="38" t="n">
        <x:v>0.2292800104</x:v>
      </x:c>
    </x:row>
    <x:row r="2833" ht="19" customHeight="1">
      <x:c r="A2833" s="29" t="str">
        <x:v>stagger_1</x:v>
      </x:c>
      <x:c r="B2833" s="38" t="str">
        <x:v>COST</x:v>
      </x:c>
      <x:c r="C2833" s="38" t="str">
        <x:v>Other sectors</x:v>
      </x:c>
      <x:c r="D2833" s="30" t="n">
        <x:v>5</x:v>
      </x:c>
      <x:c r="E2833" s="38" t="str">
        <x:v>XLI</x:v>
      </x:c>
      <x:c r="F2833" s="38" t="n">
        <x:v>-0.3965196055</x:v>
      </x:c>
      <x:c r="G2833" s="38" t="n">
        <x:v>-2.1152232449</x:v>
      </x:c>
      <x:c r="H2833" s="42" t="b">
        <x:v>0</x:v>
      </x:c>
      <x:c r="I2833" s="42" t="b">
        <x:v>0</x:v>
      </x:c>
      <x:c r="J2833" s="38" t="n">
        <x:v>0.2292800104</x:v>
      </x:c>
    </x:row>
    <x:row r="2834" ht="19" customHeight="1">
      <x:c r="A2834" s="29" t="str">
        <x:v>stagger_1</x:v>
      </x:c>
      <x:c r="B2834" s="38" t="str">
        <x:v>COST</x:v>
      </x:c>
      <x:c r="C2834" s="38" t="str">
        <x:v>Other sectors</x:v>
      </x:c>
      <x:c r="D2834" s="30" t="n">
        <x:v>5</x:v>
      </x:c>
      <x:c r="E2834" s="38" t="str">
        <x:v>XLRE</x:v>
      </x:c>
      <x:c r="F2834" s="38" t="n">
        <x:v>0.1845995039</x:v>
      </x:c>
      <x:c r="G2834" s="38" t="n">
        <x:v>1.2472104912</x:v>
      </x:c>
      <x:c r="H2834" s="42" t="b">
        <x:v>0</x:v>
      </x:c>
      <x:c r="I2834" s="42" t="b">
        <x:v>0</x:v>
      </x:c>
      <x:c r="J2834" s="38" t="n">
        <x:v>0.2292800104</x:v>
      </x:c>
    </x:row>
    <x:row r="2835" ht="19" customHeight="1">
      <x:c r="A2835" s="29" t="str">
        <x:v>stagger_1</x:v>
      </x:c>
      <x:c r="B2835" s="38" t="str">
        <x:v>COST</x:v>
      </x:c>
      <x:c r="C2835" s="38" t="str">
        <x:v>Other sectors</x:v>
      </x:c>
      <x:c r="D2835" s="30" t="n">
        <x:v>5</x:v>
      </x:c>
      <x:c r="E2835" s="38" t="str">
        <x:v>XLY</x:v>
      </x:c>
      <x:c r="F2835" s="38" t="n">
        <x:v>0.4112262548</x:v>
      </x:c>
      <x:c r="G2835" s="38" t="n">
        <x:v>2.2218272398</x:v>
      </x:c>
      <x:c r="H2835" s="42" t="b">
        <x:v>0</x:v>
      </x:c>
      <x:c r="I2835" s="42" t="b">
        <x:v>0</x:v>
      </x:c>
      <x:c r="J2835" s="38" t="n">
        <x:v>0.2292800104</x:v>
      </x:c>
    </x:row>
    <x:row r="2836" ht="19" customHeight="1">
      <x:c r="A2836" s="29" t="str">
        <x:v>stagger_1</x:v>
      </x:c>
      <x:c r="B2836" s="38" t="str">
        <x:v>COST</x:v>
      </x:c>
      <x:c r="C2836" s="38" t="str">
        <x:v>Other sectors</x:v>
      </x:c>
      <x:c r="D2836" s="30" t="n">
        <x:v>6</x:v>
      </x:c>
      <x:c r="E2836" s="38" t="str">
        <x:v>XLE</x:v>
      </x:c>
      <x:c r="F2836" s="38" t="n">
        <x:v>0.0794067764</x:v>
      </x:c>
      <x:c r="G2836" s="38" t="n">
        <x:v>1.0852140122</x:v>
      </x:c>
      <x:c r="H2836" s="42" t="b">
        <x:v>1</x:v>
      </x:c>
      <x:c r="I2836" s="42" t="b">
        <x:v>0</x:v>
      </x:c>
      <x:c r="J2836" s="38" t="n">
        <x:v>0.2251847906</x:v>
      </x:c>
    </x:row>
    <x:row r="2837" ht="19" customHeight="1">
      <x:c r="A2837" s="29" t="str">
        <x:v>stagger_1</x:v>
      </x:c>
      <x:c r="B2837" s="38" t="str">
        <x:v>COST</x:v>
      </x:c>
      <x:c r="C2837" s="38" t="str">
        <x:v>Other sectors</x:v>
      </x:c>
      <x:c r="D2837" s="30" t="n">
        <x:v>6</x:v>
      </x:c>
      <x:c r="E2837" s="38" t="str">
        <x:v>XLF</x:v>
      </x:c>
      <x:c r="F2837" s="38" t="n">
        <x:v>-0.3686668949</x:v>
      </x:c>
      <x:c r="G2837" s="38" t="n">
        <x:v>-2.0946426364</x:v>
      </x:c>
      <x:c r="H2837" s="42" t="b">
        <x:v>0</x:v>
      </x:c>
      <x:c r="I2837" s="42" t="b">
        <x:v>0</x:v>
      </x:c>
      <x:c r="J2837" s="38" t="n">
        <x:v>0.2251847906</x:v>
      </x:c>
    </x:row>
    <x:row r="2838" ht="19" customHeight="1">
      <x:c r="A2838" s="29" t="str">
        <x:v>stagger_1</x:v>
      </x:c>
      <x:c r="B2838" s="38" t="str">
        <x:v>COST</x:v>
      </x:c>
      <x:c r="C2838" s="38" t="str">
        <x:v>Other sectors</x:v>
      </x:c>
      <x:c r="D2838" s="30" t="n">
        <x:v>6</x:v>
      </x:c>
      <x:c r="E2838" s="38" t="str">
        <x:v>XLI</x:v>
      </x:c>
      <x:c r="F2838" s="38" t="n">
        <x:v>-0.4120609559</x:v>
      </x:c>
      <x:c r="G2838" s="38" t="n">
        <x:v>-2.2270961813</x:v>
      </x:c>
      <x:c r="H2838" s="42" t="b">
        <x:v>0</x:v>
      </x:c>
      <x:c r="I2838" s="42" t="b">
        <x:v>0</x:v>
      </x:c>
      <x:c r="J2838" s="38" t="n">
        <x:v>0.2251847906</x:v>
      </x:c>
    </x:row>
    <x:row r="2839" ht="19" customHeight="1">
      <x:c r="A2839" s="29" t="str">
        <x:v>stagger_1</x:v>
      </x:c>
      <x:c r="B2839" s="38" t="str">
        <x:v>COST</x:v>
      </x:c>
      <x:c r="C2839" s="38" t="str">
        <x:v>Other sectors</x:v>
      </x:c>
      <x:c r="D2839" s="30" t="n">
        <x:v>6</x:v>
      </x:c>
      <x:c r="E2839" s="38" t="str">
        <x:v>XLRE</x:v>
      </x:c>
      <x:c r="F2839" s="38" t="n">
        <x:v>0.1789356971</x:v>
      </x:c>
      <x:c r="G2839" s="38" t="n">
        <x:v>1.2162733704</x:v>
      </x:c>
      <x:c r="H2839" s="42" t="b">
        <x:v>0</x:v>
      </x:c>
      <x:c r="I2839" s="42" t="b">
        <x:v>0</x:v>
      </x:c>
      <x:c r="J2839" s="38" t="n">
        <x:v>0.2251847906</x:v>
      </x:c>
    </x:row>
    <x:row r="2840" ht="19" customHeight="1">
      <x:c r="A2840" s="29" t="str">
        <x:v>stagger_1</x:v>
      </x:c>
      <x:c r="B2840" s="38" t="str">
        <x:v>COST</x:v>
      </x:c>
      <x:c r="C2840" s="38" t="str">
        <x:v>Other sectors</x:v>
      </x:c>
      <x:c r="D2840" s="30" t="n">
        <x:v>6</x:v>
      </x:c>
      <x:c r="E2840" s="38" t="str">
        <x:v>XLY</x:v>
      </x:c>
      <x:c r="F2840" s="38" t="n">
        <x:v>0.4498573966</x:v>
      </x:c>
      <x:c r="G2840" s="38" t="n">
        <x:v>2.5904671719</x:v>
      </x:c>
      <x:c r="H2840" s="42" t="b">
        <x:v>0</x:v>
      </x:c>
      <x:c r="I2840" s="42" t="b">
        <x:v>0</x:v>
      </x:c>
      <x:c r="J2840" s="38" t="n">
        <x:v>0.2251847906</x:v>
      </x:c>
    </x:row>
    <x:row r="2841" ht="19" customHeight="1">
      <x:c r="A2841" s="29" t="str">
        <x:v>stagger_1</x:v>
      </x:c>
      <x:c r="B2841" s="38" t="str">
        <x:v>COST</x:v>
      </x:c>
      <x:c r="C2841" s="38" t="str">
        <x:v>Other sectors</x:v>
      </x:c>
      <x:c r="D2841" s="30" t="n">
        <x:v>7</x:v>
      </x:c>
      <x:c r="E2841" s="38" t="str">
        <x:v>XLF</x:v>
      </x:c>
      <x:c r="F2841" s="38" t="n">
        <x:v>-0.3264888891</x:v>
      </x:c>
      <x:c r="G2841" s="38" t="n">
        <x:v>-1.8997044737</x:v>
      </x:c>
      <x:c r="H2841" s="42" t="b">
        <x:v>0</x:v>
      </x:c>
      <x:c r="I2841" s="42" t="b">
        <x:v>0</x:v>
      </x:c>
      <x:c r="J2841" s="38" t="n">
        <x:v>0.2128538217</x:v>
      </x:c>
    </x:row>
    <x:row r="2842" ht="19" customHeight="1">
      <x:c r="A2842" s="29" t="str">
        <x:v>stagger_1</x:v>
      </x:c>
      <x:c r="B2842" s="38" t="str">
        <x:v>COST</x:v>
      </x:c>
      <x:c r="C2842" s="38" t="str">
        <x:v>Other sectors</x:v>
      </x:c>
      <x:c r="D2842" s="30" t="n">
        <x:v>7</x:v>
      </x:c>
      <x:c r="E2842" s="38" t="str">
        <x:v>XLI</x:v>
      </x:c>
      <x:c r="F2842" s="38" t="n">
        <x:v>-0.4028044896</x:v>
      </x:c>
      <x:c r="G2842" s="38" t="n">
        <x:v>-2.1768070889</x:v>
      </x:c>
      <x:c r="H2842" s="42" t="b">
        <x:v>0</x:v>
      </x:c>
      <x:c r="I2842" s="42" t="b">
        <x:v>0</x:v>
      </x:c>
      <x:c r="J2842" s="38" t="n">
        <x:v>0.2128538217</x:v>
      </x:c>
    </x:row>
    <x:row r="2843" ht="19" customHeight="1">
      <x:c r="A2843" s="29" t="str">
        <x:v>stagger_1</x:v>
      </x:c>
      <x:c r="B2843" s="38" t="str">
        <x:v>COST</x:v>
      </x:c>
      <x:c r="C2843" s="38" t="str">
        <x:v>Other sectors</x:v>
      </x:c>
      <x:c r="D2843" s="30" t="n">
        <x:v>7</x:v>
      </x:c>
      <x:c r="E2843" s="38" t="str">
        <x:v>XLRE</x:v>
      </x:c>
      <x:c r="F2843" s="38" t="n">
        <x:v>0.1958108689</x:v>
      </x:c>
      <x:c r="G2843" s="38" t="n">
        <x:v>1.3368934265</x:v>
      </x:c>
      <x:c r="H2843" s="42" t="b">
        <x:v>1</x:v>
      </x:c>
      <x:c r="I2843" s="42" t="b">
        <x:v>0</x:v>
      </x:c>
      <x:c r="J2843" s="38" t="n">
        <x:v>0.2128538217</x:v>
      </x:c>
    </x:row>
    <x:row r="2844" ht="19" customHeight="1">
      <x:c r="A2844" s="29" t="str">
        <x:v>stagger_1</x:v>
      </x:c>
      <x:c r="B2844" s="38" t="str">
        <x:v>COST</x:v>
      </x:c>
      <x:c r="C2844" s="38" t="str">
        <x:v>Other sectors</x:v>
      </x:c>
      <x:c r="D2844" s="30" t="n">
        <x:v>7</x:v>
      </x:c>
      <x:c r="E2844" s="38" t="str">
        <x:v>XLY</x:v>
      </x:c>
      <x:c r="F2844" s="38" t="n">
        <x:v>0.4032290136</x:v>
      </x:c>
      <x:c r="G2844" s="38" t="n">
        <x:v>2.393639146</x:v>
      </x:c>
      <x:c r="H2844" s="42" t="b">
        <x:v>0</x:v>
      </x:c>
      <x:c r="I2844" s="42" t="b">
        <x:v>0</x:v>
      </x:c>
      <x:c r="J2844" s="38" t="n">
        <x:v>0.2128538217</x:v>
      </x:c>
    </x:row>
    <x:row r="2845" ht="19" customHeight="1">
      <x:c r="A2845" s="29" t="str">
        <x:v>stagger_1</x:v>
      </x:c>
      <x:c r="B2845" s="38" t="str">
        <x:v>COST</x:v>
      </x:c>
      <x:c r="C2845" s="38" t="str">
        <x:v>Other sectors</x:v>
      </x:c>
      <x:c r="D2845" s="30" t="n">
        <x:v>8</x:v>
      </x:c>
      <x:c r="E2845" s="38" t="str">
        <x:v>XLF</x:v>
      </x:c>
      <x:c r="F2845" s="38" t="n">
        <x:v>-0.2912617297</x:v>
      </x:c>
      <x:c r="G2845" s="38" t="n">
        <x:v>-1.7061948867</x:v>
      </x:c>
      <x:c r="H2845" s="42" t="b">
        <x:v>1</x:v>
      </x:c>
      <x:c r="I2845" s="42" t="b">
        <x:v>0</x:v>
      </x:c>
      <x:c r="J2845" s="38" t="n">
        <x:v>0.194095771</x:v>
      </x:c>
    </x:row>
    <x:row r="2846" ht="19" customHeight="1">
      <x:c r="A2846" s="29" t="str">
        <x:v>stagger_1</x:v>
      </x:c>
      <x:c r="B2846" s="38" t="str">
        <x:v>COST</x:v>
      </x:c>
      <x:c r="C2846" s="38" t="str">
        <x:v>Other sectors</x:v>
      </x:c>
      <x:c r="D2846" s="30" t="n">
        <x:v>8</x:v>
      </x:c>
      <x:c r="E2846" s="38" t="str">
        <x:v>XLI</x:v>
      </x:c>
      <x:c r="F2846" s="38" t="n">
        <x:v>-0.3459288194</x:v>
      </x:c>
      <x:c r="G2846" s="38" t="n">
        <x:v>-1.9110276964</x:v>
      </x:c>
      <x:c r="H2846" s="42" t="b">
        <x:v>0</x:v>
      </x:c>
      <x:c r="I2846" s="42" t="b">
        <x:v>0</x:v>
      </x:c>
      <x:c r="J2846" s="38" t="n">
        <x:v>0.194095771</x:v>
      </x:c>
    </x:row>
    <x:row r="2847" ht="19" customHeight="1">
      <x:c r="A2847" s="29" t="str">
        <x:v>stagger_1</x:v>
      </x:c>
      <x:c r="B2847" s="38" t="str">
        <x:v>COST</x:v>
      </x:c>
      <x:c r="C2847" s="38" t="str">
        <x:v>Other sectors</x:v>
      </x:c>
      <x:c r="D2847" s="30" t="n">
        <x:v>8</x:v>
      </x:c>
      <x:c r="E2847" s="38" t="str">
        <x:v>XLY</x:v>
      </x:c>
      <x:c r="F2847" s="38" t="n">
        <x:v>0.4379338458</x:v>
      </x:c>
      <x:c r="G2847" s="38" t="n">
        <x:v>2.6175576979</x:v>
      </x:c>
      <x:c r="H2847" s="42" t="b">
        <x:v>0</x:v>
      </x:c>
      <x:c r="I2847" s="42" t="b">
        <x:v>0</x:v>
      </x:c>
      <x:c r="J2847" s="38" t="n">
        <x:v>0.194095771</x:v>
      </x:c>
    </x:row>
    <x:row r="2848" ht="19" customHeight="1">
      <x:c r="A2848" s="29" t="str">
        <x:v>stagger_1</x:v>
      </x:c>
      <x:c r="B2848" s="38" t="str">
        <x:v>COST</x:v>
      </x:c>
      <x:c r="C2848" s="38" t="str">
        <x:v>Other sectors</x:v>
      </x:c>
      <x:c r="D2848" s="30" t="n">
        <x:v>9</x:v>
      </x:c>
      <x:c r="E2848" s="38" t="str">
        <x:v>XLI</x:v>
      </x:c>
      <x:c r="F2848" s="38" t="n">
        <x:v>-0.4455073949</x:v>
      </x:c>
      <x:c r="G2848" s="38" t="n">
        <x:v>-2.5683011922</x:v>
      </x:c>
      <x:c r="H2848" s="42" t="b">
        <x:v>0</x:v>
      </x:c>
      <x:c r="I2848" s="42" t="b">
        <x:v>1</x:v>
      </x:c>
      <x:c r="J2848" s="38" t="n">
        <x:v>0.1632264473</x:v>
      </x:c>
    </x:row>
    <x:row r="2849" ht="19" customHeight="1">
      <x:c r="A2849" s="29" t="str">
        <x:v>stagger_1</x:v>
      </x:c>
      <x:c r="B2849" s="38" t="str">
        <x:v>COST</x:v>
      </x:c>
      <x:c r="C2849" s="38" t="str">
        <x:v>Other sectors</x:v>
      </x:c>
      <x:c r="D2849" s="30" t="n">
        <x:v>9</x:v>
      </x:c>
      <x:c r="E2849" s="38" t="str">
        <x:v>XLY</x:v>
      </x:c>
      <x:c r="F2849" s="38" t="n">
        <x:v>0.4353245063</x:v>
      </x:c>
      <x:c r="G2849" s="38" t="n">
        <x:v>2.5703681111</x:v>
      </x:c>
      <x:c r="H2849" s="42" t="b">
        <x:v>0</x:v>
      </x:c>
      <x:c r="I2849" s="42" t="b">
        <x:v>1</x:v>
      </x:c>
      <x:c r="J2849" s="38" t="n">
        <x:v>0.1632264473</x:v>
      </x:c>
    </x:row>
    <x:row r="2850" ht="19" customHeight="1">
      <x:c r="A2850" s="29" t="str">
        <x:v>stagger_1</x:v>
      </x:c>
      <x:c r="B2850" s="38" t="str">
        <x:v>HD</x:v>
      </x:c>
      <x:c r="C2850" s="38" t="str">
        <x:v>Other FX</x:v>
      </x:c>
      <x:c r="D2850" s="30" t="n">
        <x:v>1</x:v>
      </x:c>
      <x:c r="E2850" s="38" t="str">
        <x:v>AUD/USD</x:v>
      </x:c>
      <x:c r="F2850" s="38" t="n">
        <x:v>0.0655532599</x:v>
      </x:c>
      <x:c r="G2850" s="38" t="n">
        <x:v>0.1204855615</x:v>
      </x:c>
      <x:c r="H2850" s="42" t="b">
        <x:v>1</x:v>
      </x:c>
      <x:c r="I2850" s="42" t="b">
        <x:v>0</x:v>
      </x:c>
      <x:c r="J2850" s="38" t="n">
        <x:v>0.2112594364</x:v>
      </x:c>
    </x:row>
    <x:row r="2851" ht="19" customHeight="1">
      <x:c r="A2851" s="29" t="str">
        <x:v>stagger_1</x:v>
      </x:c>
      <x:c r="B2851" s="38" t="str">
        <x:v>HD</x:v>
      </x:c>
      <x:c r="C2851" s="38" t="str">
        <x:v>Other FX</x:v>
      </x:c>
      <x:c r="D2851" s="30" t="n">
        <x:v>1</x:v>
      </x:c>
      <x:c r="E2851" s="38" t="str">
        <x:v>CAD/USD</x:v>
      </x:c>
      <x:c r="F2851" s="38" t="n">
        <x:v>-1.0477959328</x:v>
      </x:c>
      <x:c r="G2851" s="38" t="n">
        <x:v>-1.5948282947</x:v>
      </x:c>
      <x:c r="H2851" s="42" t="b">
        <x:v>0</x:v>
      </x:c>
      <x:c r="I2851" s="42" t="b">
        <x:v>0</x:v>
      </x:c>
      <x:c r="J2851" s="38" t="n">
        <x:v>0.2112594364</x:v>
      </x:c>
    </x:row>
    <x:row r="2852" ht="19" customHeight="1">
      <x:c r="A2852" s="29" t="str">
        <x:v>stagger_1</x:v>
      </x:c>
      <x:c r="B2852" s="38" t="str">
        <x:v>HD</x:v>
      </x:c>
      <x:c r="C2852" s="38" t="str">
        <x:v>Other FX</x:v>
      </x:c>
      <x:c r="D2852" s="30" t="n">
        <x:v>1</x:v>
      </x:c>
      <x:c r="E2852" s="38" t="str">
        <x:v>DKK/USD</x:v>
      </x:c>
      <x:c r="F2852" s="38" t="n">
        <x:v>2.1429084767</x:v>
      </x:c>
      <x:c r="G2852" s="38" t="n">
        <x:v>0.4685111296</x:v>
      </x:c>
      <x:c r="H2852" s="42" t="b">
        <x:v>0</x:v>
      </x:c>
      <x:c r="I2852" s="42" t="b">
        <x:v>0</x:v>
      </x:c>
      <x:c r="J2852" s="38" t="n">
        <x:v>0.2112594364</x:v>
      </x:c>
    </x:row>
    <x:row r="2853" ht="19" customHeight="1">
      <x:c r="A2853" s="29" t="str">
        <x:v>stagger_1</x:v>
      </x:c>
      <x:c r="B2853" s="38" t="str">
        <x:v>HD</x:v>
      </x:c>
      <x:c r="C2853" s="38" t="str">
        <x:v>Other FX</x:v>
      </x:c>
      <x:c r="D2853" s="30" t="n">
        <x:v>1</x:v>
      </x:c>
      <x:c r="E2853" s="38" t="str">
        <x:v>EUR/USD</x:v>
      </x:c>
      <x:c r="F2853" s="38" t="n">
        <x:v>-2.7918152154</x:v>
      </x:c>
      <x:c r="G2853" s="38" t="n">
        <x:v>-0.6672958575</x:v>
      </x:c>
      <x:c r="H2853" s="42" t="b">
        <x:v>0</x:v>
      </x:c>
      <x:c r="I2853" s="42" t="b">
        <x:v>0</x:v>
      </x:c>
      <x:c r="J2853" s="38" t="n">
        <x:v>0.2112594364</x:v>
      </x:c>
    </x:row>
    <x:row r="2854" ht="19" customHeight="1">
      <x:c r="A2854" s="29" t="str">
        <x:v>stagger_1</x:v>
      </x:c>
      <x:c r="B2854" s="38" t="str">
        <x:v>HD</x:v>
      </x:c>
      <x:c r="C2854" s="38" t="str">
        <x:v>Other FX</x:v>
      </x:c>
      <x:c r="D2854" s="30" t="n">
        <x:v>1</x:v>
      </x:c>
      <x:c r="E2854" s="38" t="str">
        <x:v>MXN/USD</x:v>
      </x:c>
      <x:c r="F2854" s="38" t="n">
        <x:v>0.274496859</x:v>
      </x:c>
      <x:c r="G2854" s="38" t="n">
        <x:v>0.7875154825</x:v>
      </x:c>
      <x:c r="H2854" s="42" t="b">
        <x:v>0</x:v>
      </x:c>
      <x:c r="I2854" s="42" t="b">
        <x:v>0</x:v>
      </x:c>
      <x:c r="J2854" s="38" t="n">
        <x:v>0.2112594364</x:v>
      </x:c>
    </x:row>
    <x:row r="2855" ht="19" customHeight="1">
      <x:c r="A2855" s="29" t="str">
        <x:v>stagger_1</x:v>
      </x:c>
      <x:c r="B2855" s="38" t="str">
        <x:v>HD</x:v>
      </x:c>
      <x:c r="C2855" s="38" t="str">
        <x:v>Other FX</x:v>
      </x:c>
      <x:c r="D2855" s="30" t="n">
        <x:v>1</x:v>
      </x:c>
      <x:c r="E2855" s="38" t="str">
        <x:v>SGD/USD</x:v>
      </x:c>
      <x:c r="F2855" s="38" t="n">
        <x:v>3.4613510002</x:v>
      </x:c>
      <x:c r="G2855" s="38" t="n">
        <x:v>2.6275853753</x:v>
      </x:c>
      <x:c r="H2855" s="42" t="b">
        <x:v>0</x:v>
      </x:c>
      <x:c r="I2855" s="42" t="b">
        <x:v>0</x:v>
      </x:c>
      <x:c r="J2855" s="38" t="n">
        <x:v>0.2112594364</x:v>
      </x:c>
    </x:row>
    <x:row r="2856" ht="19" customHeight="1">
      <x:c r="A2856" s="29" t="str">
        <x:v>stagger_1</x:v>
      </x:c>
      <x:c r="B2856" s="38" t="str">
        <x:v>HD</x:v>
      </x:c>
      <x:c r="C2856" s="38" t="str">
        <x:v>Other FX</x:v>
      </x:c>
      <x:c r="D2856" s="30" t="n">
        <x:v>2</x:v>
      </x:c>
      <x:c r="E2856" s="38" t="str">
        <x:v>CAD/USD</x:v>
      </x:c>
      <x:c r="F2856" s="38" t="n">
        <x:v>-1.0285333469</x:v>
      </x:c>
      <x:c r="G2856" s="38" t="n">
        <x:v>-1.6248815964</x:v>
      </x:c>
      <x:c r="H2856" s="42" t="b">
        <x:v>0</x:v>
      </x:c>
      <x:c r="I2856" s="42" t="b">
        <x:v>0</x:v>
      </x:c>
      <x:c r="J2856" s="38" t="n">
        <x:v>0.2111025876</x:v>
      </x:c>
    </x:row>
    <x:row r="2857" ht="19" customHeight="1">
      <x:c r="A2857" s="29" t="str">
        <x:v>stagger_1</x:v>
      </x:c>
      <x:c r="B2857" s="38" t="str">
        <x:v>HD</x:v>
      </x:c>
      <x:c r="C2857" s="38" t="str">
        <x:v>Other FX</x:v>
      </x:c>
      <x:c r="D2857" s="30" t="n">
        <x:v>2</x:v>
      </x:c>
      <x:c r="E2857" s="38" t="str">
        <x:v>DKK/USD</x:v>
      </x:c>
      <x:c r="F2857" s="38" t="n">
        <x:v>2.1403457404</x:v>
      </x:c>
      <x:c r="G2857" s="38" t="n">
        <x:v>0.4711033259</x:v>
      </x:c>
      <x:c r="H2857" s="42" t="b">
        <x:v>1</x:v>
      </x:c>
      <x:c r="I2857" s="42" t="b">
        <x:v>0</x:v>
      </x:c>
      <x:c r="J2857" s="38" t="n">
        <x:v>0.2111025876</x:v>
      </x:c>
    </x:row>
    <x:row r="2858" ht="19" customHeight="1">
      <x:c r="A2858" s="29" t="str">
        <x:v>stagger_1</x:v>
      </x:c>
      <x:c r="B2858" s="38" t="str">
        <x:v>HD</x:v>
      </x:c>
      <x:c r="C2858" s="38" t="str">
        <x:v>Other FX</x:v>
      </x:c>
      <x:c r="D2858" s="30" t="n">
        <x:v>2</x:v>
      </x:c>
      <x:c r="E2858" s="38" t="str">
        <x:v>EUR/USD</x:v>
      </x:c>
      <x:c r="F2858" s="38" t="n">
        <x:v>-2.7905878968</x:v>
      </x:c>
      <x:c r="G2858" s="38" t="n">
        <x:v>-0.671490704</x:v>
      </x:c>
      <x:c r="H2858" s="42" t="b">
        <x:v>0</x:v>
      </x:c>
      <x:c r="I2858" s="42" t="b">
        <x:v>0</x:v>
      </x:c>
      <x:c r="J2858" s="38" t="n">
        <x:v>0.2111025876</x:v>
      </x:c>
    </x:row>
    <x:row r="2859" ht="19" customHeight="1">
      <x:c r="A2859" s="29" t="str">
        <x:v>stagger_1</x:v>
      </x:c>
      <x:c r="B2859" s="38" t="str">
        <x:v>HD</x:v>
      </x:c>
      <x:c r="C2859" s="38" t="str">
        <x:v>Other FX</x:v>
      </x:c>
      <x:c r="D2859" s="30" t="n">
        <x:v>2</x:v>
      </x:c>
      <x:c r="E2859" s="38" t="str">
        <x:v>MXN/USD</x:v>
      </x:c>
      <x:c r="F2859" s="38" t="n">
        <x:v>0.2823714826</x:v>
      </x:c>
      <x:c r="G2859" s="38" t="n">
        <x:v>0.8302824712</x:v>
      </x:c>
      <x:c r="H2859" s="42" t="b">
        <x:v>0</x:v>
      </x:c>
      <x:c r="I2859" s="42" t="b">
        <x:v>0</x:v>
      </x:c>
      <x:c r="J2859" s="38" t="n">
        <x:v>0.2111025876</x:v>
      </x:c>
    </x:row>
    <x:row r="2860" ht="19" customHeight="1">
      <x:c r="A2860" s="29" t="str">
        <x:v>stagger_1</x:v>
      </x:c>
      <x:c r="B2860" s="38" t="str">
        <x:v>HD</x:v>
      </x:c>
      <x:c r="C2860" s="38" t="str">
        <x:v>Other FX</x:v>
      </x:c>
      <x:c r="D2860" s="30" t="n">
        <x:v>2</x:v>
      </x:c>
      <x:c r="E2860" s="38" t="str">
        <x:v>SGD/USD</x:v>
      </x:c>
      <x:c r="F2860" s="38" t="n">
        <x:v>3.5348730013</x:v>
      </x:c>
      <x:c r="G2860" s="38" t="n">
        <x:v>3.0482106776</x:v>
      </x:c>
      <x:c r="H2860" s="42" t="b">
        <x:v>0</x:v>
      </x:c>
      <x:c r="I2860" s="42" t="b">
        <x:v>0</x:v>
      </x:c>
      <x:c r="J2860" s="38" t="n">
        <x:v>0.2111025876</x:v>
      </x:c>
    </x:row>
    <x:row r="2861" ht="19" customHeight="1">
      <x:c r="A2861" s="29" t="str">
        <x:v>stagger_1</x:v>
      </x:c>
      <x:c r="B2861" s="38" t="str">
        <x:v>HD</x:v>
      </x:c>
      <x:c r="C2861" s="38" t="str">
        <x:v>Other FX</x:v>
      </x:c>
      <x:c r="D2861" s="30" t="n">
        <x:v>3</x:v>
      </x:c>
      <x:c r="E2861" s="38" t="str">
        <x:v>CAD/USD</x:v>
      </x:c>
      <x:c r="F2861" s="38" t="n">
        <x:v>-0.9982888558</x:v>
      </x:c>
      <x:c r="G2861" s="38" t="n">
        <x:v>-1.593563232</x:v>
      </x:c>
      <x:c r="H2861" s="42" t="b">
        <x:v>0</x:v>
      </x:c>
      <x:c r="I2861" s="42" t="b">
        <x:v>0</x:v>
      </x:c>
      <x:c r="J2861" s="38" t="n">
        <x:v>0.2087365527</x:v>
      </x:c>
    </x:row>
    <x:row r="2862" ht="19" customHeight="1">
      <x:c r="A2862" s="29" t="str">
        <x:v>stagger_1</x:v>
      </x:c>
      <x:c r="B2862" s="38" t="str">
        <x:v>HD</x:v>
      </x:c>
      <x:c r="C2862" s="38" t="str">
        <x:v>Other FX</x:v>
      </x:c>
      <x:c r="D2862" s="30" t="n">
        <x:v>3</x:v>
      </x:c>
      <x:c r="E2862" s="38" t="str">
        <x:v>EUR/USD</x:v>
      </x:c>
      <x:c r="F2862" s="38" t="n">
        <x:v>-0.8578187014</x:v>
      </x:c>
      <x:c r="G2862" s="38" t="n">
        <x:v>-1.3013454571</x:v>
      </x:c>
      <x:c r="H2862" s="42" t="b">
        <x:v>0</x:v>
      </x:c>
      <x:c r="I2862" s="42" t="b">
        <x:v>0</x:v>
      </x:c>
      <x:c r="J2862" s="38" t="n">
        <x:v>0.2087365527</x:v>
      </x:c>
    </x:row>
    <x:row r="2863" ht="19" customHeight="1">
      <x:c r="A2863" s="29" t="str">
        <x:v>stagger_1</x:v>
      </x:c>
      <x:c r="B2863" s="38" t="str">
        <x:v>HD</x:v>
      </x:c>
      <x:c r="C2863" s="38" t="str">
        <x:v>Other FX</x:v>
      </x:c>
      <x:c r="D2863" s="30" t="n">
        <x:v>3</x:v>
      </x:c>
      <x:c r="E2863" s="38" t="str">
        <x:v>MXN/USD</x:v>
      </x:c>
      <x:c r="F2863" s="38" t="n">
        <x:v>0.3315677595</x:v>
      </x:c>
      <x:c r="G2863" s="38" t="n">
        <x:v>1.0297837028</x:v>
      </x:c>
      <x:c r="H2863" s="42" t="b">
        <x:v>1</x:v>
      </x:c>
      <x:c r="I2863" s="42" t="b">
        <x:v>0</x:v>
      </x:c>
      <x:c r="J2863" s="38" t="n">
        <x:v>0.2087365527</x:v>
      </x:c>
    </x:row>
    <x:row r="2864" ht="19" customHeight="1">
      <x:c r="A2864" s="29" t="str">
        <x:v>stagger_1</x:v>
      </x:c>
      <x:c r="B2864" s="38" t="str">
        <x:v>HD</x:v>
      </x:c>
      <x:c r="C2864" s="38" t="str">
        <x:v>Other FX</x:v>
      </x:c>
      <x:c r="D2864" s="30" t="n">
        <x:v>3</x:v>
      </x:c>
      <x:c r="E2864" s="38" t="str">
        <x:v>SGD/USD</x:v>
      </x:c>
      <x:c r="F2864" s="38" t="n">
        <x:v>3.7703290108</x:v>
      </x:c>
      <x:c r="G2864" s="38" t="n">
        <x:v>3.6218970305</x:v>
      </x:c>
      <x:c r="H2864" s="42" t="b">
        <x:v>0</x:v>
      </x:c>
      <x:c r="I2864" s="42" t="b">
        <x:v>0</x:v>
      </x:c>
      <x:c r="J2864" s="38" t="n">
        <x:v>0.2087365527</x:v>
      </x:c>
    </x:row>
    <x:row r="2865" ht="19" customHeight="1">
      <x:c r="A2865" s="29" t="str">
        <x:v>stagger_1</x:v>
      </x:c>
      <x:c r="B2865" s="38" t="str">
        <x:v>HD</x:v>
      </x:c>
      <x:c r="C2865" s="38" t="str">
        <x:v>Other FX</x:v>
      </x:c>
      <x:c r="D2865" s="30" t="n">
        <x:v>4</x:v>
      </x:c>
      <x:c r="E2865" s="38" t="str">
        <x:v>CAD/USD</x:v>
      </x:c>
      <x:c r="F2865" s="38" t="n">
        <x:v>-0.958757295</x:v>
      </x:c>
      <x:c r="G2865" s="38" t="n">
        <x:v>-1.5327313584</x:v>
      </x:c>
      <x:c r="H2865" s="42" t="b">
        <x:v>0</x:v>
      </x:c>
      <x:c r="I2865" s="42" t="b">
        <x:v>0</x:v>
      </x:c>
      <x:c r="J2865" s="38" t="n">
        <x:v>0.1975485678</x:v>
      </x:c>
    </x:row>
    <x:row r="2866" ht="19" customHeight="1">
      <x:c r="A2866" s="29" t="str">
        <x:v>stagger_1</x:v>
      </x:c>
      <x:c r="B2866" s="38" t="str">
        <x:v>HD</x:v>
      </x:c>
      <x:c r="C2866" s="38" t="str">
        <x:v>Other FX</x:v>
      </x:c>
      <x:c r="D2866" s="30" t="n">
        <x:v>4</x:v>
      </x:c>
      <x:c r="E2866" s="38" t="str">
        <x:v>EUR/USD</x:v>
      </x:c>
      <x:c r="F2866" s="38" t="n">
        <x:v>-0.6976478669</x:v>
      </x:c>
      <x:c r="G2866" s="38" t="n">
        <x:v>-1.0886799254</x:v>
      </x:c>
      <x:c r="H2866" s="42" t="b">
        <x:v>1</x:v>
      </x:c>
      <x:c r="I2866" s="42" t="b">
        <x:v>0</x:v>
      </x:c>
      <x:c r="J2866" s="38" t="n">
        <x:v>0.1975485678</x:v>
      </x:c>
    </x:row>
    <x:row r="2867" ht="19" customHeight="1">
      <x:c r="A2867" s="29" t="str">
        <x:v>stagger_1</x:v>
      </x:c>
      <x:c r="B2867" s="38" t="str">
        <x:v>HD</x:v>
      </x:c>
      <x:c r="C2867" s="38" t="str">
        <x:v>Other FX</x:v>
      </x:c>
      <x:c r="D2867" s="30" t="n">
        <x:v>4</x:v>
      </x:c>
      <x:c r="E2867" s="38" t="str">
        <x:v>SGD/USD</x:v>
      </x:c>
      <x:c r="F2867" s="38" t="n">
        <x:v>3.9058408807</x:v>
      </x:c>
      <x:c r="G2867" s="38" t="n">
        <x:v>3.78091373</x:v>
      </x:c>
      <x:c r="H2867" s="42" t="b">
        <x:v>0</x:v>
      </x:c>
      <x:c r="I2867" s="42" t="b">
        <x:v>0</x:v>
      </x:c>
      <x:c r="J2867" s="38" t="n">
        <x:v>0.1975485678</x:v>
      </x:c>
    </x:row>
    <x:row r="2868" ht="19" customHeight="1">
      <x:c r="A2868" s="29" t="str">
        <x:v>stagger_1</x:v>
      </x:c>
      <x:c r="B2868" s="38" t="str">
        <x:v>HD</x:v>
      </x:c>
      <x:c r="C2868" s="38" t="str">
        <x:v>Other FX</x:v>
      </x:c>
      <x:c r="D2868" s="30" t="n">
        <x:v>5</x:v>
      </x:c>
      <x:c r="E2868" s="38" t="str">
        <x:v>CAD/USD</x:v>
      </x:c>
      <x:c r="F2868" s="38" t="n">
        <x:v>-1.1376634303</x:v>
      </x:c>
      <x:c r="G2868" s="38" t="n">
        <x:v>-1.8826902965</x:v>
      </x:c>
      <x:c r="H2868" s="42" t="b">
        <x:v>1</x:v>
      </x:c>
      <x:c r="I2868" s="42" t="b">
        <x:v>0</x:v>
      </x:c>
      <x:c r="J2868" s="38" t="n">
        <x:v>0.1850342957</x:v>
      </x:c>
    </x:row>
    <x:row r="2869" ht="19" customHeight="1">
      <x:c r="A2869" s="29" t="str">
        <x:v>stagger_1</x:v>
      </x:c>
      <x:c r="B2869" s="38" t="str">
        <x:v>HD</x:v>
      </x:c>
      <x:c r="C2869" s="38" t="str">
        <x:v>Other FX</x:v>
      </x:c>
      <x:c r="D2869" s="30" t="n">
        <x:v>5</x:v>
      </x:c>
      <x:c r="E2869" s="38" t="str">
        <x:v>SGD/USD</x:v>
      </x:c>
      <x:c r="F2869" s="38" t="n">
        <x:v>3.1375929851</x:v>
      </x:c>
      <x:c r="G2869" s="38" t="n">
        <x:v>4.1537488921</x:v>
      </x:c>
      <x:c r="H2869" s="42" t="b">
        <x:v>0</x:v>
      </x:c>
      <x:c r="I2869" s="42" t="b">
        <x:v>0</x:v>
      </x:c>
      <x:c r="J2869" s="38" t="n">
        <x:v>0.1850342957</x:v>
      </x:c>
    </x:row>
    <x:row r="2870" ht="19" customHeight="1">
      <x:c r="A2870" s="29" t="str">
        <x:v>stagger_1</x:v>
      </x:c>
      <x:c r="B2870" s="38" t="str">
        <x:v>HD</x:v>
      </x:c>
      <x:c r="C2870" s="38" t="str">
        <x:v>Other FX</x:v>
      </x:c>
      <x:c r="D2870" s="30" t="n">
        <x:v>6</x:v>
      </x:c>
      <x:c r="E2870" s="38" t="str">
        <x:v>SGD/USD</x:v>
      </x:c>
      <x:c r="F2870" s="38" t="n">
        <x:v>2.3561679509</x:v>
      </x:c>
      <x:c r="G2870" s="38" t="n">
        <x:v>3.6739160223</x:v>
      </x:c>
      <x:c r="H2870" s="42" t="b">
        <x:v>0</x:v>
      </x:c>
      <x:c r="I2870" s="42" t="b">
        <x:v>1</x:v>
      </x:c>
      <x:c r="J2870" s="38" t="n">
        <x:v>0.1475191726</x:v>
      </x:c>
    </x:row>
    <x:row r="2871" ht="19" customHeight="1">
      <x:c r="A2871" s="29" t="str">
        <x:v>stagger_1</x:v>
      </x:c>
      <x:c r="B2871" s="38" t="str">
        <x:v>HD</x:v>
      </x:c>
      <x:c r="C2871" s="38" t="str">
        <x:v>Other sectors</x:v>
      </x:c>
      <x:c r="D2871" s="30" t="n">
        <x:v>1</x:v>
      </x:c>
      <x:c r="E2871" s="38" t="str">
        <x:v>XLB</x:v>
      </x:c>
      <x:c r="F2871" s="38" t="n">
        <x:v>0.0690902309</x:v>
      </x:c>
      <x:c r="G2871" s="38" t="n">
        <x:v>0.2365713298</x:v>
      </x:c>
      <x:c r="H2871" s="42" t="b">
        <x:v>0</x:v>
      </x:c>
      <x:c r="I2871" s="42" t="b">
        <x:v>0</x:v>
      </x:c>
      <x:c r="J2871" s="38" t="n">
        <x:v>0.1598098279</x:v>
      </x:c>
    </x:row>
    <x:row r="2872" ht="19" customHeight="1">
      <x:c r="A2872" s="29" t="str">
        <x:v>stagger_1</x:v>
      </x:c>
      <x:c r="B2872" s="38" t="str">
        <x:v>HD</x:v>
      </x:c>
      <x:c r="C2872" s="38" t="str">
        <x:v>Other sectors</x:v>
      </x:c>
      <x:c r="D2872" s="30" t="n">
        <x:v>1</x:v>
      </x:c>
      <x:c r="E2872" s="38" t="str">
        <x:v>XLC</x:v>
      </x:c>
      <x:c r="F2872" s="38" t="n">
        <x:v>-0.1394924405</x:v>
      </x:c>
      <x:c r="G2872" s="38" t="n">
        <x:v>-0.4984103893</x:v>
      </x:c>
      <x:c r="H2872" s="42" t="b">
        <x:v>0</x:v>
      </x:c>
      <x:c r="I2872" s="42" t="b">
        <x:v>0</x:v>
      </x:c>
      <x:c r="J2872" s="38" t="n">
        <x:v>0.1598098279</x:v>
      </x:c>
    </x:row>
    <x:row r="2873" ht="19" customHeight="1">
      <x:c r="A2873" s="29" t="str">
        <x:v>stagger_1</x:v>
      </x:c>
      <x:c r="B2873" s="38" t="str">
        <x:v>HD</x:v>
      </x:c>
      <x:c r="C2873" s="38" t="str">
        <x:v>Other sectors</x:v>
      </x:c>
      <x:c r="D2873" s="30" t="n">
        <x:v>1</x:v>
      </x:c>
      <x:c r="E2873" s="38" t="str">
        <x:v>XLE</x:v>
      </x:c>
      <x:c r="F2873" s="38" t="n">
        <x:v>-0.1025942357</x:v>
      </x:c>
      <x:c r="G2873" s="38" t="n">
        <x:v>-1.0469438224</x:v>
      </x:c>
      <x:c r="H2873" s="42" t="b">
        <x:v>0</x:v>
      </x:c>
      <x:c r="I2873" s="42" t="b">
        <x:v>0</x:v>
      </x:c>
      <x:c r="J2873" s="38" t="n">
        <x:v>0.1598098279</x:v>
      </x:c>
    </x:row>
    <x:row r="2874" ht="19" customHeight="1">
      <x:c r="A2874" s="29" t="str">
        <x:v>stagger_1</x:v>
      </x:c>
      <x:c r="B2874" s="38" t="str">
        <x:v>HD</x:v>
      </x:c>
      <x:c r="C2874" s="38" t="str">
        <x:v>Other sectors</x:v>
      </x:c>
      <x:c r="D2874" s="30" t="n">
        <x:v>1</x:v>
      </x:c>
      <x:c r="E2874" s="38" t="str">
        <x:v>XLF</x:v>
      </x:c>
      <x:c r="F2874" s="38" t="n">
        <x:v>-0.055167467</x:v>
      </x:c>
      <x:c r="G2874" s="38" t="n">
        <x:v>-0.1858564671</x:v>
      </x:c>
      <x:c r="H2874" s="42" t="b">
        <x:v>0</x:v>
      </x:c>
      <x:c r="I2874" s="42" t="b">
        <x:v>0</x:v>
      </x:c>
      <x:c r="J2874" s="38" t="n">
        <x:v>0.1598098279</x:v>
      </x:c>
    </x:row>
    <x:row r="2875" ht="19" customHeight="1">
      <x:c r="A2875" s="29" t="str">
        <x:v>stagger_1</x:v>
      </x:c>
      <x:c r="B2875" s="38" t="str">
        <x:v>HD</x:v>
      </x:c>
      <x:c r="C2875" s="38" t="str">
        <x:v>Other sectors</x:v>
      </x:c>
      <x:c r="D2875" s="30" t="n">
        <x:v>1</x:v>
      </x:c>
      <x:c r="E2875" s="38" t="str">
        <x:v>XLI</x:v>
      </x:c>
      <x:c r="F2875" s="38" t="n">
        <x:v>0.4469475874</x:v>
      </x:c>
      <x:c r="G2875" s="38" t="n">
        <x:v>1.1880075105</x:v>
      </x:c>
      <x:c r="H2875" s="42" t="b">
        <x:v>0</x:v>
      </x:c>
      <x:c r="I2875" s="42" t="b">
        <x:v>0</x:v>
      </x:c>
      <x:c r="J2875" s="38" t="n">
        <x:v>0.1598098279</x:v>
      </x:c>
    </x:row>
    <x:row r="2876" ht="19" customHeight="1">
      <x:c r="A2876" s="29" t="str">
        <x:v>stagger_1</x:v>
      </x:c>
      <x:c r="B2876" s="38" t="str">
        <x:v>HD</x:v>
      </x:c>
      <x:c r="C2876" s="38" t="str">
        <x:v>Other sectors</x:v>
      </x:c>
      <x:c r="D2876" s="30" t="n">
        <x:v>1</x:v>
      </x:c>
      <x:c r="E2876" s="38" t="str">
        <x:v>XLK</x:v>
      </x:c>
      <x:c r="F2876" s="38" t="n">
        <x:v>-0.2625642669</x:v>
      </x:c>
      <x:c r="G2876" s="38" t="n">
        <x:v>-0.6575053341</x:v>
      </x:c>
      <x:c r="H2876" s="42" t="b">
        <x:v>0</x:v>
      </x:c>
      <x:c r="I2876" s="42" t="b">
        <x:v>0</x:v>
      </x:c>
      <x:c r="J2876" s="38" t="n">
        <x:v>0.1598098279</x:v>
      </x:c>
    </x:row>
    <x:row r="2877" ht="19" customHeight="1">
      <x:c r="A2877" s="29" t="str">
        <x:v>stagger_1</x:v>
      </x:c>
      <x:c r="B2877" s="38" t="str">
        <x:v>HD</x:v>
      </x:c>
      <x:c r="C2877" s="38" t="str">
        <x:v>Other sectors</x:v>
      </x:c>
      <x:c r="D2877" s="30" t="n">
        <x:v>1</x:v>
      </x:c>
      <x:c r="E2877" s="38" t="str">
        <x:v>XLP</x:v>
      </x:c>
      <x:c r="F2877" s="38" t="n">
        <x:v>0.2299811457</x:v>
      </x:c>
      <x:c r="G2877" s="38" t="n">
        <x:v>0.7654793665</x:v>
      </x:c>
      <x:c r="H2877" s="42" t="b">
        <x:v>0</x:v>
      </x:c>
      <x:c r="I2877" s="42" t="b">
        <x:v>0</x:v>
      </x:c>
      <x:c r="J2877" s="38" t="n">
        <x:v>0.1598098279</x:v>
      </x:c>
    </x:row>
    <x:row r="2878" ht="19" customHeight="1">
      <x:c r="A2878" s="29" t="str">
        <x:v>stagger_1</x:v>
      </x:c>
      <x:c r="B2878" s="38" t="str">
        <x:v>HD</x:v>
      </x:c>
      <x:c r="C2878" s="38" t="str">
        <x:v>Other sectors</x:v>
      </x:c>
      <x:c r="D2878" s="30" t="n">
        <x:v>1</x:v>
      </x:c>
      <x:c r="E2878" s="38" t="str">
        <x:v>XLRE</x:v>
      </x:c>
      <x:c r="F2878" s="38" t="n">
        <x:v>-0.011376165</x:v>
      </x:c>
      <x:c r="G2878" s="38" t="n">
        <x:v>-0.0474890828</x:v>
      </x:c>
      <x:c r="H2878" s="42" t="b">
        <x:v>1</x:v>
      </x:c>
      <x:c r="I2878" s="42" t="b">
        <x:v>0</x:v>
      </x:c>
      <x:c r="J2878" s="38" t="n">
        <x:v>0.1598098279</x:v>
      </x:c>
    </x:row>
    <x:row r="2879" ht="19" customHeight="1">
      <x:c r="A2879" s="29" t="str">
        <x:v>stagger_1</x:v>
      </x:c>
      <x:c r="B2879" s="38" t="str">
        <x:v>HD</x:v>
      </x:c>
      <x:c r="C2879" s="38" t="str">
        <x:v>Other sectors</x:v>
      </x:c>
      <x:c r="D2879" s="30" t="n">
        <x:v>1</x:v>
      </x:c>
      <x:c r="E2879" s="38" t="str">
        <x:v>XLU</x:v>
      </x:c>
      <x:c r="F2879" s="38" t="n">
        <x:v>-0.3653756396</x:v>
      </x:c>
      <x:c r="G2879" s="38" t="n">
        <x:v>-1.8811875208</x:v>
      </x:c>
      <x:c r="H2879" s="42" t="b">
        <x:v>0</x:v>
      </x:c>
      <x:c r="I2879" s="42" t="b">
        <x:v>0</x:v>
      </x:c>
      <x:c r="J2879" s="38" t="n">
        <x:v>0.1598098279</x:v>
      </x:c>
    </x:row>
    <x:row r="2880" ht="19" customHeight="1">
      <x:c r="A2880" s="29" t="str">
        <x:v>stagger_1</x:v>
      </x:c>
      <x:c r="B2880" s="38" t="str">
        <x:v>HD</x:v>
      </x:c>
      <x:c r="C2880" s="38" t="str">
        <x:v>Other sectors</x:v>
      </x:c>
      <x:c r="D2880" s="30" t="n">
        <x:v>1</x:v>
      </x:c>
      <x:c r="E2880" s="38" t="str">
        <x:v>XLV</x:v>
      </x:c>
      <x:c r="F2880" s="38" t="n">
        <x:v>0.2033264866</x:v>
      </x:c>
      <x:c r="G2880" s="38" t="n">
        <x:v>0.8867186103</x:v>
      </x:c>
      <x:c r="H2880" s="42" t="b">
        <x:v>0</x:v>
      </x:c>
      <x:c r="I2880" s="42" t="b">
        <x:v>0</x:v>
      </x:c>
      <x:c r="J2880" s="38" t="n">
        <x:v>0.1598098279</x:v>
      </x:c>
    </x:row>
    <x:row r="2881" ht="19" customHeight="1">
      <x:c r="A2881" s="29" t="str">
        <x:v>stagger_1</x:v>
      </x:c>
      <x:c r="B2881" s="38" t="str">
        <x:v>HD</x:v>
      </x:c>
      <x:c r="C2881" s="38" t="str">
        <x:v>Other sectors</x:v>
      </x:c>
      <x:c r="D2881" s="30" t="n">
        <x:v>2</x:v>
      </x:c>
      <x:c r="E2881" s="38" t="str">
        <x:v>XLB</x:v>
      </x:c>
      <x:c r="F2881" s="38" t="n">
        <x:v>0.0671429341</x:v>
      </x:c>
      <x:c r="G2881" s="38" t="n">
        <x:v>0.2338765555</x:v>
      </x:c>
      <x:c r="H2881" s="42" t="b">
        <x:v>0</x:v>
      </x:c>
      <x:c r="I2881" s="42" t="b">
        <x:v>0</x:v>
      </x:c>
      <x:c r="J2881" s="38" t="n">
        <x:v>0.1597823669</x:v>
      </x:c>
    </x:row>
    <x:row r="2882" ht="19" customHeight="1">
      <x:c r="A2882" s="29" t="str">
        <x:v>stagger_1</x:v>
      </x:c>
      <x:c r="B2882" s="38" t="str">
        <x:v>HD</x:v>
      </x:c>
      <x:c r="C2882" s="38" t="str">
        <x:v>Other sectors</x:v>
      </x:c>
      <x:c r="D2882" s="30" t="n">
        <x:v>2</x:v>
      </x:c>
      <x:c r="E2882" s="38" t="str">
        <x:v>XLC</x:v>
      </x:c>
      <x:c r="F2882" s="38" t="n">
        <x:v>-0.1379881809</x:v>
      </x:c>
      <x:c r="G2882" s="38" t="n">
        <x:v>-0.4997987763</x:v>
      </x:c>
      <x:c r="H2882" s="42" t="b">
        <x:v>0</x:v>
      </x:c>
      <x:c r="I2882" s="42" t="b">
        <x:v>0</x:v>
      </x:c>
      <x:c r="J2882" s="38" t="n">
        <x:v>0.1597823669</x:v>
      </x:c>
    </x:row>
    <x:row r="2883" ht="19" customHeight="1">
      <x:c r="A2883" s="29" t="str">
        <x:v>stagger_1</x:v>
      </x:c>
      <x:c r="B2883" s="38" t="str">
        <x:v>HD</x:v>
      </x:c>
      <x:c r="C2883" s="38" t="str">
        <x:v>Other sectors</x:v>
      </x:c>
      <x:c r="D2883" s="30" t="n">
        <x:v>2</x:v>
      </x:c>
      <x:c r="E2883" s="38" t="str">
        <x:v>XLE</x:v>
      </x:c>
      <x:c r="F2883" s="38" t="n">
        <x:v>-0.1023253646</x:v>
      </x:c>
      <x:c r="G2883" s="38" t="n">
        <x:v>-1.0534821268</x:v>
      </x:c>
      <x:c r="H2883" s="42" t="b">
        <x:v>0</x:v>
      </x:c>
      <x:c r="I2883" s="42" t="b">
        <x:v>0</x:v>
      </x:c>
      <x:c r="J2883" s="38" t="n">
        <x:v>0.1597823669</x:v>
      </x:c>
    </x:row>
    <x:row r="2884" ht="19" customHeight="1">
      <x:c r="A2884" s="29" t="str">
        <x:v>stagger_1</x:v>
      </x:c>
      <x:c r="B2884" s="38" t="str">
        <x:v>HD</x:v>
      </x:c>
      <x:c r="C2884" s="38" t="str">
        <x:v>Other sectors</x:v>
      </x:c>
      <x:c r="D2884" s="30" t="n">
        <x:v>2</x:v>
      </x:c>
      <x:c r="E2884" s="38" t="str">
        <x:v>XLF</x:v>
      </x:c>
      <x:c r="F2884" s="38" t="n">
        <x:v>-0.056350477</x:v>
      </x:c>
      <x:c r="G2884" s="38" t="n">
        <x:v>-0.1918865176</x:v>
      </x:c>
      <x:c r="H2884" s="42" t="b">
        <x:v>1</x:v>
      </x:c>
      <x:c r="I2884" s="42" t="b">
        <x:v>0</x:v>
      </x:c>
      <x:c r="J2884" s="38" t="n">
        <x:v>0.1597823669</x:v>
      </x:c>
    </x:row>
    <x:row r="2885" ht="19" customHeight="1">
      <x:c r="A2885" s="29" t="str">
        <x:v>stagger_1</x:v>
      </x:c>
      <x:c r="B2885" s="38" t="str">
        <x:v>HD</x:v>
      </x:c>
      <x:c r="C2885" s="38" t="str">
        <x:v>Other sectors</x:v>
      </x:c>
      <x:c r="D2885" s="30" t="n">
        <x:v>2</x:v>
      </x:c>
      <x:c r="E2885" s="38" t="str">
        <x:v>XLI</x:v>
      </x:c>
      <x:c r="F2885" s="38" t="n">
        <x:v>0.4501855825</x:v>
      </x:c>
      <x:c r="G2885" s="38" t="n">
        <x:v>1.2255297547</x:v>
      </x:c>
      <x:c r="H2885" s="42" t="b">
        <x:v>0</x:v>
      </x:c>
      <x:c r="I2885" s="42" t="b">
        <x:v>0</x:v>
      </x:c>
      <x:c r="J2885" s="38" t="n">
        <x:v>0.1597823669</x:v>
      </x:c>
    </x:row>
    <x:row r="2886" ht="19" customHeight="1">
      <x:c r="A2886" s="29" t="str">
        <x:v>stagger_1</x:v>
      </x:c>
      <x:c r="B2886" s="38" t="str">
        <x:v>HD</x:v>
      </x:c>
      <x:c r="C2886" s="38" t="str">
        <x:v>Other sectors</x:v>
      </x:c>
      <x:c r="D2886" s="30" t="n">
        <x:v>2</x:v>
      </x:c>
      <x:c r="E2886" s="38" t="str">
        <x:v>XLK</x:v>
      </x:c>
      <x:c r="F2886" s="38" t="n">
        <x:v>-0.2599897761</x:v>
      </x:c>
      <x:c r="G2886" s="38" t="n">
        <x:v>-0.6618760115</x:v>
      </x:c>
      <x:c r="H2886" s="42" t="b">
        <x:v>0</x:v>
      </x:c>
      <x:c r="I2886" s="42" t="b">
        <x:v>0</x:v>
      </x:c>
      <x:c r="J2886" s="38" t="n">
        <x:v>0.1597823669</x:v>
      </x:c>
    </x:row>
    <x:row r="2887" ht="19" customHeight="1">
      <x:c r="A2887" s="29" t="str">
        <x:v>stagger_1</x:v>
      </x:c>
      <x:c r="B2887" s="38" t="str">
        <x:v>HD</x:v>
      </x:c>
      <x:c r="C2887" s="38" t="str">
        <x:v>Other sectors</x:v>
      </x:c>
      <x:c r="D2887" s="30" t="n">
        <x:v>2</x:v>
      </x:c>
      <x:c r="E2887" s="38" t="str">
        <x:v>XLP</x:v>
      </x:c>
      <x:c r="F2887" s="38" t="n">
        <x:v>0.2259891895</x:v>
      </x:c>
      <x:c r="G2887" s="38" t="n">
        <x:v>0.789128006</x:v>
      </x:c>
      <x:c r="H2887" s="42" t="b">
        <x:v>0</x:v>
      </x:c>
      <x:c r="I2887" s="42" t="b">
        <x:v>0</x:v>
      </x:c>
      <x:c r="J2887" s="38" t="n">
        <x:v>0.1597823669</x:v>
      </x:c>
    </x:row>
    <x:row r="2888" ht="19" customHeight="1">
      <x:c r="A2888" s="29" t="str">
        <x:v>stagger_1</x:v>
      </x:c>
      <x:c r="B2888" s="38" t="str">
        <x:v>HD</x:v>
      </x:c>
      <x:c r="C2888" s="38" t="str">
        <x:v>Other sectors</x:v>
      </x:c>
      <x:c r="D2888" s="30" t="n">
        <x:v>2</x:v>
      </x:c>
      <x:c r="E2888" s="38" t="str">
        <x:v>XLU</x:v>
      </x:c>
      <x:c r="F2888" s="38" t="n">
        <x:v>-0.3678791764</x:v>
      </x:c>
      <x:c r="G2888" s="38" t="n">
        <x:v>-1.9821330584</x:v>
      </x:c>
      <x:c r="H2888" s="42" t="b">
        <x:v>0</x:v>
      </x:c>
      <x:c r="I2888" s="42" t="b">
        <x:v>0</x:v>
      </x:c>
      <x:c r="J2888" s="38" t="n">
        <x:v>0.1597823669</x:v>
      </x:c>
    </x:row>
    <x:row r="2889" ht="19" customHeight="1">
      <x:c r="A2889" s="29" t="str">
        <x:v>stagger_1</x:v>
      </x:c>
      <x:c r="B2889" s="38" t="str">
        <x:v>HD</x:v>
      </x:c>
      <x:c r="C2889" s="38" t="str">
        <x:v>Other sectors</x:v>
      </x:c>
      <x:c r="D2889" s="30" t="n">
        <x:v>2</x:v>
      </x:c>
      <x:c r="E2889" s="38" t="str">
        <x:v>XLV</x:v>
      </x:c>
      <x:c r="F2889" s="38" t="n">
        <x:v>0.2026869085</x:v>
      </x:c>
      <x:c r="G2889" s="38" t="n">
        <x:v>0.8918366889</x:v>
      </x:c>
      <x:c r="H2889" s="42" t="b">
        <x:v>0</x:v>
      </x:c>
      <x:c r="I2889" s="42" t="b">
        <x:v>0</x:v>
      </x:c>
      <x:c r="J2889" s="38" t="n">
        <x:v>0.1597823669</x:v>
      </x:c>
    </x:row>
    <x:row r="2890" ht="19" customHeight="1">
      <x:c r="A2890" s="29" t="str">
        <x:v>stagger_1</x:v>
      </x:c>
      <x:c r="B2890" s="38" t="str">
        <x:v>HD</x:v>
      </x:c>
      <x:c r="C2890" s="38" t="str">
        <x:v>Other sectors</x:v>
      </x:c>
      <x:c r="D2890" s="30" t="n">
        <x:v>3</x:v>
      </x:c>
      <x:c r="E2890" s="38" t="str">
        <x:v>XLB</x:v>
      </x:c>
      <x:c r="F2890" s="38" t="n">
        <x:v>0.0635190954</x:v>
      </x:c>
      <x:c r="G2890" s="38" t="n">
        <x:v>0.2232535385</x:v>
      </x:c>
      <x:c r="H2890" s="42" t="b">
        <x:v>1</x:v>
      </x:c>
      <x:c r="I2890" s="42" t="b">
        <x:v>0</x:v>
      </x:c>
      <x:c r="J2890" s="38" t="n">
        <x:v>0.1593404072</x:v>
      </x:c>
    </x:row>
    <x:row r="2891" ht="19" customHeight="1">
      <x:c r="A2891" s="29" t="str">
        <x:v>stagger_1</x:v>
      </x:c>
      <x:c r="B2891" s="38" t="str">
        <x:v>HD</x:v>
      </x:c>
      <x:c r="C2891" s="38" t="str">
        <x:v>Other sectors</x:v>
      </x:c>
      <x:c r="D2891" s="30" t="n">
        <x:v>3</x:v>
      </x:c>
      <x:c r="E2891" s="38" t="str">
        <x:v>XLC</x:v>
      </x:c>
      <x:c r="F2891" s="38" t="n">
        <x:v>-0.1242383842</x:v>
      </x:c>
      <x:c r="G2891" s="38" t="n">
        <x:v>-0.4691571427</x:v>
      </x:c>
      <x:c r="H2891" s="42" t="b">
        <x:v>0</x:v>
      </x:c>
      <x:c r="I2891" s="42" t="b">
        <x:v>0</x:v>
      </x:c>
      <x:c r="J2891" s="38" t="n">
        <x:v>0.1593404072</x:v>
      </x:c>
    </x:row>
    <x:row r="2892" ht="19" customHeight="1">
      <x:c r="A2892" s="29" t="str">
        <x:v>stagger_1</x:v>
      </x:c>
      <x:c r="B2892" s="38" t="str">
        <x:v>HD</x:v>
      </x:c>
      <x:c r="C2892" s="38" t="str">
        <x:v>Other sectors</x:v>
      </x:c>
      <x:c r="D2892" s="30" t="n">
        <x:v>3</x:v>
      </x:c>
      <x:c r="E2892" s="38" t="str">
        <x:v>XLE</x:v>
      </x:c>
      <x:c r="F2892" s="38" t="n">
        <x:v>-0.1015528736</x:v>
      </x:c>
      <x:c r="G2892" s="38" t="n">
        <x:v>-1.0535991199</x:v>
      </x:c>
      <x:c r="H2892" s="42" t="b">
        <x:v>0</x:v>
      </x:c>
      <x:c r="I2892" s="42" t="b">
        <x:v>0</x:v>
      </x:c>
      <x:c r="J2892" s="38" t="n">
        <x:v>0.1593404072</x:v>
      </x:c>
    </x:row>
    <x:row r="2893" ht="19" customHeight="1">
      <x:c r="A2893" s="29" t="str">
        <x:v>stagger_1</x:v>
      </x:c>
      <x:c r="B2893" s="38" t="str">
        <x:v>HD</x:v>
      </x:c>
      <x:c r="C2893" s="38" t="str">
        <x:v>Other sectors</x:v>
      </x:c>
      <x:c r="D2893" s="30" t="n">
        <x:v>3</x:v>
      </x:c>
      <x:c r="E2893" s="38" t="str">
        <x:v>XLI</x:v>
      </x:c>
      <x:c r="F2893" s="38" t="n">
        <x:v>0.4411191594</x:v>
      </x:c>
      <x:c r="G2893" s="38" t="n">
        <x:v>1.2192050554</x:v>
      </x:c>
      <x:c r="H2893" s="42" t="b">
        <x:v>0</x:v>
      </x:c>
      <x:c r="I2893" s="42" t="b">
        <x:v>0</x:v>
      </x:c>
      <x:c r="J2893" s="38" t="n">
        <x:v>0.1593404072</x:v>
      </x:c>
    </x:row>
    <x:row r="2894" ht="19" customHeight="1">
      <x:c r="A2894" s="29" t="str">
        <x:v>stagger_1</x:v>
      </x:c>
      <x:c r="B2894" s="38" t="str">
        <x:v>HD</x:v>
      </x:c>
      <x:c r="C2894" s="38" t="str">
        <x:v>Other sectors</x:v>
      </x:c>
      <x:c r="D2894" s="30" t="n">
        <x:v>3</x:v>
      </x:c>
      <x:c r="E2894" s="38" t="str">
        <x:v>XLK</x:v>
      </x:c>
      <x:c r="F2894" s="38" t="n">
        <x:v>-0.2149212645</x:v>
      </x:c>
      <x:c r="G2894" s="38" t="n">
        <x:v>-0.6872825758</x:v>
      </x:c>
      <x:c r="H2894" s="42" t="b">
        <x:v>0</x:v>
      </x:c>
      <x:c r="I2894" s="42" t="b">
        <x:v>0</x:v>
      </x:c>
      <x:c r="J2894" s="38" t="n">
        <x:v>0.1593404072</x:v>
      </x:c>
    </x:row>
    <x:row r="2895" ht="19" customHeight="1">
      <x:c r="A2895" s="29" t="str">
        <x:v>stagger_1</x:v>
      </x:c>
      <x:c r="B2895" s="38" t="str">
        <x:v>HD</x:v>
      </x:c>
      <x:c r="C2895" s="38" t="str">
        <x:v>Other sectors</x:v>
      </x:c>
      <x:c r="D2895" s="30" t="n">
        <x:v>3</x:v>
      </x:c>
      <x:c r="E2895" s="38" t="str">
        <x:v>XLP</x:v>
      </x:c>
      <x:c r="F2895" s="38" t="n">
        <x:v>0.247744515</x:v>
      </x:c>
      <x:c r="G2895" s="38" t="n">
        <x:v>0.948521938</x:v>
      </x:c>
      <x:c r="H2895" s="42" t="b">
        <x:v>0</x:v>
      </x:c>
      <x:c r="I2895" s="42" t="b">
        <x:v>0</x:v>
      </x:c>
      <x:c r="J2895" s="38" t="n">
        <x:v>0.1593404072</x:v>
      </x:c>
    </x:row>
    <x:row r="2896" ht="19" customHeight="1">
      <x:c r="A2896" s="29" t="str">
        <x:v>stagger_1</x:v>
      </x:c>
      <x:c r="B2896" s="38" t="str">
        <x:v>HD</x:v>
      </x:c>
      <x:c r="C2896" s="38" t="str">
        <x:v>Other sectors</x:v>
      </x:c>
      <x:c r="D2896" s="30" t="n">
        <x:v>3</x:v>
      </x:c>
      <x:c r="E2896" s="38" t="str">
        <x:v>XLU</x:v>
      </x:c>
      <x:c r="F2896" s="38" t="n">
        <x:v>-0.3627650611</x:v>
      </x:c>
      <x:c r="G2896" s="38" t="n">
        <x:v>-1.9885824211</x:v>
      </x:c>
      <x:c r="H2896" s="42" t="b">
        <x:v>0</x:v>
      </x:c>
      <x:c r="I2896" s="42" t="b">
        <x:v>0</x:v>
      </x:c>
      <x:c r="J2896" s="38" t="n">
        <x:v>0.1593404072</x:v>
      </x:c>
    </x:row>
    <x:row r="2897" ht="19" customHeight="1">
      <x:c r="A2897" s="29" t="str">
        <x:v>stagger_1</x:v>
      </x:c>
      <x:c r="B2897" s="38" t="str">
        <x:v>HD</x:v>
      </x:c>
      <x:c r="C2897" s="38" t="str">
        <x:v>Other sectors</x:v>
      </x:c>
      <x:c r="D2897" s="30" t="n">
        <x:v>3</x:v>
      </x:c>
      <x:c r="E2897" s="38" t="str">
        <x:v>XLV</x:v>
      </x:c>
      <x:c r="F2897" s="38" t="n">
        <x:v>0.2048480291</x:v>
      </x:c>
      <x:c r="G2897" s="38" t="n">
        <x:v>0.9086388672</x:v>
      </x:c>
      <x:c r="H2897" s="42" t="b">
        <x:v>0</x:v>
      </x:c>
      <x:c r="I2897" s="42" t="b">
        <x:v>0</x:v>
      </x:c>
      <x:c r="J2897" s="38" t="n">
        <x:v>0.1593404072</x:v>
      </x:c>
    </x:row>
    <x:row r="2898" ht="19" customHeight="1">
      <x:c r="A2898" s="29" t="str">
        <x:v>stagger_1</x:v>
      </x:c>
      <x:c r="B2898" s="38" t="str">
        <x:v>HD</x:v>
      </x:c>
      <x:c r="C2898" s="38" t="str">
        <x:v>Other sectors</x:v>
      </x:c>
      <x:c r="D2898" s="30" t="n">
        <x:v>4</x:v>
      </x:c>
      <x:c r="E2898" s="38" t="str">
        <x:v>XLC</x:v>
      </x:c>
      <x:c r="F2898" s="38" t="n">
        <x:v>-0.1264805728</x:v>
      </x:c>
      <x:c r="G2898" s="38" t="n">
        <x:v>-0.4811534626</x:v>
      </x:c>
      <x:c r="H2898" s="42" t="b">
        <x:v>1</x:v>
      </x:c>
      <x:c r="I2898" s="42" t="b">
        <x:v>0</x:v>
      </x:c>
      <x:c r="J2898" s="38" t="n">
        <x:v>0.1587502625</x:v>
      </x:c>
    </x:row>
    <x:row r="2899" ht="19" customHeight="1">
      <x:c r="A2899" s="29" t="str">
        <x:v>stagger_1</x:v>
      </x:c>
      <x:c r="B2899" s="38" t="str">
        <x:v>HD</x:v>
      </x:c>
      <x:c r="C2899" s="38" t="str">
        <x:v>Other sectors</x:v>
      </x:c>
      <x:c r="D2899" s="30" t="n">
        <x:v>4</x:v>
      </x:c>
      <x:c r="E2899" s="38" t="str">
        <x:v>XLE</x:v>
      </x:c>
      <x:c r="F2899" s="38" t="n">
        <x:v>-0.0970035071</x:v>
      </x:c>
      <x:c r="G2899" s="38" t="n">
        <x:v>-1.0365364449</x:v>
      </x:c>
      <x:c r="H2899" s="42" t="b">
        <x:v>0</x:v>
      </x:c>
      <x:c r="I2899" s="42" t="b">
        <x:v>0</x:v>
      </x:c>
      <x:c r="J2899" s="38" t="n">
        <x:v>0.1587502625</x:v>
      </x:c>
    </x:row>
    <x:row r="2900" ht="19" customHeight="1">
      <x:c r="A2900" s="29" t="str">
        <x:v>stagger_1</x:v>
      </x:c>
      <x:c r="B2900" s="38" t="str">
        <x:v>HD</x:v>
      </x:c>
      <x:c r="C2900" s="38" t="str">
        <x:v>Other sectors</x:v>
      </x:c>
      <x:c r="D2900" s="30" t="n">
        <x:v>4</x:v>
      </x:c>
      <x:c r="E2900" s="38" t="str">
        <x:v>XLI</x:v>
      </x:c>
      <x:c r="F2900" s="38" t="n">
        <x:v>0.497845015</x:v>
      </x:c>
      <x:c r="G2900" s="38" t="n">
        <x:v>1.9456897967</x:v>
      </x:c>
      <x:c r="H2900" s="42" t="b">
        <x:v>0</x:v>
      </x:c>
      <x:c r="I2900" s="42" t="b">
        <x:v>0</x:v>
      </x:c>
      <x:c r="J2900" s="38" t="n">
        <x:v>0.1587502625</x:v>
      </x:c>
    </x:row>
    <x:row r="2901" ht="19" customHeight="1">
      <x:c r="A2901" s="29" t="str">
        <x:v>stagger_1</x:v>
      </x:c>
      <x:c r="B2901" s="38" t="str">
        <x:v>HD</x:v>
      </x:c>
      <x:c r="C2901" s="38" t="str">
        <x:v>Other sectors</x:v>
      </x:c>
      <x:c r="D2901" s="30" t="n">
        <x:v>4</x:v>
      </x:c>
      <x:c r="E2901" s="38" t="str">
        <x:v>XLK</x:v>
      </x:c>
      <x:c r="F2901" s="38" t="n">
        <x:v>-0.2247796877</x:v>
      </x:c>
      <x:c r="G2901" s="38" t="n">
        <x:v>-0.7309226462</x:v>
      </x:c>
      <x:c r="H2901" s="42" t="b">
        <x:v>0</x:v>
      </x:c>
      <x:c r="I2901" s="42" t="b">
        <x:v>0</x:v>
      </x:c>
      <x:c r="J2901" s="38" t="n">
        <x:v>0.1587502625</x:v>
      </x:c>
    </x:row>
    <x:row r="2902" ht="19" customHeight="1">
      <x:c r="A2902" s="29" t="str">
        <x:v>stagger_1</x:v>
      </x:c>
      <x:c r="B2902" s="38" t="str">
        <x:v>HD</x:v>
      </x:c>
      <x:c r="C2902" s="38" t="str">
        <x:v>Other sectors</x:v>
      </x:c>
      <x:c r="D2902" s="30" t="n">
        <x:v>4</x:v>
      </x:c>
      <x:c r="E2902" s="38" t="str">
        <x:v>XLP</x:v>
      </x:c>
      <x:c r="F2902" s="38" t="n">
        <x:v>0.2541492319</x:v>
      </x:c>
      <x:c r="G2902" s="38" t="n">
        <x:v>0.9854904231</x:v>
      </x:c>
      <x:c r="H2902" s="42" t="b">
        <x:v>0</x:v>
      </x:c>
      <x:c r="I2902" s="42" t="b">
        <x:v>0</x:v>
      </x:c>
      <x:c r="J2902" s="38" t="n">
        <x:v>0.1587502625</x:v>
      </x:c>
    </x:row>
    <x:row r="2903" ht="19" customHeight="1">
      <x:c r="A2903" s="29" t="str">
        <x:v>stagger_1</x:v>
      </x:c>
      <x:c r="B2903" s="38" t="str">
        <x:v>HD</x:v>
      </x:c>
      <x:c r="C2903" s="38" t="str">
        <x:v>Other sectors</x:v>
      </x:c>
      <x:c r="D2903" s="30" t="n">
        <x:v>4</x:v>
      </x:c>
      <x:c r="E2903" s="38" t="str">
        <x:v>XLU</x:v>
      </x:c>
      <x:c r="F2903" s="38" t="n">
        <x:v>-0.3608651158</x:v>
      </x:c>
      <x:c r="G2903" s="38" t="n">
        <x:v>-1.9935210719</x:v>
      </x:c>
      <x:c r="H2903" s="42" t="b">
        <x:v>0</x:v>
      </x:c>
      <x:c r="I2903" s="42" t="b">
        <x:v>0</x:v>
      </x:c>
      <x:c r="J2903" s="38" t="n">
        <x:v>0.1587502625</x:v>
      </x:c>
    </x:row>
    <x:row r="2904" ht="19" customHeight="1">
      <x:c r="A2904" s="29" t="str">
        <x:v>stagger_1</x:v>
      </x:c>
      <x:c r="B2904" s="38" t="str">
        <x:v>HD</x:v>
      </x:c>
      <x:c r="C2904" s="38" t="str">
        <x:v>Other sectors</x:v>
      </x:c>
      <x:c r="D2904" s="30" t="n">
        <x:v>4</x:v>
      </x:c>
      <x:c r="E2904" s="38" t="str">
        <x:v>XLV</x:v>
      </x:c>
      <x:c r="F2904" s="38" t="n">
        <x:v>0.2072754465</x:v>
      </x:c>
      <x:c r="G2904" s="38" t="n">
        <x:v>0.9266116232</x:v>
      </x:c>
      <x:c r="H2904" s="42" t="b">
        <x:v>0</x:v>
      </x:c>
      <x:c r="I2904" s="42" t="b">
        <x:v>0</x:v>
      </x:c>
      <x:c r="J2904" s="38" t="n">
        <x:v>0.1587502625</x:v>
      </x:c>
    </x:row>
    <x:row r="2905" ht="19" customHeight="1">
      <x:c r="A2905" s="29" t="str">
        <x:v>stagger_1</x:v>
      </x:c>
      <x:c r="B2905" s="38" t="str">
        <x:v>HD</x:v>
      </x:c>
      <x:c r="C2905" s="38" t="str">
        <x:v>Other sectors</x:v>
      </x:c>
      <x:c r="D2905" s="30" t="n">
        <x:v>5</x:v>
      </x:c>
      <x:c r="E2905" s="38" t="str">
        <x:v>XLE</x:v>
      </x:c>
      <x:c r="F2905" s="38" t="n">
        <x:v>-0.0916043407</x:v>
      </x:c>
      <x:c r="G2905" s="38" t="n">
        <x:v>-0.9911878165</x:v>
      </x:c>
      <x:c r="H2905" s="42" t="b">
        <x:v>0</x:v>
      </x:c>
      <x:c r="I2905" s="42" t="b">
        <x:v>0</x:v>
      </x:c>
      <x:c r="J2905" s="38" t="n">
        <x:v>0.1560453098</x:v>
      </x:c>
    </x:row>
    <x:row r="2906" ht="19" customHeight="1">
      <x:c r="A2906" s="29" t="str">
        <x:v>stagger_1</x:v>
      </x:c>
      <x:c r="B2906" s="38" t="str">
        <x:v>HD</x:v>
      </x:c>
      <x:c r="C2906" s="38" t="str">
        <x:v>Other sectors</x:v>
      </x:c>
      <x:c r="D2906" s="30" t="n">
        <x:v>5</x:v>
      </x:c>
      <x:c r="E2906" s="38" t="str">
        <x:v>XLI</x:v>
      </x:c>
      <x:c r="F2906" s="38" t="n">
        <x:v>0.5333428557</x:v>
      </x:c>
      <x:c r="G2906" s="38" t="n">
        <x:v>2.1884258554</x:v>
      </x:c>
      <x:c r="H2906" s="42" t="b">
        <x:v>0</x:v>
      </x:c>
      <x:c r="I2906" s="42" t="b">
        <x:v>0</x:v>
      </x:c>
      <x:c r="J2906" s="38" t="n">
        <x:v>0.1560453098</x:v>
      </x:c>
    </x:row>
    <x:row r="2907" ht="19" customHeight="1">
      <x:c r="A2907" s="29" t="str">
        <x:v>stagger_1</x:v>
      </x:c>
      <x:c r="B2907" s="38" t="str">
        <x:v>HD</x:v>
      </x:c>
      <x:c r="C2907" s="38" t="str">
        <x:v>Other sectors</x:v>
      </x:c>
      <x:c r="D2907" s="30" t="n">
        <x:v>5</x:v>
      </x:c>
      <x:c r="E2907" s="38" t="str">
        <x:v>XLK</x:v>
      </x:c>
      <x:c r="F2907" s="38" t="n">
        <x:v>-0.1453948662</x:v>
      </x:c>
      <x:c r="G2907" s="38" t="n">
        <x:v>-0.5632092123</x:v>
      </x:c>
      <x:c r="H2907" s="42" t="b">
        <x:v>1</x:v>
      </x:c>
      <x:c r="I2907" s="42" t="b">
        <x:v>0</x:v>
      </x:c>
      <x:c r="J2907" s="38" t="n">
        <x:v>0.1560453098</x:v>
      </x:c>
    </x:row>
    <x:row r="2908" ht="19" customHeight="1">
      <x:c r="A2908" s="29" t="str">
        <x:v>stagger_1</x:v>
      </x:c>
      <x:c r="B2908" s="38" t="str">
        <x:v>HD</x:v>
      </x:c>
      <x:c r="C2908" s="38" t="str">
        <x:v>Other sectors</x:v>
      </x:c>
      <x:c r="D2908" s="30" t="n">
        <x:v>5</x:v>
      </x:c>
      <x:c r="E2908" s="38" t="str">
        <x:v>XLP</x:v>
      </x:c>
      <x:c r="F2908" s="38" t="n">
        <x:v>0.2427152887</x:v>
      </x:c>
      <x:c r="G2908" s="38" t="n">
        <x:v>0.950190027</x:v>
      </x:c>
      <x:c r="H2908" s="42" t="b">
        <x:v>0</x:v>
      </x:c>
      <x:c r="I2908" s="42" t="b">
        <x:v>0</x:v>
      </x:c>
      <x:c r="J2908" s="38" t="n">
        <x:v>0.1560453098</x:v>
      </x:c>
    </x:row>
    <x:row r="2909" ht="19" customHeight="1">
      <x:c r="A2909" s="29" t="str">
        <x:v>stagger_1</x:v>
      </x:c>
      <x:c r="B2909" s="38" t="str">
        <x:v>HD</x:v>
      </x:c>
      <x:c r="C2909" s="38" t="str">
        <x:v>Other sectors</x:v>
      </x:c>
      <x:c r="D2909" s="30" t="n">
        <x:v>5</x:v>
      </x:c>
      <x:c r="E2909" s="38" t="str">
        <x:v>XLU</x:v>
      </x:c>
      <x:c r="F2909" s="38" t="n">
        <x:v>-0.3400008419</x:v>
      </x:c>
      <x:c r="G2909" s="38" t="n">
        <x:v>-1.9448522602</x:v>
      </x:c>
      <x:c r="H2909" s="42" t="b">
        <x:v>0</x:v>
      </x:c>
      <x:c r="I2909" s="42" t="b">
        <x:v>0</x:v>
      </x:c>
      <x:c r="J2909" s="38" t="n">
        <x:v>0.1560453098</x:v>
      </x:c>
    </x:row>
    <x:row r="2910" ht="19" customHeight="1">
      <x:c r="A2910" s="29" t="str">
        <x:v>stagger_1</x:v>
      </x:c>
      <x:c r="B2910" s="38" t="str">
        <x:v>HD</x:v>
      </x:c>
      <x:c r="C2910" s="38" t="str">
        <x:v>Other sectors</x:v>
      </x:c>
      <x:c r="D2910" s="30" t="n">
        <x:v>5</x:v>
      </x:c>
      <x:c r="E2910" s="38" t="str">
        <x:v>XLV</x:v>
      </x:c>
      <x:c r="F2910" s="38" t="n">
        <x:v>0.23763547</x:v>
      </x:c>
      <x:c r="G2910" s="38" t="n">
        <x:v>1.1131746518</x:v>
      </x:c>
      <x:c r="H2910" s="42" t="b">
        <x:v>0</x:v>
      </x:c>
      <x:c r="I2910" s="42" t="b">
        <x:v>0</x:v>
      </x:c>
      <x:c r="J2910" s="38" t="n">
        <x:v>0.1560453098</x:v>
      </x:c>
    </x:row>
    <x:row r="2911" ht="19" customHeight="1">
      <x:c r="A2911" s="29" t="str">
        <x:v>stagger_1</x:v>
      </x:c>
      <x:c r="B2911" s="38" t="str">
        <x:v>HD</x:v>
      </x:c>
      <x:c r="C2911" s="38" t="str">
        <x:v>Other sectors</x:v>
      </x:c>
      <x:c r="D2911" s="30" t="n">
        <x:v>6</x:v>
      </x:c>
      <x:c r="E2911" s="38" t="str">
        <x:v>XLE</x:v>
      </x:c>
      <x:c r="F2911" s="38" t="n">
        <x:v>-0.0733555847</x:v>
      </x:c>
      <x:c r="G2911" s="38" t="n">
        <x:v>-0.8514620388</x:v>
      </x:c>
      <x:c r="H2911" s="42" t="b">
        <x:v>1</x:v>
      </x:c>
      <x:c r="I2911" s="42" t="b">
        <x:v>0</x:v>
      </x:c>
      <x:c r="J2911" s="38" t="n">
        <x:v>0.1523780999</x:v>
      </x:c>
    </x:row>
    <x:row r="2912" ht="19" customHeight="1">
      <x:c r="A2912" s="29" t="str">
        <x:v>stagger_1</x:v>
      </x:c>
      <x:c r="B2912" s="38" t="str">
        <x:v>HD</x:v>
      </x:c>
      <x:c r="C2912" s="38" t="str">
        <x:v>Other sectors</x:v>
      </x:c>
      <x:c r="D2912" s="30" t="n">
        <x:v>6</x:v>
      </x:c>
      <x:c r="E2912" s="38" t="str">
        <x:v>XLI</x:v>
      </x:c>
      <x:c r="F2912" s="38" t="n">
        <x:v>0.5551668685</x:v>
      </x:c>
      <x:c r="G2912" s="38" t="n">
        <x:v>2.3180452585</x:v>
      </x:c>
      <x:c r="H2912" s="42" t="b">
        <x:v>0</x:v>
      </x:c>
      <x:c r="I2912" s="42" t="b">
        <x:v>0</x:v>
      </x:c>
      <x:c r="J2912" s="38" t="n">
        <x:v>0.1523780999</x:v>
      </x:c>
    </x:row>
    <x:row r="2913" ht="19" customHeight="1">
      <x:c r="A2913" s="29" t="str">
        <x:v>stagger_1</x:v>
      </x:c>
      <x:c r="B2913" s="38" t="str">
        <x:v>HD</x:v>
      </x:c>
      <x:c r="C2913" s="38" t="str">
        <x:v>Other sectors</x:v>
      </x:c>
      <x:c r="D2913" s="30" t="n">
        <x:v>6</x:v>
      </x:c>
      <x:c r="E2913" s="38" t="str">
        <x:v>XLP</x:v>
      </x:c>
      <x:c r="F2913" s="38" t="n">
        <x:v>0.2704119579</x:v>
      </x:c>
      <x:c r="G2913" s="38" t="n">
        <x:v>1.0838101979</x:v>
      </x:c>
      <x:c r="H2913" s="42" t="b">
        <x:v>0</x:v>
      </x:c>
      <x:c r="I2913" s="42" t="b">
        <x:v>0</x:v>
      </x:c>
      <x:c r="J2913" s="38" t="n">
        <x:v>0.1523780999</x:v>
      </x:c>
    </x:row>
    <x:row r="2914" ht="19" customHeight="1">
      <x:c r="A2914" s="29" t="str">
        <x:v>stagger_1</x:v>
      </x:c>
      <x:c r="B2914" s="38" t="str">
        <x:v>HD</x:v>
      </x:c>
      <x:c r="C2914" s="38" t="str">
        <x:v>Other sectors</x:v>
      </x:c>
      <x:c r="D2914" s="30" t="n">
        <x:v>6</x:v>
      </x:c>
      <x:c r="E2914" s="38" t="str">
        <x:v>XLU</x:v>
      </x:c>
      <x:c r="F2914" s="38" t="n">
        <x:v>-0.3271400214</x:v>
      </x:c>
      <x:c r="G2914" s="38" t="n">
        <x:v>-1.896225515</x:v>
      </x:c>
      <x:c r="H2914" s="42" t="b">
        <x:v>0</x:v>
      </x:c>
      <x:c r="I2914" s="42" t="b">
        <x:v>0</x:v>
      </x:c>
      <x:c r="J2914" s="38" t="n">
        <x:v>0.1523780999</x:v>
      </x:c>
    </x:row>
    <x:row r="2915" ht="19" customHeight="1">
      <x:c r="A2915" s="29" t="str">
        <x:v>stagger_1</x:v>
      </x:c>
      <x:c r="B2915" s="38" t="str">
        <x:v>HD</x:v>
      </x:c>
      <x:c r="C2915" s="38" t="str">
        <x:v>Other sectors</x:v>
      </x:c>
      <x:c r="D2915" s="30" t="n">
        <x:v>6</x:v>
      </x:c>
      <x:c r="E2915" s="38" t="str">
        <x:v>XLV</x:v>
      </x:c>
      <x:c r="F2915" s="38" t="n">
        <x:v>0.2833674204</x:v>
      </x:c>
      <x:c r="G2915" s="38" t="n">
        <x:v>1.4419499274</x:v>
      </x:c>
      <x:c r="H2915" s="42" t="b">
        <x:v>0</x:v>
      </x:c>
      <x:c r="I2915" s="42" t="b">
        <x:v>0</x:v>
      </x:c>
      <x:c r="J2915" s="38" t="n">
        <x:v>0.1523780999</x:v>
      </x:c>
    </x:row>
    <x:row r="2916" ht="19" customHeight="1">
      <x:c r="A2916" s="29" t="str">
        <x:v>stagger_1</x:v>
      </x:c>
      <x:c r="B2916" s="38" t="str">
        <x:v>HD</x:v>
      </x:c>
      <x:c r="C2916" s="38" t="str">
        <x:v>Other sectors</x:v>
      </x:c>
      <x:c r="D2916" s="30" t="n">
        <x:v>7</x:v>
      </x:c>
      <x:c r="E2916" s="38" t="str">
        <x:v>XLI</x:v>
      </x:c>
      <x:c r="F2916" s="38" t="n">
        <x:v>0.5258278464</x:v>
      </x:c>
      <x:c r="G2916" s="38" t="n">
        <x:v>2.2227040683</x:v>
      </x:c>
      <x:c r="H2916" s="42" t="b">
        <x:v>0</x:v>
      </x:c>
      <x:c r="I2916" s="42" t="b">
        <x:v>0</x:v>
      </x:c>
      <x:c r="J2916" s="38" t="n">
        <x:v>0.1440738381</x:v>
      </x:c>
    </x:row>
    <x:row r="2917" ht="19" customHeight="1">
      <x:c r="A2917" s="29" t="str">
        <x:v>stagger_1</x:v>
      </x:c>
      <x:c r="B2917" s="38" t="str">
        <x:v>HD</x:v>
      </x:c>
      <x:c r="C2917" s="38" t="str">
        <x:v>Other sectors</x:v>
      </x:c>
      <x:c r="D2917" s="30" t="n">
        <x:v>7</x:v>
      </x:c>
      <x:c r="E2917" s="38" t="str">
        <x:v>XLP</x:v>
      </x:c>
      <x:c r="F2917" s="38" t="n">
        <x:v>0.269458843</x:v>
      </x:c>
      <x:c r="G2917" s="38" t="n">
        <x:v>1.0819865394</x:v>
      </x:c>
      <x:c r="H2917" s="42" t="b">
        <x:v>1</x:v>
      </x:c>
      <x:c r="I2917" s="42" t="b">
        <x:v>0</x:v>
      </x:c>
      <x:c r="J2917" s="38" t="n">
        <x:v>0.1440738381</x:v>
      </x:c>
    </x:row>
    <x:row r="2918" ht="19" customHeight="1">
      <x:c r="A2918" s="29" t="str">
        <x:v>stagger_1</x:v>
      </x:c>
      <x:c r="B2918" s="38" t="str">
        <x:v>HD</x:v>
      </x:c>
      <x:c r="C2918" s="38" t="str">
        <x:v>Other sectors</x:v>
      </x:c>
      <x:c r="D2918" s="30" t="n">
        <x:v>7</x:v>
      </x:c>
      <x:c r="E2918" s="38" t="str">
        <x:v>XLU</x:v>
      </x:c>
      <x:c r="F2918" s="38" t="n">
        <x:v>-0.3239630537</x:v>
      </x:c>
      <x:c r="G2918" s="38" t="n">
        <x:v>-1.8817030595</x:v>
      </x:c>
      <x:c r="H2918" s="42" t="b">
        <x:v>0</x:v>
      </x:c>
      <x:c r="I2918" s="42" t="b">
        <x:v>0</x:v>
      </x:c>
      <x:c r="J2918" s="38" t="n">
        <x:v>0.1440738381</x:v>
      </x:c>
    </x:row>
    <x:row r="2919" ht="19" customHeight="1">
      <x:c r="A2919" s="29" t="str">
        <x:v>stagger_1</x:v>
      </x:c>
      <x:c r="B2919" s="38" t="str">
        <x:v>HD</x:v>
      </x:c>
      <x:c r="C2919" s="38" t="str">
        <x:v>Other sectors</x:v>
      </x:c>
      <x:c r="D2919" s="30" t="n">
        <x:v>7</x:v>
      </x:c>
      <x:c r="E2919" s="38" t="str">
        <x:v>XLV</x:v>
      </x:c>
      <x:c r="F2919" s="38" t="n">
        <x:v>0.2612385018</x:v>
      </x:c>
      <x:c r="G2919" s="38" t="n">
        <x:v>1.3435897069</x:v>
      </x:c>
      <x:c r="H2919" s="42" t="b">
        <x:v>0</x:v>
      </x:c>
      <x:c r="I2919" s="42" t="b">
        <x:v>0</x:v>
      </x:c>
      <x:c r="J2919" s="38" t="n">
        <x:v>0.1440738381</x:v>
      </x:c>
    </x:row>
    <x:row r="2920" ht="19" customHeight="1">
      <x:c r="A2920" s="29" t="str">
        <x:v>stagger_1</x:v>
      </x:c>
      <x:c r="B2920" s="38" t="str">
        <x:v>HD</x:v>
      </x:c>
      <x:c r="C2920" s="38" t="str">
        <x:v>Other sectors</x:v>
      </x:c>
      <x:c r="D2920" s="30" t="n">
        <x:v>8</x:v>
      </x:c>
      <x:c r="E2920" s="38" t="str">
        <x:v>XLI</x:v>
      </x:c>
      <x:c r="F2920" s="38" t="n">
        <x:v>0.6014426942</x:v>
      </x:c>
      <x:c r="G2920" s="38" t="n">
        <x:v>2.6581109948</x:v>
      </x:c>
      <x:c r="H2920" s="42" t="b">
        <x:v>0</x:v>
      </x:c>
      <x:c r="I2920" s="42" t="b">
        <x:v>0</x:v>
      </x:c>
      <x:c r="J2920" s="38" t="n">
        <x:v>0.1307134599</x:v>
      </x:c>
    </x:row>
    <x:row r="2921" ht="19" customHeight="1">
      <x:c r="A2921" s="29" t="str">
        <x:v>stagger_1</x:v>
      </x:c>
      <x:c r="B2921" s="38" t="str">
        <x:v>HD</x:v>
      </x:c>
      <x:c r="C2921" s="38" t="str">
        <x:v>Other sectors</x:v>
      </x:c>
      <x:c r="D2921" s="30" t="n">
        <x:v>8</x:v>
      </x:c>
      <x:c r="E2921" s="38" t="str">
        <x:v>XLU</x:v>
      </x:c>
      <x:c r="F2921" s="38" t="n">
        <x:v>-0.2578712895</x:v>
      </x:c>
      <x:c r="G2921" s="38" t="n">
        <x:v>-1.600244343</x:v>
      </x:c>
      <x:c r="H2921" s="42" t="b">
        <x:v>1</x:v>
      </x:c>
      <x:c r="I2921" s="42" t="b">
        <x:v>0</x:v>
      </x:c>
      <x:c r="J2921" s="38" t="n">
        <x:v>0.1307134599</x:v>
      </x:c>
    </x:row>
    <x:row r="2922" ht="19" customHeight="1">
      <x:c r="A2922" s="29" t="str">
        <x:v>stagger_1</x:v>
      </x:c>
      <x:c r="B2922" s="38" t="str">
        <x:v>HD</x:v>
      </x:c>
      <x:c r="C2922" s="38" t="str">
        <x:v>Other sectors</x:v>
      </x:c>
      <x:c r="D2922" s="30" t="n">
        <x:v>8</x:v>
      </x:c>
      <x:c r="E2922" s="38" t="str">
        <x:v>XLV</x:v>
      </x:c>
      <x:c r="F2922" s="38" t="n">
        <x:v>0.3440718934</x:v>
      </x:c>
      <x:c r="G2922" s="38" t="n">
        <x:v>1.9229669802</x:v>
      </x:c>
      <x:c r="H2922" s="42" t="b">
        <x:v>0</x:v>
      </x:c>
      <x:c r="I2922" s="42" t="b">
        <x:v>0</x:v>
      </x:c>
      <x:c r="J2922" s="38" t="n">
        <x:v>0.1307134599</x:v>
      </x:c>
    </x:row>
    <x:row r="2923" ht="19" customHeight="1">
      <x:c r="A2923" s="29" t="str">
        <x:v>stagger_1</x:v>
      </x:c>
      <x:c r="B2923" s="38" t="str">
        <x:v>HD</x:v>
      </x:c>
      <x:c r="C2923" s="38" t="str">
        <x:v>Other sectors</x:v>
      </x:c>
      <x:c r="D2923" s="30" t="n">
        <x:v>9</x:v>
      </x:c>
      <x:c r="E2923" s="38" t="str">
        <x:v>XLI</x:v>
      </x:c>
      <x:c r="F2923" s="38" t="n">
        <x:v>0.4735586384</x:v>
      </x:c>
      <x:c r="G2923" s="38" t="n">
        <x:v>2.2147637781</x:v>
      </x:c>
      <x:c r="H2923" s="42" t="b">
        <x:v>0</x:v>
      </x:c>
      <x:c r="I2923" s="42" t="b">
        <x:v>0</x:v>
      </x:c>
      <x:c r="J2923" s="38" t="n">
        <x:v>0.101423285</x:v>
      </x:c>
    </x:row>
    <x:row r="2924" ht="19" customHeight="1">
      <x:c r="A2924" s="29" t="str">
        <x:v>stagger_1</x:v>
      </x:c>
      <x:c r="B2924" s="38" t="str">
        <x:v>HD</x:v>
      </x:c>
      <x:c r="C2924" s="38" t="str">
        <x:v>Other sectors</x:v>
      </x:c>
      <x:c r="D2924" s="30" t="n">
        <x:v>9</x:v>
      </x:c>
      <x:c r="E2924" s="38" t="str">
        <x:v>XLV</x:v>
      </x:c>
      <x:c r="F2924" s="38" t="n">
        <x:v>0.2759057613</x:v>
      </x:c>
      <x:c r="G2924" s="38" t="n">
        <x:v>1.5717944257</x:v>
      </x:c>
      <x:c r="H2924" s="42" t="b">
        <x:v>1</x:v>
      </x:c>
      <x:c r="I2924" s="42" t="b">
        <x:v>0</x:v>
      </x:c>
      <x:c r="J2924" s="38" t="n">
        <x:v>0.101423285</x:v>
      </x:c>
    </x:row>
    <x:row r="2925" ht="19" customHeight="1">
      <x:c r="A2925" s="29" t="str">
        <x:v>stagger_1</x:v>
      </x:c>
      <x:c r="B2925" s="38" t="str">
        <x:v>HD</x:v>
      </x:c>
      <x:c r="C2925" s="38" t="str">
        <x:v>Other sectors</x:v>
      </x:c>
      <x:c r="D2925" s="30" t="n">
        <x:v>10</x:v>
      </x:c>
      <x:c r="E2925" s="38" t="str">
        <x:v>XLI</x:v>
      </x:c>
      <x:c r="F2925" s="38" t="n">
        <x:v>0.5266019149</x:v>
      </x:c>
      <x:c r="G2925" s="38" t="n">
        <x:v>2.4709160625</x:v>
      </x:c>
      <x:c r="H2925" s="42" t="b">
        <x:v>0</x:v>
      </x:c>
      <x:c r="I2925" s="42" t="b">
        <x:v>1</x:v>
      </x:c>
      <x:c r="J2925" s="38" t="n">
        <x:v>0.0725925361</x:v>
      </x:c>
    </x:row>
    <x:row r="2926" ht="19" customHeight="1">
      <x:c r="A2926" s="29" t="str">
        <x:v>stagger_1</x:v>
      </x:c>
      <x:c r="B2926" s="38" t="str">
        <x:v>KO</x:v>
      </x:c>
      <x:c r="C2926" s="38" t="str">
        <x:v>Other FX</x:v>
      </x:c>
      <x:c r="D2926" s="30" t="n">
        <x:v>1</x:v>
      </x:c>
      <x:c r="E2926" s="38" t="str">
        <x:v>AUD/USD</x:v>
      </x:c>
      <x:c r="F2926" s="38" t="n">
        <x:v>0.3743771656</x:v>
      </x:c>
      <x:c r="G2926" s="38" t="n">
        <x:v>1.1013379307</x:v>
      </x:c>
      <x:c r="H2926" s="42" t="b">
        <x:v>0</x:v>
      </x:c>
      <x:c r="I2926" s="42" t="b">
        <x:v>0</x:v>
      </x:c>
      <x:c r="J2926" s="38" t="n">
        <x:v>0.3090566936</x:v>
      </x:c>
    </x:row>
    <x:row r="2927" ht="19" customHeight="1">
      <x:c r="A2927" s="29" t="str">
        <x:v>stagger_1</x:v>
      </x:c>
      <x:c r="B2927" s="38" t="str">
        <x:v>KO</x:v>
      </x:c>
      <x:c r="C2927" s="38" t="str">
        <x:v>Other FX</x:v>
      </x:c>
      <x:c r="D2927" s="30" t="n">
        <x:v>1</x:v>
      </x:c>
      <x:c r="E2927" s="38" t="str">
        <x:v>CAD/USD</x:v>
      </x:c>
      <x:c r="F2927" s="38" t="n">
        <x:v>-0.3004832747</x:v>
      </x:c>
      <x:c r="G2927" s="38" t="n">
        <x:v>-0.7320286184</x:v>
      </x:c>
      <x:c r="H2927" s="42" t="b">
        <x:v>1</x:v>
      </x:c>
      <x:c r="I2927" s="42" t="b">
        <x:v>0</x:v>
      </x:c>
      <x:c r="J2927" s="38" t="n">
        <x:v>0.3090566936</x:v>
      </x:c>
    </x:row>
    <x:row r="2928" ht="19" customHeight="1">
      <x:c r="A2928" s="29" t="str">
        <x:v>stagger_1</x:v>
      </x:c>
      <x:c r="B2928" s="38" t="str">
        <x:v>KO</x:v>
      </x:c>
      <x:c r="C2928" s="38" t="str">
        <x:v>Other FX</x:v>
      </x:c>
      <x:c r="D2928" s="30" t="n">
        <x:v>1</x:v>
      </x:c>
      <x:c r="E2928" s="38" t="str">
        <x:v>DKK/USD</x:v>
      </x:c>
      <x:c r="F2928" s="38" t="n">
        <x:v>-5.0564967669</x:v>
      </x:c>
      <x:c r="G2928" s="38" t="n">
        <x:v>-1.7694429135</x:v>
      </x:c>
      <x:c r="H2928" s="42" t="b">
        <x:v>0</x:v>
      </x:c>
      <x:c r="I2928" s="42" t="b">
        <x:v>0</x:v>
      </x:c>
      <x:c r="J2928" s="38" t="n">
        <x:v>0.3090566936</x:v>
      </x:c>
    </x:row>
    <x:row r="2929" ht="19" customHeight="1">
      <x:c r="A2929" s="29" t="str">
        <x:v>stagger_1</x:v>
      </x:c>
      <x:c r="B2929" s="38" t="str">
        <x:v>KO</x:v>
      </x:c>
      <x:c r="C2929" s="38" t="str">
        <x:v>Other FX</x:v>
      </x:c>
      <x:c r="D2929" s="30" t="n">
        <x:v>1</x:v>
      </x:c>
      <x:c r="E2929" s="38" t="str">
        <x:v>EUR/USD</x:v>
      </x:c>
      <x:c r="F2929" s="38" t="n">
        <x:v>4.3532484449</x:v>
      </x:c>
      <x:c r="G2929" s="38" t="n">
        <x:v>1.6653892046</x:v>
      </x:c>
      <x:c r="H2929" s="42" t="b">
        <x:v>0</x:v>
      </x:c>
      <x:c r="I2929" s="42" t="b">
        <x:v>0</x:v>
      </x:c>
      <x:c r="J2929" s="38" t="n">
        <x:v>0.3090566936</x:v>
      </x:c>
    </x:row>
    <x:row r="2930" ht="19" customHeight="1">
      <x:c r="A2930" s="29" t="str">
        <x:v>stagger_1</x:v>
      </x:c>
      <x:c r="B2930" s="38" t="str">
        <x:v>KO</x:v>
      </x:c>
      <x:c r="C2930" s="38" t="str">
        <x:v>Other FX</x:v>
      </x:c>
      <x:c r="D2930" s="30" t="n">
        <x:v>1</x:v>
      </x:c>
      <x:c r="E2930" s="38" t="str">
        <x:v>MXN/USD</x:v>
      </x:c>
      <x:c r="F2930" s="38" t="n">
        <x:v>0.3550514866</x:v>
      </x:c>
      <x:c r="G2930" s="38" t="n">
        <x:v>1.6303602922</x:v>
      </x:c>
      <x:c r="H2930" s="42" t="b">
        <x:v>0</x:v>
      </x:c>
      <x:c r="I2930" s="42" t="b">
        <x:v>0</x:v>
      </x:c>
      <x:c r="J2930" s="38" t="n">
        <x:v>0.3090566936</x:v>
      </x:c>
    </x:row>
    <x:row r="2931" ht="19" customHeight="1">
      <x:c r="A2931" s="29" t="str">
        <x:v>stagger_1</x:v>
      </x:c>
      <x:c r="B2931" s="38" t="str">
        <x:v>KO</x:v>
      </x:c>
      <x:c r="C2931" s="38" t="str">
        <x:v>Other FX</x:v>
      </x:c>
      <x:c r="D2931" s="30" t="n">
        <x:v>1</x:v>
      </x:c>
      <x:c r="E2931" s="38" t="str">
        <x:v>SGD/USD</x:v>
      </x:c>
      <x:c r="F2931" s="38" t="n">
        <x:v>2.3107450559</x:v>
      </x:c>
      <x:c r="G2931" s="38" t="n">
        <x:v>2.8075904708</x:v>
      </x:c>
      <x:c r="H2931" s="42" t="b">
        <x:v>0</x:v>
      </x:c>
      <x:c r="I2931" s="42" t="b">
        <x:v>0</x:v>
      </x:c>
      <x:c r="J2931" s="38" t="n">
        <x:v>0.3090566936</x:v>
      </x:c>
    </x:row>
    <x:row r="2932" ht="19" customHeight="1">
      <x:c r="A2932" s="29" t="str">
        <x:v>stagger_1</x:v>
      </x:c>
      <x:c r="B2932" s="38" t="str">
        <x:v>KO</x:v>
      </x:c>
      <x:c r="C2932" s="38" t="str">
        <x:v>Other FX</x:v>
      </x:c>
      <x:c r="D2932" s="30" t="n">
        <x:v>2</x:v>
      </x:c>
      <x:c r="E2932" s="38" t="str">
        <x:v>AUD/USD</x:v>
      </x:c>
      <x:c r="F2932" s="38" t="n">
        <x:v>0.3138244504</x:v>
      </x:c>
      <x:c r="G2932" s="38" t="n">
        <x:v>0.9548148027</x:v>
      </x:c>
      <x:c r="H2932" s="42" t="b">
        <x:v>1</x:v>
      </x:c>
      <x:c r="I2932" s="42" t="b">
        <x:v>0</x:v>
      </x:c>
      <x:c r="J2932" s="38" t="n">
        <x:v>0.3039847353</x:v>
      </x:c>
    </x:row>
    <x:row r="2933" ht="19" customHeight="1">
      <x:c r="A2933" s="29" t="str">
        <x:v>stagger_1</x:v>
      </x:c>
      <x:c r="B2933" s="38" t="str">
        <x:v>KO</x:v>
      </x:c>
      <x:c r="C2933" s="38" t="str">
        <x:v>Other FX</x:v>
      </x:c>
      <x:c r="D2933" s="30" t="n">
        <x:v>2</x:v>
      </x:c>
      <x:c r="E2933" s="38" t="str">
        <x:v>DKK/USD</x:v>
      </x:c>
      <x:c r="F2933" s="38" t="n">
        <x:v>-5.2646496822</x:v>
      </x:c>
      <x:c r="G2933" s="38" t="n">
        <x:v>-1.8573051403</x:v>
      </x:c>
      <x:c r="H2933" s="42" t="b">
        <x:v>0</x:v>
      </x:c>
      <x:c r="I2933" s="42" t="b">
        <x:v>0</x:v>
      </x:c>
      <x:c r="J2933" s="38" t="n">
        <x:v>0.3039847353</x:v>
      </x:c>
    </x:row>
    <x:row r="2934" ht="19" customHeight="1">
      <x:c r="A2934" s="29" t="str">
        <x:v>stagger_1</x:v>
      </x:c>
      <x:c r="B2934" s="38" t="str">
        <x:v>KO</x:v>
      </x:c>
      <x:c r="C2934" s="38" t="str">
        <x:v>Other FX</x:v>
      </x:c>
      <x:c r="D2934" s="30" t="n">
        <x:v>2</x:v>
      </x:c>
      <x:c r="E2934" s="38" t="str">
        <x:v>EUR/USD</x:v>
      </x:c>
      <x:c r="F2934" s="38" t="n">
        <x:v>4.4694495467</x:v>
      </x:c>
      <x:c r="G2934" s="38" t="n">
        <x:v>1.718402374</x:v>
      </x:c>
      <x:c r="H2934" s="42" t="b">
        <x:v>0</x:v>
      </x:c>
      <x:c r="I2934" s="42" t="b">
        <x:v>0</x:v>
      </x:c>
      <x:c r="J2934" s="38" t="n">
        <x:v>0.3039847353</x:v>
      </x:c>
    </x:row>
    <x:row r="2935" ht="19" customHeight="1">
      <x:c r="A2935" s="29" t="str">
        <x:v>stagger_1</x:v>
      </x:c>
      <x:c r="B2935" s="38" t="str">
        <x:v>KO</x:v>
      </x:c>
      <x:c r="C2935" s="38" t="str">
        <x:v>Other FX</x:v>
      </x:c>
      <x:c r="D2935" s="30" t="n">
        <x:v>2</x:v>
      </x:c>
      <x:c r="E2935" s="38" t="str">
        <x:v>MXN/USD</x:v>
      </x:c>
      <x:c r="F2935" s="38" t="n">
        <x:v>0.3582435237</x:v>
      </x:c>
      <x:c r="G2935" s="38" t="n">
        <x:v>1.6505319439</x:v>
      </x:c>
      <x:c r="H2935" s="42" t="b">
        <x:v>0</x:v>
      </x:c>
      <x:c r="I2935" s="42" t="b">
        <x:v>0</x:v>
      </x:c>
      <x:c r="J2935" s="38" t="n">
        <x:v>0.3039847353</x:v>
      </x:c>
    </x:row>
    <x:row r="2936" ht="19" customHeight="1">
      <x:c r="A2936" s="29" t="str">
        <x:v>stagger_1</x:v>
      </x:c>
      <x:c r="B2936" s="38" t="str">
        <x:v>KO</x:v>
      </x:c>
      <x:c r="C2936" s="38" t="str">
        <x:v>Other FX</x:v>
      </x:c>
      <x:c r="D2936" s="30" t="n">
        <x:v>2</x:v>
      </x:c>
      <x:c r="E2936" s="38" t="str">
        <x:v>SGD/USD</x:v>
      </x:c>
      <x:c r="F2936" s="38" t="n">
        <x:v>2.309268964</x:v>
      </x:c>
      <x:c r="G2936" s="38" t="n">
        <x:v>2.8146461482</x:v>
      </x:c>
      <x:c r="H2936" s="42" t="b">
        <x:v>0</x:v>
      </x:c>
      <x:c r="I2936" s="42" t="b">
        <x:v>0</x:v>
      </x:c>
      <x:c r="J2936" s="38" t="n">
        <x:v>0.3039847353</x:v>
      </x:c>
    </x:row>
    <x:row r="2937" ht="19" customHeight="1">
      <x:c r="A2937" s="29" t="str">
        <x:v>stagger_1</x:v>
      </x:c>
      <x:c r="B2937" s="38" t="str">
        <x:v>KO</x:v>
      </x:c>
      <x:c r="C2937" s="38" t="str">
        <x:v>Other FX</x:v>
      </x:c>
      <x:c r="D2937" s="30" t="n">
        <x:v>3</x:v>
      </x:c>
      <x:c r="E2937" s="38" t="str">
        <x:v>DKK/USD</x:v>
      </x:c>
      <x:c r="F2937" s="38" t="n">
        <x:v>-5.209789097</x:v>
      </x:c>
      <x:c r="G2937" s="38" t="n">
        <x:v>-1.8394121575</x:v>
      </x:c>
      <x:c r="H2937" s="42" t="b">
        <x:v>0</x:v>
      </x:c>
      <x:c r="I2937" s="42" t="b">
        <x:v>0</x:v>
      </x:c>
      <x:c r="J2937" s="38" t="n">
        <x:v>0.295409909</x:v>
      </x:c>
    </x:row>
    <x:row r="2938" ht="19" customHeight="1">
      <x:c r="A2938" s="29" t="str">
        <x:v>stagger_1</x:v>
      </x:c>
      <x:c r="B2938" s="38" t="str">
        <x:v>KO</x:v>
      </x:c>
      <x:c r="C2938" s="38" t="str">
        <x:v>Other FX</x:v>
      </x:c>
      <x:c r="D2938" s="30" t="n">
        <x:v>3</x:v>
      </x:c>
      <x:c r="E2938" s="38" t="str">
        <x:v>EUR/USD</x:v>
      </x:c>
      <x:c r="F2938" s="38" t="n">
        <x:v>4.4377890421</x:v>
      </x:c>
      <x:c r="G2938" s="38" t="n">
        <x:v>1.7073739976</x:v>
      </x:c>
      <x:c r="H2938" s="42" t="b">
        <x:v>1</x:v>
      </x:c>
      <x:c r="I2938" s="42" t="b">
        <x:v>0</x:v>
      </x:c>
      <x:c r="J2938" s="38" t="n">
        <x:v>0.295409909</x:v>
      </x:c>
    </x:row>
    <x:row r="2939" ht="19" customHeight="1">
      <x:c r="A2939" s="29" t="str">
        <x:v>stagger_1</x:v>
      </x:c>
      <x:c r="B2939" s="38" t="str">
        <x:v>KO</x:v>
      </x:c>
      <x:c r="C2939" s="38" t="str">
        <x:v>Other FX</x:v>
      </x:c>
      <x:c r="D2939" s="30" t="n">
        <x:v>3</x:v>
      </x:c>
      <x:c r="E2939" s="38" t="str">
        <x:v>MXN/USD</x:v>
      </x:c>
      <x:c r="F2939" s="38" t="n">
        <x:v>0.3972734207</x:v>
      </x:c>
      <x:c r="G2939" s="38" t="n">
        <x:v>1.8648026005</x:v>
      </x:c>
      <x:c r="H2939" s="42" t="b">
        <x:v>0</x:v>
      </x:c>
      <x:c r="I2939" s="42" t="b">
        <x:v>0</x:v>
      </x:c>
      <x:c r="J2939" s="38" t="n">
        <x:v>0.295409909</x:v>
      </x:c>
    </x:row>
    <x:row r="2940" ht="19" customHeight="1">
      <x:c r="A2940" s="29" t="str">
        <x:v>stagger_1</x:v>
      </x:c>
      <x:c r="B2940" s="38" t="str">
        <x:v>KO</x:v>
      </x:c>
      <x:c r="C2940" s="38" t="str">
        <x:v>Other FX</x:v>
      </x:c>
      <x:c r="D2940" s="30" t="n">
        <x:v>3</x:v>
      </x:c>
      <x:c r="E2940" s="38" t="str">
        <x:v>SGD/USD</x:v>
      </x:c>
      <x:c r="F2940" s="38" t="n">
        <x:v>2.6838778963</x:v>
      </x:c>
      <x:c r="G2940" s="38" t="n">
        <x:v>3.7269099991</x:v>
      </x:c>
      <x:c r="H2940" s="42" t="b">
        <x:v>0</x:v>
      </x:c>
      <x:c r="I2940" s="42" t="b">
        <x:v>0</x:v>
      </x:c>
      <x:c r="J2940" s="38" t="n">
        <x:v>0.295409909</x:v>
      </x:c>
    </x:row>
    <x:row r="2941" ht="19" customHeight="1">
      <x:c r="A2941" s="29" t="str">
        <x:v>stagger_1</x:v>
      </x:c>
      <x:c r="B2941" s="38" t="str">
        <x:v>KO</x:v>
      </x:c>
      <x:c r="C2941" s="38" t="str">
        <x:v>Other FX</x:v>
      </x:c>
      <x:c r="D2941" s="30" t="n">
        <x:v>4</x:v>
      </x:c>
      <x:c r="E2941" s="38" t="str">
        <x:v>DKK/USD</x:v>
      </x:c>
      <x:c r="F2941" s="38" t="n">
        <x:v>-0.4324693471</x:v>
      </x:c>
      <x:c r="G2941" s="38" t="n">
        <x:v>-0.9724873668</x:v>
      </x:c>
      <x:c r="H2941" s="42" t="b">
        <x:v>1</x:v>
      </x:c>
      <x:c r="I2941" s="42" t="b">
        <x:v>0</x:v>
      </x:c>
      <x:c r="J2941" s="38" t="n">
        <x:v>0.2680236574</x:v>
      </x:c>
    </x:row>
    <x:row r="2942" ht="19" customHeight="1">
      <x:c r="A2942" s="29" t="str">
        <x:v>stagger_1</x:v>
      </x:c>
      <x:c r="B2942" s="38" t="str">
        <x:v>KO</x:v>
      </x:c>
      <x:c r="C2942" s="38" t="str">
        <x:v>Other FX</x:v>
      </x:c>
      <x:c r="D2942" s="30" t="n">
        <x:v>4</x:v>
      </x:c>
      <x:c r="E2942" s="38" t="str">
        <x:v>MXN/USD</x:v>
      </x:c>
      <x:c r="F2942" s="38" t="n">
        <x:v>0.2992077092</x:v>
      </x:c>
      <x:c r="G2942" s="38" t="n">
        <x:v>1.4404531698</x:v>
      </x:c>
      <x:c r="H2942" s="42" t="b">
        <x:v>0</x:v>
      </x:c>
      <x:c r="I2942" s="42" t="b">
        <x:v>0</x:v>
      </x:c>
      <x:c r="J2942" s="38" t="n">
        <x:v>0.2680236574</x:v>
      </x:c>
    </x:row>
    <x:row r="2943" ht="19" customHeight="1">
      <x:c r="A2943" s="29" t="str">
        <x:v>stagger_1</x:v>
      </x:c>
      <x:c r="B2943" s="38" t="str">
        <x:v>KO</x:v>
      </x:c>
      <x:c r="C2943" s="38" t="str">
        <x:v>Other FX</x:v>
      </x:c>
      <x:c r="D2943" s="30" t="n">
        <x:v>4</x:v>
      </x:c>
      <x:c r="E2943" s="38" t="str">
        <x:v>SGD/USD</x:v>
      </x:c>
      <x:c r="F2943" s="38" t="n">
        <x:v>2.2570762086</x:v>
      </x:c>
      <x:c r="G2943" s="38" t="n">
        <x:v>3.300722418</x:v>
      </x:c>
      <x:c r="H2943" s="42" t="b">
        <x:v>0</x:v>
      </x:c>
      <x:c r="I2943" s="42" t="b">
        <x:v>0</x:v>
      </x:c>
      <x:c r="J2943" s="38" t="n">
        <x:v>0.2680236574</x:v>
      </x:c>
    </x:row>
    <x:row r="2944" ht="19" customHeight="1">
      <x:c r="A2944" s="29" t="str">
        <x:v>stagger_1</x:v>
      </x:c>
      <x:c r="B2944" s="38" t="str">
        <x:v>KO</x:v>
      </x:c>
      <x:c r="C2944" s="38" t="str">
        <x:v>Other FX</x:v>
      </x:c>
      <x:c r="D2944" s="30" t="n">
        <x:v>5</x:v>
      </x:c>
      <x:c r="E2944" s="38" t="str">
        <x:v>MXN/USD</x:v>
      </x:c>
      <x:c r="F2944" s="38" t="n">
        <x:v>0.2381224007</x:v>
      </x:c>
      <x:c r="G2944" s="38" t="n">
        <x:v>1.2031063505</x:v>
      </x:c>
      <x:c r="H2944" s="42" t="b">
        <x:v>1</x:v>
      </x:c>
      <x:c r="I2944" s="42" t="b">
        <x:v>0</x:v>
      </x:c>
      <x:c r="J2944" s="38" t="n">
        <x:v>0.2589150625</x:v>
      </x:c>
    </x:row>
    <x:row r="2945" ht="19" customHeight="1">
      <x:c r="A2945" s="29" t="str">
        <x:v>stagger_1</x:v>
      </x:c>
      <x:c r="B2945" s="38" t="str">
        <x:v>KO</x:v>
      </x:c>
      <x:c r="C2945" s="38" t="str">
        <x:v>Other FX</x:v>
      </x:c>
      <x:c r="D2945" s="30" t="n">
        <x:v>5</x:v>
      </x:c>
      <x:c r="E2945" s="38" t="str">
        <x:v>SGD/USD</x:v>
      </x:c>
      <x:c r="F2945" s="38" t="n">
        <x:v>1.7631177699</x:v>
      </x:c>
      <x:c r="G2945" s="38" t="n">
        <x:v>3.8524290466</x:v>
      </x:c>
      <x:c r="H2945" s="42" t="b">
        <x:v>0</x:v>
      </x:c>
      <x:c r="I2945" s="42" t="b">
        <x:v>0</x:v>
      </x:c>
      <x:c r="J2945" s="38" t="n">
        <x:v>0.2589150625</x:v>
      </x:c>
    </x:row>
    <x:row r="2946" ht="19" customHeight="1">
      <x:c r="A2946" s="29" t="str">
        <x:v>stagger_1</x:v>
      </x:c>
      <x:c r="B2946" s="38" t="str">
        <x:v>KO</x:v>
      </x:c>
      <x:c r="C2946" s="38" t="str">
        <x:v>Other FX</x:v>
      </x:c>
      <x:c r="D2946" s="30" t="n">
        <x:v>6</x:v>
      </x:c>
      <x:c r="E2946" s="38" t="str">
        <x:v>SGD/USD</x:v>
      </x:c>
      <x:c r="F2946" s="38" t="n">
        <x:v>2.0268713764</x:v>
      </x:c>
      <x:c r="G2946" s="38" t="n">
        <x:v>5.0308114945</x:v>
      </x:c>
      <x:c r="H2946" s="42" t="b">
        <x:v>0</x:v>
      </x:c>
      <x:c r="I2946" s="42" t="b">
        <x:v>1</x:v>
      </x:c>
      <x:c r="J2946" s="38" t="n">
        <x:v>0.244983966</x:v>
      </x:c>
    </x:row>
    <x:row r="2947" ht="19" customHeight="1">
      <x:c r="A2947" s="29" t="str">
        <x:v>stagger_1</x:v>
      </x:c>
      <x:c r="B2947" s="38" t="str">
        <x:v>KO</x:v>
      </x:c>
      <x:c r="C2947" s="38" t="str">
        <x:v>Other sectors</x:v>
      </x:c>
      <x:c r="D2947" s="30" t="n">
        <x:v>1</x:v>
      </x:c>
      <x:c r="E2947" s="38" t="str">
        <x:v>XLB</x:v>
      </x:c>
      <x:c r="F2947" s="38" t="n">
        <x:v>-0.3064417999</x:v>
      </x:c>
      <x:c r="G2947" s="38" t="n">
        <x:v>-2.0336606131</x:v>
      </x:c>
      <x:c r="H2947" s="42" t="b">
        <x:v>0</x:v>
      </x:c>
      <x:c r="I2947" s="42" t="b">
        <x:v>0</x:v>
      </x:c>
      <x:c r="J2947" s="38" t="n">
        <x:v>0.3271045847</x:v>
      </x:c>
    </x:row>
    <x:row r="2948" ht="19" customHeight="1">
      <x:c r="A2948" s="29" t="str">
        <x:v>stagger_1</x:v>
      </x:c>
      <x:c r="B2948" s="38" t="str">
        <x:v>KO</x:v>
      </x:c>
      <x:c r="C2948" s="38" t="str">
        <x:v>Other sectors</x:v>
      </x:c>
      <x:c r="D2948" s="30" t="n">
        <x:v>1</x:v>
      </x:c>
      <x:c r="E2948" s="38" t="str">
        <x:v>XLC</x:v>
      </x:c>
      <x:c r="F2948" s="38" t="n">
        <x:v>-0.4334177387</x:v>
      </x:c>
      <x:c r="G2948" s="38" t="n">
        <x:v>-2.9987379797</x:v>
      </x:c>
      <x:c r="H2948" s="42" t="b">
        <x:v>0</x:v>
      </x:c>
      <x:c r="I2948" s="42" t="b">
        <x:v>0</x:v>
      </x:c>
      <x:c r="J2948" s="38" t="n">
        <x:v>0.3271045847</x:v>
      </x:c>
    </x:row>
    <x:row r="2949" ht="19" customHeight="1">
      <x:c r="A2949" s="29" t="str">
        <x:v>stagger_1</x:v>
      </x:c>
      <x:c r="B2949" s="38" t="str">
        <x:v>KO</x:v>
      </x:c>
      <x:c r="C2949" s="38" t="str">
        <x:v>Other sectors</x:v>
      </x:c>
      <x:c r="D2949" s="30" t="n">
        <x:v>1</x:v>
      </x:c>
      <x:c r="E2949" s="38" t="str">
        <x:v>XLE</x:v>
      </x:c>
      <x:c r="F2949" s="38" t="n">
        <x:v>0.1228798816</x:v>
      </x:c>
      <x:c r="G2949" s="38" t="n">
        <x:v>2.1943676948</x:v>
      </x:c>
      <x:c r="H2949" s="42" t="b">
        <x:v>0</x:v>
      </x:c>
      <x:c r="I2949" s="42" t="b">
        <x:v>0</x:v>
      </x:c>
      <x:c r="J2949" s="38" t="n">
        <x:v>0.3271045847</x:v>
      </x:c>
    </x:row>
    <x:row r="2950" ht="19" customHeight="1">
      <x:c r="A2950" s="29" t="str">
        <x:v>stagger_1</x:v>
      </x:c>
      <x:c r="B2950" s="38" t="str">
        <x:v>KO</x:v>
      </x:c>
      <x:c r="C2950" s="38" t="str">
        <x:v>Other sectors</x:v>
      </x:c>
      <x:c r="D2950" s="30" t="n">
        <x:v>1</x:v>
      </x:c>
      <x:c r="E2950" s="38" t="str">
        <x:v>XLF</x:v>
      </x:c>
      <x:c r="F2950" s="38" t="n">
        <x:v>-0.1271050626</x:v>
      </x:c>
      <x:c r="G2950" s="38" t="n">
        <x:v>-0.8789270689</x:v>
      </x:c>
      <x:c r="H2950" s="42" t="b">
        <x:v>0</x:v>
      </x:c>
      <x:c r="I2950" s="42" t="b">
        <x:v>0</x:v>
      </x:c>
      <x:c r="J2950" s="38" t="n">
        <x:v>0.3271045847</x:v>
      </x:c>
    </x:row>
    <x:row r="2951" ht="19" customHeight="1">
      <x:c r="A2951" s="29" t="str">
        <x:v>stagger_1</x:v>
      </x:c>
      <x:c r="B2951" s="38" t="str">
        <x:v>KO</x:v>
      </x:c>
      <x:c r="C2951" s="38" t="str">
        <x:v>Other sectors</x:v>
      </x:c>
      <x:c r="D2951" s="30" t="n">
        <x:v>1</x:v>
      </x:c>
      <x:c r="E2951" s="38" t="str">
        <x:v>XLI</x:v>
      </x:c>
      <x:c r="F2951" s="38" t="n">
        <x:v>0.0798673487</x:v>
      </x:c>
      <x:c r="G2951" s="38" t="n">
        <x:v>0.4126638623</x:v>
      </x:c>
      <x:c r="H2951" s="42" t="b">
        <x:v>0</x:v>
      </x:c>
      <x:c r="I2951" s="42" t="b">
        <x:v>0</x:v>
      </x:c>
      <x:c r="J2951" s="38" t="n">
        <x:v>0.3271045847</x:v>
      </x:c>
    </x:row>
    <x:row r="2952" ht="19" customHeight="1">
      <x:c r="A2952" s="29" t="str">
        <x:v>stagger_1</x:v>
      </x:c>
      <x:c r="B2952" s="38" t="str">
        <x:v>KO</x:v>
      </x:c>
      <x:c r="C2952" s="38" t="str">
        <x:v>Other sectors</x:v>
      </x:c>
      <x:c r="D2952" s="30" t="n">
        <x:v>1</x:v>
      </x:c>
      <x:c r="E2952" s="38" t="str">
        <x:v>XLK</x:v>
      </x:c>
      <x:c r="F2952" s="38" t="n">
        <x:v>-0.0100444118</x:v>
      </x:c>
      <x:c r="G2952" s="38" t="n">
        <x:v>-0.044183517</x:v>
      </x:c>
      <x:c r="H2952" s="42" t="b">
        <x:v>1</x:v>
      </x:c>
      <x:c r="I2952" s="42" t="b">
        <x:v>0</x:v>
      </x:c>
      <x:c r="J2952" s="38" t="n">
        <x:v>0.3271045847</x:v>
      </x:c>
    </x:row>
    <x:row r="2953" ht="19" customHeight="1">
      <x:c r="A2953" s="29" t="str">
        <x:v>stagger_1</x:v>
      </x:c>
      <x:c r="B2953" s="38" t="str">
        <x:v>KO</x:v>
      </x:c>
      <x:c r="C2953" s="38" t="str">
        <x:v>Other sectors</x:v>
      </x:c>
      <x:c r="D2953" s="30" t="n">
        <x:v>1</x:v>
      </x:c>
      <x:c r="E2953" s="38" t="str">
        <x:v>XLRE</x:v>
      </x:c>
      <x:c r="F2953" s="38" t="n">
        <x:v>-0.0652557777</x:v>
      </x:c>
      <x:c r="G2953" s="38" t="n">
        <x:v>-0.5379040098</x:v>
      </x:c>
      <x:c r="H2953" s="42" t="b">
        <x:v>0</x:v>
      </x:c>
      <x:c r="I2953" s="42" t="b">
        <x:v>0</x:v>
      </x:c>
      <x:c r="J2953" s="38" t="n">
        <x:v>0.3271045847</x:v>
      </x:c>
    </x:row>
    <x:row r="2954" ht="19" customHeight="1">
      <x:c r="A2954" s="29" t="str">
        <x:v>stagger_1</x:v>
      </x:c>
      <x:c r="B2954" s="38" t="str">
        <x:v>KO</x:v>
      </x:c>
      <x:c r="C2954" s="38" t="str">
        <x:v>Other sectors</x:v>
      </x:c>
      <x:c r="D2954" s="30" t="n">
        <x:v>1</x:v>
      </x:c>
      <x:c r="E2954" s="38" t="str">
        <x:v>XLU</x:v>
      </x:c>
      <x:c r="F2954" s="38" t="n">
        <x:v>0.0296736688</x:v>
      </x:c>
      <x:c r="G2954" s="38" t="n">
        <x:v>0.2932841376</x:v>
      </x:c>
      <x:c r="H2954" s="42" t="b">
        <x:v>0</x:v>
      </x:c>
      <x:c r="I2954" s="42" t="b">
        <x:v>0</x:v>
      </x:c>
      <x:c r="J2954" s="38" t="n">
        <x:v>0.3271045847</x:v>
      </x:c>
    </x:row>
    <x:row r="2955" ht="19" customHeight="1">
      <x:c r="A2955" s="29" t="str">
        <x:v>stagger_1</x:v>
      </x:c>
      <x:c r="B2955" s="38" t="str">
        <x:v>KO</x:v>
      </x:c>
      <x:c r="C2955" s="38" t="str">
        <x:v>Other sectors</x:v>
      </x:c>
      <x:c r="D2955" s="30" t="n">
        <x:v>1</x:v>
      </x:c>
      <x:c r="E2955" s="38" t="str">
        <x:v>XLV</x:v>
      </x:c>
      <x:c r="F2955" s="38" t="n">
        <x:v>0.1483849445</x:v>
      </x:c>
      <x:c r="G2955" s="38" t="n">
        <x:v>1.0732643376</x:v>
      </x:c>
      <x:c r="H2955" s="42" t="b">
        <x:v>0</x:v>
      </x:c>
      <x:c r="I2955" s="42" t="b">
        <x:v>0</x:v>
      </x:c>
      <x:c r="J2955" s="38" t="n">
        <x:v>0.3271045847</x:v>
      </x:c>
    </x:row>
    <x:row r="2956" ht="19" customHeight="1">
      <x:c r="A2956" s="29" t="str">
        <x:v>stagger_1</x:v>
      </x:c>
      <x:c r="B2956" s="38" t="str">
        <x:v>KO</x:v>
      </x:c>
      <x:c r="C2956" s="38" t="str">
        <x:v>Other sectors</x:v>
      </x:c>
      <x:c r="D2956" s="30" t="n">
        <x:v>1</x:v>
      </x:c>
      <x:c r="E2956" s="38" t="str">
        <x:v>XLY</x:v>
      </x:c>
      <x:c r="F2956" s="38" t="n">
        <x:v>-0.1158805246</x:v>
      </x:c>
      <x:c r="G2956" s="38" t="n">
        <x:v>-0.7739862371</x:v>
      </x:c>
      <x:c r="H2956" s="42" t="b">
        <x:v>0</x:v>
      </x:c>
      <x:c r="I2956" s="42" t="b">
        <x:v>0</x:v>
      </x:c>
      <x:c r="J2956" s="38" t="n">
        <x:v>0.3271045847</x:v>
      </x:c>
    </x:row>
    <x:row r="2957" ht="19" customHeight="1">
      <x:c r="A2957" s="29" t="str">
        <x:v>stagger_1</x:v>
      </x:c>
      <x:c r="B2957" s="38" t="str">
        <x:v>KO</x:v>
      </x:c>
      <x:c r="C2957" s="38" t="str">
        <x:v>Other sectors</x:v>
      </x:c>
      <x:c r="D2957" s="30" t="n">
        <x:v>2</x:v>
      </x:c>
      <x:c r="E2957" s="38" t="str">
        <x:v>XLB</x:v>
      </x:c>
      <x:c r="F2957" s="38" t="n">
        <x:v>-0.3062150637</x:v>
      </x:c>
      <x:c r="G2957" s="38" t="n">
        <x:v>-2.04798772</x:v>
      </x:c>
      <x:c r="H2957" s="42" t="b">
        <x:v>0</x:v>
      </x:c>
      <x:c r="I2957" s="42" t="b">
        <x:v>0</x:v>
      </x:c>
      <x:c r="J2957" s="38" t="n">
        <x:v>0.3270855468</x:v>
      </x:c>
    </x:row>
    <x:row r="2958" ht="19" customHeight="1">
      <x:c r="A2958" s="29" t="str">
        <x:v>stagger_1</x:v>
      </x:c>
      <x:c r="B2958" s="38" t="str">
        <x:v>KO</x:v>
      </x:c>
      <x:c r="C2958" s="38" t="str">
        <x:v>Other sectors</x:v>
      </x:c>
      <x:c r="D2958" s="30" t="n">
        <x:v>2</x:v>
      </x:c>
      <x:c r="E2958" s="38" t="str">
        <x:v>XLC</x:v>
      </x:c>
      <x:c r="F2958" s="38" t="n">
        <x:v>-0.4300887947</x:v>
      </x:c>
      <x:c r="G2958" s="38" t="n">
        <x:v>-3.512089185</x:v>
      </x:c>
      <x:c r="H2958" s="42" t="b">
        <x:v>0</x:v>
      </x:c>
      <x:c r="I2958" s="42" t="b">
        <x:v>0</x:v>
      </x:c>
      <x:c r="J2958" s="38" t="n">
        <x:v>0.3270855468</x:v>
      </x:c>
    </x:row>
    <x:row r="2959" ht="19" customHeight="1">
      <x:c r="A2959" s="29" t="str">
        <x:v>stagger_1</x:v>
      </x:c>
      <x:c r="B2959" s="38" t="str">
        <x:v>KO</x:v>
      </x:c>
      <x:c r="C2959" s="38" t="str">
        <x:v>Other sectors</x:v>
      </x:c>
      <x:c r="D2959" s="30" t="n">
        <x:v>2</x:v>
      </x:c>
      <x:c r="E2959" s="38" t="str">
        <x:v>XLE</x:v>
      </x:c>
      <x:c r="F2959" s="38" t="n">
        <x:v>0.1239337897</x:v>
      </x:c>
      <x:c r="G2959" s="38" t="n">
        <x:v>2.4638396046</x:v>
      </x:c>
      <x:c r="H2959" s="42" t="b">
        <x:v>0</x:v>
      </x:c>
      <x:c r="I2959" s="42" t="b">
        <x:v>0</x:v>
      </x:c>
      <x:c r="J2959" s="38" t="n">
        <x:v>0.3270855468</x:v>
      </x:c>
    </x:row>
    <x:row r="2960" ht="19" customHeight="1">
      <x:c r="A2960" s="29" t="str">
        <x:v>stagger_1</x:v>
      </x:c>
      <x:c r="B2960" s="38" t="str">
        <x:v>KO</x:v>
      </x:c>
      <x:c r="C2960" s="38" t="str">
        <x:v>Other sectors</x:v>
      </x:c>
      <x:c r="D2960" s="30" t="n">
        <x:v>2</x:v>
      </x:c>
      <x:c r="E2960" s="38" t="str">
        <x:v>XLF</x:v>
      </x:c>
      <x:c r="F2960" s="38" t="n">
        <x:v>-0.1234362681</x:v>
      </x:c>
      <x:c r="G2960" s="38" t="n">
        <x:v>-1.0500581643</x:v>
      </x:c>
      <x:c r="H2960" s="42" t="b">
        <x:v>0</x:v>
      </x:c>
      <x:c r="I2960" s="42" t="b">
        <x:v>0</x:v>
      </x:c>
      <x:c r="J2960" s="38" t="n">
        <x:v>0.3270855468</x:v>
      </x:c>
    </x:row>
    <x:row r="2961" ht="19" customHeight="1">
      <x:c r="A2961" s="29" t="str">
        <x:v>stagger_1</x:v>
      </x:c>
      <x:c r="B2961" s="38" t="str">
        <x:v>KO</x:v>
      </x:c>
      <x:c r="C2961" s="38" t="str">
        <x:v>Other sectors</x:v>
      </x:c>
      <x:c r="D2961" s="30" t="n">
        <x:v>2</x:v>
      </x:c>
      <x:c r="E2961" s="38" t="str">
        <x:v>XLI</x:v>
      </x:c>
      <x:c r="F2961" s="38" t="n">
        <x:v>0.081181282</x:v>
      </x:c>
      <x:c r="G2961" s="38" t="n">
        <x:v>0.4275526059</x:v>
      </x:c>
      <x:c r="H2961" s="42" t="b">
        <x:v>0</x:v>
      </x:c>
      <x:c r="I2961" s="42" t="b">
        <x:v>0</x:v>
      </x:c>
      <x:c r="J2961" s="38" t="n">
        <x:v>0.3270855468</x:v>
      </x:c>
    </x:row>
    <x:row r="2962" ht="19" customHeight="1">
      <x:c r="A2962" s="29" t="str">
        <x:v>stagger_1</x:v>
      </x:c>
      <x:c r="B2962" s="38" t="str">
        <x:v>KO</x:v>
      </x:c>
      <x:c r="C2962" s="38" t="str">
        <x:v>Other sectors</x:v>
      </x:c>
      <x:c r="D2962" s="30" t="n">
        <x:v>2</x:v>
      </x:c>
      <x:c r="E2962" s="38" t="str">
        <x:v>XLRE</x:v>
      </x:c>
      <x:c r="F2962" s="38" t="n">
        <x:v>-0.0647537779</x:v>
      </x:c>
      <x:c r="G2962" s="38" t="n">
        <x:v>-0.5399857443</x:v>
      </x:c>
      <x:c r="H2962" s="42" t="b">
        <x:v>0</x:v>
      </x:c>
      <x:c r="I2962" s="42" t="b">
        <x:v>0</x:v>
      </x:c>
      <x:c r="J2962" s="38" t="n">
        <x:v>0.3270855468</x:v>
      </x:c>
    </x:row>
    <x:row r="2963" ht="19" customHeight="1">
      <x:c r="A2963" s="29" t="str">
        <x:v>stagger_1</x:v>
      </x:c>
      <x:c r="B2963" s="38" t="str">
        <x:v>KO</x:v>
      </x:c>
      <x:c r="C2963" s="38" t="str">
        <x:v>Other sectors</x:v>
      </x:c>
      <x:c r="D2963" s="30" t="n">
        <x:v>2</x:v>
      </x:c>
      <x:c r="E2963" s="38" t="str">
        <x:v>XLU</x:v>
      </x:c>
      <x:c r="F2963" s="38" t="n">
        <x:v>0.031104007</x:v>
      </x:c>
      <x:c r="G2963" s="38" t="n">
        <x:v>0.3268168192</x:v>
      </x:c>
      <x:c r="H2963" s="42" t="b">
        <x:v>1</x:v>
      </x:c>
      <x:c r="I2963" s="42" t="b">
        <x:v>0</x:v>
      </x:c>
      <x:c r="J2963" s="38" t="n">
        <x:v>0.3270855468</x:v>
      </x:c>
    </x:row>
    <x:row r="2964" ht="19" customHeight="1">
      <x:c r="A2964" s="29" t="str">
        <x:v>stagger_1</x:v>
      </x:c>
      <x:c r="B2964" s="38" t="str">
        <x:v>KO</x:v>
      </x:c>
      <x:c r="C2964" s="38" t="str">
        <x:v>Other sectors</x:v>
      </x:c>
      <x:c r="D2964" s="30" t="n">
        <x:v>2</x:v>
      </x:c>
      <x:c r="E2964" s="38" t="str">
        <x:v>XLV</x:v>
      </x:c>
      <x:c r="F2964" s="38" t="n">
        <x:v>0.1520348536</x:v>
      </x:c>
      <x:c r="G2964" s="38" t="n">
        <x:v>1.3812598047</x:v>
      </x:c>
      <x:c r="H2964" s="42" t="b">
        <x:v>0</x:v>
      </x:c>
      <x:c r="I2964" s="42" t="b">
        <x:v>0</x:v>
      </x:c>
      <x:c r="J2964" s="38" t="n">
        <x:v>0.3270855468</x:v>
      </x:c>
    </x:row>
    <x:row r="2965" ht="19" customHeight="1">
      <x:c r="A2965" s="29" t="str">
        <x:v>stagger_1</x:v>
      </x:c>
      <x:c r="B2965" s="38" t="str">
        <x:v>KO</x:v>
      </x:c>
      <x:c r="C2965" s="38" t="str">
        <x:v>Other sectors</x:v>
      </x:c>
      <x:c r="D2965" s="30" t="n">
        <x:v>2</x:v>
      </x:c>
      <x:c r="E2965" s="38" t="str">
        <x:v>XLY</x:v>
      </x:c>
      <x:c r="F2965" s="38" t="n">
        <x:v>-0.1127081385</x:v>
      </x:c>
      <x:c r="G2965" s="38" t="n">
        <x:v>-0.8640650481</x:v>
      </x:c>
      <x:c r="H2965" s="42" t="b">
        <x:v>0</x:v>
      </x:c>
      <x:c r="I2965" s="42" t="b">
        <x:v>0</x:v>
      </x:c>
      <x:c r="J2965" s="38" t="n">
        <x:v>0.3270855468</x:v>
      </x:c>
    </x:row>
    <x:row r="2966" ht="19" customHeight="1">
      <x:c r="A2966" s="29" t="str">
        <x:v>stagger_1</x:v>
      </x:c>
      <x:c r="B2966" s="38" t="str">
        <x:v>KO</x:v>
      </x:c>
      <x:c r="C2966" s="38" t="str">
        <x:v>Other sectors</x:v>
      </x:c>
      <x:c r="D2966" s="30" t="n">
        <x:v>3</x:v>
      </x:c>
      <x:c r="E2966" s="38" t="str">
        <x:v>XLB</x:v>
      </x:c>
      <x:c r="F2966" s="38" t="n">
        <x:v>-0.3036142275</x:v>
      </x:c>
      <x:c r="G2966" s="38" t="n">
        <x:v>-2.0463880978</x:v>
      </x:c>
      <x:c r="H2966" s="42" t="b">
        <x:v>0</x:v>
      </x:c>
      <x:c r="I2966" s="42" t="b">
        <x:v>0</x:v>
      </x:c>
      <x:c r="J2966" s="38" t="n">
        <x:v>0.3260587829</x:v>
      </x:c>
    </x:row>
    <x:row r="2967" ht="19" customHeight="1">
      <x:c r="A2967" s="29" t="str">
        <x:v>stagger_1</x:v>
      </x:c>
      <x:c r="B2967" s="38" t="str">
        <x:v>KO</x:v>
      </x:c>
      <x:c r="C2967" s="38" t="str">
        <x:v>Other sectors</x:v>
      </x:c>
      <x:c r="D2967" s="30" t="n">
        <x:v>3</x:v>
      </x:c>
      <x:c r="E2967" s="38" t="str">
        <x:v>XLC</x:v>
      </x:c>
      <x:c r="F2967" s="38" t="n">
        <x:v>-0.4325130894</x:v>
      </x:c>
      <x:c r="G2967" s="38" t="n">
        <x:v>-3.5608523724</x:v>
      </x:c>
      <x:c r="H2967" s="42" t="b">
        <x:v>0</x:v>
      </x:c>
      <x:c r="I2967" s="42" t="b">
        <x:v>0</x:v>
      </x:c>
      <x:c r="J2967" s="38" t="n">
        <x:v>0.3260587829</x:v>
      </x:c>
    </x:row>
    <x:row r="2968" ht="19" customHeight="1">
      <x:c r="A2968" s="29" t="str">
        <x:v>stagger_1</x:v>
      </x:c>
      <x:c r="B2968" s="38" t="str">
        <x:v>KO</x:v>
      </x:c>
      <x:c r="C2968" s="38" t="str">
        <x:v>Other sectors</x:v>
      </x:c>
      <x:c r="D2968" s="30" t="n">
        <x:v>3</x:v>
      </x:c>
      <x:c r="E2968" s="38" t="str">
        <x:v>XLE</x:v>
      </x:c>
      <x:c r="F2968" s="38" t="n">
        <x:v>0.1233281434</x:v>
      </x:c>
      <x:c r="G2968" s="38" t="n">
        <x:v>2.4690444162</x:v>
      </x:c>
      <x:c r="H2968" s="42" t="b">
        <x:v>0</x:v>
      </x:c>
      <x:c r="I2968" s="42" t="b">
        <x:v>0</x:v>
      </x:c>
      <x:c r="J2968" s="38" t="n">
        <x:v>0.3260587829</x:v>
      </x:c>
    </x:row>
    <x:row r="2969" ht="19" customHeight="1">
      <x:c r="A2969" s="29" t="str">
        <x:v>stagger_1</x:v>
      </x:c>
      <x:c r="B2969" s="38" t="str">
        <x:v>KO</x:v>
      </x:c>
      <x:c r="C2969" s="38" t="str">
        <x:v>Other sectors</x:v>
      </x:c>
      <x:c r="D2969" s="30" t="n">
        <x:v>3</x:v>
      </x:c>
      <x:c r="E2969" s="38" t="str">
        <x:v>XLF</x:v>
      </x:c>
      <x:c r="F2969" s="38" t="n">
        <x:v>-0.128005928</x:v>
      </x:c>
      <x:c r="G2969" s="38" t="n">
        <x:v>-1.1036818587</x:v>
      </x:c>
      <x:c r="H2969" s="42" t="b">
        <x:v>0</x:v>
      </x:c>
      <x:c r="I2969" s="42" t="b">
        <x:v>0</x:v>
      </x:c>
      <x:c r="J2969" s="38" t="n">
        <x:v>0.3260587829</x:v>
      </x:c>
    </x:row>
    <x:row r="2970" ht="19" customHeight="1">
      <x:c r="A2970" s="29" t="str">
        <x:v>stagger_1</x:v>
      </x:c>
      <x:c r="B2970" s="38" t="str">
        <x:v>KO</x:v>
      </x:c>
      <x:c r="C2970" s="38" t="str">
        <x:v>Other sectors</x:v>
      </x:c>
      <x:c r="D2970" s="30" t="n">
        <x:v>3</x:v>
      </x:c>
      <x:c r="E2970" s="38" t="str">
        <x:v>XLI</x:v>
      </x:c>
      <x:c r="F2970" s="38" t="n">
        <x:v>0.0909776444</x:v>
      </x:c>
      <x:c r="G2970" s="38" t="n">
        <x:v>0.4883124562</x:v>
      </x:c>
      <x:c r="H2970" s="42" t="b">
        <x:v>0</x:v>
      </x:c>
      <x:c r="I2970" s="42" t="b">
        <x:v>0</x:v>
      </x:c>
      <x:c r="J2970" s="38" t="n">
        <x:v>0.3260587829</x:v>
      </x:c>
    </x:row>
    <x:row r="2971" ht="19" customHeight="1">
      <x:c r="A2971" s="29" t="str">
        <x:v>stagger_1</x:v>
      </x:c>
      <x:c r="B2971" s="38" t="str">
        <x:v>KO</x:v>
      </x:c>
      <x:c r="C2971" s="38" t="str">
        <x:v>Other sectors</x:v>
      </x:c>
      <x:c r="D2971" s="30" t="n">
        <x:v>3</x:v>
      </x:c>
      <x:c r="E2971" s="38" t="str">
        <x:v>XLRE</x:v>
      </x:c>
      <x:c r="F2971" s="38" t="n">
        <x:v>-0.0487843517</x:v>
      </x:c>
      <x:c r="G2971" s="38" t="n">
        <x:v>-0.4483047444</x:v>
      </x:c>
      <x:c r="H2971" s="42" t="b">
        <x:v>1</x:v>
      </x:c>
      <x:c r="I2971" s="42" t="b">
        <x:v>0</x:v>
      </x:c>
      <x:c r="J2971" s="38" t="n">
        <x:v>0.3260587829</x:v>
      </x:c>
    </x:row>
    <x:row r="2972" ht="19" customHeight="1">
      <x:c r="A2972" s="29" t="str">
        <x:v>stagger_1</x:v>
      </x:c>
      <x:c r="B2972" s="38" t="str">
        <x:v>KO</x:v>
      </x:c>
      <x:c r="C2972" s="38" t="str">
        <x:v>Other sectors</x:v>
      </x:c>
      <x:c r="D2972" s="30" t="n">
        <x:v>3</x:v>
      </x:c>
      <x:c r="E2972" s="38" t="str">
        <x:v>XLV</x:v>
      </x:c>
      <x:c r="F2972" s="38" t="n">
        <x:v>0.1541632572</x:v>
      </x:c>
      <x:c r="G2972" s="38" t="n">
        <x:v>1.4119641867</x:v>
      </x:c>
      <x:c r="H2972" s="42" t="b">
        <x:v>0</x:v>
      </x:c>
      <x:c r="I2972" s="42" t="b">
        <x:v>0</x:v>
      </x:c>
      <x:c r="J2972" s="38" t="n">
        <x:v>0.3260587829</x:v>
      </x:c>
    </x:row>
    <x:row r="2973" ht="19" customHeight="1">
      <x:c r="A2973" s="29" t="str">
        <x:v>stagger_1</x:v>
      </x:c>
      <x:c r="B2973" s="38" t="str">
        <x:v>KO</x:v>
      </x:c>
      <x:c r="C2973" s="38" t="str">
        <x:v>Other sectors</x:v>
      </x:c>
      <x:c r="D2973" s="30" t="n">
        <x:v>3</x:v>
      </x:c>
      <x:c r="E2973" s="38" t="str">
        <x:v>XLY</x:v>
      </x:c>
      <x:c r="F2973" s="38" t="n">
        <x:v>-0.1147545659</x:v>
      </x:c>
      <x:c r="G2973" s="38" t="n">
        <x:v>-0.8863621252</x:v>
      </x:c>
      <x:c r="H2973" s="42" t="b">
        <x:v>0</x:v>
      </x:c>
      <x:c r="I2973" s="42" t="b">
        <x:v>0</x:v>
      </x:c>
      <x:c r="J2973" s="38" t="n">
        <x:v>0.3260587829</x:v>
      </x:c>
    </x:row>
    <x:row r="2974" ht="19" customHeight="1">
      <x:c r="A2974" s="29" t="str">
        <x:v>stagger_1</x:v>
      </x:c>
      <x:c r="B2974" s="38" t="str">
        <x:v>KO</x:v>
      </x:c>
      <x:c r="C2974" s="38" t="str">
        <x:v>Other sectors</x:v>
      </x:c>
      <x:c r="D2974" s="30" t="n">
        <x:v>4</x:v>
      </x:c>
      <x:c r="E2974" s="38" t="str">
        <x:v>XLB</x:v>
      </x:c>
      <x:c r="F2974" s="38" t="n">
        <x:v>-0.3166107492</x:v>
      </x:c>
      <x:c r="G2974" s="38" t="n">
        <x:v>-2.1881040784</x:v>
      </x:c>
      <x:c r="H2974" s="42" t="b">
        <x:v>0</x:v>
      </x:c>
      <x:c r="I2974" s="42" t="b">
        <x:v>0</x:v>
      </x:c>
      <x:c r="J2974" s="38" t="n">
        <x:v>0.3241510817</x:v>
      </x:c>
    </x:row>
    <x:row r="2975" ht="19" customHeight="1">
      <x:c r="A2975" s="29" t="str">
        <x:v>stagger_1</x:v>
      </x:c>
      <x:c r="B2975" s="38" t="str">
        <x:v>KO</x:v>
      </x:c>
      <x:c r="C2975" s="38" t="str">
        <x:v>Other sectors</x:v>
      </x:c>
      <x:c r="D2975" s="30" t="n">
        <x:v>4</x:v>
      </x:c>
      <x:c r="E2975" s="38" t="str">
        <x:v>XLC</x:v>
      </x:c>
      <x:c r="F2975" s="38" t="n">
        <x:v>-0.4264933288</x:v>
      </x:c>
      <x:c r="G2975" s="38" t="n">
        <x:v>-3.5527154294</x:v>
      </x:c>
      <x:c r="H2975" s="42" t="b">
        <x:v>0</x:v>
      </x:c>
      <x:c r="I2975" s="42" t="b">
        <x:v>0</x:v>
      </x:c>
      <x:c r="J2975" s="38" t="n">
        <x:v>0.3241510817</x:v>
      </x:c>
    </x:row>
    <x:row r="2976" ht="19" customHeight="1">
      <x:c r="A2976" s="29" t="str">
        <x:v>stagger_1</x:v>
      </x:c>
      <x:c r="B2976" s="38" t="str">
        <x:v>KO</x:v>
      </x:c>
      <x:c r="C2976" s="38" t="str">
        <x:v>Other sectors</x:v>
      </x:c>
      <x:c r="D2976" s="30" t="n">
        <x:v>4</x:v>
      </x:c>
      <x:c r="E2976" s="38" t="str">
        <x:v>XLE</x:v>
      </x:c>
      <x:c r="F2976" s="38" t="n">
        <x:v>0.1221154316</x:v>
      </x:c>
      <x:c r="G2976" s="38" t="n">
        <x:v>2.4620583591</x:v>
      </x:c>
      <x:c r="H2976" s="42" t="b">
        <x:v>0</x:v>
      </x:c>
      <x:c r="I2976" s="42" t="b">
        <x:v>0</x:v>
      </x:c>
      <x:c r="J2976" s="38" t="n">
        <x:v>0.3241510817</x:v>
      </x:c>
    </x:row>
    <x:row r="2977" ht="19" customHeight="1">
      <x:c r="A2977" s="29" t="str">
        <x:v>stagger_1</x:v>
      </x:c>
      <x:c r="B2977" s="38" t="str">
        <x:v>KO</x:v>
      </x:c>
      <x:c r="C2977" s="38" t="str">
        <x:v>Other sectors</x:v>
      </x:c>
      <x:c r="D2977" s="30" t="n">
        <x:v>4</x:v>
      </x:c>
      <x:c r="E2977" s="38" t="str">
        <x:v>XLF</x:v>
      </x:c>
      <x:c r="F2977" s="38" t="n">
        <x:v>-0.1302855386</x:v>
      </x:c>
      <x:c r="G2977" s="38" t="n">
        <x:v>-1.1307096828</x:v>
      </x:c>
      <x:c r="H2977" s="42" t="b">
        <x:v>0</x:v>
      </x:c>
      <x:c r="I2977" s="42" t="b">
        <x:v>0</x:v>
      </x:c>
      <x:c r="J2977" s="38" t="n">
        <x:v>0.3241510817</x:v>
      </x:c>
    </x:row>
    <x:row r="2978" ht="19" customHeight="1">
      <x:c r="A2978" s="29" t="str">
        <x:v>stagger_1</x:v>
      </x:c>
      <x:c r="B2978" s="38" t="str">
        <x:v>KO</x:v>
      </x:c>
      <x:c r="C2978" s="38" t="str">
        <x:v>Other sectors</x:v>
      </x:c>
      <x:c r="D2978" s="30" t="n">
        <x:v>4</x:v>
      </x:c>
      <x:c r="E2978" s="38" t="str">
        <x:v>XLI</x:v>
      </x:c>
      <x:c r="F2978" s="38" t="n">
        <x:v>0.0925370965</x:v>
      </x:c>
      <x:c r="G2978" s="38" t="n">
        <x:v>0.4995488515</x:v>
      </x:c>
      <x:c r="H2978" s="42" t="b">
        <x:v>1</x:v>
      </x:c>
      <x:c r="I2978" s="42" t="b">
        <x:v>0</x:v>
      </x:c>
      <x:c r="J2978" s="38" t="n">
        <x:v>0.3241510817</x:v>
      </x:c>
    </x:row>
    <x:row r="2979" ht="19" customHeight="1">
      <x:c r="A2979" s="29" t="str">
        <x:v>stagger_1</x:v>
      </x:c>
      <x:c r="B2979" s="38" t="str">
        <x:v>KO</x:v>
      </x:c>
      <x:c r="C2979" s="38" t="str">
        <x:v>Other sectors</x:v>
      </x:c>
      <x:c r="D2979" s="30" t="n">
        <x:v>4</x:v>
      </x:c>
      <x:c r="E2979" s="38" t="str">
        <x:v>XLV</x:v>
      </x:c>
      <x:c r="F2979" s="38" t="n">
        <x:v>0.134587526</x:v>
      </x:c>
      <x:c r="G2979" s="38" t="n">
        <x:v>1.3524382017</x:v>
      </x:c>
      <x:c r="H2979" s="42" t="b">
        <x:v>0</x:v>
      </x:c>
      <x:c r="I2979" s="42" t="b">
        <x:v>0</x:v>
      </x:c>
      <x:c r="J2979" s="38" t="n">
        <x:v>0.3241510817</x:v>
      </x:c>
    </x:row>
    <x:row r="2980" ht="19" customHeight="1">
      <x:c r="A2980" s="29" t="str">
        <x:v>stagger_1</x:v>
      </x:c>
      <x:c r="B2980" s="38" t="str">
        <x:v>KO</x:v>
      </x:c>
      <x:c r="C2980" s="38" t="str">
        <x:v>Other sectors</x:v>
      </x:c>
      <x:c r="D2980" s="30" t="n">
        <x:v>4</x:v>
      </x:c>
      <x:c r="E2980" s="38" t="str">
        <x:v>XLY</x:v>
      </x:c>
      <x:c r="F2980" s="38" t="n">
        <x:v>-0.1316054809</x:v>
      </x:c>
      <x:c r="G2980" s="38" t="n">
        <x:v>-1.0682177557</x:v>
      </x:c>
      <x:c r="H2980" s="42" t="b">
        <x:v>0</x:v>
      </x:c>
      <x:c r="I2980" s="42" t="b">
        <x:v>0</x:v>
      </x:c>
      <x:c r="J2980" s="38" t="n">
        <x:v>0.3241510817</x:v>
      </x:c>
    </x:row>
    <x:row r="2981" ht="19" customHeight="1">
      <x:c r="A2981" s="29" t="str">
        <x:v>stagger_1</x:v>
      </x:c>
      <x:c r="B2981" s="38" t="str">
        <x:v>KO</x:v>
      </x:c>
      <x:c r="C2981" s="38" t="str">
        <x:v>Other sectors</x:v>
      </x:c>
      <x:c r="D2981" s="30" t="n">
        <x:v>5</x:v>
      </x:c>
      <x:c r="E2981" s="38" t="str">
        <x:v>XLB</x:v>
      </x:c>
      <x:c r="F2981" s="38" t="n">
        <x:v>-0.2609671139</x:v>
      </x:c>
      <x:c r="G2981" s="38" t="n">
        <x:v>-2.8402726753</x:v>
      </x:c>
      <x:c r="H2981" s="42" t="b">
        <x:v>0</x:v>
      </x:c>
      <x:c r="I2981" s="42" t="b">
        <x:v>0</x:v>
      </x:c>
      <x:c r="J2981" s="38" t="n">
        <x:v>0.321808617</x:v>
      </x:c>
    </x:row>
    <x:row r="2982" ht="19" customHeight="1">
      <x:c r="A2982" s="29" t="str">
        <x:v>stagger_1</x:v>
      </x:c>
      <x:c r="B2982" s="38" t="str">
        <x:v>KO</x:v>
      </x:c>
      <x:c r="C2982" s="38" t="str">
        <x:v>Other sectors</x:v>
      </x:c>
      <x:c r="D2982" s="30" t="n">
        <x:v>5</x:v>
      </x:c>
      <x:c r="E2982" s="38" t="str">
        <x:v>XLC</x:v>
      </x:c>
      <x:c r="F2982" s="38" t="n">
        <x:v>-0.4320868549</x:v>
      </x:c>
      <x:c r="G2982" s="38" t="n">
        <x:v>-3.6337957089</x:v>
      </x:c>
      <x:c r="H2982" s="42" t="b">
        <x:v>0</x:v>
      </x:c>
      <x:c r="I2982" s="42" t="b">
        <x:v>0</x:v>
      </x:c>
      <x:c r="J2982" s="38" t="n">
        <x:v>0.321808617</x:v>
      </x:c>
    </x:row>
    <x:row r="2983" ht="19" customHeight="1">
      <x:c r="A2983" s="29" t="str">
        <x:v>stagger_1</x:v>
      </x:c>
      <x:c r="B2983" s="38" t="str">
        <x:v>KO</x:v>
      </x:c>
      <x:c r="C2983" s="38" t="str">
        <x:v>Other sectors</x:v>
      </x:c>
      <x:c r="D2983" s="30" t="n">
        <x:v>5</x:v>
      </x:c>
      <x:c r="E2983" s="38" t="str">
        <x:v>XLE</x:v>
      </x:c>
      <x:c r="F2983" s="38" t="n">
        <x:v>0.11819887</x:v>
      </x:c>
      <x:c r="G2983" s="38" t="n">
        <x:v>2.4259381113</x:v>
      </x:c>
      <x:c r="H2983" s="42" t="b">
        <x:v>0</x:v>
      </x:c>
      <x:c r="I2983" s="42" t="b">
        <x:v>0</x:v>
      </x:c>
      <x:c r="J2983" s="38" t="n">
        <x:v>0.321808617</x:v>
      </x:c>
    </x:row>
    <x:row r="2984" ht="19" customHeight="1">
      <x:c r="A2984" s="29" t="str">
        <x:v>stagger_1</x:v>
      </x:c>
      <x:c r="B2984" s="38" t="str">
        <x:v>KO</x:v>
      </x:c>
      <x:c r="C2984" s="38" t="str">
        <x:v>Other sectors</x:v>
      </x:c>
      <x:c r="D2984" s="30" t="n">
        <x:v>5</x:v>
      </x:c>
      <x:c r="E2984" s="38" t="str">
        <x:v>XLF</x:v>
      </x:c>
      <x:c r="F2984" s="38" t="n">
        <x:v>-0.1232186979</x:v>
      </x:c>
      <x:c r="G2984" s="38" t="n">
        <x:v>-1.083112052</x:v>
      </x:c>
      <x:c r="H2984" s="42" t="b">
        <x:v>1</x:v>
      </x:c>
      <x:c r="I2984" s="42" t="b">
        <x:v>0</x:v>
      </x:c>
      <x:c r="J2984" s="38" t="n">
        <x:v>0.321808617</x:v>
      </x:c>
    </x:row>
    <x:row r="2985" ht="19" customHeight="1">
      <x:c r="A2985" s="29" t="str">
        <x:v>stagger_1</x:v>
      </x:c>
      <x:c r="B2985" s="38" t="str">
        <x:v>KO</x:v>
      </x:c>
      <x:c r="C2985" s="38" t="str">
        <x:v>Other sectors</x:v>
      </x:c>
      <x:c r="D2985" s="30" t="n">
        <x:v>5</x:v>
      </x:c>
      <x:c r="E2985" s="38" t="str">
        <x:v>XLV</x:v>
      </x:c>
      <x:c r="F2985" s="38" t="n">
        <x:v>0.1274966966</x:v>
      </x:c>
      <x:c r="G2985" s="38" t="n">
        <x:v>1.3011246096</x:v>
      </x:c>
      <x:c r="H2985" s="42" t="b">
        <x:v>0</x:v>
      </x:c>
      <x:c r="I2985" s="42" t="b">
        <x:v>0</x:v>
      </x:c>
      <x:c r="J2985" s="38" t="n">
        <x:v>0.321808617</x:v>
      </x:c>
    </x:row>
    <x:row r="2986" ht="19" customHeight="1">
      <x:c r="A2986" s="29" t="str">
        <x:v>stagger_1</x:v>
      </x:c>
      <x:c r="B2986" s="38" t="str">
        <x:v>KO</x:v>
      </x:c>
      <x:c r="C2986" s="38" t="str">
        <x:v>Other sectors</x:v>
      </x:c>
      <x:c r="D2986" s="30" t="n">
        <x:v>5</x:v>
      </x:c>
      <x:c r="E2986" s="38" t="str">
        <x:v>XLY</x:v>
      </x:c>
      <x:c r="F2986" s="38" t="n">
        <x:v>-0.1400271503</x:v>
      </x:c>
      <x:c r="G2986" s="38" t="n">
        <x:v>-1.1533110845</x:v>
      </x:c>
      <x:c r="H2986" s="42" t="b">
        <x:v>0</x:v>
      </x:c>
      <x:c r="I2986" s="42" t="b">
        <x:v>0</x:v>
      </x:c>
      <x:c r="J2986" s="38" t="n">
        <x:v>0.321808617</x:v>
      </x:c>
    </x:row>
    <x:row r="2987" ht="19" customHeight="1">
      <x:c r="A2987" s="29" t="str">
        <x:v>stagger_1</x:v>
      </x:c>
      <x:c r="B2987" s="38" t="str">
        <x:v>KO</x:v>
      </x:c>
      <x:c r="C2987" s="38" t="str">
        <x:v>Other sectors</x:v>
      </x:c>
      <x:c r="D2987" s="30" t="n">
        <x:v>6</x:v>
      </x:c>
      <x:c r="E2987" s="38" t="str">
        <x:v>XLB</x:v>
      </x:c>
      <x:c r="F2987" s="38" t="n">
        <x:v>-0.2875929881</x:v>
      </x:c>
      <x:c r="G2987" s="38" t="n">
        <x:v>-3.244692464</x:v>
      </x:c>
      <x:c r="H2987" s="42" t="b">
        <x:v>0</x:v>
      </x:c>
      <x:c r="I2987" s="42" t="b">
        <x:v>0</x:v>
      </x:c>
      <x:c r="J2987" s="38" t="n">
        <x:v>0.3109098797</x:v>
      </x:c>
    </x:row>
    <x:row r="2988" ht="19" customHeight="1">
      <x:c r="A2988" s="29" t="str">
        <x:v>stagger_1</x:v>
      </x:c>
      <x:c r="B2988" s="38" t="str">
        <x:v>KO</x:v>
      </x:c>
      <x:c r="C2988" s="38" t="str">
        <x:v>Other sectors</x:v>
      </x:c>
      <x:c r="D2988" s="30" t="n">
        <x:v>6</x:v>
      </x:c>
      <x:c r="E2988" s="38" t="str">
        <x:v>XLC</x:v>
      </x:c>
      <x:c r="F2988" s="38" t="n">
        <x:v>-0.4372392513</x:v>
      </x:c>
      <x:c r="G2988" s="38" t="n">
        <x:v>-3.6757753909</x:v>
      </x:c>
      <x:c r="H2988" s="42" t="b">
        <x:v>0</x:v>
      </x:c>
      <x:c r="I2988" s="42" t="b">
        <x:v>0</x:v>
      </x:c>
      <x:c r="J2988" s="38" t="n">
        <x:v>0.3109098797</x:v>
      </x:c>
    </x:row>
    <x:row r="2989" ht="19" customHeight="1">
      <x:c r="A2989" s="29" t="str">
        <x:v>stagger_1</x:v>
      </x:c>
      <x:c r="B2989" s="38" t="str">
        <x:v>KO</x:v>
      </x:c>
      <x:c r="C2989" s="38" t="str">
        <x:v>Other sectors</x:v>
      </x:c>
      <x:c r="D2989" s="30" t="n">
        <x:v>6</x:v>
      </x:c>
      <x:c r="E2989" s="38" t="str">
        <x:v>XLE</x:v>
      </x:c>
      <x:c r="F2989" s="38" t="n">
        <x:v>0.1093082573</x:v>
      </x:c>
      <x:c r="G2989" s="38" t="n">
        <x:v>2.2733391558</x:v>
      </x:c>
      <x:c r="H2989" s="42" t="b">
        <x:v>0</x:v>
      </x:c>
      <x:c r="I2989" s="42" t="b">
        <x:v>0</x:v>
      </x:c>
      <x:c r="J2989" s="38" t="n">
        <x:v>0.3109098797</x:v>
      </x:c>
    </x:row>
    <x:row r="2990" ht="19" customHeight="1">
      <x:c r="A2990" s="29" t="str">
        <x:v>stagger_1</x:v>
      </x:c>
      <x:c r="B2990" s="38" t="str">
        <x:v>KO</x:v>
      </x:c>
      <x:c r="C2990" s="38" t="str">
        <x:v>Other sectors</x:v>
      </x:c>
      <x:c r="D2990" s="30" t="n">
        <x:v>6</x:v>
      </x:c>
      <x:c r="E2990" s="38" t="str">
        <x:v>XLV</x:v>
      </x:c>
      <x:c r="F2990" s="38" t="n">
        <x:v>0.1131896335</x:v>
      </x:c>
      <x:c r="G2990" s="38" t="n">
        <x:v>1.164397805</x:v>
      </x:c>
      <x:c r="H2990" s="42" t="b">
        <x:v>1</x:v>
      </x:c>
      <x:c r="I2990" s="42" t="b">
        <x:v>0</x:v>
      </x:c>
      <x:c r="J2990" s="38" t="n">
        <x:v>0.3109098797</x:v>
      </x:c>
    </x:row>
    <x:row r="2991" ht="19" customHeight="1">
      <x:c r="A2991" s="29" t="str">
        <x:v>stagger_1</x:v>
      </x:c>
      <x:c r="B2991" s="38" t="str">
        <x:v>KO</x:v>
      </x:c>
      <x:c r="C2991" s="38" t="str">
        <x:v>Other sectors</x:v>
      </x:c>
      <x:c r="D2991" s="30" t="n">
        <x:v>6</x:v>
      </x:c>
      <x:c r="E2991" s="38" t="str">
        <x:v>XLY</x:v>
      </x:c>
      <x:c r="F2991" s="38" t="n">
        <x:v>-0.1470993998</x:v>
      </x:c>
      <x:c r="G2991" s="38" t="n">
        <x:v>-1.2118995481</x:v>
      </x:c>
      <x:c r="H2991" s="42" t="b">
        <x:v>0</x:v>
      </x:c>
      <x:c r="I2991" s="42" t="b">
        <x:v>0</x:v>
      </x:c>
      <x:c r="J2991" s="38" t="n">
        <x:v>0.3109098797</x:v>
      </x:c>
    </x:row>
    <x:row r="2992" ht="19" customHeight="1">
      <x:c r="A2992" s="29" t="str">
        <x:v>stagger_1</x:v>
      </x:c>
      <x:c r="B2992" s="38" t="str">
        <x:v>KO</x:v>
      </x:c>
      <x:c r="C2992" s="38" t="str">
        <x:v>Other sectors</x:v>
      </x:c>
      <x:c r="D2992" s="30" t="n">
        <x:v>7</x:v>
      </x:c>
      <x:c r="E2992" s="38" t="str">
        <x:v>XLB</x:v>
      </x:c>
      <x:c r="F2992" s="38" t="n">
        <x:v>-0.26092477</x:v>
      </x:c>
      <x:c r="G2992" s="38" t="n">
        <x:v>-3.0401025522</x:v>
      </x:c>
      <x:c r="H2992" s="42" t="b">
        <x:v>0</x:v>
      </x:c>
      <x:c r="I2992" s="42" t="b">
        <x:v>0</x:v>
      </x:c>
      <x:c r="J2992" s="38" t="n">
        <x:v>0.2982844241</x:v>
      </x:c>
    </x:row>
    <x:row r="2993" ht="19" customHeight="1">
      <x:c r="A2993" s="29" t="str">
        <x:v>stagger_1</x:v>
      </x:c>
      <x:c r="B2993" s="38" t="str">
        <x:v>KO</x:v>
      </x:c>
      <x:c r="C2993" s="38" t="str">
        <x:v>Other sectors</x:v>
      </x:c>
      <x:c r="D2993" s="30" t="n">
        <x:v>7</x:v>
      </x:c>
      <x:c r="E2993" s="38" t="str">
        <x:v>XLC</x:v>
      </x:c>
      <x:c r="F2993" s="38" t="n">
        <x:v>-0.422466102</x:v>
      </x:c>
      <x:c r="G2993" s="38" t="n">
        <x:v>-3.5635135922</x:v>
      </x:c>
      <x:c r="H2993" s="42" t="b">
        <x:v>0</x:v>
      </x:c>
      <x:c r="I2993" s="42" t="b">
        <x:v>0</x:v>
      </x:c>
      <x:c r="J2993" s="38" t="n">
        <x:v>0.2982844241</x:v>
      </x:c>
    </x:row>
    <x:row r="2994" ht="19" customHeight="1">
      <x:c r="A2994" s="29" t="str">
        <x:v>stagger_1</x:v>
      </x:c>
      <x:c r="B2994" s="38" t="str">
        <x:v>KO</x:v>
      </x:c>
      <x:c r="C2994" s="38" t="str">
        <x:v>Other sectors</x:v>
      </x:c>
      <x:c r="D2994" s="30" t="n">
        <x:v>7</x:v>
      </x:c>
      <x:c r="E2994" s="38" t="str">
        <x:v>XLE</x:v>
      </x:c>
      <x:c r="F2994" s="38" t="n">
        <x:v>0.1097451938</x:v>
      </x:c>
      <x:c r="G2994" s="38" t="n">
        <x:v>2.277100625</x:v>
      </x:c>
      <x:c r="H2994" s="42" t="b">
        <x:v>0</x:v>
      </x:c>
      <x:c r="I2994" s="42" t="b">
        <x:v>0</x:v>
      </x:c>
      <x:c r="J2994" s="38" t="n">
        <x:v>0.2982844241</x:v>
      </x:c>
    </x:row>
    <x:row r="2995" ht="19" customHeight="1">
      <x:c r="A2995" s="29" t="str">
        <x:v>stagger_1</x:v>
      </x:c>
      <x:c r="B2995" s="38" t="str">
        <x:v>KO</x:v>
      </x:c>
      <x:c r="C2995" s="38" t="str">
        <x:v>Other sectors</x:v>
      </x:c>
      <x:c r="D2995" s="30" t="n">
        <x:v>7</x:v>
      </x:c>
      <x:c r="E2995" s="38" t="str">
        <x:v>XLY</x:v>
      </x:c>
      <x:c r="F2995" s="38" t="n">
        <x:v>-0.1864032416</x:v>
      </x:c>
      <x:c r="G2995" s="38" t="n">
        <x:v>-1.594995619</x:v>
      </x:c>
      <x:c r="H2995" s="42" t="b">
        <x:v>1</x:v>
      </x:c>
      <x:c r="I2995" s="42" t="b">
        <x:v>0</x:v>
      </x:c>
      <x:c r="J2995" s="38" t="n">
        <x:v>0.2982844241</x:v>
      </x:c>
    </x:row>
    <x:row r="2996" ht="19" customHeight="1">
      <x:c r="A2996" s="29" t="str">
        <x:v>stagger_1</x:v>
      </x:c>
      <x:c r="B2996" s="38" t="str">
        <x:v>KO</x:v>
      </x:c>
      <x:c r="C2996" s="38" t="str">
        <x:v>Other sectors</x:v>
      </x:c>
      <x:c r="D2996" s="30" t="n">
        <x:v>8</x:v>
      </x:c>
      <x:c r="E2996" s="38" t="str">
        <x:v>XLB</x:v>
      </x:c>
      <x:c r="F2996" s="38" t="n">
        <x:v>-0.2660681814</x:v>
      </x:c>
      <x:c r="G2996" s="38" t="n">
        <x:v>-3.0711801017</x:v>
      </x:c>
      <x:c r="H2996" s="42" t="b">
        <x:v>0</x:v>
      </x:c>
      <x:c r="I2996" s="42" t="b">
        <x:v>1</x:v>
      </x:c>
      <x:c r="J2996" s="38" t="n">
        <x:v>0.2744821286</x:v>
      </x:c>
    </x:row>
    <x:row r="2997" ht="19" customHeight="1">
      <x:c r="A2997" s="29" t="str">
        <x:v>stagger_1</x:v>
      </x:c>
      <x:c r="B2997" s="38" t="str">
        <x:v>KO</x:v>
      </x:c>
      <x:c r="C2997" s="38" t="str">
        <x:v>Other sectors</x:v>
      </x:c>
      <x:c r="D2997" s="30" t="n">
        <x:v>8</x:v>
      </x:c>
      <x:c r="E2997" s="38" t="str">
        <x:v>XLC</x:v>
      </x:c>
      <x:c r="F2997" s="38" t="n">
        <x:v>-0.4873241608</x:v>
      </x:c>
      <x:c r="G2997" s="38" t="n">
        <x:v>-4.332275377</x:v>
      </x:c>
      <x:c r="H2997" s="42" t="b">
        <x:v>0</x:v>
      </x:c>
      <x:c r="I2997" s="42" t="b">
        <x:v>1</x:v>
      </x:c>
      <x:c r="J2997" s="38" t="n">
        <x:v>0.2744821286</x:v>
      </x:c>
    </x:row>
    <x:row r="2998" ht="19" customHeight="1">
      <x:c r="A2998" s="29" t="str">
        <x:v>stagger_1</x:v>
      </x:c>
      <x:c r="B2998" s="38" t="str">
        <x:v>KO</x:v>
      </x:c>
      <x:c r="C2998" s="38" t="str">
        <x:v>Other sectors</x:v>
      </x:c>
      <x:c r="D2998" s="30" t="n">
        <x:v>8</x:v>
      </x:c>
      <x:c r="E2998" s="38" t="str">
        <x:v>XLE</x:v>
      </x:c>
      <x:c r="F2998" s="38" t="n">
        <x:v>0.130854144</x:v>
      </x:c>
      <x:c r="G2998" s="38" t="n">
        <x:v>2.7953834999</x:v>
      </x:c>
      <x:c r="H2998" s="42" t="b">
        <x:v>0</x:v>
      </x:c>
      <x:c r="I2998" s="42" t="b">
        <x:v>1</x:v>
      </x:c>
      <x:c r="J2998" s="38" t="n">
        <x:v>0.2744821286</x:v>
      </x:c>
    </x:row>
    <x:row r="2999" ht="19" customHeight="1">
      <x:c r="A2999" s="29" t="str">
        <x:v>stagger_1</x:v>
      </x:c>
      <x:c r="B2999" s="38" t="str">
        <x:v>JNJ</x:v>
      </x:c>
      <x:c r="C2999" s="38" t="str">
        <x:v>Other FX</x:v>
      </x:c>
      <x:c r="D2999" s="30" t="n">
        <x:v>1</x:v>
      </x:c>
      <x:c r="E2999" s="38" t="str">
        <x:v>AUD/USD</x:v>
      </x:c>
      <x:c r="F2999" s="38" t="n">
        <x:v>0.4312656057</x:v>
      </x:c>
      <x:c r="G2999" s="38" t="n">
        <x:v>1.0021347429</x:v>
      </x:c>
      <x:c r="H2999" s="42" t="b">
        <x:v>0</x:v>
      </x:c>
      <x:c r="I2999" s="42" t="b">
        <x:v>0</x:v>
      </x:c>
      <x:c r="J2999" s="38" t="n">
        <x:v>0.1082106275</x:v>
      </x:c>
    </x:row>
    <x:row r="3000" ht="19" customHeight="1">
      <x:c r="A3000" s="29" t="str">
        <x:v>stagger_1</x:v>
      </x:c>
      <x:c r="B3000" s="38" t="str">
        <x:v>JNJ</x:v>
      </x:c>
      <x:c r="C3000" s="38" t="str">
        <x:v>Other FX</x:v>
      </x:c>
      <x:c r="D3000" s="30" t="n">
        <x:v>1</x:v>
      </x:c>
      <x:c r="E3000" s="38" t="str">
        <x:v>CAD/USD</x:v>
      </x:c>
      <x:c r="F3000" s="38" t="n">
        <x:v>-0.4215923352</x:v>
      </x:c>
      <x:c r="G3000" s="38" t="n">
        <x:v>-0.8112795211</x:v>
      </x:c>
      <x:c r="H3000" s="42" t="b">
        <x:v>0</x:v>
      </x:c>
      <x:c r="I3000" s="42" t="b">
        <x:v>0</x:v>
      </x:c>
      <x:c r="J3000" s="38" t="n">
        <x:v>0.1082106275</x:v>
      </x:c>
    </x:row>
    <x:row r="3001" ht="19" customHeight="1">
      <x:c r="A3001" s="29" t="str">
        <x:v>stagger_1</x:v>
      </x:c>
      <x:c r="B3001" s="38" t="str">
        <x:v>JNJ</x:v>
      </x:c>
      <x:c r="C3001" s="38" t="str">
        <x:v>Other FX</x:v>
      </x:c>
      <x:c r="D3001" s="30" t="n">
        <x:v>1</x:v>
      </x:c>
      <x:c r="E3001" s="38" t="str">
        <x:v>DKK/USD</x:v>
      </x:c>
      <x:c r="F3001" s="38" t="n">
        <x:v>-5.2525504856</x:v>
      </x:c>
      <x:c r="G3001" s="38" t="n">
        <x:v>-1.4518679145</x:v>
      </x:c>
      <x:c r="H3001" s="42" t="b">
        <x:v>0</x:v>
      </x:c>
      <x:c r="I3001" s="42" t="b">
        <x:v>0</x:v>
      </x:c>
      <x:c r="J3001" s="38" t="n">
        <x:v>0.1082106275</x:v>
      </x:c>
    </x:row>
    <x:row r="3002" ht="19" customHeight="1">
      <x:c r="A3002" s="29" t="str">
        <x:v>stagger_1</x:v>
      </x:c>
      <x:c r="B3002" s="38" t="str">
        <x:v>JNJ</x:v>
      </x:c>
      <x:c r="C3002" s="38" t="str">
        <x:v>Other FX</x:v>
      </x:c>
      <x:c r="D3002" s="30" t="n">
        <x:v>1</x:v>
      </x:c>
      <x:c r="E3002" s="38" t="str">
        <x:v>EUR/USD</x:v>
      </x:c>
      <x:c r="F3002" s="38" t="n">
        <x:v>4.8214734392</x:v>
      </x:c>
      <x:c r="G3002" s="38" t="n">
        <x:v>1.4569750696</x:v>
      </x:c>
      <x:c r="H3002" s="42" t="b">
        <x:v>0</x:v>
      </x:c>
      <x:c r="I3002" s="42" t="b">
        <x:v>0</x:v>
      </x:c>
      <x:c r="J3002" s="38" t="n">
        <x:v>0.1082106275</x:v>
      </x:c>
    </x:row>
    <x:row r="3003" ht="19" customHeight="1">
      <x:c r="A3003" s="29" t="str">
        <x:v>stagger_1</x:v>
      </x:c>
      <x:c r="B3003" s="38" t="str">
        <x:v>JNJ</x:v>
      </x:c>
      <x:c r="C3003" s="38" t="str">
        <x:v>Other FX</x:v>
      </x:c>
      <x:c r="D3003" s="30" t="n">
        <x:v>1</x:v>
      </x:c>
      <x:c r="E3003" s="38" t="str">
        <x:v>MXN/USD</x:v>
      </x:c>
      <x:c r="F3003" s="38" t="n">
        <x:v>0.0939481708</x:v>
      </x:c>
      <x:c r="G3003" s="38" t="n">
        <x:v>0.3407615876</x:v>
      </x:c>
      <x:c r="H3003" s="42" t="b">
        <x:v>1</x:v>
      </x:c>
      <x:c r="I3003" s="42" t="b">
        <x:v>0</x:v>
      </x:c>
      <x:c r="J3003" s="38" t="n">
        <x:v>0.1082106275</x:v>
      </x:c>
    </x:row>
    <x:row r="3004" ht="19" customHeight="1">
      <x:c r="A3004" s="29" t="str">
        <x:v>stagger_1</x:v>
      </x:c>
      <x:c r="B3004" s="38" t="str">
        <x:v>JNJ</x:v>
      </x:c>
      <x:c r="C3004" s="38" t="str">
        <x:v>Other FX</x:v>
      </x:c>
      <x:c r="D3004" s="30" t="n">
        <x:v>1</x:v>
      </x:c>
      <x:c r="E3004" s="38" t="str">
        <x:v>SGD/USD</x:v>
      </x:c>
      <x:c r="F3004" s="38" t="n">
        <x:v>1.3800551906</x:v>
      </x:c>
      <x:c r="G3004" s="38" t="n">
        <x:v>1.3244886238</x:v>
      </x:c>
      <x:c r="H3004" s="42" t="b">
        <x:v>0</x:v>
      </x:c>
      <x:c r="I3004" s="42" t="b">
        <x:v>0</x:v>
      </x:c>
      <x:c r="J3004" s="38" t="n">
        <x:v>0.1082106275</x:v>
      </x:c>
    </x:row>
    <x:row r="3005" ht="19" customHeight="1">
      <x:c r="A3005" s="29" t="str">
        <x:v>stagger_1</x:v>
      </x:c>
      <x:c r="B3005" s="38" t="str">
        <x:v>JNJ</x:v>
      </x:c>
      <x:c r="C3005" s="38" t="str">
        <x:v>Other FX</x:v>
      </x:c>
      <x:c r="D3005" s="30" t="n">
        <x:v>2</x:v>
      </x:c>
      <x:c r="E3005" s="38" t="str">
        <x:v>AUD/USD</x:v>
      </x:c>
      <x:c r="F3005" s="38" t="n">
        <x:v>0.4587626399</x:v>
      </x:c>
      <x:c r="G3005" s="38" t="n">
        <x:v>1.0918191213</x:v>
      </x:c>
      <x:c r="H3005" s="42" t="b">
        <x:v>0</x:v>
      </x:c>
      <x:c r="I3005" s="42" t="b">
        <x:v>0</x:v>
      </x:c>
      <x:c r="J3005" s="38" t="n">
        <x:v>0.1067920904</x:v>
      </x:c>
    </x:row>
    <x:row r="3006" ht="19" customHeight="1">
      <x:c r="A3006" s="29" t="str">
        <x:v>stagger_1</x:v>
      </x:c>
      <x:c r="B3006" s="38" t="str">
        <x:v>JNJ</x:v>
      </x:c>
      <x:c r="C3006" s="38" t="str">
        <x:v>Other FX</x:v>
      </x:c>
      <x:c r="D3006" s="30" t="n">
        <x:v>2</x:v>
      </x:c>
      <x:c r="E3006" s="38" t="str">
        <x:v>CAD/USD</x:v>
      </x:c>
      <x:c r="F3006" s="38" t="n">
        <x:v>-0.4251380594</x:v>
      </x:c>
      <x:c r="G3006" s="38" t="n">
        <x:v>-0.8231977333</x:v>
      </x:c>
      <x:c r="H3006" s="42" t="b">
        <x:v>1</x:v>
      </x:c>
      <x:c r="I3006" s="42" t="b">
        <x:v>0</x:v>
      </x:c>
      <x:c r="J3006" s="38" t="n">
        <x:v>0.1067920904</x:v>
      </x:c>
    </x:row>
    <x:row r="3007" ht="19" customHeight="1">
      <x:c r="A3007" s="29" t="str">
        <x:v>stagger_1</x:v>
      </x:c>
      <x:c r="B3007" s="38" t="str">
        <x:v>JNJ</x:v>
      </x:c>
      <x:c r="C3007" s="38" t="str">
        <x:v>Other FX</x:v>
      </x:c>
      <x:c r="D3007" s="30" t="n">
        <x:v>2</x:v>
      </x:c>
      <x:c r="E3007" s="38" t="str">
        <x:v>DKK/USD</x:v>
      </x:c>
      <x:c r="F3007" s="38" t="n">
        <x:v>-4.8796509297</x:v>
      </x:c>
      <x:c r="G3007" s="38" t="n">
        <x:v>-1.4236105733</x:v>
      </x:c>
      <x:c r="H3007" s="42" t="b">
        <x:v>0</x:v>
      </x:c>
      <x:c r="I3007" s="42" t="b">
        <x:v>0</x:v>
      </x:c>
      <x:c r="J3007" s="38" t="n">
        <x:v>0.1067920904</x:v>
      </x:c>
    </x:row>
    <x:row r="3008" ht="19" customHeight="1">
      <x:c r="A3008" s="29" t="str">
        <x:v>stagger_1</x:v>
      </x:c>
      <x:c r="B3008" s="38" t="str">
        <x:v>JNJ</x:v>
      </x:c>
      <x:c r="C3008" s="38" t="str">
        <x:v>Other FX</x:v>
      </x:c>
      <x:c r="D3008" s="30" t="n">
        <x:v>2</x:v>
      </x:c>
      <x:c r="E3008" s="38" t="str">
        <x:v>EUR/USD</x:v>
      </x:c>
      <x:c r="F3008" s="38" t="n">
        <x:v>4.5248540718</x:v>
      </x:c>
      <x:c r="G3008" s="38" t="n">
        <x:v>1.4257903195</x:v>
      </x:c>
      <x:c r="H3008" s="42" t="b">
        <x:v>0</x:v>
      </x:c>
      <x:c r="I3008" s="42" t="b">
        <x:v>0</x:v>
      </x:c>
      <x:c r="J3008" s="38" t="n">
        <x:v>0.1067920904</x:v>
      </x:c>
    </x:row>
    <x:row r="3009" ht="19" customHeight="1">
      <x:c r="A3009" s="29" t="str">
        <x:v>stagger_1</x:v>
      </x:c>
      <x:c r="B3009" s="38" t="str">
        <x:v>JNJ</x:v>
      </x:c>
      <x:c r="C3009" s="38" t="str">
        <x:v>Other FX</x:v>
      </x:c>
      <x:c r="D3009" s="30" t="n">
        <x:v>2</x:v>
      </x:c>
      <x:c r="E3009" s="38" t="str">
        <x:v>SGD/USD</x:v>
      </x:c>
      <x:c r="F3009" s="38" t="n">
        <x:v>1.3418654861</x:v>
      </x:c>
      <x:c r="G3009" s="38" t="n">
        <x:v>1.303157392</x:v>
      </x:c>
      <x:c r="H3009" s="42" t="b">
        <x:v>0</x:v>
      </x:c>
      <x:c r="I3009" s="42" t="b">
        <x:v>0</x:v>
      </x:c>
      <x:c r="J3009" s="38" t="n">
        <x:v>0.1067920904</x:v>
      </x:c>
    </x:row>
    <x:row r="3010" ht="19" customHeight="1">
      <x:c r="A3010" s="29" t="str">
        <x:v>stagger_1</x:v>
      </x:c>
      <x:c r="B3010" s="38" t="str">
        <x:v>JNJ</x:v>
      </x:c>
      <x:c r="C3010" s="38" t="str">
        <x:v>Other FX</x:v>
      </x:c>
      <x:c r="D3010" s="30" t="n">
        <x:v>3</x:v>
      </x:c>
      <x:c r="E3010" s="38" t="str">
        <x:v>AUD/USD</x:v>
      </x:c>
      <x:c r="F3010" s="38" t="n">
        <x:v>0.3743777688</x:v>
      </x:c>
      <x:c r="G3010" s="38" t="n">
        <x:v>0.9207308372</x:v>
      </x:c>
      <x:c r="H3010" s="42" t="b">
        <x:v>1</x:v>
      </x:c>
      <x:c r="I3010" s="42" t="b">
        <x:v>0</x:v>
      </x:c>
      <x:c r="J3010" s="38" t="n">
        <x:v>0.0986125449</x:v>
      </x:c>
    </x:row>
    <x:row r="3011" ht="19" customHeight="1">
      <x:c r="A3011" s="29" t="str">
        <x:v>stagger_1</x:v>
      </x:c>
      <x:c r="B3011" s="38" t="str">
        <x:v>JNJ</x:v>
      </x:c>
      <x:c r="C3011" s="38" t="str">
        <x:v>Other FX</x:v>
      </x:c>
      <x:c r="D3011" s="30" t="n">
        <x:v>3</x:v>
      </x:c>
      <x:c r="E3011" s="38" t="str">
        <x:v>DKK/USD</x:v>
      </x:c>
      <x:c r="F3011" s="38" t="n">
        <x:v>-5.1563406208</x:v>
      </x:c>
      <x:c r="G3011" s="38" t="n">
        <x:v>-1.5148773752</x:v>
      </x:c>
      <x:c r="H3011" s="42" t="b">
        <x:v>0</x:v>
      </x:c>
      <x:c r="I3011" s="42" t="b">
        <x:v>0</x:v>
      </x:c>
      <x:c r="J3011" s="38" t="n">
        <x:v>0.0986125449</x:v>
      </x:c>
    </x:row>
    <x:row r="3012" ht="19" customHeight="1">
      <x:c r="A3012" s="29" t="str">
        <x:v>stagger_1</x:v>
      </x:c>
      <x:c r="B3012" s="38" t="str">
        <x:v>JNJ</x:v>
      </x:c>
      <x:c r="C3012" s="38" t="str">
        <x:v>Other FX</x:v>
      </x:c>
      <x:c r="D3012" s="30" t="n">
        <x:v>3</x:v>
      </x:c>
      <x:c r="E3012" s="38" t="str">
        <x:v>EUR/USD</x:v>
      </x:c>
      <x:c r="F3012" s="38" t="n">
        <x:v>4.6750621611</x:v>
      </x:c>
      <x:c r="G3012" s="38" t="n">
        <x:v>1.4787433753</x:v>
      </x:c>
      <x:c r="H3012" s="42" t="b">
        <x:v>0</x:v>
      </x:c>
      <x:c r="I3012" s="42" t="b">
        <x:v>0</x:v>
      </x:c>
      <x:c r="J3012" s="38" t="n">
        <x:v>0.0986125449</x:v>
      </x:c>
    </x:row>
    <x:row r="3013" ht="19" customHeight="1">
      <x:c r="A3013" s="29" t="str">
        <x:v>stagger_1</x:v>
      </x:c>
      <x:c r="B3013" s="38" t="str">
        <x:v>JNJ</x:v>
      </x:c>
      <x:c r="C3013" s="38" t="str">
        <x:v>Other FX</x:v>
      </x:c>
      <x:c r="D3013" s="30" t="n">
        <x:v>3</x:v>
      </x:c>
      <x:c r="E3013" s="38" t="str">
        <x:v>SGD/USD</x:v>
      </x:c>
      <x:c r="F3013" s="38" t="n">
        <x:v>1.3379396237</x:v>
      </x:c>
      <x:c r="G3013" s="38" t="n">
        <x:v>1.302160029</x:v>
      </x:c>
      <x:c r="H3013" s="42" t="b">
        <x:v>0</x:v>
      </x:c>
      <x:c r="I3013" s="42" t="b">
        <x:v>0</x:v>
      </x:c>
      <x:c r="J3013" s="38" t="n">
        <x:v>0.0986125449</x:v>
      </x:c>
    </x:row>
    <x:row r="3014" ht="19" customHeight="1">
      <x:c r="A3014" s="29" t="str">
        <x:v>stagger_1</x:v>
      </x:c>
      <x:c r="B3014" s="38" t="str">
        <x:v>JNJ</x:v>
      </x:c>
      <x:c r="C3014" s="38" t="str">
        <x:v>Other FX</x:v>
      </x:c>
      <x:c r="D3014" s="30" t="n">
        <x:v>4</x:v>
      </x:c>
      <x:c r="E3014" s="38" t="str">
        <x:v>DKK/USD</x:v>
      </x:c>
      <x:c r="F3014" s="38" t="n">
        <x:v>-4.8980680883</x:v>
      </x:c>
      <x:c r="G3014" s="38" t="n">
        <x:v>-1.4453596747</x:v>
      </x:c>
      <x:c r="H3014" s="42" t="b">
        <x:v>0</x:v>
      </x:c>
      <x:c r="I3014" s="42" t="b">
        <x:v>0</x:v>
      </x:c>
      <x:c r="J3014" s="38" t="n">
        <x:v>0.0884239189</x:v>
      </x:c>
    </x:row>
    <x:row r="3015" ht="19" customHeight="1">
      <x:c r="A3015" s="29" t="str">
        <x:v>stagger_1</x:v>
      </x:c>
      <x:c r="B3015" s="38" t="str">
        <x:v>JNJ</x:v>
      </x:c>
      <x:c r="C3015" s="38" t="str">
        <x:v>Other FX</x:v>
      </x:c>
      <x:c r="D3015" s="30" t="n">
        <x:v>4</x:v>
      </x:c>
      <x:c r="E3015" s="38" t="str">
        <x:v>EUR/USD</x:v>
      </x:c>
      <x:c r="F3015" s="38" t="n">
        <x:v>4.4841367117</x:v>
      </x:c>
      <x:c r="G3015" s="38" t="n">
        <x:v>1.4228395028</x:v>
      </x:c>
      <x:c r="H3015" s="42" t="b">
        <x:v>1</x:v>
      </x:c>
      <x:c r="I3015" s="42" t="b">
        <x:v>0</x:v>
      </x:c>
      <x:c r="J3015" s="38" t="n">
        <x:v>0.0884239189</x:v>
      </x:c>
    </x:row>
    <x:row r="3016" ht="19" customHeight="1">
      <x:c r="A3016" s="29" t="str">
        <x:v>stagger_1</x:v>
      </x:c>
      <x:c r="B3016" s="38" t="str">
        <x:v>JNJ</x:v>
      </x:c>
      <x:c r="C3016" s="38" t="str">
        <x:v>Other FX</x:v>
      </x:c>
      <x:c r="D3016" s="30" t="n">
        <x:v>4</x:v>
      </x:c>
      <x:c r="E3016" s="38" t="str">
        <x:v>SGD/USD</x:v>
      </x:c>
      <x:c r="F3016" s="38" t="n">
        <x:v>1.7816243297</x:v>
      </x:c>
      <x:c r="G3016" s="38" t="n">
        <x:v>1.9652616023</x:v>
      </x:c>
      <x:c r="H3016" s="42" t="b">
        <x:v>0</x:v>
      </x:c>
      <x:c r="I3016" s="42" t="b">
        <x:v>0</x:v>
      </x:c>
      <x:c r="J3016" s="38" t="n">
        <x:v>0.0884239189</x:v>
      </x:c>
    </x:row>
    <x:row r="3017" ht="19" customHeight="1">
      <x:c r="A3017" s="29" t="str">
        <x:v>stagger_1</x:v>
      </x:c>
      <x:c r="B3017" s="38" t="str">
        <x:v>JNJ</x:v>
      </x:c>
      <x:c r="C3017" s="38" t="str">
        <x:v>Other FX</x:v>
      </x:c>
      <x:c r="D3017" s="30" t="n">
        <x:v>5</x:v>
      </x:c>
      <x:c r="E3017" s="38" t="str">
        <x:v>DKK/USD</x:v>
      </x:c>
      <x:c r="F3017" s="38" t="n">
        <x:v>-0.1350060754</x:v>
      </x:c>
      <x:c r="G3017" s="38" t="n">
        <x:v>-0.2544299608</x:v>
      </x:c>
      <x:c r="H3017" s="42" t="b">
        <x:v>1</x:v>
      </x:c>
      <x:c r="I3017" s="42" t="b">
        <x:v>0</x:v>
      </x:c>
      <x:c r="J3017" s="38" t="n">
        <x:v>0.0641415441</x:v>
      </x:c>
    </x:row>
    <x:row r="3018" ht="19" customHeight="1">
      <x:c r="A3018" s="29" t="str">
        <x:v>stagger_1</x:v>
      </x:c>
      <x:c r="B3018" s="38" t="str">
        <x:v>JNJ</x:v>
      </x:c>
      <x:c r="C3018" s="38" t="str">
        <x:v>Other FX</x:v>
      </x:c>
      <x:c r="D3018" s="30" t="n">
        <x:v>5</x:v>
      </x:c>
      <x:c r="E3018" s="38" t="str">
        <x:v>SGD/USD</x:v>
      </x:c>
      <x:c r="F3018" s="38" t="n">
        <x:v>1.32391851</x:v>
      </x:c>
      <x:c r="G3018" s="38" t="n">
        <x:v>1.551736672</x:v>
      </x:c>
      <x:c r="H3018" s="42" t="b">
        <x:v>0</x:v>
      </x:c>
      <x:c r="I3018" s="42" t="b">
        <x:v>0</x:v>
      </x:c>
      <x:c r="J3018" s="38" t="n">
        <x:v>0.0641415441</x:v>
      </x:c>
    </x:row>
    <x:row r="3019" ht="19" customHeight="1">
      <x:c r="A3019" s="29" t="str">
        <x:v>stagger_1</x:v>
      </x:c>
      <x:c r="B3019" s="38" t="str">
        <x:v>JNJ</x:v>
      </x:c>
      <x:c r="C3019" s="38" t="str">
        <x:v>Other FX</x:v>
      </x:c>
      <x:c r="D3019" s="30" t="n">
        <x:v>6</x:v>
      </x:c>
      <x:c r="E3019" s="38" t="str">
        <x:v>SGD/USD</x:v>
      </x:c>
      <x:c r="F3019" s="38" t="n">
        <x:v>1.1485951872</x:v>
      </x:c>
      <x:c r="G3019" s="38" t="n">
        <x:v>2.2969384554</x:v>
      </x:c>
      <x:c r="H3019" s="42" t="b">
        <x:v>0</x:v>
      </x:c>
      <x:c r="I3019" s="42" t="b">
        <x:v>1</x:v>
      </x:c>
      <x:c r="J3019" s="38" t="n">
        <x:v>0.0633547593</x:v>
      </x:c>
    </x:row>
    <x:row r="3020" ht="19" customHeight="1">
      <x:c r="A3020" s="29" t="str">
        <x:v>stagger_1</x:v>
      </x:c>
      <x:c r="B3020" s="38" t="str">
        <x:v>JNJ</x:v>
      </x:c>
      <x:c r="C3020" s="38" t="str">
        <x:v>Other sectors</x:v>
      </x:c>
      <x:c r="D3020" s="30" t="n">
        <x:v>1</x:v>
      </x:c>
      <x:c r="E3020" s="38" t="str">
        <x:v>XLB</x:v>
      </x:c>
      <x:c r="F3020" s="38" t="n">
        <x:v>-0.0149616433</x:v>
      </x:c>
      <x:c r="G3020" s="38" t="n">
        <x:v>-0.0744298031</x:v>
      </x:c>
      <x:c r="H3020" s="42" t="b">
        <x:v>0</x:v>
      </x:c>
      <x:c r="I3020" s="42" t="b">
        <x:v>0</x:v>
      </x:c>
      <x:c r="J3020" s="38" t="n">
        <x:v>0.1289946448</x:v>
      </x:c>
    </x:row>
    <x:row r="3021" ht="19" customHeight="1">
      <x:c r="A3021" s="29" t="str">
        <x:v>stagger_1</x:v>
      </x:c>
      <x:c r="B3021" s="38" t="str">
        <x:v>JNJ</x:v>
      </x:c>
      <x:c r="C3021" s="38" t="str">
        <x:v>Other sectors</x:v>
      </x:c>
      <x:c r="D3021" s="30" t="n">
        <x:v>1</x:v>
      </x:c>
      <x:c r="E3021" s="38" t="str">
        <x:v>XLC</x:v>
      </x:c>
      <x:c r="F3021" s="38" t="n">
        <x:v>-0.0122396513</x:v>
      </x:c>
      <x:c r="G3021" s="38" t="n">
        <x:v>-0.0652825949</x:v>
      </x:c>
      <x:c r="H3021" s="42" t="b">
        <x:v>1</x:v>
      </x:c>
      <x:c r="I3021" s="42" t="b">
        <x:v>0</x:v>
      </x:c>
      <x:c r="J3021" s="38" t="n">
        <x:v>0.1289946448</x:v>
      </x:c>
    </x:row>
    <x:row r="3022" ht="19" customHeight="1">
      <x:c r="A3022" s="29" t="str">
        <x:v>stagger_1</x:v>
      </x:c>
      <x:c r="B3022" s="38" t="str">
        <x:v>JNJ</x:v>
      </x:c>
      <x:c r="C3022" s="38" t="str">
        <x:v>Other sectors</x:v>
      </x:c>
      <x:c r="D3022" s="30" t="n">
        <x:v>1</x:v>
      </x:c>
      <x:c r="E3022" s="38" t="str">
        <x:v>XLE</x:v>
      </x:c>
      <x:c r="F3022" s="38" t="n">
        <x:v>0.1206912644</x:v>
      </x:c>
      <x:c r="G3022" s="38" t="n">
        <x:v>1.656195057</x:v>
      </x:c>
      <x:c r="H3022" s="42" t="b">
        <x:v>0</x:v>
      </x:c>
      <x:c r="I3022" s="42" t="b">
        <x:v>0</x:v>
      </x:c>
      <x:c r="J3022" s="38" t="n">
        <x:v>0.1289946448</x:v>
      </x:c>
    </x:row>
    <x:row r="3023" ht="19" customHeight="1">
      <x:c r="A3023" s="29" t="str">
        <x:v>stagger_1</x:v>
      </x:c>
      <x:c r="B3023" s="38" t="str">
        <x:v>JNJ</x:v>
      </x:c>
      <x:c r="C3023" s="38" t="str">
        <x:v>Other sectors</x:v>
      </x:c>
      <x:c r="D3023" s="30" t="n">
        <x:v>1</x:v>
      </x:c>
      <x:c r="E3023" s="38" t="str">
        <x:v>XLF</x:v>
      </x:c>
      <x:c r="F3023" s="38" t="n">
        <x:v>-0.2012984983</x:v>
      </x:c>
      <x:c r="G3023" s="38" t="n">
        <x:v>-0.9497857827</x:v>
      </x:c>
      <x:c r="H3023" s="42" t="b">
        <x:v>0</x:v>
      </x:c>
      <x:c r="I3023" s="42" t="b">
        <x:v>0</x:v>
      </x:c>
      <x:c r="J3023" s="38" t="n">
        <x:v>0.1289946448</x:v>
      </x:c>
    </x:row>
    <x:row r="3024" ht="19" customHeight="1">
      <x:c r="A3024" s="29" t="str">
        <x:v>stagger_1</x:v>
      </x:c>
      <x:c r="B3024" s="38" t="str">
        <x:v>JNJ</x:v>
      </x:c>
      <x:c r="C3024" s="38" t="str">
        <x:v>Other sectors</x:v>
      </x:c>
      <x:c r="D3024" s="30" t="n">
        <x:v>1</x:v>
      </x:c>
      <x:c r="E3024" s="38" t="str">
        <x:v>XLI</x:v>
      </x:c>
      <x:c r="F3024" s="38" t="n">
        <x:v>0.0545820591</x:v>
      </x:c>
      <x:c r="G3024" s="38" t="n">
        <x:v>0.2136324902</x:v>
      </x:c>
      <x:c r="H3024" s="42" t="b">
        <x:v>0</x:v>
      </x:c>
      <x:c r="I3024" s="42" t="b">
        <x:v>0</x:v>
      </x:c>
      <x:c r="J3024" s="38" t="n">
        <x:v>0.1289946448</x:v>
      </x:c>
    </x:row>
    <x:row r="3025" ht="19" customHeight="1">
      <x:c r="A3025" s="29" t="str">
        <x:v>stagger_1</x:v>
      </x:c>
      <x:c r="B3025" s="38" t="str">
        <x:v>JNJ</x:v>
      </x:c>
      <x:c r="C3025" s="38" t="str">
        <x:v>Other sectors</x:v>
      </x:c>
      <x:c r="D3025" s="30" t="n">
        <x:v>1</x:v>
      </x:c>
      <x:c r="E3025" s="38" t="str">
        <x:v>XLK</x:v>
      </x:c>
      <x:c r="F3025" s="38" t="n">
        <x:v>-0.0185062549</x:v>
      </x:c>
      <x:c r="G3025" s="38" t="n">
        <x:v>-0.0680444828</x:v>
      </x:c>
      <x:c r="H3025" s="42" t="b">
        <x:v>0</x:v>
      </x:c>
      <x:c r="I3025" s="42" t="b">
        <x:v>0</x:v>
      </x:c>
      <x:c r="J3025" s="38" t="n">
        <x:v>0.1289946448</x:v>
      </x:c>
    </x:row>
    <x:row r="3026" ht="19" customHeight="1">
      <x:c r="A3026" s="29" t="str">
        <x:v>stagger_1</x:v>
      </x:c>
      <x:c r="B3026" s="38" t="str">
        <x:v>JNJ</x:v>
      </x:c>
      <x:c r="C3026" s="38" t="str">
        <x:v>Other sectors</x:v>
      </x:c>
      <x:c r="D3026" s="30" t="n">
        <x:v>1</x:v>
      </x:c>
      <x:c r="E3026" s="38" t="str">
        <x:v>XLP</x:v>
      </x:c>
      <x:c r="F3026" s="38" t="n">
        <x:v>0.2867415788</x:v>
      </x:c>
      <x:c r="G3026" s="38" t="n">
        <x:v>1.3239046912</x:v>
      </x:c>
      <x:c r="H3026" s="42" t="b">
        <x:v>0</x:v>
      </x:c>
      <x:c r="I3026" s="42" t="b">
        <x:v>0</x:v>
      </x:c>
      <x:c r="J3026" s="38" t="n">
        <x:v>0.1289946448</x:v>
      </x:c>
    </x:row>
    <x:row r="3027" ht="19" customHeight="1">
      <x:c r="A3027" s="29" t="str">
        <x:v>stagger_1</x:v>
      </x:c>
      <x:c r="B3027" s="38" t="str">
        <x:v>JNJ</x:v>
      </x:c>
      <x:c r="C3027" s="38" t="str">
        <x:v>Other sectors</x:v>
      </x:c>
      <x:c r="D3027" s="30" t="n">
        <x:v>1</x:v>
      </x:c>
      <x:c r="E3027" s="38" t="str">
        <x:v>XLRE</x:v>
      </x:c>
      <x:c r="F3027" s="38" t="n">
        <x:v>-0.1750255948</x:v>
      </x:c>
      <x:c r="G3027" s="38" t="n">
        <x:v>-1.0384482379</x:v>
      </x:c>
      <x:c r="H3027" s="42" t="b">
        <x:v>0</x:v>
      </x:c>
      <x:c r="I3027" s="42" t="b">
        <x:v>0</x:v>
      </x:c>
      <x:c r="J3027" s="38" t="n">
        <x:v>0.1289946448</x:v>
      </x:c>
    </x:row>
    <x:row r="3028" ht="19" customHeight="1">
      <x:c r="A3028" s="29" t="str">
        <x:v>stagger_1</x:v>
      </x:c>
      <x:c r="B3028" s="38" t="str">
        <x:v>JNJ</x:v>
      </x:c>
      <x:c r="C3028" s="38" t="str">
        <x:v>Other sectors</x:v>
      </x:c>
      <x:c r="D3028" s="30" t="n">
        <x:v>1</x:v>
      </x:c>
      <x:c r="E3028" s="38" t="str">
        <x:v>XLU</x:v>
      </x:c>
      <x:c r="F3028" s="38" t="n">
        <x:v>0.0956225922</x:v>
      </x:c>
      <x:c r="G3028" s="38" t="n">
        <x:v>0.7149041422</x:v>
      </x:c>
      <x:c r="H3028" s="42" t="b">
        <x:v>0</x:v>
      </x:c>
      <x:c r="I3028" s="42" t="b">
        <x:v>0</x:v>
      </x:c>
      <x:c r="J3028" s="38" t="n">
        <x:v>0.1289946448</x:v>
      </x:c>
    </x:row>
    <x:row r="3029" ht="19" customHeight="1">
      <x:c r="A3029" s="29" t="str">
        <x:v>stagger_1</x:v>
      </x:c>
      <x:c r="B3029" s="38" t="str">
        <x:v>JNJ</x:v>
      </x:c>
      <x:c r="C3029" s="38" t="str">
        <x:v>Other sectors</x:v>
      </x:c>
      <x:c r="D3029" s="30" t="n">
        <x:v>1</x:v>
      </x:c>
      <x:c r="E3029" s="38" t="str">
        <x:v>XLY</x:v>
      </x:c>
      <x:c r="F3029" s="38" t="n">
        <x:v>0.1435586545</x:v>
      </x:c>
      <x:c r="G3029" s="38" t="n">
        <x:v>0.8019586291</x:v>
      </x:c>
      <x:c r="H3029" s="42" t="b">
        <x:v>0</x:v>
      </x:c>
      <x:c r="I3029" s="42" t="b">
        <x:v>0</x:v>
      </x:c>
      <x:c r="J3029" s="38" t="n">
        <x:v>0.1289946448</x:v>
      </x:c>
    </x:row>
    <x:row r="3030" ht="19" customHeight="1">
      <x:c r="A3030" s="29" t="str">
        <x:v>stagger_1</x:v>
      </x:c>
      <x:c r="B3030" s="38" t="str">
        <x:v>JNJ</x:v>
      </x:c>
      <x:c r="C3030" s="38" t="str">
        <x:v>Other sectors</x:v>
      </x:c>
      <x:c r="D3030" s="30" t="n">
        <x:v>2</x:v>
      </x:c>
      <x:c r="E3030" s="38" t="str">
        <x:v>XLB</x:v>
      </x:c>
      <x:c r="F3030" s="38" t="n">
        <x:v>-0.0146328466</x:v>
      </x:c>
      <x:c r="G3030" s="38" t="n">
        <x:v>-0.0733404912</x:v>
      </x:c>
      <x:c r="H3030" s="42" t="b">
        <x:v>0</x:v>
      </x:c>
      <x:c r="I3030" s="42" t="b">
        <x:v>0</x:v>
      </x:c>
      <x:c r="J3030" s="38" t="n">
        <x:v>0.1289408468</x:v>
      </x:c>
    </x:row>
    <x:row r="3031" ht="19" customHeight="1">
      <x:c r="A3031" s="29" t="str">
        <x:v>stagger_1</x:v>
      </x:c>
      <x:c r="B3031" s="38" t="str">
        <x:v>JNJ</x:v>
      </x:c>
      <x:c r="C3031" s="38" t="str">
        <x:v>Other sectors</x:v>
      </x:c>
      <x:c r="D3031" s="30" t="n">
        <x:v>2</x:v>
      </x:c>
      <x:c r="E3031" s="38" t="str">
        <x:v>XLE</x:v>
      </x:c>
      <x:c r="F3031" s="38" t="n">
        <x:v>0.1208762449</x:v>
      </x:c>
      <x:c r="G3031" s="38" t="n">
        <x:v>1.6719228275</x:v>
      </x:c>
      <x:c r="H3031" s="42" t="b">
        <x:v>0</x:v>
      </x:c>
      <x:c r="I3031" s="42" t="b">
        <x:v>0</x:v>
      </x:c>
      <x:c r="J3031" s="38" t="n">
        <x:v>0.1289408468</x:v>
      </x:c>
    </x:row>
    <x:row r="3032" ht="19" customHeight="1">
      <x:c r="A3032" s="29" t="str">
        <x:v>stagger_1</x:v>
      </x:c>
      <x:c r="B3032" s="38" t="str">
        <x:v>JNJ</x:v>
      </x:c>
      <x:c r="C3032" s="38" t="str">
        <x:v>Other sectors</x:v>
      </x:c>
      <x:c r="D3032" s="30" t="n">
        <x:v>2</x:v>
      </x:c>
      <x:c r="E3032" s="38" t="str">
        <x:v>XLF</x:v>
      </x:c>
      <x:c r="F3032" s="38" t="n">
        <x:v>-0.1987211482</x:v>
      </x:c>
      <x:c r="G3032" s="38" t="n">
        <x:v>-0.9611894552</x:v>
      </x:c>
      <x:c r="H3032" s="42" t="b">
        <x:v>0</x:v>
      </x:c>
      <x:c r="I3032" s="42" t="b">
        <x:v>0</x:v>
      </x:c>
      <x:c r="J3032" s="38" t="n">
        <x:v>0.1289408468</x:v>
      </x:c>
    </x:row>
    <x:row r="3033" ht="19" customHeight="1">
      <x:c r="A3033" s="29" t="str">
        <x:v>stagger_1</x:v>
      </x:c>
      <x:c r="B3033" s="38" t="str">
        <x:v>JNJ</x:v>
      </x:c>
      <x:c r="C3033" s="38" t="str">
        <x:v>Other sectors</x:v>
      </x:c>
      <x:c r="D3033" s="30" t="n">
        <x:v>2</x:v>
      </x:c>
      <x:c r="E3033" s="38" t="str">
        <x:v>XLI</x:v>
      </x:c>
      <x:c r="F3033" s="38" t="n">
        <x:v>0.0564585064</x:v>
      </x:c>
      <x:c r="G3033" s="38" t="n">
        <x:v>0.223987454</x:v>
      </x:c>
      <x:c r="H3033" s="42" t="b">
        <x:v>0</x:v>
      </x:c>
      <x:c r="I3033" s="42" t="b">
        <x:v>0</x:v>
      </x:c>
      <x:c r="J3033" s="38" t="n">
        <x:v>0.1289408468</x:v>
      </x:c>
    </x:row>
    <x:row r="3034" ht="19" customHeight="1">
      <x:c r="A3034" s="29" t="str">
        <x:v>stagger_1</x:v>
      </x:c>
      <x:c r="B3034" s="38" t="str">
        <x:v>JNJ</x:v>
      </x:c>
      <x:c r="C3034" s="38" t="str">
        <x:v>Other sectors</x:v>
      </x:c>
      <x:c r="D3034" s="30" t="n">
        <x:v>2</x:v>
      </x:c>
      <x:c r="E3034" s="38" t="str">
        <x:v>XLK</x:v>
      </x:c>
      <x:c r="F3034" s="38" t="n">
        <x:v>-0.010784232</x:v>
      </x:c>
      <x:c r="G3034" s="38" t="n">
        <x:v>-0.0443512169</x:v>
      </x:c>
      <x:c r="H3034" s="42" t="b">
        <x:v>1</x:v>
      </x:c>
      <x:c r="I3034" s="42" t="b">
        <x:v>0</x:v>
      </x:c>
      <x:c r="J3034" s="38" t="n">
        <x:v>0.1289408468</x:v>
      </x:c>
    </x:row>
    <x:row r="3035" ht="19" customHeight="1">
      <x:c r="A3035" s="29" t="str">
        <x:v>stagger_1</x:v>
      </x:c>
      <x:c r="B3035" s="38" t="str">
        <x:v>JNJ</x:v>
      </x:c>
      <x:c r="C3035" s="38" t="str">
        <x:v>Other sectors</x:v>
      </x:c>
      <x:c r="D3035" s="30" t="n">
        <x:v>2</x:v>
      </x:c>
      <x:c r="E3035" s="38" t="str">
        <x:v>XLP</x:v>
      </x:c>
      <x:c r="F3035" s="38" t="n">
        <x:v>0.2865399007</x:v>
      </x:c>
      <x:c r="G3035" s="38" t="n">
        <x:v>1.3326202264</x:v>
      </x:c>
      <x:c r="H3035" s="42" t="b">
        <x:v>0</x:v>
      </x:c>
      <x:c r="I3035" s="42" t="b">
        <x:v>0</x:v>
      </x:c>
      <x:c r="J3035" s="38" t="n">
        <x:v>0.1289408468</x:v>
      </x:c>
    </x:row>
    <x:row r="3036" ht="19" customHeight="1">
      <x:c r="A3036" s="29" t="str">
        <x:v>stagger_1</x:v>
      </x:c>
      <x:c r="B3036" s="38" t="str">
        <x:v>JNJ</x:v>
      </x:c>
      <x:c r="C3036" s="38" t="str">
        <x:v>Other sectors</x:v>
      </x:c>
      <x:c r="D3036" s="30" t="n">
        <x:v>2</x:v>
      </x:c>
      <x:c r="E3036" s="38" t="str">
        <x:v>XLRE</x:v>
      </x:c>
      <x:c r="F3036" s="38" t="n">
        <x:v>-0.173214637</x:v>
      </x:c>
      <x:c r="G3036" s="38" t="n">
        <x:v>-1.0494030499</x:v>
      </x:c>
      <x:c r="H3036" s="42" t="b">
        <x:v>0</x:v>
      </x:c>
      <x:c r="I3036" s="42" t="b">
        <x:v>0</x:v>
      </x:c>
      <x:c r="J3036" s="38" t="n">
        <x:v>0.1289408468</x:v>
      </x:c>
    </x:row>
    <x:row r="3037" ht="19" customHeight="1">
      <x:c r="A3037" s="29" t="str">
        <x:v>stagger_1</x:v>
      </x:c>
      <x:c r="B3037" s="38" t="str">
        <x:v>JNJ</x:v>
      </x:c>
      <x:c r="C3037" s="38" t="str">
        <x:v>Other sectors</x:v>
      </x:c>
      <x:c r="D3037" s="30" t="n">
        <x:v>2</x:v>
      </x:c>
      <x:c r="E3037" s="38" t="str">
        <x:v>XLU</x:v>
      </x:c>
      <x:c r="F3037" s="38" t="n">
        <x:v>0.0972828624</x:v>
      </x:c>
      <x:c r="G3037" s="38" t="n">
        <x:v>0.7461575249</x:v>
      </x:c>
      <x:c r="H3037" s="42" t="b">
        <x:v>0</x:v>
      </x:c>
      <x:c r="I3037" s="42" t="b">
        <x:v>0</x:v>
      </x:c>
      <x:c r="J3037" s="38" t="n">
        <x:v>0.1289408468</x:v>
      </x:c>
    </x:row>
    <x:row r="3038" ht="19" customHeight="1">
      <x:c r="A3038" s="29" t="str">
        <x:v>stagger_1</x:v>
      </x:c>
      <x:c r="B3038" s="38" t="str">
        <x:v>JNJ</x:v>
      </x:c>
      <x:c r="C3038" s="38" t="str">
        <x:v>Other sectors</x:v>
      </x:c>
      <x:c r="D3038" s="30" t="n">
        <x:v>2</x:v>
      </x:c>
      <x:c r="E3038" s="38" t="str">
        <x:v>XLY</x:v>
      </x:c>
      <x:c r="F3038" s="38" t="n">
        <x:v>0.1416989235</x:v>
      </x:c>
      <x:c r="G3038" s="38" t="n">
        <x:v>0.8075516353</x:v>
      </x:c>
      <x:c r="H3038" s="42" t="b">
        <x:v>0</x:v>
      </x:c>
      <x:c r="I3038" s="42" t="b">
        <x:v>0</x:v>
      </x:c>
      <x:c r="J3038" s="38" t="n">
        <x:v>0.1289408468</x:v>
      </x:c>
    </x:row>
    <x:row r="3039" ht="19" customHeight="1">
      <x:c r="A3039" s="29" t="str">
        <x:v>stagger_1</x:v>
      </x:c>
      <x:c r="B3039" s="38" t="str">
        <x:v>JNJ</x:v>
      </x:c>
      <x:c r="C3039" s="38" t="str">
        <x:v>Other sectors</x:v>
      </x:c>
      <x:c r="D3039" s="30" t="n">
        <x:v>3</x:v>
      </x:c>
      <x:c r="E3039" s="38" t="str">
        <x:v>XLB</x:v>
      </x:c>
      <x:c r="F3039" s="38" t="n">
        <x:v>-0.0142680169</x:v>
      </x:c>
      <x:c r="G3039" s="38" t="n">
        <x:v>-0.0720812126</x:v>
      </x:c>
      <x:c r="H3039" s="42" t="b">
        <x:v>1</x:v>
      </x:c>
      <x:c r="I3039" s="42" t="b">
        <x:v>0</x:v>
      </x:c>
      <x:c r="J3039" s="38" t="n">
        <x:v>0.1289163696</x:v>
      </x:c>
    </x:row>
    <x:row r="3040" ht="19" customHeight="1">
      <x:c r="A3040" s="29" t="str">
        <x:v>stagger_1</x:v>
      </x:c>
      <x:c r="B3040" s="38" t="str">
        <x:v>JNJ</x:v>
      </x:c>
      <x:c r="C3040" s="38" t="str">
        <x:v>Other sectors</x:v>
      </x:c>
      <x:c r="D3040" s="30" t="n">
        <x:v>3</x:v>
      </x:c>
      <x:c r="E3040" s="38" t="str">
        <x:v>XLE</x:v>
      </x:c>
      <x:c r="F3040" s="38" t="n">
        <x:v>0.1221677553</x:v>
      </x:c>
      <x:c r="G3040" s="38" t="n">
        <x:v>1.8592761774</x:v>
      </x:c>
      <x:c r="H3040" s="42" t="b">
        <x:v>0</x:v>
      </x:c>
      <x:c r="I3040" s="42" t="b">
        <x:v>0</x:v>
      </x:c>
      <x:c r="J3040" s="38" t="n">
        <x:v>0.1289163696</x:v>
      </x:c>
    </x:row>
    <x:row r="3041" ht="19" customHeight="1">
      <x:c r="A3041" s="29" t="str">
        <x:v>stagger_1</x:v>
      </x:c>
      <x:c r="B3041" s="38" t="str">
        <x:v>JNJ</x:v>
      </x:c>
      <x:c r="C3041" s="38" t="str">
        <x:v>Other sectors</x:v>
      </x:c>
      <x:c r="D3041" s="30" t="n">
        <x:v>3</x:v>
      </x:c>
      <x:c r="E3041" s="38" t="str">
        <x:v>XLF</x:v>
      </x:c>
      <x:c r="F3041" s="38" t="n">
        <x:v>-0.1929290511</x:v>
      </x:c>
      <x:c r="G3041" s="38" t="n">
        <x:v>-1.2122862188</x:v>
      </x:c>
      <x:c r="H3041" s="42" t="b">
        <x:v>0</x:v>
      </x:c>
      <x:c r="I3041" s="42" t="b">
        <x:v>0</x:v>
      </x:c>
      <x:c r="J3041" s="38" t="n">
        <x:v>0.1289163696</x:v>
      </x:c>
    </x:row>
    <x:row r="3042" ht="19" customHeight="1">
      <x:c r="A3042" s="29" t="str">
        <x:v>stagger_1</x:v>
      </x:c>
      <x:c r="B3042" s="38" t="str">
        <x:v>JNJ</x:v>
      </x:c>
      <x:c r="C3042" s="38" t="str">
        <x:v>Other sectors</x:v>
      </x:c>
      <x:c r="D3042" s="30" t="n">
        <x:v>3</x:v>
      </x:c>
      <x:c r="E3042" s="38" t="str">
        <x:v>XLI</x:v>
      </x:c>
      <x:c r="F3042" s="38" t="n">
        <x:v>0.0555351849</x:v>
      </x:c>
      <x:c r="G3042" s="38" t="n">
        <x:v>0.2226501237</x:v>
      </x:c>
      <x:c r="H3042" s="42" t="b">
        <x:v>0</x:v>
      </x:c>
      <x:c r="I3042" s="42" t="b">
        <x:v>0</x:v>
      </x:c>
      <x:c r="J3042" s="38" t="n">
        <x:v>0.1289163696</x:v>
      </x:c>
    </x:row>
    <x:row r="3043" ht="19" customHeight="1">
      <x:c r="A3043" s="29" t="str">
        <x:v>stagger_1</x:v>
      </x:c>
      <x:c r="B3043" s="38" t="str">
        <x:v>JNJ</x:v>
      </x:c>
      <x:c r="C3043" s="38" t="str">
        <x:v>Other sectors</x:v>
      </x:c>
      <x:c r="D3043" s="30" t="n">
        <x:v>3</x:v>
      </x:c>
      <x:c r="E3043" s="38" t="str">
        <x:v>XLP</x:v>
      </x:c>
      <x:c r="F3043" s="38" t="n">
        <x:v>0.2913847821</x:v>
      </x:c>
      <x:c r="G3043" s="38" t="n">
        <x:v>1.5844963103</x:v>
      </x:c>
      <x:c r="H3043" s="42" t="b">
        <x:v>0</x:v>
      </x:c>
      <x:c r="I3043" s="42" t="b">
        <x:v>0</x:v>
      </x:c>
      <x:c r="J3043" s="38" t="n">
        <x:v>0.1289163696</x:v>
      </x:c>
    </x:row>
    <x:row r="3044" ht="19" customHeight="1">
      <x:c r="A3044" s="29" t="str">
        <x:v>stagger_1</x:v>
      </x:c>
      <x:c r="B3044" s="38" t="str">
        <x:v>JNJ</x:v>
      </x:c>
      <x:c r="C3044" s="38" t="str">
        <x:v>Other sectors</x:v>
      </x:c>
      <x:c r="D3044" s="30" t="n">
        <x:v>3</x:v>
      </x:c>
      <x:c r="E3044" s="38" t="str">
        <x:v>XLRE</x:v>
      </x:c>
      <x:c r="F3044" s="38" t="n">
        <x:v>-0.1731591545</x:v>
      </x:c>
      <x:c r="G3044" s="38" t="n">
        <x:v>-1.0565491781</x:v>
      </x:c>
      <x:c r="H3044" s="42" t="b">
        <x:v>0</x:v>
      </x:c>
      <x:c r="I3044" s="42" t="b">
        <x:v>0</x:v>
      </x:c>
      <x:c r="J3044" s="38" t="n">
        <x:v>0.1289163696</x:v>
      </x:c>
    </x:row>
    <x:row r="3045" ht="19" customHeight="1">
      <x:c r="A3045" s="29" t="str">
        <x:v>stagger_1</x:v>
      </x:c>
      <x:c r="B3045" s="38" t="str">
        <x:v>JNJ</x:v>
      </x:c>
      <x:c r="C3045" s="38" t="str">
        <x:v>Other sectors</x:v>
      </x:c>
      <x:c r="D3045" s="30" t="n">
        <x:v>3</x:v>
      </x:c>
      <x:c r="E3045" s="38" t="str">
        <x:v>XLU</x:v>
      </x:c>
      <x:c r="F3045" s="38" t="n">
        <x:v>0.0981942622</x:v>
      </x:c>
      <x:c r="G3045" s="38" t="n">
        <x:v>0.7680985796</x:v>
      </x:c>
      <x:c r="H3045" s="42" t="b">
        <x:v>0</x:v>
      </x:c>
      <x:c r="I3045" s="42" t="b">
        <x:v>0</x:v>
      </x:c>
      <x:c r="J3045" s="38" t="n">
        <x:v>0.1289163696</x:v>
      </x:c>
    </x:row>
    <x:row r="3046" ht="19" customHeight="1">
      <x:c r="A3046" s="29" t="str">
        <x:v>stagger_1</x:v>
      </x:c>
      <x:c r="B3046" s="38" t="str">
        <x:v>JNJ</x:v>
      </x:c>
      <x:c r="C3046" s="38" t="str">
        <x:v>Other sectors</x:v>
      </x:c>
      <x:c r="D3046" s="30" t="n">
        <x:v>3</x:v>
      </x:c>
      <x:c r="E3046" s="38" t="str">
        <x:v>XLY</x:v>
      </x:c>
      <x:c r="F3046" s="38" t="n">
        <x:v>0.1453925662</x:v>
      </x:c>
      <x:c r="G3046" s="38" t="n">
        <x:v>0.948080534</x:v>
      </x:c>
      <x:c r="H3046" s="42" t="b">
        <x:v>0</x:v>
      </x:c>
      <x:c r="I3046" s="42" t="b">
        <x:v>0</x:v>
      </x:c>
      <x:c r="J3046" s="38" t="n">
        <x:v>0.1289163696</x:v>
      </x:c>
    </x:row>
    <x:row r="3047" ht="19" customHeight="1">
      <x:c r="A3047" s="29" t="str">
        <x:v>stagger_1</x:v>
      </x:c>
      <x:c r="B3047" s="38" t="str">
        <x:v>JNJ</x:v>
      </x:c>
      <x:c r="C3047" s="38" t="str">
        <x:v>Other sectors</x:v>
      </x:c>
      <x:c r="D3047" s="30" t="n">
        <x:v>4</x:v>
      </x:c>
      <x:c r="E3047" s="38" t="str">
        <x:v>XLE</x:v>
      </x:c>
      <x:c r="F3047" s="38" t="n">
        <x:v>0.1209165866</x:v>
      </x:c>
      <x:c r="G3047" s="38" t="n">
        <x:v>1.9213332893</x:v>
      </x:c>
      <x:c r="H3047" s="42" t="b">
        <x:v>0</x:v>
      </x:c>
      <x:c r="I3047" s="42" t="b">
        <x:v>0</x:v>
      </x:c>
      <x:c r="J3047" s="38" t="n">
        <x:v>0.1288526247</x:v>
      </x:c>
    </x:row>
    <x:row r="3048" ht="19" customHeight="1">
      <x:c r="A3048" s="29" t="str">
        <x:v>stagger_1</x:v>
      </x:c>
      <x:c r="B3048" s="38" t="str">
        <x:v>JNJ</x:v>
      </x:c>
      <x:c r="C3048" s="38" t="str">
        <x:v>Other sectors</x:v>
      </x:c>
      <x:c r="D3048" s="30" t="n">
        <x:v>4</x:v>
      </x:c>
      <x:c r="E3048" s="38" t="str">
        <x:v>XLF</x:v>
      </x:c>
      <x:c r="F3048" s="38" t="n">
        <x:v>-0.1943766178</x:v>
      </x:c>
      <x:c r="G3048" s="38" t="n">
        <x:v>-1.2398192983</x:v>
      </x:c>
      <x:c r="H3048" s="42" t="b">
        <x:v>0</x:v>
      </x:c>
      <x:c r="I3048" s="42" t="b">
        <x:v>0</x:v>
      </x:c>
      <x:c r="J3048" s="38" t="n">
        <x:v>0.1288526247</x:v>
      </x:c>
    </x:row>
    <x:row r="3049" ht="19" customHeight="1">
      <x:c r="A3049" s="29" t="str">
        <x:v>stagger_1</x:v>
      </x:c>
      <x:c r="B3049" s="38" t="str">
        <x:v>JNJ</x:v>
      </x:c>
      <x:c r="C3049" s="38" t="str">
        <x:v>Other sectors</x:v>
      </x:c>
      <x:c r="D3049" s="30" t="n">
        <x:v>4</x:v>
      </x:c>
      <x:c r="E3049" s="38" t="str">
        <x:v>XLI</x:v>
      </x:c>
      <x:c r="F3049" s="38" t="n">
        <x:v>0.0428869541</x:v>
      </x:c>
      <x:c r="G3049" s="38" t="n">
        <x:v>0.2436217375</x:v>
      </x:c>
      <x:c r="H3049" s="42" t="b">
        <x:v>1</x:v>
      </x:c>
      <x:c r="I3049" s="42" t="b">
        <x:v>0</x:v>
      </x:c>
      <x:c r="J3049" s="38" t="n">
        <x:v>0.1288526247</x:v>
      </x:c>
    </x:row>
    <x:row r="3050" ht="19" customHeight="1">
      <x:c r="A3050" s="29" t="str">
        <x:v>stagger_1</x:v>
      </x:c>
      <x:c r="B3050" s="38" t="str">
        <x:v>JNJ</x:v>
      </x:c>
      <x:c r="C3050" s="38" t="str">
        <x:v>Other sectors</x:v>
      </x:c>
      <x:c r="D3050" s="30" t="n">
        <x:v>4</x:v>
      </x:c>
      <x:c r="E3050" s="38" t="str">
        <x:v>XLP</x:v>
      </x:c>
      <x:c r="F3050" s="38" t="n">
        <x:v>0.2893959349</x:v>
      </x:c>
      <x:c r="G3050" s="38" t="n">
        <x:v>1.6028105101</x:v>
      </x:c>
      <x:c r="H3050" s="42" t="b">
        <x:v>0</x:v>
      </x:c>
      <x:c r="I3050" s="42" t="b">
        <x:v>0</x:v>
      </x:c>
      <x:c r="J3050" s="38" t="n">
        <x:v>0.1288526247</x:v>
      </x:c>
    </x:row>
    <x:row r="3051" ht="19" customHeight="1">
      <x:c r="A3051" s="29" t="str">
        <x:v>stagger_1</x:v>
      </x:c>
      <x:c r="B3051" s="38" t="str">
        <x:v>JNJ</x:v>
      </x:c>
      <x:c r="C3051" s="38" t="str">
        <x:v>Other sectors</x:v>
      </x:c>
      <x:c r="D3051" s="30" t="n">
        <x:v>4</x:v>
      </x:c>
      <x:c r="E3051" s="38" t="str">
        <x:v>XLRE</x:v>
      </x:c>
      <x:c r="F3051" s="38" t="n">
        <x:v>-0.1747235506</x:v>
      </x:c>
      <x:c r="G3051" s="38" t="n">
        <x:v>-1.0830752513</x:v>
      </x:c>
      <x:c r="H3051" s="42" t="b">
        <x:v>0</x:v>
      </x:c>
      <x:c r="I3051" s="42" t="b">
        <x:v>0</x:v>
      </x:c>
      <x:c r="J3051" s="38" t="n">
        <x:v>0.1288526247</x:v>
      </x:c>
    </x:row>
    <x:row r="3052" ht="19" customHeight="1">
      <x:c r="A3052" s="29" t="str">
        <x:v>stagger_1</x:v>
      </x:c>
      <x:c r="B3052" s="38" t="str">
        <x:v>JNJ</x:v>
      </x:c>
      <x:c r="C3052" s="38" t="str">
        <x:v>Other sectors</x:v>
      </x:c>
      <x:c r="D3052" s="30" t="n">
        <x:v>4</x:v>
      </x:c>
      <x:c r="E3052" s="38" t="str">
        <x:v>XLU</x:v>
      </x:c>
      <x:c r="F3052" s="38" t="n">
        <x:v>0.0979235006</x:v>
      </x:c>
      <x:c r="G3052" s="38" t="n">
        <x:v>0.7716609476</x:v>
      </x:c>
      <x:c r="H3052" s="42" t="b">
        <x:v>0</x:v>
      </x:c>
      <x:c r="I3052" s="42" t="b">
        <x:v>0</x:v>
      </x:c>
      <x:c r="J3052" s="38" t="n">
        <x:v>0.1288526247</x:v>
      </x:c>
    </x:row>
    <x:row r="3053" ht="19" customHeight="1">
      <x:c r="A3053" s="29" t="str">
        <x:v>stagger_1</x:v>
      </x:c>
      <x:c r="B3053" s="38" t="str">
        <x:v>JNJ</x:v>
      </x:c>
      <x:c r="C3053" s="38" t="str">
        <x:v>Other sectors</x:v>
      </x:c>
      <x:c r="D3053" s="30" t="n">
        <x:v>4</x:v>
      </x:c>
      <x:c r="E3053" s="38" t="str">
        <x:v>XLY</x:v>
      </x:c>
      <x:c r="F3053" s="38" t="n">
        <x:v>0.1444145208</x:v>
      </x:c>
      <x:c r="G3053" s="38" t="n">
        <x:v>0.9520104302</x:v>
      </x:c>
      <x:c r="H3053" s="42" t="b">
        <x:v>0</x:v>
      </x:c>
      <x:c r="I3053" s="42" t="b">
        <x:v>0</x:v>
      </x:c>
      <x:c r="J3053" s="38" t="n">
        <x:v>0.1288526247</x:v>
      </x:c>
    </x:row>
    <x:row r="3054" ht="19" customHeight="1">
      <x:c r="A3054" s="29" t="str">
        <x:v>stagger_1</x:v>
      </x:c>
      <x:c r="B3054" s="38" t="str">
        <x:v>JNJ</x:v>
      </x:c>
      <x:c r="C3054" s="38" t="str">
        <x:v>Other sectors</x:v>
      </x:c>
      <x:c r="D3054" s="30" t="n">
        <x:v>5</x:v>
      </x:c>
      <x:c r="E3054" s="38" t="str">
        <x:v>XLE</x:v>
      </x:c>
      <x:c r="F3054" s="38" t="n">
        <x:v>0.1215213857</x:v>
      </x:c>
      <x:c r="G3054" s="38" t="n">
        <x:v>1.9450194658</x:v>
      </x:c>
      <x:c r="H3054" s="42" t="b">
        <x:v>0</x:v>
      </x:c>
      <x:c r="I3054" s="42" t="b">
        <x:v>0</x:v>
      </x:c>
      <x:c r="J3054" s="38" t="n">
        <x:v>0.1281345143</x:v>
      </x:c>
    </x:row>
    <x:row r="3055" ht="19" customHeight="1">
      <x:c r="A3055" s="29" t="str">
        <x:v>stagger_1</x:v>
      </x:c>
      <x:c r="B3055" s="38" t="str">
        <x:v>JNJ</x:v>
      </x:c>
      <x:c r="C3055" s="38" t="str">
        <x:v>Other sectors</x:v>
      </x:c>
      <x:c r="D3055" s="30" t="n">
        <x:v>5</x:v>
      </x:c>
      <x:c r="E3055" s="38" t="str">
        <x:v>XLF</x:v>
      </x:c>
      <x:c r="F3055" s="38" t="n">
        <x:v>-0.1816583431</x:v>
      </x:c>
      <x:c r="G3055" s="38" t="n">
        <x:v>-1.2368179407</x:v>
      </x:c>
      <x:c r="H3055" s="42" t="b">
        <x:v>0</x:v>
      </x:c>
      <x:c r="I3055" s="42" t="b">
        <x:v>0</x:v>
      </x:c>
      <x:c r="J3055" s="38" t="n">
        <x:v>0.1281345143</x:v>
      </x:c>
    </x:row>
    <x:row r="3056" ht="19" customHeight="1">
      <x:c r="A3056" s="29" t="str">
        <x:v>stagger_1</x:v>
      </x:c>
      <x:c r="B3056" s="38" t="str">
        <x:v>JNJ</x:v>
      </x:c>
      <x:c r="C3056" s="38" t="str">
        <x:v>Other sectors</x:v>
      </x:c>
      <x:c r="D3056" s="30" t="n">
        <x:v>5</x:v>
      </x:c>
      <x:c r="E3056" s="38" t="str">
        <x:v>XLP</x:v>
      </x:c>
      <x:c r="F3056" s="38" t="n">
        <x:v>0.3036186356</x:v>
      </x:c>
      <x:c r="G3056" s="38" t="n">
        <x:v>1.7885992204</x:v>
      </x:c>
      <x:c r="H3056" s="42" t="b">
        <x:v>0</x:v>
      </x:c>
      <x:c r="I3056" s="42" t="b">
        <x:v>0</x:v>
      </x:c>
      <x:c r="J3056" s="38" t="n">
        <x:v>0.1281345143</x:v>
      </x:c>
    </x:row>
    <x:row r="3057" ht="19" customHeight="1">
      <x:c r="A3057" s="29" t="str">
        <x:v>stagger_1</x:v>
      </x:c>
      <x:c r="B3057" s="38" t="str">
        <x:v>JNJ</x:v>
      </x:c>
      <x:c r="C3057" s="38" t="str">
        <x:v>Other sectors</x:v>
      </x:c>
      <x:c r="D3057" s="30" t="n">
        <x:v>5</x:v>
      </x:c>
      <x:c r="E3057" s="38" t="str">
        <x:v>XLRE</x:v>
      </x:c>
      <x:c r="F3057" s="38" t="n">
        <x:v>-0.1789979499</x:v>
      </x:c>
      <x:c r="G3057" s="38" t="n">
        <x:v>-1.1234541496</x:v>
      </x:c>
      <x:c r="H3057" s="42" t="b">
        <x:v>0</x:v>
      </x:c>
      <x:c r="I3057" s="42" t="b">
        <x:v>0</x:v>
      </x:c>
      <x:c r="J3057" s="38" t="n">
        <x:v>0.1281345143</x:v>
      </x:c>
    </x:row>
    <x:row r="3058" ht="19" customHeight="1">
      <x:c r="A3058" s="29" t="str">
        <x:v>stagger_1</x:v>
      </x:c>
      <x:c r="B3058" s="38" t="str">
        <x:v>JNJ</x:v>
      </x:c>
      <x:c r="C3058" s="38" t="str">
        <x:v>Other sectors</x:v>
      </x:c>
      <x:c r="D3058" s="30" t="n">
        <x:v>5</x:v>
      </x:c>
      <x:c r="E3058" s="38" t="str">
        <x:v>XLU</x:v>
      </x:c>
      <x:c r="F3058" s="38" t="n">
        <x:v>0.1045035321</x:v>
      </x:c>
      <x:c r="G3058" s="38" t="n">
        <x:v>0.8483078186</x:v>
      </x:c>
      <x:c r="H3058" s="42" t="b">
        <x:v>1</x:v>
      </x:c>
      <x:c r="I3058" s="42" t="b">
        <x:v>0</x:v>
      </x:c>
      <x:c r="J3058" s="38" t="n">
        <x:v>0.1281345143</x:v>
      </x:c>
    </x:row>
    <x:row r="3059" ht="19" customHeight="1">
      <x:c r="A3059" s="29" t="str">
        <x:v>stagger_1</x:v>
      </x:c>
      <x:c r="B3059" s="38" t="str">
        <x:v>JNJ</x:v>
      </x:c>
      <x:c r="C3059" s="38" t="str">
        <x:v>Other sectors</x:v>
      </x:c>
      <x:c r="D3059" s="30" t="n">
        <x:v>5</x:v>
      </x:c>
      <x:c r="E3059" s="38" t="str">
        <x:v>XLY</x:v>
      </x:c>
      <x:c r="F3059" s="38" t="n">
        <x:v>0.1429140331</x:v>
      </x:c>
      <x:c r="G3059" s="38" t="n">
        <x:v>0.9490306542</x:v>
      </x:c>
      <x:c r="H3059" s="42" t="b">
        <x:v>0</x:v>
      </x:c>
      <x:c r="I3059" s="42" t="b">
        <x:v>0</x:v>
      </x:c>
      <x:c r="J3059" s="38" t="n">
        <x:v>0.1281345143</x:v>
      </x:c>
    </x:row>
    <x:row r="3060" ht="19" customHeight="1">
      <x:c r="A3060" s="29" t="str">
        <x:v>stagger_1</x:v>
      </x:c>
      <x:c r="B3060" s="38" t="str">
        <x:v>JNJ</x:v>
      </x:c>
      <x:c r="C3060" s="38" t="str">
        <x:v>Other sectors</x:v>
      </x:c>
      <x:c r="D3060" s="30" t="n">
        <x:v>6</x:v>
      </x:c>
      <x:c r="E3060" s="38" t="str">
        <x:v>XLE</x:v>
      </x:c>
      <x:c r="F3060" s="38" t="n">
        <x:v>0.1197922146</x:v>
      </x:c>
      <x:c r="G3060" s="38" t="n">
        <x:v>1.9220088755</x:v>
      </x:c>
      <x:c r="H3060" s="42" t="b">
        <x:v>0</x:v>
      </x:c>
      <x:c r="I3060" s="42" t="b">
        <x:v>0</x:v>
      </x:c>
      <x:c r="J3060" s="38" t="n">
        <x:v>0.119539758</x:v>
      </x:c>
    </x:row>
    <x:row r="3061" ht="19" customHeight="1">
      <x:c r="A3061" s="29" t="str">
        <x:v>stagger_1</x:v>
      </x:c>
      <x:c r="B3061" s="38" t="str">
        <x:v>JNJ</x:v>
      </x:c>
      <x:c r="C3061" s="38" t="str">
        <x:v>Other sectors</x:v>
      </x:c>
      <x:c r="D3061" s="30" t="n">
        <x:v>6</x:v>
      </x:c>
      <x:c r="E3061" s="38" t="str">
        <x:v>XLF</x:v>
      </x:c>
      <x:c r="F3061" s="38" t="n">
        <x:v>-0.1798879666</x:v>
      </x:c>
      <x:c r="G3061" s="38" t="n">
        <x:v>-1.2272150809</x:v>
      </x:c>
      <x:c r="H3061" s="42" t="b">
        <x:v>0</x:v>
      </x:c>
      <x:c r="I3061" s="42" t="b">
        <x:v>0</x:v>
      </x:c>
      <x:c r="J3061" s="38" t="n">
        <x:v>0.119539758</x:v>
      </x:c>
    </x:row>
    <x:row r="3062" ht="19" customHeight="1">
      <x:c r="A3062" s="29" t="str">
        <x:v>stagger_1</x:v>
      </x:c>
      <x:c r="B3062" s="38" t="str">
        <x:v>JNJ</x:v>
      </x:c>
      <x:c r="C3062" s="38" t="str">
        <x:v>Other sectors</x:v>
      </x:c>
      <x:c r="D3062" s="30" t="n">
        <x:v>6</x:v>
      </x:c>
      <x:c r="E3062" s="38" t="str">
        <x:v>XLP</x:v>
      </x:c>
      <x:c r="F3062" s="38" t="n">
        <x:v>0.3455315236</x:v>
      </x:c>
      <x:c r="G3062" s="38" t="n">
        <x:v>2.1316616943</x:v>
      </x:c>
      <x:c r="H3062" s="42" t="b">
        <x:v>0</x:v>
      </x:c>
      <x:c r="I3062" s="42" t="b">
        <x:v>0</x:v>
      </x:c>
      <x:c r="J3062" s="38" t="n">
        <x:v>0.119539758</x:v>
      </x:c>
    </x:row>
    <x:row r="3063" ht="19" customHeight="1">
      <x:c r="A3063" s="29" t="str">
        <x:v>stagger_1</x:v>
      </x:c>
      <x:c r="B3063" s="38" t="str">
        <x:v>JNJ</x:v>
      </x:c>
      <x:c r="C3063" s="38" t="str">
        <x:v>Other sectors</x:v>
      </x:c>
      <x:c r="D3063" s="30" t="n">
        <x:v>6</x:v>
      </x:c>
      <x:c r="E3063" s="38" t="str">
        <x:v>XLRE</x:v>
      </x:c>
      <x:c r="F3063" s="38" t="n">
        <x:v>-0.1355791431</x:v>
      </x:c>
      <x:c r="G3063" s="38" t="n">
        <x:v>-0.9002761435</x:v>
      </x:c>
      <x:c r="H3063" s="42" t="b">
        <x:v>0</x:v>
      </x:c>
      <x:c r="I3063" s="42" t="b">
        <x:v>0</x:v>
      </x:c>
      <x:c r="J3063" s="38" t="n">
        <x:v>0.119539758</x:v>
      </x:c>
    </x:row>
    <x:row r="3064" ht="19" customHeight="1">
      <x:c r="A3064" s="29" t="str">
        <x:v>stagger_1</x:v>
      </x:c>
      <x:c r="B3064" s="38" t="str">
        <x:v>JNJ</x:v>
      </x:c>
      <x:c r="C3064" s="38" t="str">
        <x:v>Other sectors</x:v>
      </x:c>
      <x:c r="D3064" s="30" t="n">
        <x:v>6</x:v>
      </x:c>
      <x:c r="E3064" s="38" t="str">
        <x:v>XLY</x:v>
      </x:c>
      <x:c r="F3064" s="38" t="n">
        <x:v>0.1337904375</x:v>
      </x:c>
      <x:c r="G3064" s="38" t="n">
        <x:v>0.8924115649</x:v>
      </x:c>
      <x:c r="H3064" s="42" t="b">
        <x:v>1</x:v>
      </x:c>
      <x:c r="I3064" s="42" t="b">
        <x:v>0</x:v>
      </x:c>
      <x:c r="J3064" s="38" t="n">
        <x:v>0.119539758</x:v>
      </x:c>
    </x:row>
    <x:row r="3065" ht="19" customHeight="1">
      <x:c r="A3065" s="29" t="str">
        <x:v>stagger_1</x:v>
      </x:c>
      <x:c r="B3065" s="38" t="str">
        <x:v>JNJ</x:v>
      </x:c>
      <x:c r="C3065" s="38" t="str">
        <x:v>Other sectors</x:v>
      </x:c>
      <x:c r="D3065" s="30" t="n">
        <x:v>7</x:v>
      </x:c>
      <x:c r="E3065" s="38" t="str">
        <x:v>XLE</x:v>
      </x:c>
      <x:c r="F3065" s="38" t="n">
        <x:v>0.1063877341</x:v>
      </x:c>
      <x:c r="G3065" s="38" t="n">
        <x:v>1.7611710099</x:v>
      </x:c>
      <x:c r="H3065" s="42" t="b">
        <x:v>0</x:v>
      </x:c>
      <x:c r="I3065" s="42" t="b">
        <x:v>0</x:v>
      </x:c>
      <x:c r="J3065" s="38" t="n">
        <x:v>0.1100641212</x:v>
      </x:c>
    </x:row>
    <x:row r="3066" ht="19" customHeight="1">
      <x:c r="A3066" s="29" t="str">
        <x:v>stagger_1</x:v>
      </x:c>
      <x:c r="B3066" s="38" t="str">
        <x:v>JNJ</x:v>
      </x:c>
      <x:c r="C3066" s="38" t="str">
        <x:v>Other sectors</x:v>
      </x:c>
      <x:c r="D3066" s="30" t="n">
        <x:v>7</x:v>
      </x:c>
      <x:c r="E3066" s="38" t="str">
        <x:v>XLF</x:v>
      </x:c>
      <x:c r="F3066" s="38" t="n">
        <x:v>-0.1831511417</x:v>
      </x:c>
      <x:c r="G3066" s="38" t="n">
        <x:v>-1.2515657179</x:v>
      </x:c>
      <x:c r="H3066" s="42" t="b">
        <x:v>0</x:v>
      </x:c>
      <x:c r="I3066" s="42" t="b">
        <x:v>0</x:v>
      </x:c>
      <x:c r="J3066" s="38" t="n">
        <x:v>0.1100641212</x:v>
      </x:c>
    </x:row>
    <x:row r="3067" ht="19" customHeight="1">
      <x:c r="A3067" s="29" t="str">
        <x:v>stagger_1</x:v>
      </x:c>
      <x:c r="B3067" s="38" t="str">
        <x:v>JNJ</x:v>
      </x:c>
      <x:c r="C3067" s="38" t="str">
        <x:v>Other sectors</x:v>
      </x:c>
      <x:c r="D3067" s="30" t="n">
        <x:v>7</x:v>
      </x:c>
      <x:c r="E3067" s="38" t="str">
        <x:v>XLP</x:v>
      </x:c>
      <x:c r="F3067" s="38" t="n">
        <x:v>0.3154155414</x:v>
      </x:c>
      <x:c r="G3067" s="38" t="n">
        <x:v>1.9921681401</x:v>
      </x:c>
      <x:c r="H3067" s="42" t="b">
        <x:v>0</x:v>
      </x:c>
      <x:c r="I3067" s="42" t="b">
        <x:v>0</x:v>
      </x:c>
      <x:c r="J3067" s="38" t="n">
        <x:v>0.1100641212</x:v>
      </x:c>
    </x:row>
    <x:row r="3068" ht="19" customHeight="1">
      <x:c r="A3068" s="29" t="str">
        <x:v>stagger_1</x:v>
      </x:c>
      <x:c r="B3068" s="38" t="str">
        <x:v>JNJ</x:v>
      </x:c>
      <x:c r="C3068" s="38" t="str">
        <x:v>Other sectors</x:v>
      </x:c>
      <x:c r="D3068" s="30" t="n">
        <x:v>7</x:v>
      </x:c>
      <x:c r="E3068" s="38" t="str">
        <x:v>XLRE</x:v>
      </x:c>
      <x:c r="F3068" s="38" t="n">
        <x:v>-0.1032044535</x:v>
      </x:c>
      <x:c r="G3068" s="38" t="n">
        <x:v>-0.7070544553</x:v>
      </x:c>
      <x:c r="H3068" s="42" t="b">
        <x:v>1</x:v>
      </x:c>
      <x:c r="I3068" s="42" t="b">
        <x:v>0</x:v>
      </x:c>
      <x:c r="J3068" s="38" t="n">
        <x:v>0.1100641212</x:v>
      </x:c>
    </x:row>
    <x:row r="3069" ht="19" customHeight="1">
      <x:c r="A3069" s="29" t="str">
        <x:v>stagger_1</x:v>
      </x:c>
      <x:c r="B3069" s="38" t="str">
        <x:v>JNJ</x:v>
      </x:c>
      <x:c r="C3069" s="38" t="str">
        <x:v>Other sectors</x:v>
      </x:c>
      <x:c r="D3069" s="30" t="n">
        <x:v>8</x:v>
      </x:c>
      <x:c r="E3069" s="38" t="str">
        <x:v>XLE</x:v>
      </x:c>
      <x:c r="F3069" s="38" t="n">
        <x:v>0.1058122707</x:v>
      </x:c>
      <x:c r="G3069" s="38" t="n">
        <x:v>1.7575956088</x:v>
      </x:c>
      <x:c r="H3069" s="42" t="b">
        <x:v>0</x:v>
      </x:c>
      <x:c r="I3069" s="42" t="b">
        <x:v>0</x:v>
      </x:c>
      <x:c r="J3069" s="38" t="n">
        <x:v>0.1041320933</x:v>
      </x:c>
    </x:row>
    <x:row r="3070" ht="19" customHeight="1">
      <x:c r="A3070" s="29" t="str">
        <x:v>stagger_1</x:v>
      </x:c>
      <x:c r="B3070" s="38" t="str">
        <x:v>JNJ</x:v>
      </x:c>
      <x:c r="C3070" s="38" t="str">
        <x:v>Other sectors</x:v>
      </x:c>
      <x:c r="D3070" s="30" t="n">
        <x:v>8</x:v>
      </x:c>
      <x:c r="E3070" s="38" t="str">
        <x:v>XLF</x:v>
      </x:c>
      <x:c r="F3070" s="38" t="n">
        <x:v>-0.2086114954</x:v>
      </x:c>
      <x:c r="G3070" s="38" t="n">
        <x:v>-1.4756347273</x:v>
      </x:c>
      <x:c r="H3070" s="42" t="b">
        <x:v>1</x:v>
      </x:c>
      <x:c r="I3070" s="42" t="b">
        <x:v>0</x:v>
      </x:c>
      <x:c r="J3070" s="38" t="n">
        <x:v>0.1041320933</x:v>
      </x:c>
    </x:row>
    <x:row r="3071" ht="19" customHeight="1">
      <x:c r="A3071" s="29" t="str">
        <x:v>stagger_1</x:v>
      </x:c>
      <x:c r="B3071" s="38" t="str">
        <x:v>JNJ</x:v>
      </x:c>
      <x:c r="C3071" s="38" t="str">
        <x:v>Other sectors</x:v>
      </x:c>
      <x:c r="D3071" s="30" t="n">
        <x:v>8</x:v>
      </x:c>
      <x:c r="E3071" s="38" t="str">
        <x:v>XLP</x:v>
      </x:c>
      <x:c r="F3071" s="38" t="n">
        <x:v>0.2523584585</x:v>
      </x:c>
      <x:c r="G3071" s="38" t="n">
        <x:v>1.9354153484</x:v>
      </x:c>
      <x:c r="H3071" s="42" t="b">
        <x:v>0</x:v>
      </x:c>
      <x:c r="I3071" s="42" t="b">
        <x:v>0</x:v>
      </x:c>
      <x:c r="J3071" s="38" t="n">
        <x:v>0.1041320933</x:v>
      </x:c>
    </x:row>
    <x:row r="3072" ht="19" customHeight="1">
      <x:c r="A3072" s="29" t="str">
        <x:v>stagger_1</x:v>
      </x:c>
      <x:c r="B3072" s="38" t="str">
        <x:v>JNJ</x:v>
      </x:c>
      <x:c r="C3072" s="38" t="str">
        <x:v>Other sectors</x:v>
      </x:c>
      <x:c r="D3072" s="30" t="n">
        <x:v>9</x:v>
      </x:c>
      <x:c r="E3072" s="38" t="str">
        <x:v>XLE</x:v>
      </x:c>
      <x:c r="F3072" s="38" t="n">
        <x:v>0.0818168042</x:v>
      </x:c>
      <x:c r="G3072" s="38" t="n">
        <x:v>1.4008123384</x:v>
      </x:c>
      <x:c r="H3072" s="42" t="b">
        <x:v>1</x:v>
      </x:c>
      <x:c r="I3072" s="42" t="b">
        <x:v>0</x:v>
      </x:c>
      <x:c r="J3072" s="38" t="n">
        <x:v>0.0784643244</x:v>
      </x:c>
    </x:row>
    <x:row r="3073" ht="19" customHeight="1">
      <x:c r="A3073" s="29" t="str">
        <x:v>stagger_1</x:v>
      </x:c>
      <x:c r="B3073" s="38" t="str">
        <x:v>JNJ</x:v>
      </x:c>
      <x:c r="C3073" s="38" t="str">
        <x:v>Other sectors</x:v>
      </x:c>
      <x:c r="D3073" s="30" t="n">
        <x:v>9</x:v>
      </x:c>
      <x:c r="E3073" s="38" t="str">
        <x:v>XLP</x:v>
      </x:c>
      <x:c r="F3073" s="38" t="n">
        <x:v>0.2551939402</x:v>
      </x:c>
      <x:c r="G3073" s="38" t="n">
        <x:v>1.9425773287</x:v>
      </x:c>
      <x:c r="H3073" s="42" t="b">
        <x:v>0</x:v>
      </x:c>
      <x:c r="I3073" s="42" t="b">
        <x:v>0</x:v>
      </x:c>
      <x:c r="J3073" s="38" t="n">
        <x:v>0.0784643244</x:v>
      </x:c>
    </x:row>
    <x:row r="3074" ht="19" customHeight="1">
      <x:c r="A3074" s="29" t="str">
        <x:v>stagger_1</x:v>
      </x:c>
      <x:c r="B3074" s="38" t="str">
        <x:v>JNJ</x:v>
      </x:c>
      <x:c r="C3074" s="38" t="str">
        <x:v>Other sectors</x:v>
      </x:c>
      <x:c r="D3074" s="30" t="n">
        <x:v>10</x:v>
      </x:c>
      <x:c r="E3074" s="38" t="str">
        <x:v>XLP</x:v>
      </x:c>
      <x:c r="F3074" s="38" t="n">
        <x:v>0.279168135</x:v>
      </x:c>
      <x:c r="G3074" s="38" t="n">
        <x:v>2.1302394807</x:v>
      </x:c>
      <x:c r="H3074" s="42" t="b">
        <x:v>0</x:v>
      </x:c>
      <x:c r="I3074" s="42" t="b">
        <x:v>1</x:v>
      </x:c>
      <x:c r="J3074" s="38" t="n">
        <x:v>0.054979823</x:v>
      </x:c>
    </x:row>
    <x:row r="3075" ht="19" customHeight="1">
      <x:c r="A3075" s="29" t="str">
        <x:v>stagger_1</x:v>
      </x:c>
      <x:c r="B3075" s="38" t="str">
        <x:v>BRK-B</x:v>
      </x:c>
      <x:c r="C3075" s="38" t="str">
        <x:v>Other FX</x:v>
      </x:c>
      <x:c r="D3075" s="30" t="n">
        <x:v>1</x:v>
      </x:c>
      <x:c r="E3075" s="38" t="str">
        <x:v>AUD/USD</x:v>
      </x:c>
      <x:c r="F3075" s="38" t="n">
        <x:v>0.2770743628</x:v>
      </x:c>
      <x:c r="G3075" s="38" t="n">
        <x:v>0.8459009554</x:v>
      </x:c>
      <x:c r="H3075" s="42" t="b">
        <x:v>0</x:v>
      </x:c>
      <x:c r="I3075" s="42" t="b">
        <x:v>0</x:v>
      </x:c>
      <x:c r="J3075" s="38" t="n">
        <x:v>0.1612680295</x:v>
      </x:c>
    </x:row>
    <x:row r="3076" ht="19" customHeight="1">
      <x:c r="A3076" s="29" t="str">
        <x:v>stagger_1</x:v>
      </x:c>
      <x:c r="B3076" s="38" t="str">
        <x:v>BRK-B</x:v>
      </x:c>
      <x:c r="C3076" s="38" t="str">
        <x:v>Other FX</x:v>
      </x:c>
      <x:c r="D3076" s="30" t="n">
        <x:v>1</x:v>
      </x:c>
      <x:c r="E3076" s="38" t="str">
        <x:v>CAD/USD</x:v>
      </x:c>
      <x:c r="F3076" s="38" t="n">
        <x:v>0.0243554951</x:v>
      </x:c>
      <x:c r="G3076" s="38" t="n">
        <x:v>0.0615767335</x:v>
      </x:c>
      <x:c r="H3076" s="42" t="b">
        <x:v>1</x:v>
      </x:c>
      <x:c r="I3076" s="42" t="b">
        <x:v>0</x:v>
      </x:c>
      <x:c r="J3076" s="38" t="n">
        <x:v>0.1612680295</x:v>
      </x:c>
    </x:row>
    <x:row r="3077" ht="19" customHeight="1">
      <x:c r="A3077" s="29" t="str">
        <x:v>stagger_1</x:v>
      </x:c>
      <x:c r="B3077" s="38" t="str">
        <x:v>BRK-B</x:v>
      </x:c>
      <x:c r="C3077" s="38" t="str">
        <x:v>Other FX</x:v>
      </x:c>
      <x:c r="D3077" s="30" t="n">
        <x:v>1</x:v>
      </x:c>
      <x:c r="E3077" s="38" t="str">
        <x:v>DKK/USD</x:v>
      </x:c>
      <x:c r="F3077" s="38" t="n">
        <x:v>-3.9126240208</x:v>
      </x:c>
      <x:c r="G3077" s="38" t="n">
        <x:v>-1.4209109667</x:v>
      </x:c>
      <x:c r="H3077" s="42" t="b">
        <x:v>0</x:v>
      </x:c>
      <x:c r="I3077" s="42" t="b">
        <x:v>0</x:v>
      </x:c>
      <x:c r="J3077" s="38" t="n">
        <x:v>0.1612680295</x:v>
      </x:c>
    </x:row>
    <x:row r="3078" ht="19" customHeight="1">
      <x:c r="A3078" s="29" t="str">
        <x:v>stagger_1</x:v>
      </x:c>
      <x:c r="B3078" s="38" t="str">
        <x:v>BRK-B</x:v>
      </x:c>
      <x:c r="C3078" s="38" t="str">
        <x:v>Other FX</x:v>
      </x:c>
      <x:c r="D3078" s="30" t="n">
        <x:v>1</x:v>
      </x:c>
      <x:c r="E3078" s="38" t="str">
        <x:v>EUR/USD</x:v>
      </x:c>
      <x:c r="F3078" s="38" t="n">
        <x:v>3.9004138957</x:v>
      </x:c>
      <x:c r="G3078" s="38" t="n">
        <x:v>1.5485488642</x:v>
      </x:c>
      <x:c r="H3078" s="42" t="b">
        <x:v>0</x:v>
      </x:c>
      <x:c r="I3078" s="42" t="b">
        <x:v>0</x:v>
      </x:c>
      <x:c r="J3078" s="38" t="n">
        <x:v>0.1612680295</x:v>
      </x:c>
    </x:row>
    <x:row r="3079" ht="19" customHeight="1">
      <x:c r="A3079" s="29" t="str">
        <x:v>stagger_1</x:v>
      </x:c>
      <x:c r="B3079" s="38" t="str">
        <x:v>BRK-B</x:v>
      </x:c>
      <x:c r="C3079" s="38" t="str">
        <x:v>Other FX</x:v>
      </x:c>
      <x:c r="D3079" s="30" t="n">
        <x:v>1</x:v>
      </x:c>
      <x:c r="E3079" s="38" t="str">
        <x:v>MXN/USD</x:v>
      </x:c>
      <x:c r="F3079" s="38" t="n">
        <x:v>0.3341678026</x:v>
      </x:c>
      <x:c r="G3079" s="38" t="n">
        <x:v>1.5924609237</x:v>
      </x:c>
      <x:c r="H3079" s="42" t="b">
        <x:v>0</x:v>
      </x:c>
      <x:c r="I3079" s="42" t="b">
        <x:v>0</x:v>
      </x:c>
      <x:c r="J3079" s="38" t="n">
        <x:v>0.1612680295</x:v>
      </x:c>
    </x:row>
    <x:row r="3080" ht="19" customHeight="1">
      <x:c r="A3080" s="29" t="str">
        <x:v>stagger_1</x:v>
      </x:c>
      <x:c r="B3080" s="38" t="str">
        <x:v>BRK-B</x:v>
      </x:c>
      <x:c r="C3080" s="38" t="str">
        <x:v>Other FX</x:v>
      </x:c>
      <x:c r="D3080" s="30" t="n">
        <x:v>1</x:v>
      </x:c>
      <x:c r="E3080" s="38" t="str">
        <x:v>SGD/USD</x:v>
      </x:c>
      <x:c r="F3080" s="38" t="n">
        <x:v>0.3563159984</x:v>
      </x:c>
      <x:c r="G3080" s="38" t="n">
        <x:v>0.4492923013</x:v>
      </x:c>
      <x:c r="H3080" s="42" t="b">
        <x:v>0</x:v>
      </x:c>
      <x:c r="I3080" s="42" t="b">
        <x:v>0</x:v>
      </x:c>
      <x:c r="J3080" s="38" t="n">
        <x:v>0.1612680295</x:v>
      </x:c>
    </x:row>
    <x:row r="3081" ht="19" customHeight="1">
      <x:c r="A3081" s="29" t="str">
        <x:v>stagger_1</x:v>
      </x:c>
      <x:c r="B3081" s="38" t="str">
        <x:v>BRK-B</x:v>
      </x:c>
      <x:c r="C3081" s="38" t="str">
        <x:v>Other FX</x:v>
      </x:c>
      <x:c r="D3081" s="30" t="n">
        <x:v>2</x:v>
      </x:c>
      <x:c r="E3081" s="38" t="str">
        <x:v>AUD/USD</x:v>
      </x:c>
      <x:c r="F3081" s="38" t="n">
        <x:v>0.2819824275</x:v>
      </x:c>
      <x:c r="G3081" s="38" t="n">
        <x:v>0.8936001551</x:v>
      </x:c>
      <x:c r="H3081" s="42" t="b">
        <x:v>0</x:v>
      </x:c>
      <x:c r="I3081" s="42" t="b">
        <x:v>0</x:v>
      </x:c>
      <x:c r="J3081" s="38" t="n">
        <x:v>0.1612244649</x:v>
      </x:c>
    </x:row>
    <x:row r="3082" ht="19" customHeight="1">
      <x:c r="A3082" s="29" t="str">
        <x:v>stagger_1</x:v>
      </x:c>
      <x:c r="B3082" s="38" t="str">
        <x:v>BRK-B</x:v>
      </x:c>
      <x:c r="C3082" s="38" t="str">
        <x:v>Other FX</x:v>
      </x:c>
      <x:c r="D3082" s="30" t="n">
        <x:v>2</x:v>
      </x:c>
      <x:c r="E3082" s="38" t="str">
        <x:v>DKK/USD</x:v>
      </x:c>
      <x:c r="F3082" s="38" t="n">
        <x:v>-3.8957523086</x:v>
      </x:c>
      <x:c r="G3082" s="38" t="n">
        <x:v>-1.4315085413</x:v>
      </x:c>
      <x:c r="H3082" s="42" t="b">
        <x:v>0</x:v>
      </x:c>
      <x:c r="I3082" s="42" t="b">
        <x:v>0</x:v>
      </x:c>
      <x:c r="J3082" s="38" t="n">
        <x:v>0.1612244649</x:v>
      </x:c>
    </x:row>
    <x:row r="3083" ht="19" customHeight="1">
      <x:c r="A3083" s="29" t="str">
        <x:v>stagger_1</x:v>
      </x:c>
      <x:c r="B3083" s="38" t="str">
        <x:v>BRK-B</x:v>
      </x:c>
      <x:c r="C3083" s="38" t="str">
        <x:v>Other FX</x:v>
      </x:c>
      <x:c r="D3083" s="30" t="n">
        <x:v>2</x:v>
      </x:c>
      <x:c r="E3083" s="38" t="str">
        <x:v>EUR/USD</x:v>
      </x:c>
      <x:c r="F3083" s="38" t="n">
        <x:v>3.8909952837</x:v>
      </x:c>
      <x:c r="G3083" s="38" t="n">
        <x:v>1.5581897868</x:v>
      </x:c>
      <x:c r="H3083" s="42" t="b">
        <x:v>0</x:v>
      </x:c>
      <x:c r="I3083" s="42" t="b">
        <x:v>0</x:v>
      </x:c>
      <x:c r="J3083" s="38" t="n">
        <x:v>0.1612244649</x:v>
      </x:c>
    </x:row>
    <x:row r="3084" ht="19" customHeight="1">
      <x:c r="A3084" s="29" t="str">
        <x:v>stagger_1</x:v>
      </x:c>
      <x:c r="B3084" s="38" t="str">
        <x:v>BRK-B</x:v>
      </x:c>
      <x:c r="C3084" s="38" t="str">
        <x:v>Other FX</x:v>
      </x:c>
      <x:c r="D3084" s="30" t="n">
        <x:v>2</x:v>
      </x:c>
      <x:c r="E3084" s="38" t="str">
        <x:v>MXN/USD</x:v>
      </x:c>
      <x:c r="F3084" s="38" t="n">
        <x:v>0.3339090739</x:v>
      </x:c>
      <x:c r="G3084" s="38" t="n">
        <x:v>1.6023693573</x:v>
      </x:c>
      <x:c r="H3084" s="42" t="b">
        <x:v>0</x:v>
      </x:c>
      <x:c r="I3084" s="42" t="b">
        <x:v>0</x:v>
      </x:c>
      <x:c r="J3084" s="38" t="n">
        <x:v>0.1612244649</x:v>
      </x:c>
    </x:row>
    <x:row r="3085" ht="19" customHeight="1">
      <x:c r="A3085" s="29" t="str">
        <x:v>stagger_1</x:v>
      </x:c>
      <x:c r="B3085" s="38" t="str">
        <x:v>BRK-B</x:v>
      </x:c>
      <x:c r="C3085" s="38" t="str">
        <x:v>Other FX</x:v>
      </x:c>
      <x:c r="D3085" s="30" t="n">
        <x:v>2</x:v>
      </x:c>
      <x:c r="E3085" s="38" t="str">
        <x:v>SGD/USD</x:v>
      </x:c>
      <x:c r="F3085" s="38" t="n">
        <x:v>0.3564356422</x:v>
      </x:c>
      <x:c r="G3085" s="38" t="n">
        <x:v>0.4525006783</x:v>
      </x:c>
      <x:c r="H3085" s="42" t="b">
        <x:v>1</x:v>
      </x:c>
      <x:c r="I3085" s="42" t="b">
        <x:v>0</x:v>
      </x:c>
      <x:c r="J3085" s="38" t="n">
        <x:v>0.1612244649</x:v>
      </x:c>
    </x:row>
    <x:row r="3086" ht="19" customHeight="1">
      <x:c r="A3086" s="29" t="str">
        <x:v>stagger_1</x:v>
      </x:c>
      <x:c r="B3086" s="38" t="str">
        <x:v>BRK-B</x:v>
      </x:c>
      <x:c r="C3086" s="38" t="str">
        <x:v>Other FX</x:v>
      </x:c>
      <x:c r="D3086" s="30" t="n">
        <x:v>3</x:v>
      </x:c>
      <x:c r="E3086" s="38" t="str">
        <x:v>AUD/USD</x:v>
      </x:c>
      <x:c r="F3086" s="38" t="n">
        <x:v>0.3502644403</x:v>
      </x:c>
      <x:c r="G3086" s="38" t="n">
        <x:v>1.2706120679</x:v>
      </x:c>
      <x:c r="H3086" s="42" t="b">
        <x:v>1</x:v>
      </x:c>
      <x:c r="I3086" s="42" t="b">
        <x:v>0</x:v>
      </x:c>
      <x:c r="J3086" s="38" t="n">
        <x:v>0.1589035859</x:v>
      </x:c>
    </x:row>
    <x:row r="3087" ht="19" customHeight="1">
      <x:c r="A3087" s="29" t="str">
        <x:v>stagger_1</x:v>
      </x:c>
      <x:c r="B3087" s="38" t="str">
        <x:v>BRK-B</x:v>
      </x:c>
      <x:c r="C3087" s="38" t="str">
        <x:v>Other FX</x:v>
      </x:c>
      <x:c r="D3087" s="30" t="n">
        <x:v>3</x:v>
      </x:c>
      <x:c r="E3087" s="38" t="str">
        <x:v>DKK/USD</x:v>
      </x:c>
      <x:c r="F3087" s="38" t="n">
        <x:v>-3.4200798339</x:v>
      </x:c>
      <x:c r="G3087" s="38" t="n">
        <x:v>-1.3697493185</x:v>
      </x:c>
      <x:c r="H3087" s="42" t="b">
        <x:v>0</x:v>
      </x:c>
      <x:c r="I3087" s="42" t="b">
        <x:v>0</x:v>
      </x:c>
      <x:c r="J3087" s="38" t="n">
        <x:v>0.1589035859</x:v>
      </x:c>
    </x:row>
    <x:row r="3088" ht="19" customHeight="1">
      <x:c r="A3088" s="29" t="str">
        <x:v>stagger_1</x:v>
      </x:c>
      <x:c r="B3088" s="38" t="str">
        <x:v>BRK-B</x:v>
      </x:c>
      <x:c r="C3088" s="38" t="str">
        <x:v>Other FX</x:v>
      </x:c>
      <x:c r="D3088" s="30" t="n">
        <x:v>3</x:v>
      </x:c>
      <x:c r="E3088" s="38" t="str">
        <x:v>EUR/USD</x:v>
      </x:c>
      <x:c r="F3088" s="38" t="n">
        <x:v>3.5534333992</x:v>
      </x:c>
      <x:c r="G3088" s="38" t="n">
        <x:v>1.4990702614</x:v>
      </x:c>
      <x:c r="H3088" s="42" t="b">
        <x:v>0</x:v>
      </x:c>
      <x:c r="I3088" s="42" t="b">
        <x:v>0</x:v>
      </x:c>
      <x:c r="J3088" s="38" t="n">
        <x:v>0.1589035859</x:v>
      </x:c>
    </x:row>
    <x:row r="3089" ht="19" customHeight="1">
      <x:c r="A3089" s="29" t="str">
        <x:v>stagger_1</x:v>
      </x:c>
      <x:c r="B3089" s="38" t="str">
        <x:v>BRK-B</x:v>
      </x:c>
      <x:c r="C3089" s="38" t="str">
        <x:v>Other FX</x:v>
      </x:c>
      <x:c r="D3089" s="30" t="n">
        <x:v>3</x:v>
      </x:c>
      <x:c r="E3089" s="38" t="str">
        <x:v>MXN/USD</x:v>
      </x:c>
      <x:c r="F3089" s="38" t="n">
        <x:v>0.3237601807</x:v>
      </x:c>
      <x:c r="G3089" s="38" t="n">
        <x:v>1.57109618</x:v>
      </x:c>
      <x:c r="H3089" s="42" t="b">
        <x:v>0</x:v>
      </x:c>
      <x:c r="I3089" s="42" t="b">
        <x:v>0</x:v>
      </x:c>
      <x:c r="J3089" s="38" t="n">
        <x:v>0.1589035859</x:v>
      </x:c>
    </x:row>
    <x:row r="3090" ht="19" customHeight="1">
      <x:c r="A3090" s="29" t="str">
        <x:v>stagger_1</x:v>
      </x:c>
      <x:c r="B3090" s="38" t="str">
        <x:v>BRK-B</x:v>
      </x:c>
      <x:c r="C3090" s="38" t="str">
        <x:v>Other FX</x:v>
      </x:c>
      <x:c r="D3090" s="30" t="n">
        <x:v>4</x:v>
      </x:c>
      <x:c r="E3090" s="38" t="str">
        <x:v>DKK/USD</x:v>
      </x:c>
      <x:c r="F3090" s="38" t="n">
        <x:v>-2.6172998252</x:v>
      </x:c>
      <x:c r="G3090" s="38" t="n">
        <x:v>-1.0791419392</x:v>
      </x:c>
      <x:c r="H3090" s="42" t="b">
        <x:v>1</x:v>
      </x:c>
      <x:c r="I3090" s="42" t="b">
        <x:v>0</x:v>
      </x:c>
      <x:c r="J3090" s="38" t="n">
        <x:v>0.1407980881</x:v>
      </x:c>
    </x:row>
    <x:row r="3091" ht="19" customHeight="1">
      <x:c r="A3091" s="29" t="str">
        <x:v>stagger_1</x:v>
      </x:c>
      <x:c r="B3091" s="38" t="str">
        <x:v>BRK-B</x:v>
      </x:c>
      <x:c r="C3091" s="38" t="str">
        <x:v>Other FX</x:v>
      </x:c>
      <x:c r="D3091" s="30" t="n">
        <x:v>4</x:v>
      </x:c>
      <x:c r="E3091" s="38" t="str">
        <x:v>EUR/USD</x:v>
      </x:c>
      <x:c r="F3091" s="38" t="n">
        <x:v>2.9942608284</x:v>
      </x:c>
      <x:c r="G3091" s="38" t="n">
        <x:v>1.2803582115</x:v>
      </x:c>
      <x:c r="H3091" s="42" t="b">
        <x:v>0</x:v>
      </x:c>
      <x:c r="I3091" s="42" t="b">
        <x:v>0</x:v>
      </x:c>
      <x:c r="J3091" s="38" t="n">
        <x:v>0.1407980881</x:v>
      </x:c>
    </x:row>
    <x:row r="3092" ht="19" customHeight="1">
      <x:c r="A3092" s="29" t="str">
        <x:v>stagger_1</x:v>
      </x:c>
      <x:c r="B3092" s="38" t="str">
        <x:v>BRK-B</x:v>
      </x:c>
      <x:c r="C3092" s="38" t="str">
        <x:v>Other FX</x:v>
      </x:c>
      <x:c r="D3092" s="30" t="n">
        <x:v>4</x:v>
      </x:c>
      <x:c r="E3092" s="38" t="str">
        <x:v>MXN/USD</x:v>
      </x:c>
      <x:c r="F3092" s="38" t="n">
        <x:v>0.3648024933</x:v>
      </x:c>
      <x:c r="G3092" s="38" t="n">
        <x:v>1.7852145166</x:v>
      </x:c>
      <x:c r="H3092" s="42" t="b">
        <x:v>0</x:v>
      </x:c>
      <x:c r="I3092" s="42" t="b">
        <x:v>0</x:v>
      </x:c>
      <x:c r="J3092" s="38" t="n">
        <x:v>0.1407980881</x:v>
      </x:c>
    </x:row>
    <x:row r="3093" ht="19" customHeight="1">
      <x:c r="A3093" s="29" t="str">
        <x:v>stagger_1</x:v>
      </x:c>
      <x:c r="B3093" s="38" t="str">
        <x:v>BRK-B</x:v>
      </x:c>
      <x:c r="C3093" s="38" t="str">
        <x:v>Other FX</x:v>
      </x:c>
      <x:c r="D3093" s="30" t="n">
        <x:v>5</x:v>
      </x:c>
      <x:c r="E3093" s="38" t="str">
        <x:v>EUR/USD</x:v>
      </x:c>
      <x:c r="F3093" s="38" t="n">
        <x:v>0.4876982279</x:v>
      </x:c>
      <x:c r="G3093" s="38" t="n">
        <x:v>1.790909803</x:v>
      </x:c>
      <x:c r="H3093" s="42" t="b">
        <x:v>0</x:v>
      </x:c>
      <x:c r="I3093" s="42" t="b">
        <x:v>0</x:v>
      </x:c>
      <x:c r="J3093" s="38" t="n">
        <x:v>0.1276325449</x:v>
      </x:c>
    </x:row>
    <x:row r="3094" ht="19" customHeight="1">
      <x:c r="A3094" s="29" t="str">
        <x:v>stagger_1</x:v>
      </x:c>
      <x:c r="B3094" s="38" t="str">
        <x:v>BRK-B</x:v>
      </x:c>
      <x:c r="C3094" s="38" t="str">
        <x:v>Other FX</x:v>
      </x:c>
      <x:c r="D3094" s="30" t="n">
        <x:v>5</x:v>
      </x:c>
      <x:c r="E3094" s="38" t="str">
        <x:v>MXN/USD</x:v>
      </x:c>
      <x:c r="F3094" s="38" t="n">
        <x:v>0.29009485</x:v>
      </x:c>
      <x:c r="G3094" s="38" t="n">
        <x:v>1.5072373884</x:v>
      </x:c>
      <x:c r="H3094" s="42" t="b">
        <x:v>1</x:v>
      </x:c>
      <x:c r="I3094" s="42" t="b">
        <x:v>0</x:v>
      </x:c>
      <x:c r="J3094" s="38" t="n">
        <x:v>0.1276325449</x:v>
      </x:c>
    </x:row>
    <x:row r="3095" ht="19" customHeight="1">
      <x:c r="A3095" s="29" t="str">
        <x:v>stagger_1</x:v>
      </x:c>
      <x:c r="B3095" s="38" t="str">
        <x:v>BRK-B</x:v>
      </x:c>
      <x:c r="C3095" s="38" t="str">
        <x:v>Other FX</x:v>
      </x:c>
      <x:c r="D3095" s="30" t="n">
        <x:v>6</x:v>
      </x:c>
      <x:c r="E3095" s="38" t="str">
        <x:v>EUR/USD</x:v>
      </x:c>
      <x:c r="F3095" s="38" t="n">
        <x:v>0.6995190025</x:v>
      </x:c>
      <x:c r="G3095" s="38" t="n">
        <x:v>2.9748117462</x:v>
      </x:c>
      <x:c r="H3095" s="42" t="b">
        <x:v>0</x:v>
      </x:c>
      <x:c r="I3095" s="42" t="b">
        <x:v>1</x:v>
      </x:c>
      <x:c r="J3095" s="38" t="n">
        <x:v>0.1018947078</x:v>
      </x:c>
    </x:row>
    <x:row r="3096" ht="19" customHeight="1">
      <x:c r="A3096" s="29" t="str">
        <x:v>stagger_1</x:v>
      </x:c>
      <x:c r="B3096" s="38" t="str">
        <x:v>BRK-B</x:v>
      </x:c>
      <x:c r="C3096" s="38" t="str">
        <x:v>Other sectors</x:v>
      </x:c>
      <x:c r="D3096" s="30" t="n">
        <x:v>1</x:v>
      </x:c>
      <x:c r="E3096" s="38" t="str">
        <x:v>XLB</x:v>
      </x:c>
      <x:c r="F3096" s="38" t="n">
        <x:v>-0.0910194272</x:v>
      </x:c>
      <x:c r="G3096" s="38" t="n">
        <x:v>-0.5161425959</x:v>
      </x:c>
      <x:c r="H3096" s="42" t="b">
        <x:v>0</x:v>
      </x:c>
      <x:c r="I3096" s="42" t="b">
        <x:v>0</x:v>
      </x:c>
      <x:c r="J3096" s="38" t="n">
        <x:v>0.2300680126</x:v>
      </x:c>
    </x:row>
    <x:row r="3097" ht="19" customHeight="1">
      <x:c r="A3097" s="29" t="str">
        <x:v>stagger_1</x:v>
      </x:c>
      <x:c r="B3097" s="38" t="str">
        <x:v>BRK-B</x:v>
      </x:c>
      <x:c r="C3097" s="38" t="str">
        <x:v>Other sectors</x:v>
      </x:c>
      <x:c r="D3097" s="30" t="n">
        <x:v>1</x:v>
      </x:c>
      <x:c r="E3097" s="38" t="str">
        <x:v>XLC</x:v>
      </x:c>
      <x:c r="F3097" s="38" t="n">
        <x:v>0.062480957</x:v>
      </x:c>
      <x:c r="G3097" s="38" t="n">
        <x:v>0.3800593666</x:v>
      </x:c>
      <x:c r="H3097" s="42" t="b">
        <x:v>0</x:v>
      </x:c>
      <x:c r="I3097" s="42" t="b">
        <x:v>0</x:v>
      </x:c>
      <x:c r="J3097" s="38" t="n">
        <x:v>0.2300680126</x:v>
      </x:c>
    </x:row>
    <x:row r="3098" ht="19" customHeight="1">
      <x:c r="A3098" s="29" t="str">
        <x:v>stagger_1</x:v>
      </x:c>
      <x:c r="B3098" s="38" t="str">
        <x:v>BRK-B</x:v>
      </x:c>
      <x:c r="C3098" s="38" t="str">
        <x:v>Other sectors</x:v>
      </x:c>
      <x:c r="D3098" s="30" t="n">
        <x:v>1</x:v>
      </x:c>
      <x:c r="E3098" s="38" t="str">
        <x:v>XLE</x:v>
      </x:c>
      <x:c r="F3098" s="38" t="n">
        <x:v>0.1105915768</x:v>
      </x:c>
      <x:c r="G3098" s="38" t="n">
        <x:v>1.6898383641</x:v>
      </x:c>
      <x:c r="H3098" s="42" t="b">
        <x:v>0</x:v>
      </x:c>
      <x:c r="I3098" s="42" t="b">
        <x:v>0</x:v>
      </x:c>
      <x:c r="J3098" s="38" t="n">
        <x:v>0.2300680126</x:v>
      </x:c>
    </x:row>
    <x:row r="3099" ht="19" customHeight="1">
      <x:c r="A3099" s="29" t="str">
        <x:v>stagger_1</x:v>
      </x:c>
      <x:c r="B3099" s="38" t="str">
        <x:v>BRK-B</x:v>
      </x:c>
      <x:c r="C3099" s="38" t="str">
        <x:v>Other sectors</x:v>
      </x:c>
      <x:c r="D3099" s="30" t="n">
        <x:v>1</x:v>
      </x:c>
      <x:c r="E3099" s="38" t="str">
        <x:v>XLI</x:v>
      </x:c>
      <x:c r="F3099" s="38" t="n">
        <x:v>0.0906745442</x:v>
      </x:c>
      <x:c r="G3099" s="38" t="n">
        <x:v>0.3984177868</x:v>
      </x:c>
      <x:c r="H3099" s="42" t="b">
        <x:v>0</x:v>
      </x:c>
      <x:c r="I3099" s="42" t="b">
        <x:v>0</x:v>
      </x:c>
      <x:c r="J3099" s="38" t="n">
        <x:v>0.2300680126</x:v>
      </x:c>
    </x:row>
    <x:row r="3100" ht="19" customHeight="1">
      <x:c r="A3100" s="29" t="str">
        <x:v>stagger_1</x:v>
      </x:c>
      <x:c r="B3100" s="38" t="str">
        <x:v>BRK-B</x:v>
      </x:c>
      <x:c r="C3100" s="38" t="str">
        <x:v>Other sectors</x:v>
      </x:c>
      <x:c r="D3100" s="30" t="n">
        <x:v>1</x:v>
      </x:c>
      <x:c r="E3100" s="38" t="str">
        <x:v>XLK</x:v>
      </x:c>
      <x:c r="F3100" s="38" t="n">
        <x:v>0.3449369841</x:v>
      </x:c>
      <x:c r="G3100" s="38" t="n">
        <x:v>1.5792474073</x:v>
      </x:c>
      <x:c r="H3100" s="42" t="b">
        <x:v>0</x:v>
      </x:c>
      <x:c r="I3100" s="42" t="b">
        <x:v>0</x:v>
      </x:c>
      <x:c r="J3100" s="38" t="n">
        <x:v>0.2300680126</x:v>
      </x:c>
    </x:row>
    <x:row r="3101" ht="19" customHeight="1">
      <x:c r="A3101" s="29" t="str">
        <x:v>stagger_1</x:v>
      </x:c>
      <x:c r="B3101" s="38" t="str">
        <x:v>BRK-B</x:v>
      </x:c>
      <x:c r="C3101" s="38" t="str">
        <x:v>Other sectors</x:v>
      </x:c>
      <x:c r="D3101" s="30" t="n">
        <x:v>1</x:v>
      </x:c>
      <x:c r="E3101" s="38" t="str">
        <x:v>XLP</x:v>
      </x:c>
      <x:c r="F3101" s="38" t="n">
        <x:v>0.384536647</x:v>
      </x:c>
      <x:c r="G3101" s="38" t="n">
        <x:v>2.2842225774</x:v>
      </x:c>
      <x:c r="H3101" s="42" t="b">
        <x:v>0</x:v>
      </x:c>
      <x:c r="I3101" s="42" t="b">
        <x:v>0</x:v>
      </x:c>
      <x:c r="J3101" s="38" t="n">
        <x:v>0.2300680126</x:v>
      </x:c>
    </x:row>
    <x:row r="3102" ht="19" customHeight="1">
      <x:c r="A3102" s="29" t="str">
        <x:v>stagger_1</x:v>
      </x:c>
      <x:c r="B3102" s="38" t="str">
        <x:v>BRK-B</x:v>
      </x:c>
      <x:c r="C3102" s="38" t="str">
        <x:v>Other sectors</x:v>
      </x:c>
      <x:c r="D3102" s="30" t="n">
        <x:v>1</x:v>
      </x:c>
      <x:c r="E3102" s="38" t="str">
        <x:v>XLRE</x:v>
      </x:c>
      <x:c r="F3102" s="38" t="n">
        <x:v>-0.0010721034</x:v>
      </x:c>
      <x:c r="G3102" s="38" t="n">
        <x:v>-0.0072224245</x:v>
      </x:c>
      <x:c r="H3102" s="42" t="b">
        <x:v>1</x:v>
      </x:c>
      <x:c r="I3102" s="42" t="b">
        <x:v>0</x:v>
      </x:c>
      <x:c r="J3102" s="38" t="n">
        <x:v>0.2300680126</x:v>
      </x:c>
    </x:row>
    <x:row r="3103" ht="19" customHeight="1">
      <x:c r="A3103" s="29" t="str">
        <x:v>stagger_1</x:v>
      </x:c>
      <x:c r="B3103" s="38" t="str">
        <x:v>BRK-B</x:v>
      </x:c>
      <x:c r="C3103" s="38" t="str">
        <x:v>Other sectors</x:v>
      </x:c>
      <x:c r="D3103" s="30" t="n">
        <x:v>1</x:v>
      </x:c>
      <x:c r="E3103" s="38" t="str">
        <x:v>XLU</x:v>
      </x:c>
      <x:c r="F3103" s="38" t="n">
        <x:v>0.0138676229</x:v>
      </x:c>
      <x:c r="G3103" s="38" t="n">
        <x:v>0.1194063324</x:v>
      </x:c>
      <x:c r="H3103" s="42" t="b">
        <x:v>0</x:v>
      </x:c>
      <x:c r="I3103" s="42" t="b">
        <x:v>0</x:v>
      </x:c>
      <x:c r="J3103" s="38" t="n">
        <x:v>0.2300680126</x:v>
      </x:c>
    </x:row>
    <x:row r="3104" ht="19" customHeight="1">
      <x:c r="A3104" s="29" t="str">
        <x:v>stagger_1</x:v>
      </x:c>
      <x:c r="B3104" s="38" t="str">
        <x:v>BRK-B</x:v>
      </x:c>
      <x:c r="C3104" s="38" t="str">
        <x:v>Other sectors</x:v>
      </x:c>
      <x:c r="D3104" s="30" t="n">
        <x:v>1</x:v>
      </x:c>
      <x:c r="E3104" s="38" t="str">
        <x:v>XLV</x:v>
      </x:c>
      <x:c r="F3104" s="38" t="n">
        <x:v>0.3404129638</x:v>
      </x:c>
      <x:c r="G3104" s="38" t="n">
        <x:v>2.1614874839</x:v>
      </x:c>
      <x:c r="H3104" s="42" t="b">
        <x:v>0</x:v>
      </x:c>
      <x:c r="I3104" s="42" t="b">
        <x:v>0</x:v>
      </x:c>
      <x:c r="J3104" s="38" t="n">
        <x:v>0.2300680126</x:v>
      </x:c>
    </x:row>
    <x:row r="3105" ht="19" customHeight="1">
      <x:c r="A3105" s="29" t="str">
        <x:v>stagger_1</x:v>
      </x:c>
      <x:c r="B3105" s="38" t="str">
        <x:v>BRK-B</x:v>
      </x:c>
      <x:c r="C3105" s="38" t="str">
        <x:v>Other sectors</x:v>
      </x:c>
      <x:c r="D3105" s="30" t="n">
        <x:v>1</x:v>
      </x:c>
      <x:c r="E3105" s="38" t="str">
        <x:v>XLY</x:v>
      </x:c>
      <x:c r="F3105" s="38" t="n">
        <x:v>0.0459720569</x:v>
      </x:c>
      <x:c r="G3105" s="38" t="n">
        <x:v>0.2669812686</x:v>
      </x:c>
      <x:c r="H3105" s="42" t="b">
        <x:v>0</x:v>
      </x:c>
      <x:c r="I3105" s="42" t="b">
        <x:v>0</x:v>
      </x:c>
      <x:c r="J3105" s="38" t="n">
        <x:v>0.2300680126</x:v>
      </x:c>
    </x:row>
    <x:row r="3106" ht="19" customHeight="1">
      <x:c r="A3106" s="29" t="str">
        <x:v>stagger_1</x:v>
      </x:c>
      <x:c r="B3106" s="38" t="str">
        <x:v>BRK-B</x:v>
      </x:c>
      <x:c r="C3106" s="38" t="str">
        <x:v>Other sectors</x:v>
      </x:c>
      <x:c r="D3106" s="30" t="n">
        <x:v>2</x:v>
      </x:c>
      <x:c r="E3106" s="38" t="str">
        <x:v>XLB</x:v>
      </x:c>
      <x:c r="F3106" s="38" t="n">
        <x:v>-0.091176002</x:v>
      </x:c>
      <x:c r="G3106" s="38" t="n">
        <x:v>-0.524743711</x:v>
      </x:c>
      <x:c r="H3106" s="42" t="b">
        <x:v>0</x:v>
      </x:c>
      <x:c r="I3106" s="42" t="b">
        <x:v>0</x:v>
      </x:c>
      <x:c r="J3106" s="38" t="n">
        <x:v>0.2300674305</x:v>
      </x:c>
    </x:row>
    <x:row r="3107" ht="19" customHeight="1">
      <x:c r="A3107" s="29" t="str">
        <x:v>stagger_1</x:v>
      </x:c>
      <x:c r="B3107" s="38" t="str">
        <x:v>BRK-B</x:v>
      </x:c>
      <x:c r="C3107" s="38" t="str">
        <x:v>Other sectors</x:v>
      </x:c>
      <x:c r="D3107" s="30" t="n">
        <x:v>2</x:v>
      </x:c>
      <x:c r="E3107" s="38" t="str">
        <x:v>XLC</x:v>
      </x:c>
      <x:c r="F3107" s="38" t="n">
        <x:v>0.0626695963</x:v>
      </x:c>
      <x:c r="G3107" s="38" t="n">
        <x:v>0.3888985662</x:v>
      </x:c>
      <x:c r="H3107" s="42" t="b">
        <x:v>0</x:v>
      </x:c>
      <x:c r="I3107" s="42" t="b">
        <x:v>0</x:v>
      </x:c>
      <x:c r="J3107" s="38" t="n">
        <x:v>0.2300674305</x:v>
      </x:c>
    </x:row>
    <x:row r="3108" ht="19" customHeight="1">
      <x:c r="A3108" s="29" t="str">
        <x:v>stagger_1</x:v>
      </x:c>
      <x:c r="B3108" s="38" t="str">
        <x:v>BRK-B</x:v>
      </x:c>
      <x:c r="C3108" s="38" t="str">
        <x:v>Other sectors</x:v>
      </x:c>
      <x:c r="D3108" s="30" t="n">
        <x:v>2</x:v>
      </x:c>
      <x:c r="E3108" s="38" t="str">
        <x:v>XLE</x:v>
      </x:c>
      <x:c r="F3108" s="38" t="n">
        <x:v>0.110567141</x:v>
      </x:c>
      <x:c r="G3108" s="38" t="n">
        <x:v>1.7039413069</x:v>
      </x:c>
      <x:c r="H3108" s="42" t="b">
        <x:v>0</x:v>
      </x:c>
      <x:c r="I3108" s="42" t="b">
        <x:v>0</x:v>
      </x:c>
      <x:c r="J3108" s="38" t="n">
        <x:v>0.2300674305</x:v>
      </x:c>
    </x:row>
    <x:row r="3109" ht="19" customHeight="1">
      <x:c r="A3109" s="29" t="str">
        <x:v>stagger_1</x:v>
      </x:c>
      <x:c r="B3109" s="38" t="str">
        <x:v>BRK-B</x:v>
      </x:c>
      <x:c r="C3109" s="38" t="str">
        <x:v>Other sectors</x:v>
      </x:c>
      <x:c r="D3109" s="30" t="n">
        <x:v>2</x:v>
      </x:c>
      <x:c r="E3109" s="38" t="str">
        <x:v>XLI</x:v>
      </x:c>
      <x:c r="F3109" s="38" t="n">
        <x:v>0.0908799308</x:v>
      </x:c>
      <x:c r="G3109" s="38" t="n">
        <x:v>0.4053803438</x:v>
      </x:c>
      <x:c r="H3109" s="42" t="b">
        <x:v>0</x:v>
      </x:c>
      <x:c r="I3109" s="42" t="b">
        <x:v>0</x:v>
      </x:c>
      <x:c r="J3109" s="38" t="n">
        <x:v>0.2300674305</x:v>
      </x:c>
    </x:row>
    <x:row r="3110" ht="19" customHeight="1">
      <x:c r="A3110" s="29" t="str">
        <x:v>stagger_1</x:v>
      </x:c>
      <x:c r="B3110" s="38" t="str">
        <x:v>BRK-B</x:v>
      </x:c>
      <x:c r="C3110" s="38" t="str">
        <x:v>Other sectors</x:v>
      </x:c>
      <x:c r="D3110" s="30" t="n">
        <x:v>2</x:v>
      </x:c>
      <x:c r="E3110" s="38" t="str">
        <x:v>XLK</x:v>
      </x:c>
      <x:c r="F3110" s="38" t="n">
        <x:v>0.3450804528</x:v>
      </x:c>
      <x:c r="G3110" s="38" t="n">
        <x:v>1.5979332029</x:v>
      </x:c>
      <x:c r="H3110" s="42" t="b">
        <x:v>0</x:v>
      </x:c>
      <x:c r="I3110" s="42" t="b">
        <x:v>0</x:v>
      </x:c>
      <x:c r="J3110" s="38" t="n">
        <x:v>0.2300674305</x:v>
      </x:c>
    </x:row>
    <x:row r="3111" ht="19" customHeight="1">
      <x:c r="A3111" s="29" t="str">
        <x:v>stagger_1</x:v>
      </x:c>
      <x:c r="B3111" s="38" t="str">
        <x:v>BRK-B</x:v>
      </x:c>
      <x:c r="C3111" s="38" t="str">
        <x:v>Other sectors</x:v>
      </x:c>
      <x:c r="D3111" s="30" t="n">
        <x:v>2</x:v>
      </x:c>
      <x:c r="E3111" s="38" t="str">
        <x:v>XLP</x:v>
      </x:c>
      <x:c r="F3111" s="38" t="n">
        <x:v>0.3841727328</x:v>
      </x:c>
      <x:c r="G3111" s="38" t="n">
        <x:v>2.4089718558</x:v>
      </x:c>
      <x:c r="H3111" s="42" t="b">
        <x:v>0</x:v>
      </x:c>
      <x:c r="I3111" s="42" t="b">
        <x:v>0</x:v>
      </x:c>
      <x:c r="J3111" s="38" t="n">
        <x:v>0.2300674305</x:v>
      </x:c>
    </x:row>
    <x:row r="3112" ht="19" customHeight="1">
      <x:c r="A3112" s="29" t="str">
        <x:v>stagger_1</x:v>
      </x:c>
      <x:c r="B3112" s="38" t="str">
        <x:v>BRK-B</x:v>
      </x:c>
      <x:c r="C3112" s="38" t="str">
        <x:v>Other sectors</x:v>
      </x:c>
      <x:c r="D3112" s="30" t="n">
        <x:v>2</x:v>
      </x:c>
      <x:c r="E3112" s="38" t="str">
        <x:v>XLU</x:v>
      </x:c>
      <x:c r="F3112" s="38" t="n">
        <x:v>0.0136357589</x:v>
      </x:c>
      <x:c r="G3112" s="38" t="n">
        <x:v>0.1230522033</x:v>
      </x:c>
      <x:c r="H3112" s="42" t="b">
        <x:v>1</x:v>
      </x:c>
      <x:c r="I3112" s="42" t="b">
        <x:v>0</x:v>
      </x:c>
      <x:c r="J3112" s="38" t="n">
        <x:v>0.2300674305</x:v>
      </x:c>
    </x:row>
    <x:row r="3113" ht="19" customHeight="1">
      <x:c r="A3113" s="29" t="str">
        <x:v>stagger_1</x:v>
      </x:c>
      <x:c r="B3113" s="38" t="str">
        <x:v>BRK-B</x:v>
      </x:c>
      <x:c r="C3113" s="38" t="str">
        <x:v>Other sectors</x:v>
      </x:c>
      <x:c r="D3113" s="30" t="n">
        <x:v>2</x:v>
      </x:c>
      <x:c r="E3113" s="38" t="str">
        <x:v>XLV</x:v>
      </x:c>
      <x:c r="F3113" s="38" t="n">
        <x:v>0.3402268054</x:v>
      </x:c>
      <x:c r="G3113" s="38" t="n">
        <x:v>2.2056423284</x:v>
      </x:c>
      <x:c r="H3113" s="42" t="b">
        <x:v>0</x:v>
      </x:c>
      <x:c r="I3113" s="42" t="b">
        <x:v>0</x:v>
      </x:c>
      <x:c r="J3113" s="38" t="n">
        <x:v>0.2300674305</x:v>
      </x:c>
    </x:row>
    <x:row r="3114" ht="19" customHeight="1">
      <x:c r="A3114" s="29" t="str">
        <x:v>stagger_1</x:v>
      </x:c>
      <x:c r="B3114" s="38" t="str">
        <x:v>BRK-B</x:v>
      </x:c>
      <x:c r="C3114" s="38" t="str">
        <x:v>Other sectors</x:v>
      </x:c>
      <x:c r="D3114" s="30" t="n">
        <x:v>2</x:v>
      </x:c>
      <x:c r="E3114" s="38" t="str">
        <x:v>XLY</x:v>
      </x:c>
      <x:c r="F3114" s="38" t="n">
        <x:v>0.0456685911</x:v>
      </x:c>
      <x:c r="G3114" s="38" t="n">
        <x:v>0.2754604125</x:v>
      </x:c>
      <x:c r="H3114" s="42" t="b">
        <x:v>0</x:v>
      </x:c>
      <x:c r="I3114" s="42" t="b">
        <x:v>0</x:v>
      </x:c>
      <x:c r="J3114" s="38" t="n">
        <x:v>0.2300674305</x:v>
      </x:c>
    </x:row>
    <x:row r="3115" ht="19" customHeight="1">
      <x:c r="A3115" s="29" t="str">
        <x:v>stagger_1</x:v>
      </x:c>
      <x:c r="B3115" s="38" t="str">
        <x:v>BRK-B</x:v>
      </x:c>
      <x:c r="C3115" s="38" t="str">
        <x:v>Other sectors</x:v>
      </x:c>
      <x:c r="D3115" s="30" t="n">
        <x:v>3</x:v>
      </x:c>
      <x:c r="E3115" s="38" t="str">
        <x:v>XLB</x:v>
      </x:c>
      <x:c r="F3115" s="38" t="n">
        <x:v>-0.0901164126</x:v>
      </x:c>
      <x:c r="G3115" s="38" t="n">
        <x:v>-0.5229230088</x:v>
      </x:c>
      <x:c r="H3115" s="42" t="b">
        <x:v>0</x:v>
      </x:c>
      <x:c r="I3115" s="42" t="b">
        <x:v>0</x:v>
      </x:c>
      <x:c r="J3115" s="38" t="n">
        <x:v>0.2299008848</x:v>
      </x:c>
    </x:row>
    <x:row r="3116" ht="19" customHeight="1">
      <x:c r="A3116" s="29" t="str">
        <x:v>stagger_1</x:v>
      </x:c>
      <x:c r="B3116" s="38" t="str">
        <x:v>BRK-B</x:v>
      </x:c>
      <x:c r="C3116" s="38" t="str">
        <x:v>Other sectors</x:v>
      </x:c>
      <x:c r="D3116" s="30" t="n">
        <x:v>3</x:v>
      </x:c>
      <x:c r="E3116" s="38" t="str">
        <x:v>XLC</x:v>
      </x:c>
      <x:c r="F3116" s="38" t="n">
        <x:v>0.0580151203</x:v>
      </x:c>
      <x:c r="G3116" s="38" t="n">
        <x:v>0.3729580912</x:v>
      </x:c>
      <x:c r="H3116" s="42" t="b">
        <x:v>0</x:v>
      </x:c>
      <x:c r="I3116" s="42" t="b">
        <x:v>0</x:v>
      </x:c>
      <x:c r="J3116" s="38" t="n">
        <x:v>0.2299008848</x:v>
      </x:c>
    </x:row>
    <x:row r="3117" ht="19" customHeight="1">
      <x:c r="A3117" s="29" t="str">
        <x:v>stagger_1</x:v>
      </x:c>
      <x:c r="B3117" s="38" t="str">
        <x:v>BRK-B</x:v>
      </x:c>
      <x:c r="C3117" s="38" t="str">
        <x:v>Other sectors</x:v>
      </x:c>
      <x:c r="D3117" s="30" t="n">
        <x:v>3</x:v>
      </x:c>
      <x:c r="E3117" s="38" t="str">
        <x:v>XLE</x:v>
      </x:c>
      <x:c r="F3117" s="38" t="n">
        <x:v>0.1097452384</x:v>
      </x:c>
      <x:c r="G3117" s="38" t="n">
        <x:v>1.7122235723</x:v>
      </x:c>
      <x:c r="H3117" s="42" t="b">
        <x:v>0</x:v>
      </x:c>
      <x:c r="I3117" s="42" t="b">
        <x:v>0</x:v>
      </x:c>
      <x:c r="J3117" s="38" t="n">
        <x:v>0.2299008848</x:v>
      </x:c>
    </x:row>
    <x:row r="3118" ht="19" customHeight="1">
      <x:c r="A3118" s="29" t="str">
        <x:v>stagger_1</x:v>
      </x:c>
      <x:c r="B3118" s="38" t="str">
        <x:v>BRK-B</x:v>
      </x:c>
      <x:c r="C3118" s="38" t="str">
        <x:v>Other sectors</x:v>
      </x:c>
      <x:c r="D3118" s="30" t="n">
        <x:v>3</x:v>
      </x:c>
      <x:c r="E3118" s="38" t="str">
        <x:v>XLI</x:v>
      </x:c>
      <x:c r="F3118" s="38" t="n">
        <x:v>0.0918312687</x:v>
      </x:c>
      <x:c r="G3118" s="38" t="n">
        <x:v>0.4127402963</x:v>
      </x:c>
      <x:c r="H3118" s="42" t="b">
        <x:v>0</x:v>
      </x:c>
      <x:c r="I3118" s="42" t="b">
        <x:v>0</x:v>
      </x:c>
      <x:c r="J3118" s="38" t="n">
        <x:v>0.2299008848</x:v>
      </x:c>
    </x:row>
    <x:row r="3119" ht="19" customHeight="1">
      <x:c r="A3119" s="29" t="str">
        <x:v>stagger_1</x:v>
      </x:c>
      <x:c r="B3119" s="38" t="str">
        <x:v>BRK-B</x:v>
      </x:c>
      <x:c r="C3119" s="38" t="str">
        <x:v>Other sectors</x:v>
      </x:c>
      <x:c r="D3119" s="30" t="n">
        <x:v>3</x:v>
      </x:c>
      <x:c r="E3119" s="38" t="str">
        <x:v>XLK</x:v>
      </x:c>
      <x:c r="F3119" s="38" t="n">
        <x:v>0.3394173066</x:v>
      </x:c>
      <x:c r="G3119" s="38" t="n">
        <x:v>1.6199382559</x:v>
      </x:c>
      <x:c r="H3119" s="42" t="b">
        <x:v>0</x:v>
      </x:c>
      <x:c r="I3119" s="42" t="b">
        <x:v>0</x:v>
      </x:c>
      <x:c r="J3119" s="38" t="n">
        <x:v>0.2299008848</x:v>
      </x:c>
    </x:row>
    <x:row r="3120" ht="19" customHeight="1">
      <x:c r="A3120" s="29" t="str">
        <x:v>stagger_1</x:v>
      </x:c>
      <x:c r="B3120" s="38" t="str">
        <x:v>BRK-B</x:v>
      </x:c>
      <x:c r="C3120" s="38" t="str">
        <x:v>Other sectors</x:v>
      </x:c>
      <x:c r="D3120" s="30" t="n">
        <x:v>3</x:v>
      </x:c>
      <x:c r="E3120" s="38" t="str">
        <x:v>XLP</x:v>
      </x:c>
      <x:c r="F3120" s="38" t="n">
        <x:v>0.3904308028</x:v>
      </x:c>
      <x:c r="G3120" s="38" t="n">
        <x:v>2.6011851618</x:v>
      </x:c>
      <x:c r="H3120" s="42" t="b">
        <x:v>0</x:v>
      </x:c>
      <x:c r="I3120" s="42" t="b">
        <x:v>0</x:v>
      </x:c>
      <x:c r="J3120" s="38" t="n">
        <x:v>0.2299008848</x:v>
      </x:c>
    </x:row>
    <x:row r="3121" ht="19" customHeight="1">
      <x:c r="A3121" s="29" t="str">
        <x:v>stagger_1</x:v>
      </x:c>
      <x:c r="B3121" s="38" t="str">
        <x:v>BRK-B</x:v>
      </x:c>
      <x:c r="C3121" s="38" t="str">
        <x:v>Other sectors</x:v>
      </x:c>
      <x:c r="D3121" s="30" t="n">
        <x:v>3</x:v>
      </x:c>
      <x:c r="E3121" s="38" t="str">
        <x:v>XLV</x:v>
      </x:c>
      <x:c r="F3121" s="38" t="n">
        <x:v>0.3389794106</x:v>
      </x:c>
      <x:c r="G3121" s="38" t="n">
        <x:v>2.2177516599</x:v>
      </x:c>
      <x:c r="H3121" s="42" t="b">
        <x:v>0</x:v>
      </x:c>
      <x:c r="I3121" s="42" t="b">
        <x:v>0</x:v>
      </x:c>
      <x:c r="J3121" s="38" t="n">
        <x:v>0.2299008848</x:v>
      </x:c>
    </x:row>
    <x:row r="3122" ht="19" customHeight="1">
      <x:c r="A3122" s="29" t="str">
        <x:v>stagger_1</x:v>
      </x:c>
      <x:c r="B3122" s="38" t="str">
        <x:v>BRK-B</x:v>
      </x:c>
      <x:c r="C3122" s="38" t="str">
        <x:v>Other sectors</x:v>
      </x:c>
      <x:c r="D3122" s="30" t="n">
        <x:v>3</x:v>
      </x:c>
      <x:c r="E3122" s="38" t="str">
        <x:v>XLY</x:v>
      </x:c>
      <x:c r="F3122" s="38" t="n">
        <x:v>0.0450605056</x:v>
      </x:c>
      <x:c r="G3122" s="38" t="n">
        <x:v>0.273819163</x:v>
      </x:c>
      <x:c r="H3122" s="42" t="b">
        <x:v>1</x:v>
      </x:c>
      <x:c r="I3122" s="42" t="b">
        <x:v>0</x:v>
      </x:c>
      <x:c r="J3122" s="38" t="n">
        <x:v>0.2299008848</x:v>
      </x:c>
    </x:row>
    <x:row r="3123" ht="19" customHeight="1">
      <x:c r="A3123" s="29" t="str">
        <x:v>stagger_1</x:v>
      </x:c>
      <x:c r="B3123" s="38" t="str">
        <x:v>BRK-B</x:v>
      </x:c>
      <x:c r="C3123" s="38" t="str">
        <x:v>Other sectors</x:v>
      </x:c>
      <x:c r="D3123" s="30" t="n">
        <x:v>4</x:v>
      </x:c>
      <x:c r="E3123" s="38" t="str">
        <x:v>XLB</x:v>
      </x:c>
      <x:c r="F3123" s="38" t="n">
        <x:v>-0.0851167899</x:v>
      </x:c>
      <x:c r="G3123" s="38" t="n">
        <x:v>-0.499929079</x:v>
      </x:c>
      <x:c r="H3123" s="42" t="b">
        <x:v>0</x:v>
      </x:c>
      <x:c r="I3123" s="42" t="b">
        <x:v>0</x:v>
      </x:c>
      <x:c r="J3123" s="38" t="n">
        <x:v>0.22908765</x:v>
      </x:c>
    </x:row>
    <x:row r="3124" ht="19" customHeight="1">
      <x:c r="A3124" s="29" t="str">
        <x:v>stagger_1</x:v>
      </x:c>
      <x:c r="B3124" s="38" t="str">
        <x:v>BRK-B</x:v>
      </x:c>
      <x:c r="C3124" s="38" t="str">
        <x:v>Other sectors</x:v>
      </x:c>
      <x:c r="D3124" s="30" t="n">
        <x:v>4</x:v>
      </x:c>
      <x:c r="E3124" s="38" t="str">
        <x:v>XLC</x:v>
      </x:c>
      <x:c r="F3124" s="38" t="n">
        <x:v>0.0612455072</x:v>
      </x:c>
      <x:c r="G3124" s="38" t="n">
        <x:v>0.397423546</x:v>
      </x:c>
      <x:c r="H3124" s="42" t="b">
        <x:v>0</x:v>
      </x:c>
      <x:c r="I3124" s="42" t="b">
        <x:v>0</x:v>
      </x:c>
      <x:c r="J3124" s="38" t="n">
        <x:v>0.22908765</x:v>
      </x:c>
    </x:row>
    <x:row r="3125" ht="19" customHeight="1">
      <x:c r="A3125" s="29" t="str">
        <x:v>stagger_1</x:v>
      </x:c>
      <x:c r="B3125" s="38" t="str">
        <x:v>BRK-B</x:v>
      </x:c>
      <x:c r="C3125" s="38" t="str">
        <x:v>Other sectors</x:v>
      </x:c>
      <x:c r="D3125" s="30" t="n">
        <x:v>4</x:v>
      </x:c>
      <x:c r="E3125" s="38" t="str">
        <x:v>XLE</x:v>
      </x:c>
      <x:c r="F3125" s="38" t="n">
        <x:v>0.1021748411</x:v>
      </x:c>
      <x:c r="G3125" s="38" t="n">
        <x:v>1.7784069876</x:v>
      </x:c>
      <x:c r="H3125" s="42" t="b">
        <x:v>0</x:v>
      </x:c>
      <x:c r="I3125" s="42" t="b">
        <x:v>0</x:v>
      </x:c>
      <x:c r="J3125" s="38" t="n">
        <x:v>0.22908765</x:v>
      </x:c>
    </x:row>
    <x:row r="3126" ht="19" customHeight="1">
      <x:c r="A3126" s="29" t="str">
        <x:v>stagger_1</x:v>
      </x:c>
      <x:c r="B3126" s="38" t="str">
        <x:v>BRK-B</x:v>
      </x:c>
      <x:c r="C3126" s="38" t="str">
        <x:v>Other sectors</x:v>
      </x:c>
      <x:c r="D3126" s="30" t="n">
        <x:v>4</x:v>
      </x:c>
      <x:c r="E3126" s="38" t="str">
        <x:v>XLI</x:v>
      </x:c>
      <x:c r="F3126" s="38" t="n">
        <x:v>0.0796073987</x:v>
      </x:c>
      <x:c r="G3126" s="38" t="n">
        <x:v>0.3675958225</x:v>
      </x:c>
      <x:c r="H3126" s="42" t="b">
        <x:v>1</x:v>
      </x:c>
      <x:c r="I3126" s="42" t="b">
        <x:v>0</x:v>
      </x:c>
      <x:c r="J3126" s="38" t="n">
        <x:v>0.22908765</x:v>
      </x:c>
    </x:row>
    <x:row r="3127" ht="19" customHeight="1">
      <x:c r="A3127" s="29" t="str">
        <x:v>stagger_1</x:v>
      </x:c>
      <x:c r="B3127" s="38" t="str">
        <x:v>BRK-B</x:v>
      </x:c>
      <x:c r="C3127" s="38" t="str">
        <x:v>Other sectors</x:v>
      </x:c>
      <x:c r="D3127" s="30" t="n">
        <x:v>4</x:v>
      </x:c>
      <x:c r="E3127" s="38" t="str">
        <x:v>XLK</x:v>
      </x:c>
      <x:c r="F3127" s="38" t="n">
        <x:v>0.3118024455</x:v>
      </x:c>
      <x:c r="G3127" s="38" t="n">
        <x:v>1.7087580724</x:v>
      </x:c>
      <x:c r="H3127" s="42" t="b">
        <x:v>0</x:v>
      </x:c>
      <x:c r="I3127" s="42" t="b">
        <x:v>0</x:v>
      </x:c>
      <x:c r="J3127" s="38" t="n">
        <x:v>0.22908765</x:v>
      </x:c>
    </x:row>
    <x:row r="3128" ht="19" customHeight="1">
      <x:c r="A3128" s="29" t="str">
        <x:v>stagger_1</x:v>
      </x:c>
      <x:c r="B3128" s="38" t="str">
        <x:v>BRK-B</x:v>
      </x:c>
      <x:c r="C3128" s="38" t="str">
        <x:v>Other sectors</x:v>
      </x:c>
      <x:c r="D3128" s="30" t="n">
        <x:v>4</x:v>
      </x:c>
      <x:c r="E3128" s="38" t="str">
        <x:v>XLP</x:v>
      </x:c>
      <x:c r="F3128" s="38" t="n">
        <x:v>0.385448434</x:v>
      </x:c>
      <x:c r="G3128" s="38" t="n">
        <x:v>2.6038516427</x:v>
      </x:c>
      <x:c r="H3128" s="42" t="b">
        <x:v>0</x:v>
      </x:c>
      <x:c r="I3128" s="42" t="b">
        <x:v>0</x:v>
      </x:c>
      <x:c r="J3128" s="38" t="n">
        <x:v>0.22908765</x:v>
      </x:c>
    </x:row>
    <x:row r="3129" ht="19" customHeight="1">
      <x:c r="A3129" s="29" t="str">
        <x:v>stagger_1</x:v>
      </x:c>
      <x:c r="B3129" s="38" t="str">
        <x:v>BRK-B</x:v>
      </x:c>
      <x:c r="C3129" s="38" t="str">
        <x:v>Other sectors</x:v>
      </x:c>
      <x:c r="D3129" s="30" t="n">
        <x:v>4</x:v>
      </x:c>
      <x:c r="E3129" s="38" t="str">
        <x:v>XLV</x:v>
      </x:c>
      <x:c r="F3129" s="38" t="n">
        <x:v>0.3197175139</x:v>
      </x:c>
      <x:c r="G3129" s="38" t="n">
        <x:v>2.37136752</x:v>
      </x:c>
      <x:c r="H3129" s="42" t="b">
        <x:v>0</x:v>
      </x:c>
      <x:c r="I3129" s="42" t="b">
        <x:v>0</x:v>
      </x:c>
      <x:c r="J3129" s="38" t="n">
        <x:v>0.22908765</x:v>
      </x:c>
    </x:row>
    <x:row r="3130" ht="19" customHeight="1">
      <x:c r="A3130" s="29" t="str">
        <x:v>stagger_1</x:v>
      </x:c>
      <x:c r="B3130" s="38" t="str">
        <x:v>BRK-B</x:v>
      </x:c>
      <x:c r="C3130" s="38" t="str">
        <x:v>Other sectors</x:v>
      </x:c>
      <x:c r="D3130" s="30" t="n">
        <x:v>5</x:v>
      </x:c>
      <x:c r="E3130" s="38" t="str">
        <x:v>XLB</x:v>
      </x:c>
      <x:c r="F3130" s="38" t="n">
        <x:v>-0.0409583719</x:v>
      </x:c>
      <x:c r="G3130" s="38" t="n">
        <x:v>-0.3415026702</x:v>
      </x:c>
      <x:c r="H3130" s="42" t="b">
        <x:v>0</x:v>
      </x:c>
      <x:c r="I3130" s="42" t="b">
        <x:v>0</x:v>
      </x:c>
      <x:c r="J3130" s="38" t="n">
        <x:v>0.2276408329</x:v>
      </x:c>
    </x:row>
    <x:row r="3131" ht="19" customHeight="1">
      <x:c r="A3131" s="29" t="str">
        <x:v>stagger_1</x:v>
      </x:c>
      <x:c r="B3131" s="38" t="str">
        <x:v>BRK-B</x:v>
      </x:c>
      <x:c r="C3131" s="38" t="str">
        <x:v>Other sectors</x:v>
      </x:c>
      <x:c r="D3131" s="30" t="n">
        <x:v>5</x:v>
      </x:c>
      <x:c r="E3131" s="38" t="str">
        <x:v>XLC</x:v>
      </x:c>
      <x:c r="F3131" s="38" t="n">
        <x:v>0.0502563041</x:v>
      </x:c>
      <x:c r="G3131" s="38" t="n">
        <x:v>0.3344161218</x:v>
      </x:c>
      <x:c r="H3131" s="42" t="b">
        <x:v>1</x:v>
      </x:c>
      <x:c r="I3131" s="42" t="b">
        <x:v>0</x:v>
      </x:c>
      <x:c r="J3131" s="38" t="n">
        <x:v>0.2276408329</x:v>
      </x:c>
    </x:row>
    <x:row r="3132" ht="19" customHeight="1">
      <x:c r="A3132" s="29" t="str">
        <x:v>stagger_1</x:v>
      </x:c>
      <x:c r="B3132" s="38" t="str">
        <x:v>BRK-B</x:v>
      </x:c>
      <x:c r="C3132" s="38" t="str">
        <x:v>Other sectors</x:v>
      </x:c>
      <x:c r="D3132" s="30" t="n">
        <x:v>5</x:v>
      </x:c>
      <x:c r="E3132" s="38" t="str">
        <x:v>XLE</x:v>
      </x:c>
      <x:c r="F3132" s="38" t="n">
        <x:v>0.099508103</x:v>
      </x:c>
      <x:c r="G3132" s="38" t="n">
        <x:v>1.7564012158</x:v>
      </x:c>
      <x:c r="H3132" s="42" t="b">
        <x:v>0</x:v>
      </x:c>
      <x:c r="I3132" s="42" t="b">
        <x:v>0</x:v>
      </x:c>
      <x:c r="J3132" s="38" t="n">
        <x:v>0.2276408329</x:v>
      </x:c>
    </x:row>
    <x:row r="3133" ht="19" customHeight="1">
      <x:c r="A3133" s="29" t="str">
        <x:v>stagger_1</x:v>
      </x:c>
      <x:c r="B3133" s="38" t="str">
        <x:v>BRK-B</x:v>
      </x:c>
      <x:c r="C3133" s="38" t="str">
        <x:v>Other sectors</x:v>
      </x:c>
      <x:c r="D3133" s="30" t="n">
        <x:v>5</x:v>
      </x:c>
      <x:c r="E3133" s="38" t="str">
        <x:v>XLK</x:v>
      </x:c>
      <x:c r="F3133" s="38" t="n">
        <x:v>0.3042383968</x:v>
      </x:c>
      <x:c r="G3133" s="38" t="n">
        <x:v>1.6880378883</x:v>
      </x:c>
      <x:c r="H3133" s="42" t="b">
        <x:v>0</x:v>
      </x:c>
      <x:c r="I3133" s="42" t="b">
        <x:v>0</x:v>
      </x:c>
      <x:c r="J3133" s="38" t="n">
        <x:v>0.2276408329</x:v>
      </x:c>
    </x:row>
    <x:row r="3134" ht="19" customHeight="1">
      <x:c r="A3134" s="29" t="str">
        <x:v>stagger_1</x:v>
      </x:c>
      <x:c r="B3134" s="38" t="str">
        <x:v>BRK-B</x:v>
      </x:c>
      <x:c r="C3134" s="38" t="str">
        <x:v>Other sectors</x:v>
      </x:c>
      <x:c r="D3134" s="30" t="n">
        <x:v>5</x:v>
      </x:c>
      <x:c r="E3134" s="38" t="str">
        <x:v>XLP</x:v>
      </x:c>
      <x:c r="F3134" s="38" t="n">
        <x:v>0.3926466749</x:v>
      </x:c>
      <x:c r="G3134" s="38" t="n">
        <x:v>2.6919896733</x:v>
      </x:c>
      <x:c r="H3134" s="42" t="b">
        <x:v>0</x:v>
      </x:c>
      <x:c r="I3134" s="42" t="b">
        <x:v>0</x:v>
      </x:c>
      <x:c r="J3134" s="38" t="n">
        <x:v>0.2276408329</x:v>
      </x:c>
    </x:row>
    <x:row r="3135" ht="19" customHeight="1">
      <x:c r="A3135" s="29" t="str">
        <x:v>stagger_1</x:v>
      </x:c>
      <x:c r="B3135" s="38" t="str">
        <x:v>BRK-B</x:v>
      </x:c>
      <x:c r="C3135" s="38" t="str">
        <x:v>Other sectors</x:v>
      </x:c>
      <x:c r="D3135" s="30" t="n">
        <x:v>5</x:v>
      </x:c>
      <x:c r="E3135" s="38" t="str">
        <x:v>XLV</x:v>
      </x:c>
      <x:c r="F3135" s="38" t="n">
        <x:v>0.3106470965</x:v>
      </x:c>
      <x:c r="G3135" s="38" t="n">
        <x:v>2.3576844952</x:v>
      </x:c>
      <x:c r="H3135" s="42" t="b">
        <x:v>0</x:v>
      </x:c>
      <x:c r="I3135" s="42" t="b">
        <x:v>0</x:v>
      </x:c>
      <x:c r="J3135" s="38" t="n">
        <x:v>0.2276408329</x:v>
      </x:c>
    </x:row>
    <x:row r="3136" ht="19" customHeight="1">
      <x:c r="A3136" s="29" t="str">
        <x:v>stagger_1</x:v>
      </x:c>
      <x:c r="B3136" s="38" t="str">
        <x:v>BRK-B</x:v>
      </x:c>
      <x:c r="C3136" s="38" t="str">
        <x:v>Other sectors</x:v>
      </x:c>
      <x:c r="D3136" s="30" t="n">
        <x:v>6</x:v>
      </x:c>
      <x:c r="E3136" s="38" t="str">
        <x:v>XLB</x:v>
      </x:c>
      <x:c r="F3136" s="38" t="n">
        <x:v>-0.0517683594</x:v>
      </x:c>
      <x:c r="G3136" s="38" t="n">
        <x:v>-0.4509348255</x:v>
      </x:c>
      <x:c r="H3136" s="42" t="b">
        <x:v>1</x:v>
      </x:c>
      <x:c r="I3136" s="42" t="b">
        <x:v>0</x:v>
      </x:c>
      <x:c r="J3136" s="38" t="n">
        <x:v>0.2264575983</x:v>
      </x:c>
    </x:row>
    <x:row r="3137" ht="19" customHeight="1">
      <x:c r="A3137" s="29" t="str">
        <x:v>stagger_1</x:v>
      </x:c>
      <x:c r="B3137" s="38" t="str">
        <x:v>BRK-B</x:v>
      </x:c>
      <x:c r="C3137" s="38" t="str">
        <x:v>Other sectors</x:v>
      </x:c>
      <x:c r="D3137" s="30" t="n">
        <x:v>6</x:v>
      </x:c>
      <x:c r="E3137" s="38" t="str">
        <x:v>XLE</x:v>
      </x:c>
      <x:c r="F3137" s="38" t="n">
        <x:v>0.0982651885</x:v>
      </x:c>
      <x:c r="G3137" s="38" t="n">
        <x:v>1.7487331387</x:v>
      </x:c>
      <x:c r="H3137" s="42" t="b">
        <x:v>0</x:v>
      </x:c>
      <x:c r="I3137" s="42" t="b">
        <x:v>0</x:v>
      </x:c>
      <x:c r="J3137" s="38" t="n">
        <x:v>0.2264575983</x:v>
      </x:c>
    </x:row>
    <x:row r="3138" ht="19" customHeight="1">
      <x:c r="A3138" s="29" t="str">
        <x:v>stagger_1</x:v>
      </x:c>
      <x:c r="B3138" s="38" t="str">
        <x:v>BRK-B</x:v>
      </x:c>
      <x:c r="C3138" s="38" t="str">
        <x:v>Other sectors</x:v>
      </x:c>
      <x:c r="D3138" s="30" t="n">
        <x:v>6</x:v>
      </x:c>
      <x:c r="E3138" s="38" t="str">
        <x:v>XLK</x:v>
      </x:c>
      <x:c r="F3138" s="38" t="n">
        <x:v>0.2740684287</x:v>
      </x:c>
      <x:c r="G3138" s="38" t="n">
        <x:v>1.767179815</x:v>
      </x:c>
      <x:c r="H3138" s="42" t="b">
        <x:v>0</x:v>
      </x:c>
      <x:c r="I3138" s="42" t="b">
        <x:v>0</x:v>
      </x:c>
      <x:c r="J3138" s="38" t="n">
        <x:v>0.2264575983</x:v>
      </x:c>
    </x:row>
    <x:row r="3139" ht="19" customHeight="1">
      <x:c r="A3139" s="29" t="str">
        <x:v>stagger_1</x:v>
      </x:c>
      <x:c r="B3139" s="38" t="str">
        <x:v>BRK-B</x:v>
      </x:c>
      <x:c r="C3139" s="38" t="str">
        <x:v>Other sectors</x:v>
      </x:c>
      <x:c r="D3139" s="30" t="n">
        <x:v>6</x:v>
      </x:c>
      <x:c r="E3139" s="38" t="str">
        <x:v>XLP</x:v>
      </x:c>
      <x:c r="F3139" s="38" t="n">
        <x:v>0.3923850696</x:v>
      </x:c>
      <x:c r="G3139" s="38" t="n">
        <x:v>2.7065260167</x:v>
      </x:c>
      <x:c r="H3139" s="42" t="b">
        <x:v>0</x:v>
      </x:c>
      <x:c r="I3139" s="42" t="b">
        <x:v>0</x:v>
      </x:c>
      <x:c r="J3139" s="38" t="n">
        <x:v>0.2264575983</x:v>
      </x:c>
    </x:row>
    <x:row r="3140" ht="19" customHeight="1">
      <x:c r="A3140" s="29" t="str">
        <x:v>stagger_1</x:v>
      </x:c>
      <x:c r="B3140" s="38" t="str">
        <x:v>BRK-B</x:v>
      </x:c>
      <x:c r="C3140" s="38" t="str">
        <x:v>Other sectors</x:v>
      </x:c>
      <x:c r="D3140" s="30" t="n">
        <x:v>6</x:v>
      </x:c>
      <x:c r="E3140" s="38" t="str">
        <x:v>XLV</x:v>
      </x:c>
      <x:c r="F3140" s="38" t="n">
        <x:v>0.299746258</x:v>
      </x:c>
      <x:c r="G3140" s="38" t="n">
        <x:v>2.3621563557</x:v>
      </x:c>
      <x:c r="H3140" s="42" t="b">
        <x:v>0</x:v>
      </x:c>
      <x:c r="I3140" s="42" t="b">
        <x:v>0</x:v>
      </x:c>
      <x:c r="J3140" s="38" t="n">
        <x:v>0.2264575983</x:v>
      </x:c>
    </x:row>
    <x:row r="3141" ht="19" customHeight="1">
      <x:c r="A3141" s="29" t="str">
        <x:v>stagger_1</x:v>
      </x:c>
      <x:c r="B3141" s="38" t="str">
        <x:v>BRK-B</x:v>
      </x:c>
      <x:c r="C3141" s="38" t="str">
        <x:v>Other sectors</x:v>
      </x:c>
      <x:c r="D3141" s="30" t="n">
        <x:v>7</x:v>
      </x:c>
      <x:c r="E3141" s="38" t="str">
        <x:v>XLE</x:v>
      </x:c>
      <x:c r="F3141" s="38" t="n">
        <x:v>0.0933377331</x:v>
      </x:c>
      <x:c r="G3141" s="38" t="n">
        <x:v>1.7024357591</x:v>
      </x:c>
      <x:c r="H3141" s="42" t="b">
        <x:v>1</x:v>
      </x:c>
      <x:c r="I3141" s="42" t="b">
        <x:v>0</x:v>
      </x:c>
      <x:c r="J3141" s="38" t="n">
        <x:v>0.224332006</x:v>
      </x:c>
    </x:row>
    <x:row r="3142" ht="19" customHeight="1">
      <x:c r="A3142" s="29" t="str">
        <x:v>stagger_1</x:v>
      </x:c>
      <x:c r="B3142" s="38" t="str">
        <x:v>BRK-B</x:v>
      </x:c>
      <x:c r="C3142" s="38" t="str">
        <x:v>Other sectors</x:v>
      </x:c>
      <x:c r="D3142" s="30" t="n">
        <x:v>7</x:v>
      </x:c>
      <x:c r="E3142" s="38" t="str">
        <x:v>XLK</x:v>
      </x:c>
      <x:c r="F3142" s="38" t="n">
        <x:v>0.2908135511</x:v>
      </x:c>
      <x:c r="G3142" s="38" t="n">
        <x:v>1.9416714741</x:v>
      </x:c>
      <x:c r="H3142" s="42" t="b">
        <x:v>0</x:v>
      </x:c>
      <x:c r="I3142" s="42" t="b">
        <x:v>0</x:v>
      </x:c>
      <x:c r="J3142" s="38" t="n">
        <x:v>0.224332006</x:v>
      </x:c>
    </x:row>
    <x:row r="3143" ht="19" customHeight="1">
      <x:c r="A3143" s="29" t="str">
        <x:v>stagger_1</x:v>
      </x:c>
      <x:c r="B3143" s="38" t="str">
        <x:v>BRK-B</x:v>
      </x:c>
      <x:c r="C3143" s="38" t="str">
        <x:v>Other sectors</x:v>
      </x:c>
      <x:c r="D3143" s="30" t="n">
        <x:v>7</x:v>
      </x:c>
      <x:c r="E3143" s="38" t="str">
        <x:v>XLP</x:v>
      </x:c>
      <x:c r="F3143" s="38" t="n">
        <x:v>0.3704873721</x:v>
      </x:c>
      <x:c r="G3143" s="38" t="n">
        <x:v>2.7266723288</x:v>
      </x:c>
      <x:c r="H3143" s="42" t="b">
        <x:v>0</x:v>
      </x:c>
      <x:c r="I3143" s="42" t="b">
        <x:v>0</x:v>
      </x:c>
      <x:c r="J3143" s="38" t="n">
        <x:v>0.224332006</x:v>
      </x:c>
    </x:row>
    <x:row r="3144" ht="19" customHeight="1">
      <x:c r="A3144" s="29" t="str">
        <x:v>stagger_1</x:v>
      </x:c>
      <x:c r="B3144" s="38" t="str">
        <x:v>BRK-B</x:v>
      </x:c>
      <x:c r="C3144" s="38" t="str">
        <x:v>Other sectors</x:v>
      </x:c>
      <x:c r="D3144" s="30" t="n">
        <x:v>7</x:v>
      </x:c>
      <x:c r="E3144" s="38" t="str">
        <x:v>XLV</x:v>
      </x:c>
      <x:c r="F3144" s="38" t="n">
        <x:v>0.3030079815</x:v>
      </x:c>
      <x:c r="G3144" s="38" t="n">
        <x:v>2.4045540351</x:v>
      </x:c>
      <x:c r="H3144" s="42" t="b">
        <x:v>0</x:v>
      </x:c>
      <x:c r="I3144" s="42" t="b">
        <x:v>0</x:v>
      </x:c>
      <x:c r="J3144" s="38" t="n">
        <x:v>0.224332006</x:v>
      </x:c>
    </x:row>
    <x:row r="3145" ht="19" customHeight="1">
      <x:c r="A3145" s="29" t="str">
        <x:v>stagger_1</x:v>
      </x:c>
      <x:c r="B3145" s="38" t="str">
        <x:v>BRK-B</x:v>
      </x:c>
      <x:c r="C3145" s="38" t="str">
        <x:v>Other sectors</x:v>
      </x:c>
      <x:c r="D3145" s="30" t="n">
        <x:v>8</x:v>
      </x:c>
      <x:c r="E3145" s="38" t="str">
        <x:v>XLK</x:v>
      </x:c>
      <x:c r="F3145" s="38" t="n">
        <x:v>0.1976182192</x:v>
      </x:c>
      <x:c r="G3145" s="38" t="n">
        <x:v>1.4001315085</x:v>
      </x:c>
      <x:c r="H3145" s="42" t="b">
        <x:v>1</x:v>
      </x:c>
      <x:c r="I3145" s="42" t="b">
        <x:v>0</x:v>
      </x:c>
      <x:c r="J3145" s="38" t="n">
        <x:v>0.1943572212</x:v>
      </x:c>
    </x:row>
    <x:row r="3146" ht="19" customHeight="1">
      <x:c r="A3146" s="29" t="str">
        <x:v>stagger_1</x:v>
      </x:c>
      <x:c r="B3146" s="38" t="str">
        <x:v>BRK-B</x:v>
      </x:c>
      <x:c r="C3146" s="38" t="str">
        <x:v>Other sectors</x:v>
      </x:c>
      <x:c r="D3146" s="30" t="n">
        <x:v>8</x:v>
      </x:c>
      <x:c r="E3146" s="38" t="str">
        <x:v>XLP</x:v>
      </x:c>
      <x:c r="F3146" s="38" t="n">
        <x:v>0.3539696567</x:v>
      </x:c>
      <x:c r="G3146" s="38" t="n">
        <x:v>2.5797550056</x:v>
      </x:c>
      <x:c r="H3146" s="42" t="b">
        <x:v>0</x:v>
      </x:c>
      <x:c r="I3146" s="42" t="b">
        <x:v>0</x:v>
      </x:c>
      <x:c r="J3146" s="38" t="n">
        <x:v>0.1943572212</x:v>
      </x:c>
    </x:row>
    <x:row r="3147" ht="19" customHeight="1">
      <x:c r="A3147" s="29" t="str">
        <x:v>stagger_1</x:v>
      </x:c>
      <x:c r="B3147" s="38" t="str">
        <x:v>BRK-B</x:v>
      </x:c>
      <x:c r="C3147" s="38" t="str">
        <x:v>Other sectors</x:v>
      </x:c>
      <x:c r="D3147" s="30" t="n">
        <x:v>8</x:v>
      </x:c>
      <x:c r="E3147" s="38" t="str">
        <x:v>XLV</x:v>
      </x:c>
      <x:c r="F3147" s="38" t="n">
        <x:v>0.2967964621</x:v>
      </x:c>
      <x:c r="G3147" s="38" t="n">
        <x:v>2.3273631342</x:v>
      </x:c>
      <x:c r="H3147" s="42" t="b">
        <x:v>0</x:v>
      </x:c>
      <x:c r="I3147" s="42" t="b">
        <x:v>0</x:v>
      </x:c>
      <x:c r="J3147" s="38" t="n">
        <x:v>0.1943572212</x:v>
      </x:c>
    </x:row>
    <x:row r="3148" ht="19" customHeight="1">
      <x:c r="A3148" s="29" t="str">
        <x:v>stagger_1</x:v>
      </x:c>
      <x:c r="B3148" s="38" t="str">
        <x:v>BRK-B</x:v>
      </x:c>
      <x:c r="C3148" s="38" t="str">
        <x:v>Other sectors</x:v>
      </x:c>
      <x:c r="D3148" s="30" t="n">
        <x:v>9</x:v>
      </x:c>
      <x:c r="E3148" s="38" t="str">
        <x:v>XLP</x:v>
      </x:c>
      <x:c r="F3148" s="38" t="n">
        <x:v>0.2895057104</x:v>
      </x:c>
      <x:c r="G3148" s="38" t="n">
        <x:v>2.2259590388</x:v>
      </x:c>
      <x:c r="H3148" s="42" t="b">
        <x:v>0</x:v>
      </x:c>
      <x:c r="I3148" s="42" t="b">
        <x:v>0</x:v>
      </x:c>
      <x:c r="J3148" s="38" t="n">
        <x:v>0.1735762144</x:v>
      </x:c>
    </x:row>
    <x:row r="3149" ht="19" customHeight="1">
      <x:c r="A3149" s="29" t="str">
        <x:v>stagger_1</x:v>
      </x:c>
      <x:c r="B3149" s="38" t="str">
        <x:v>BRK-B</x:v>
      </x:c>
      <x:c r="C3149" s="38" t="str">
        <x:v>Other sectors</x:v>
      </x:c>
      <x:c r="D3149" s="30" t="n">
        <x:v>9</x:v>
      </x:c>
      <x:c r="E3149" s="38" t="str">
        <x:v>XLV</x:v>
      </x:c>
      <x:c r="F3149" s="38" t="n">
        <x:v>0.2278805167</x:v>
      </x:c>
      <x:c r="G3149" s="38" t="n">
        <x:v>1.9250846146</x:v>
      </x:c>
      <x:c r="H3149" s="42" t="b">
        <x:v>1</x:v>
      </x:c>
      <x:c r="I3149" s="42" t="b">
        <x:v>0</x:v>
      </x:c>
      <x:c r="J3149" s="38" t="n">
        <x:v>0.1735762144</x:v>
      </x:c>
    </x:row>
    <x:row r="3150" ht="19" customHeight="1">
      <x:c r="A3150" s="29" t="str">
        <x:v>stagger_1</x:v>
      </x:c>
      <x:c r="B3150" s="38" t="str">
        <x:v>BRK-B</x:v>
      </x:c>
      <x:c r="C3150" s="38" t="str">
        <x:v>Other sectors</x:v>
      </x:c>
      <x:c r="D3150" s="30" t="n">
        <x:v>10</x:v>
      </x:c>
      <x:c r="E3150" s="38" t="str">
        <x:v>XLP</x:v>
      </x:c>
      <x:c r="F3150" s="38" t="n">
        <x:v>0.4062432469</x:v>
      </x:c>
      <x:c r="G3150" s="38" t="n">
        <x:v>3.4711092205</x:v>
      </x:c>
      <x:c r="H3150" s="42" t="b">
        <x:v>0</x:v>
      </x:c>
      <x:c r="I3150" s="42" t="b">
        <x:v>1</x:v>
      </x:c>
      <x:c r="J3150" s="38" t="n">
        <x:v>0.1338010733</x:v>
      </x:c>
    </x:row>
  </x:sheetData>
  <x:pageMargins left="0.7" right="0.7" top="0.75" bottom="0.75" header="0.3" footer="0.3"/>
</x:worksheet>
</file>

<file path=xl/worksheets/sheet12.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21"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 min="45" max="45"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c r="AS1" s="23"/>
    </x:row>
    <x:row r="2" ht="19" customHeight="1">
      <x:c r="A2" s="34" t="str">
        <x:v>Residual history at every stage</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c r="AS2" s="23"/>
    </x:row>
    <x:row r="3" ht="19" customHeight="1">
      <x:c r="A3" s="27"/>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row>
    <x:row r="5" ht="42" customHeight="1">
      <x:c r="A5" s="35" t="str">
        <x:v>Stage</x:v>
      </x:c>
      <x:c r="B5" s="35" t="str">
        <x:v>Date</x:v>
      </x:c>
      <x:c r="C5" s="35" t="str">
        <x:v>VST</x:v>
      </x:c>
      <x:c r="D5" s="35" t="str">
        <x:v>VIST</x:v>
      </x:c>
      <x:c r="E5" s="35" t="str">
        <x:v>AEP</x:v>
      </x:c>
      <x:c r="F5" s="35" t="str">
        <x:v>ETR</x:v>
      </x:c>
      <x:c r="G5" s="35" t="str">
        <x:v>DIS</x:v>
      </x:c>
      <x:c r="H5" s="35" t="str">
        <x:v>CMG</x:v>
      </x:c>
      <x:c r="I5" s="35" t="str">
        <x:v>AMZN</x:v>
      </x:c>
      <x:c r="J5" s="35" t="str">
        <x:v>FIX</x:v>
      </x:c>
      <x:c r="K5" s="35" t="str">
        <x:v>STX</x:v>
      </x:c>
      <x:c r="L5" s="35" t="str">
        <x:v>VLO</x:v>
      </x:c>
      <x:c r="M5" s="35" t="str">
        <x:v>CF</x:v>
      </x:c>
      <x:c r="N5" s="35" t="str">
        <x:v>NTR</x:v>
      </x:c>
      <x:c r="O5" s="35" t="str">
        <x:v>LNN</x:v>
      </x:c>
      <x:c r="P5" s="35" t="str">
        <x:v>WDC</x:v>
      </x:c>
      <x:c r="Q5" s="35" t="str">
        <x:v>ASND</x:v>
      </x:c>
      <x:c r="R5" s="35" t="str">
        <x:v>DOCN</x:v>
      </x:c>
      <x:c r="S5" s="35" t="str">
        <x:v>CME</x:v>
      </x:c>
      <x:c r="T5" s="35" t="str">
        <x:v>NET</x:v>
      </x:c>
      <x:c r="U5" s="35" t="str">
        <x:v>MRNA</x:v>
      </x:c>
      <x:c r="V5" s="35" t="str">
        <x:v>AXON</x:v>
      </x:c>
      <x:c r="W5" s="35" t="str">
        <x:v>NFLX</x:v>
      </x:c>
      <x:c r="X5" s="35" t="str">
        <x:v>CMCSA</x:v>
      </x:c>
      <x:c r="Y5" s="35" t="str">
        <x:v>MU</x:v>
      </x:c>
      <x:c r="Z5" s="35" t="str">
        <x:v>NEM</x:v>
      </x:c>
      <x:c r="AA5" s="35" t="str">
        <x:v>PGR</x:v>
      </x:c>
      <x:c r="AB5" s="35" t="str">
        <x:v>ORKA</x:v>
      </x:c>
      <x:c r="AC5" s="35" t="str">
        <x:v>UPST</x:v>
      </x:c>
      <x:c r="AD5" s="35" t="str">
        <x:v>PG</x:v>
      </x:c>
      <x:c r="AE5" s="35" t="str">
        <x:v>F</x:v>
      </x:c>
      <x:c r="AF5" s="35" t="str">
        <x:v>HPE</x:v>
      </x:c>
      <x:c r="AG5" s="35" t="str">
        <x:v>BA</x:v>
      </x:c>
      <x:c r="AH5" s="35" t="str">
        <x:v>HII</x:v>
      </x:c>
      <x:c r="AI5" s="35" t="str">
        <x:v>AMD</x:v>
      </x:c>
      <x:c r="AJ5" s="35" t="str">
        <x:v>LLY</x:v>
      </x:c>
      <x:c r="AK5" s="35" t="str">
        <x:v>WELL</x:v>
      </x:c>
      <x:c r="AL5" s="35" t="str">
        <x:v>NOK</x:v>
      </x:c>
      <x:c r="AM5" s="35" t="str">
        <x:v>MSFT</x:v>
      </x:c>
      <x:c r="AN5" s="35" t="str">
        <x:v>GOOGL</x:v>
      </x:c>
      <x:c r="AO5" s="35" t="str">
        <x:v>COST</x:v>
      </x:c>
      <x:c r="AP5" s="35" t="str">
        <x:v>HD</x:v>
      </x:c>
      <x:c r="AQ5" s="35" t="str">
        <x:v>KO</x:v>
      </x:c>
      <x:c r="AR5" s="35" t="str">
        <x:v>JNJ</x:v>
      </x:c>
      <x:c r="AS5" s="35" t="str">
        <x:v>BRK-B</x:v>
      </x:c>
    </x:row>
    <x:row r="6" ht="19" customHeight="1">
      <x:c r="A6" s="29" t="str">
        <x:v>Original</x:v>
      </x:c>
      <x:c r="B6" s="39" t="d">
        <x:v>2020-07-20T00:00:00.000Z</x:v>
      </x:c>
      <x:c r="C6" s="38" t="n">
        <x:v>0.0220390063</x:v>
      </x:c>
      <x:c r="D6" s="38" t="n">
        <x:v>0.0913738586</x:v>
      </x:c>
      <x:c r="E6" s="38" t="n">
        <x:v>0.065894395</x:v>
      </x:c>
      <x:c r="F6" s="38" t="n">
        <x:v>0.0616212415</x:v>
      </x:c>
      <x:c r="G6" s="38" t="n">
        <x:v>0.0408369218</x:v>
      </x:c>
      <x:c r="H6" s="38" t="n">
        <x:v>0.0488435173</x:v>
      </x:c>
      <x:c r="I6" s="38" t="n">
        <x:v>0.060334672</x:v>
      </x:c>
      <x:c r="J6" s="38" t="n">
        <x:v>0.0400888818</x:v>
      </x:c>
      <x:c r="K6" s="38" t="n">
        <x:v>0.012246831</x:v>
      </x:c>
      <x:c r="L6" s="38" t="n">
        <x:v>0.0157935009</x:v>
      </x:c>
      <x:c r="M6" s="38" t="n">
        <x:v>0.0587088521</x:v>
      </x:c>
      <x:c r="N6" s="38" t="n">
        <x:v>0.0003337584</x:v>
      </x:c>
      <x:c r="O6" s="38" t="n">
        <x:v>0.0942125819</x:v>
      </x:c>
      <x:c r="P6" s="38" t="n">
        <x:v>0.0257220611</x:v>
      </x:c>
      <x:c r="Q6" s="38" t="n">
        <x:v>-0.0383983713</x:v>
      </x:c>
      <x:c r="R6" s="38"/>
      <x:c r="S6" s="38" t="n">
        <x:v>0.0206868203</x:v>
      </x:c>
      <x:c r="T6" s="38" t="n">
        <x:v>0.0028997815</x:v>
      </x:c>
      <x:c r="U6" s="38" t="n">
        <x:v>0.0967126786</x:v>
      </x:c>
      <x:c r="V6" s="38" t="n">
        <x:v>-0.0625549678</x:v>
      </x:c>
      <x:c r="W6" s="38" t="n">
        <x:v>0.043632435</x:v>
      </x:c>
      <x:c r="X6" s="38" t="n">
        <x:v>0.0656159276</x:v>
      </x:c>
      <x:c r="Y6" s="38" t="n">
        <x:v>0.0168902307</x:v>
      </x:c>
      <x:c r="Z6" s="38" t="n">
        <x:v>0.0639776961</x:v>
      </x:c>
      <x:c r="AA6" s="38" t="n">
        <x:v>0.0661737627</x:v>
      </x:c>
      <x:c r="AB6" s="38" t="n">
        <x:v>0.0047416266</x:v>
      </x:c>
      <x:c r="AC6" s="38"/>
      <x:c r="AD6" s="38" t="n">
        <x:v>0.0518281507</x:v>
      </x:c>
      <x:c r="AE6" s="38" t="n">
        <x:v>0.0826279046</x:v>
      </x:c>
      <x:c r="AF6" s="38" t="n">
        <x:v>0.0068247691</x:v>
      </x:c>
      <x:c r="AG6" s="38" t="n">
        <x:v>0.0118623428</x:v>
      </x:c>
      <x:c r="AH6" s="38" t="n">
        <x:v>0.0190614606</x:v>
      </x:c>
      <x:c r="AI6" s="38" t="n">
        <x:v>0.1771735437</x:v>
      </x:c>
      <x:c r="AJ6" s="38" t="n">
        <x:v>-0.0110980307</x:v>
      </x:c>
      <x:c r="AK6" s="38" t="n">
        <x:v>0.018060508</x:v>
      </x:c>
      <x:c r="AL6" s="38" t="n">
        <x:v>-0.0050342082</x:v>
      </x:c>
      <x:c r="AM6" s="38" t="n">
        <x:v>0.0135922784</x:v>
      </x:c>
      <x:c r="AN6" s="38" t="n">
        <x:v>0.0552254293</x:v>
      </x:c>
      <x:c r="AO6" s="38" t="n">
        <x:v>0.0510931372</x:v>
      </x:c>
      <x:c r="AP6" s="38" t="n">
        <x:v>0.0522281853</x:v>
      </x:c>
      <x:c r="AQ6" s="38" t="n">
        <x:v>0.058169789</x:v>
      </x:c>
      <x:c r="AR6" s="38" t="n">
        <x:v>0.0392262159</x:v>
      </x:c>
      <x:c r="AS6" s="38" t="n">
        <x:v>0.0563475197</x:v>
      </x:c>
    </x:row>
    <x:row r="7" ht="19" customHeight="1">
      <x:c r="A7" s="29" t="str">
        <x:v>Original</x:v>
      </x:c>
      <x:c r="B7" s="39" t="d">
        <x:v>2020-08-17T00:00:00.000Z</x:v>
      </x:c>
      <x:c r="C7" s="38" t="n">
        <x:v>0.0063881766</x:v>
      </x:c>
      <x:c r="D7" s="38" t="n">
        <x:v>-0.1035908235</x:v>
      </x:c>
      <x:c r="E7" s="38" t="n">
        <x:v>-0.054707001</x:v>
      </x:c>
      <x:c r="F7" s="38" t="n">
        <x:v>-0.0198401839</x:v>
      </x:c>
      <x:c r="G7" s="38" t="n">
        <x:v>0.0442634235</x:v>
      </x:c>
      <x:c r="H7" s="38" t="n">
        <x:v>0.056953218</x:v>
      </x:c>
      <x:c r="I7" s="38" t="n">
        <x:v>0.0483615256</x:v>
      </x:c>
      <x:c r="J7" s="38" t="n">
        <x:v>0.1346319383</x:v>
      </x:c>
      <x:c r="K7" s="38" t="n">
        <x:v>-0.0380111286</x:v>
      </x:c>
      <x:c r="L7" s="38" t="n">
        <x:v>-0.0437937152</x:v>
      </x:c>
      <x:c r="M7" s="38" t="n">
        <x:v>0.0361204319</x:v>
      </x:c>
      <x:c r="N7" s="38" t="n">
        <x:v>0.0750045252</x:v>
      </x:c>
      <x:c r="O7" s="38" t="n">
        <x:v>0.0148283943</x:v>
      </x:c>
      <x:c r="P7" s="38" t="n">
        <x:v>-0.1322918813</x:v>
      </x:c>
      <x:c r="Q7" s="38" t="n">
        <x:v>0.0104085381</x:v>
      </x:c>
      <x:c r="R7" s="38"/>
      <x:c r="S7" s="38" t="n">
        <x:v>0.0164500421</x:v>
      </x:c>
      <x:c r="T7" s="38" t="n">
        <x:v>0.047310469</x:v>
      </x:c>
      <x:c r="U7" s="38" t="n">
        <x:v>-0.0534228852</x:v>
      </x:c>
      <x:c r="V7" s="38" t="n">
        <x:v>-0.0197343452</x:v>
      </x:c>
      <x:c r="W7" s="38" t="n">
        <x:v>0.0134466419</x:v>
      </x:c>
      <x:c r="X7" s="38" t="n">
        <x:v>-0.0035730158</x:v>
      </x:c>
      <x:c r="Y7" s="38" t="n">
        <x:v>-0.0877648255</x:v>
      </x:c>
      <x:c r="Z7" s="38" t="n">
        <x:v>-0.009834991</x:v>
      </x:c>
      <x:c r="AA7" s="38" t="n">
        <x:v>0.0243095959</x:v>
      </x:c>
      <x:c r="AB7" s="38" t="n">
        <x:v>-0.1178831828</x:v>
      </x:c>
      <x:c r="AC7" s="38"/>
      <x:c r="AD7" s="38" t="n">
        <x:v>0.0480966262</x:v>
      </x:c>
      <x:c r="AE7" s="38" t="n">
        <x:v>-0.0179207832</x:v>
      </x:c>
      <x:c r="AF7" s="38" t="n">
        <x:v>-0.0168786529</x:v>
      </x:c>
      <x:c r="AG7" s="38" t="n">
        <x:v>-0.0202325356</x:v>
      </x:c>
      <x:c r="AH7" s="38" t="n">
        <x:v>-0.0606088716</x:v>
      </x:c>
      <x:c r="AI7" s="38" t="n">
        <x:v>0.1040340046</x:v>
      </x:c>
      <x:c r="AJ7" s="38" t="n">
        <x:v>-0.0340459869</x:v>
      </x:c>
      <x:c r="AK7" s="38" t="n">
        <x:v>0.0542875197</x:v>
      </x:c>
      <x:c r="AL7" s="38" t="n">
        <x:v>0.0798483407</x:v>
      </x:c>
      <x:c r="AM7" s="38" t="n">
        <x:v>0.0325361308</x:v>
      </x:c>
      <x:c r="AN7" s="38" t="n">
        <x:v>0.0240934181</x:v>
      </x:c>
      <x:c r="AO7" s="38" t="n">
        <x:v>0.0321694834</x:v>
      </x:c>
      <x:c r="AP7" s="38" t="n">
        <x:v>0.0360409485</x:v>
      </x:c>
      <x:c r="AQ7" s="38" t="n">
        <x:v>-0.0139345064</x:v>
      </x:c>
      <x:c r="AR7" s="38" t="n">
        <x:v>0.0170088631</x:v>
      </x:c>
      <x:c r="AS7" s="38" t="n">
        <x:v>0.0354336791</x:v>
      </x:c>
    </x:row>
    <x:row r="8" ht="19" customHeight="1">
      <x:c r="A8" s="29" t="str">
        <x:v>Original</x:v>
      </x:c>
      <x:c r="B8" s="39" t="d">
        <x:v>2020-09-14T00:00:00.000Z</x:v>
      </x:c>
      <x:c r="C8" s="38" t="n">
        <x:v>-0.0257498283</x:v>
      </x:c>
      <x:c r="D8" s="38" t="n">
        <x:v>-0.1365672096</x:v>
      </x:c>
      <x:c r="E8" s="38" t="n">
        <x:v>-0.0021259424</x:v>
      </x:c>
      <x:c r="F8" s="38" t="n">
        <x:v>-0.015603049</x:v>
      </x:c>
      <x:c r="G8" s="38" t="n">
        <x:v>0.0051979195</x:v>
      </x:c>
      <x:c r="H8" s="38" t="n">
        <x:v>-0.0171092034</x:v>
      </x:c>
      <x:c r="I8" s="38" t="n">
        <x:v>-0.0591760379</x:v>
      </x:c>
      <x:c r="J8" s="38" t="n">
        <x:v>0.0034086916</x:v>
      </x:c>
      <x:c r="K8" s="38" t="n">
        <x:v>0.0475581957</x:v>
      </x:c>
      <x:c r="L8" s="38" t="n">
        <x:v>-0.0431806512</x:v>
      </x:c>
      <x:c r="M8" s="38" t="n">
        <x:v>0.0276395004</x:v>
      </x:c>
      <x:c r="N8" s="38" t="n">
        <x:v>0.0601344162</x:v>
      </x:c>
      <x:c r="O8" s="38" t="n">
        <x:v>-0.0199823524</x:v>
      </x:c>
      <x:c r="P8" s="38" t="n">
        <x:v>0.0552443752</x:v>
      </x:c>
      <x:c r="Q8" s="38" t="n">
        <x:v>0.0246954214</x:v>
      </x:c>
      <x:c r="R8" s="38"/>
      <x:c r="S8" s="38" t="n">
        <x:v>-0.0128365967</x:v>
      </x:c>
      <x:c r="T8" s="38" t="n">
        <x:v>-0.0267832065</x:v>
      </x:c>
      <x:c r="U8" s="38" t="n">
        <x:v>0.0280669042</x:v>
      </x:c>
      <x:c r="V8" s="38" t="n">
        <x:v>-0.0004063168</x:v>
      </x:c>
      <x:c r="W8" s="38" t="n">
        <x:v>-0.0259833372</x:v>
      </x:c>
      <x:c r="X8" s="38" t="n">
        <x:v>0.0277369343</x:v>
      </x:c>
      <x:c r="Y8" s="38" t="n">
        <x:v>0.0970034891</x:v>
      </x:c>
      <x:c r="Z8" s="38" t="n">
        <x:v>-0.0052538016</x:v>
      </x:c>
      <x:c r="AA8" s="38" t="n">
        <x:v>0.029884206</x:v>
      </x:c>
      <x:c r="AB8" s="38" t="n">
        <x:v>-0.0415990982</x:v>
      </x:c>
      <x:c r="AC8" s="38"/>
      <x:c r="AD8" s="38" t="n">
        <x:v>-0.0002848656</x:v>
      </x:c>
      <x:c r="AE8" s="38" t="n">
        <x:v>0.0459253507</x:v>
      </x:c>
      <x:c r="AF8" s="38" t="n">
        <x:v>0.0171404607</x:v>
      </x:c>
      <x:c r="AG8" s="38" t="n">
        <x:v>-0.021648463</x:v>
      </x:c>
      <x:c r="AH8" s="38" t="n">
        <x:v>-0.0305939002</x:v>
      </x:c>
      <x:c r="AI8" s="38" t="n">
        <x:v>-0.0626348729</x:v>
      </x:c>
      <x:c r="AJ8" s="38" t="n">
        <x:v>0.0181008022</x:v>
      </x:c>
      <x:c r="AK8" s="38" t="n">
        <x:v>0.0031793305</x:v>
      </x:c>
      <x:c r="AL8" s="38" t="n">
        <x:v>-0.1089838345</x:v>
      </x:c>
      <x:c r="AM8" s="38" t="n">
        <x:v>-0.0341817785</x:v>
      </x:c>
      <x:c r="AN8" s="38" t="n">
        <x:v>-0.0460273269</x:v>
      </x:c>
      <x:c r="AO8" s="38" t="n">
        <x:v>-0.014216778</x:v>
      </x:c>
      <x:c r="AP8" s="38" t="n">
        <x:v>-0.0131632859</x:v>
      </x:c>
      <x:c r="AQ8" s="38" t="n">
        <x:v>0.0408015462</x:v>
      </x:c>
      <x:c r="AR8" s="38" t="n">
        <x:v>-0.0095525896</x:v>
      </x:c>
      <x:c r="AS8" s="38" t="n">
        <x:v>0.028333869</x:v>
      </x:c>
    </x:row>
    <x:row r="9" ht="19" customHeight="1">
      <x:c r="A9" s="29" t="str">
        <x:v>Original</x:v>
      </x:c>
      <x:c r="B9" s="39" t="d">
        <x:v>2020-10-12T00:00:00.000Z</x:v>
      </x:c>
      <x:c r="C9" s="38" t="n">
        <x:v>0.0278073665</x:v>
      </x:c>
      <x:c r="D9" s="38" t="n">
        <x:v>-0.0246643334</x:v>
      </x:c>
      <x:c r="E9" s="38" t="n">
        <x:v>0.0850209842</x:v>
      </x:c>
      <x:c r="F9" s="38" t="n">
        <x:v>0.0631550189</x:v>
      </x:c>
      <x:c r="G9" s="38" t="n">
        <x:v>-0.0080826207</x:v>
      </x:c>
      <x:c r="H9" s="38" t="n">
        <x:v>0.0551829524</x:v>
      </x:c>
      <x:c r="I9" s="38" t="n">
        <x:v>0.0579386511</x:v>
      </x:c>
      <x:c r="J9" s="38" t="n">
        <x:v>0.0355883897</x:v>
      </x:c>
      <x:c r="K9" s="38" t="n">
        <x:v>0.0373466</x:v>
      </x:c>
      <x:c r="L9" s="38" t="n">
        <x:v>-0.1086282583</x:v>
      </x:c>
      <x:c r="M9" s="38" t="n">
        <x:v>-0.0849366935</x:v>
      </x:c>
      <x:c r="N9" s="38" t="n">
        <x:v>-0.0125634058</x:v>
      </x:c>
      <x:c r="O9" s="38" t="n">
        <x:v>0.0476446093</x:v>
      </x:c>
      <x:c r="P9" s="38" t="n">
        <x:v>0.0110196293</x:v>
      </x:c>
      <x:c r="Q9" s="38" t="n">
        <x:v>0.0426145903</x:v>
      </x:c>
      <x:c r="R9" s="38"/>
      <x:c r="S9" s="38" t="n">
        <x:v>-0.0035673623</x:v>
      </x:c>
      <x:c r="T9" s="38" t="n">
        <x:v>0.2562645494</x:v>
      </x:c>
      <x:c r="U9" s="38" t="n">
        <x:v>0.0321129687</x:v>
      </x:c>
      <x:c r="V9" s="38" t="n">
        <x:v>0.1584790836</x:v>
      </x:c>
      <x:c r="W9" s="38" t="n">
        <x:v>0.0690378347</x:v>
      </x:c>
      <x:c r="X9" s="38" t="n">
        <x:v>0.0066019239</x:v>
      </x:c>
      <x:c r="Y9" s="38" t="n">
        <x:v>0.0096428433</x:v>
      </x:c>
      <x:c r="Z9" s="38" t="n">
        <x:v>-0.0181689103</x:v>
      </x:c>
      <x:c r="AA9" s="38" t="n">
        <x:v>-0.0014031314</x:v>
      </x:c>
      <x:c r="AB9" s="38" t="n">
        <x:v>-0.1230174388</x:v>
      </x:c>
      <x:c r="AC9" s="38"/>
      <x:c r="AD9" s="38" t="n">
        <x:v>0.0282687269</x:v>
      </x:c>
      <x:c r="AE9" s="38" t="n">
        <x:v>0.0335082491</x:v>
      </x:c>
      <x:c r="AF9" s="38" t="n">
        <x:v>-0.0011954391</x:v>
      </x:c>
      <x:c r="AG9" s="38" t="n">
        <x:v>0.0214477058</x:v>
      </x:c>
      <x:c r="AH9" s="38" t="n">
        <x:v>-0.0045041903</x:v>
      </x:c>
      <x:c r="AI9" s="38" t="n">
        <x:v>0.0591763431</x:v>
      </x:c>
      <x:c r="AJ9" s="38" t="n">
        <x:v>-0.0304172079</x:v>
      </x:c>
      <x:c r="AK9" s="38" t="n">
        <x:v>-0.022233673</x:v>
      </x:c>
      <x:c r="AL9" s="38" t="n">
        <x:v>-0.0083822374</x:v>
      </x:c>
      <x:c r="AM9" s="38" t="n">
        <x:v>0.0520769622</x:v>
      </x:c>
      <x:c r="AN9" s="38" t="n">
        <x:v>0.0438406683</x:v>
      </x:c>
      <x:c r="AO9" s="38" t="n">
        <x:v>0.0721600945</x:v>
      </x:c>
      <x:c r="AP9" s="38" t="n">
        <x:v>0.0251362389</x:v>
      </x:c>
      <x:c r="AQ9" s="38" t="n">
        <x:v>-0.0047417235</x:v>
      </x:c>
      <x:c r="AR9" s="38" t="n">
        <x:v>-0.0041209611</x:v>
      </x:c>
      <x:c r="AS9" s="38" t="n">
        <x:v>-0.0166165693</x:v>
      </x:c>
    </x:row>
    <x:row r="10" ht="19" customHeight="1">
      <x:c r="A10" s="29" t="str">
        <x:v>Original</x:v>
      </x:c>
      <x:c r="B10" s="39" t="d">
        <x:v>2020-11-09T00:00:00.000Z</x:v>
      </x:c>
      <x:c r="C10" s="38" t="n">
        <x:v>0.0210824094</x:v>
      </x:c>
      <x:c r="D10" s="38" t="n">
        <x:v>0.0371254355</x:v>
      </x:c>
      <x:c r="E10" s="38" t="n">
        <x:v>-0.0057644431</x:v>
      </x:c>
      <x:c r="F10" s="38" t="n">
        <x:v>0.0184075058</x:v>
      </x:c>
      <x:c r="G10" s="38" t="n">
        <x:v>0.0501435182</x:v>
      </x:c>
      <x:c r="H10" s="38" t="n">
        <x:v>-0.0391993616</x:v>
      </x:c>
      <x:c r="I10" s="38" t="n">
        <x:v>-0.0258662008</x:v>
      </x:c>
      <x:c r="J10" s="38" t="n">
        <x:v>-0.0606832918</x:v>
      </x:c>
      <x:c r="K10" s="38" t="n">
        <x:v>0.0354524633</x:v>
      </x:c>
      <x:c r="L10" s="38" t="n">
        <x:v>0.135695071</x:v>
      </x:c>
      <x:c r="M10" s="38" t="n">
        <x:v>0.0365458702</x:v>
      </x:c>
      <x:c r="N10" s="38" t="n">
        <x:v>0.0246371245</x:v>
      </x:c>
      <x:c r="O10" s="38" t="n">
        <x:v>0.0489972297</x:v>
      </x:c>
      <x:c r="P10" s="38" t="n">
        <x:v>0.0511762211</x:v>
      </x:c>
      <x:c r="Q10" s="38" t="n">
        <x:v>0.0255942639</x:v>
      </x:c>
      <x:c r="R10" s="38"/>
      <x:c r="S10" s="38" t="n">
        <x:v>-0.0069939245</x:v>
      </x:c>
      <x:c r="T10" s="38" t="n">
        <x:v>0.051687018</x:v>
      </x:c>
      <x:c r="U10" s="38" t="n">
        <x:v>0.1091553707</x:v>
      </x:c>
      <x:c r="V10" s="38" t="n">
        <x:v>0.0591411717</x:v>
      </x:c>
      <x:c r="W10" s="38" t="n">
        <x:v>-0.0544647528</x:v>
      </x:c>
      <x:c r="X10" s="38" t="n">
        <x:v>0.0418721938</x:v>
      </x:c>
      <x:c r="Y10" s="38" t="n">
        <x:v>0.0664521115</x:v>
      </x:c>
      <x:c r="Z10" s="38" t="n">
        <x:v>0.0272484212</x:v>
      </x:c>
      <x:c r="AA10" s="38" t="n">
        <x:v>-0.0051482121</x:v>
      </x:c>
      <x:c r="AB10" s="38" t="n">
        <x:v>-0.0196443944</x:v>
      </x:c>
      <x:c r="AC10" s="38"/>
      <x:c r="AD10" s="38" t="n">
        <x:v>0.0027468259</x:v>
      </x:c>
      <x:c r="AE10" s="38" t="n">
        <x:v>0.0618067552</x:v>
      </x:c>
      <x:c r="AF10" s="38" t="n">
        <x:v>0.0387161341</x:v>
      </x:c>
      <x:c r="AG10" s="38" t="n">
        <x:v>0.0642025601</x:v>
      </x:c>
      <x:c r="AH10" s="38" t="n">
        <x:v>0.059086119</x:v>
      </x:c>
      <x:c r="AI10" s="38" t="n">
        <x:v>-0.0121623456</x:v>
      </x:c>
      <x:c r="AJ10" s="38" t="n">
        <x:v>-0.0119670796</x:v>
      </x:c>
      <x:c r="AK10" s="38" t="n">
        <x:v>0.1150571973</x:v>
      </x:c>
      <x:c r="AL10" s="38" t="n">
        <x:v>-0.0322926523</x:v>
      </x:c>
      <x:c r="AM10" s="38" t="n">
        <x:v>-0.0083090001</x:v>
      </x:c>
      <x:c r="AN10" s="38" t="n">
        <x:v>0.0705514079</x:v>
      </x:c>
      <x:c r="AO10" s="38" t="n">
        <x:v>-0.0029809652</x:v>
      </x:c>
      <x:c r="AP10" s="38" t="n">
        <x:v>-0.0213691294</x:v>
      </x:c>
      <x:c r="AQ10" s="38" t="n">
        <x:v>0.0380373059</x:v>
      </x:c>
      <x:c r="AR10" s="38" t="n">
        <x:v>0.0069492213</x:v>
      </x:c>
      <x:c r="AS10" s="38" t="n">
        <x:v>0.0406334392</x:v>
      </x:c>
    </x:row>
    <x:row r="11" ht="19" customHeight="1">
      <x:c r="A11" s="29" t="str">
        <x:v>Original</x:v>
      </x:c>
      <x:c r="B11" s="39" t="d">
        <x:v>2020-12-07T00:00:00.000Z</x:v>
      </x:c>
      <x:c r="C11" s="38" t="n">
        <x:v>-0.0445335861</x:v>
      </x:c>
      <x:c r="D11" s="38" t="n">
        <x:v>0.0961509125</x:v>
      </x:c>
      <x:c r="E11" s="38" t="n">
        <x:v>-0.0480843261</x:v>
      </x:c>
      <x:c r="F11" s="38" t="n">
        <x:v>-0.0352422787</x:v>
      </x:c>
      <x:c r="G11" s="38" t="n">
        <x:v>0.1394546461</x:v>
      </x:c>
      <x:c r="H11" s="38" t="n">
        <x:v>0.0222147771</x:v>
      </x:c>
      <x:c r="I11" s="38" t="n">
        <x:v>-0.0023149072</x:v>
      </x:c>
      <x:c r="J11" s="38" t="n">
        <x:v>0.0086280771</x:v>
      </x:c>
      <x:c r="K11" s="38" t="n">
        <x:v>0.0983875649</x:v>
      </x:c>
      <x:c r="L11" s="38" t="n">
        <x:v>0.096584071</x:v>
      </x:c>
      <x:c r="M11" s="38" t="n">
        <x:v>0.141519196</x:v>
      </x:c>
      <x:c r="N11" s="38" t="n">
        <x:v>0.0909251776</x:v>
      </x:c>
      <x:c r="O11" s="38" t="n">
        <x:v>0.020085439</x:v>
      </x:c>
      <x:c r="P11" s="38" t="n">
        <x:v>0.1217105158</x:v>
      </x:c>
      <x:c r="Q11" s="38" t="n">
        <x:v>0.0454722829</x:v>
      </x:c>
      <x:c r="R11" s="38"/>
      <x:c r="S11" s="38" t="n">
        <x:v>0.0509640165</x:v>
      </x:c>
      <x:c r="T11" s="38" t="n">
        <x:v>0.1496008211</x:v>
      </x:c>
      <x:c r="U11" s="38" t="n">
        <x:v>0.3283390206</x:v>
      </x:c>
      <x:c r="V11" s="38" t="n">
        <x:v>0.010229687</x:v>
      </x:c>
      <x:c r="W11" s="38" t="n">
        <x:v>0.024119465</x:v>
      </x:c>
      <x:c r="X11" s="38" t="n">
        <x:v>0.0225383585</x:v>
      </x:c>
      <x:c r="Y11" s="38" t="n">
        <x:v>0.1148170354</x:v>
      </x:c>
      <x:c r="Z11" s="38" t="n">
        <x:v>-0.0602245654</x:v>
      </x:c>
      <x:c r="AA11" s="38" t="n">
        <x:v>-0.0077974489</x:v>
      </x:c>
      <x:c r="AB11" s="38" t="n">
        <x:v>0.0552101368</x:v>
      </x:c>
      <x:c r="AC11" s="38"/>
      <x:c r="AD11" s="38" t="n">
        <x:v>-0.0322965378</x:v>
      </x:c>
      <x:c r="AE11" s="38" t="n">
        <x:v>0.0319029989</x:v>
      </x:c>
      <x:c r="AF11" s="38" t="n">
        <x:v>0.1035954294</x:v>
      </x:c>
      <x:c r="AG11" s="38" t="n">
        <x:v>0.1212425769</x:v>
      </x:c>
      <x:c r="AH11" s="38" t="n">
        <x:v>0.0506772761</x:v>
      </x:c>
      <x:c r="AI11" s="38" t="n">
        <x:v>0.0689786873</x:v>
      </x:c>
      <x:c r="AJ11" s="38" t="n">
        <x:v>0.0682150642</x:v>
      </x:c>
      <x:c r="AK11" s="38" t="n">
        <x:v>-0.0118647244</x:v>
      </x:c>
      <x:c r="AL11" s="38" t="n">
        <x:v>0.0370780772</x:v>
      </x:c>
      <x:c r="AM11" s="38" t="n">
        <x:v>-0.0072983665</x:v>
      </x:c>
      <x:c r="AN11" s="38" t="n">
        <x:v>0.0008355345</x:v>
      </x:c>
      <x:c r="AO11" s="38" t="n">
        <x:v>0.009297042</x:v>
      </x:c>
      <x:c r="AP11" s="38" t="n">
        <x:v>-0.0240150808</x:v>
      </x:c>
      <x:c r="AQ11" s="38" t="n">
        <x:v>0.0034641139</x:v>
      </x:c>
      <x:c r="AR11" s="38" t="n">
        <x:v>0.0157915052</x:v>
      </x:c>
      <x:c r="AS11" s="38" t="n">
        <x:v>-0.0026483096</x:v>
      </x:c>
    </x:row>
    <x:row r="12" ht="19" customHeight="1">
      <x:c r="A12" s="29" t="str">
        <x:v>Original</x:v>
      </x:c>
      <x:c r="B12" s="39" t="d">
        <x:v>2021-01-04T00:00:00.000Z</x:v>
      </x:c>
      <x:c r="C12" s="38" t="n">
        <x:v>0.0862152649</x:v>
      </x:c>
      <x:c r="D12" s="38" t="n">
        <x:v>-0.0238929068</x:v>
      </x:c>
      <x:c r="E12" s="38" t="n">
        <x:v>-0.0261655364</x:v>
      </x:c>
      <x:c r="F12" s="38" t="n">
        <x:v>-0.0435305468</x:v>
      </x:c>
      <x:c r="G12" s="38" t="n">
        <x:v>0.0099172193</x:v>
      </x:c>
      <x:c r="H12" s="38" t="n">
        <x:v>0.0448797055</x:v>
      </x:c>
      <x:c r="I12" s="38" t="n">
        <x:v>0.0124522116</x:v>
      </x:c>
      <x:c r="J12" s="38" t="n">
        <x:v>0.0647683905</x:v>
      </x:c>
      <x:c r="K12" s="38" t="n">
        <x:v>-0.0489908664</x:v>
      </x:c>
      <x:c r="L12" s="38" t="n">
        <x:v>-0.0133812744</x:v>
      </x:c>
      <x:c r="M12" s="38" t="n">
        <x:v>0.0543828605</x:v>
      </x:c>
      <x:c r="N12" s="38" t="n">
        <x:v>0.0332426509</x:v>
      </x:c>
      <x:c r="O12" s="38" t="n">
        <x:v>0.1080269129</x:v>
      </x:c>
      <x:c r="P12" s="38" t="n">
        <x:v>0.0083947114</x:v>
      </x:c>
      <x:c r="Q12" s="38" t="n">
        <x:v>-0.0341683459</x:v>
      </x:c>
      <x:c r="R12" s="38"/>
      <x:c r="S12" s="38" t="n">
        <x:v>0.0687668355</x:v>
      </x:c>
      <x:c r="T12" s="38" t="n">
        <x:v>-0.0238820402</x:v>
      </x:c>
      <x:c r="U12" s="38" t="n">
        <x:v>-0.1956304848</x:v>
      </x:c>
      <x:c r="V12" s="38" t="n">
        <x:v>0.0106683283</x:v>
      </x:c>
      <x:c r="W12" s="38" t="n">
        <x:v>0.0083827476</x:v>
      </x:c>
      <x:c r="X12" s="38" t="n">
        <x:v>0.0097452985</x:v>
      </x:c>
      <x:c r="Y12" s="38" t="n">
        <x:v>0.0551502028</x:v>
      </x:c>
      <x:c r="Z12" s="38" t="n">
        <x:v>0.0381431434</x:v>
      </x:c>
      <x:c r="AA12" s="38" t="n">
        <x:v>0.0289026235</x:v>
      </x:c>
      <x:c r="AB12" s="38" t="n">
        <x:v>-0.0287353817</x:v>
      </x:c>
      <x:c r="AC12" s="38"/>
      <x:c r="AD12" s="38" t="n">
        <x:v>0.0098008554</x:v>
      </x:c>
      <x:c r="AE12" s="38" t="n">
        <x:v>-0.0013134919</x:v>
      </x:c>
      <x:c r="AF12" s="38" t="n">
        <x:v>-0.0054533708</x:v>
      </x:c>
      <x:c r="AG12" s="38" t="n">
        <x:v>-0.0549578097</x:v>
      </x:c>
      <x:c r="AH12" s="38" t="n">
        <x:v>-0.0293870297</x:v>
      </x:c>
      <x:c r="AI12" s="38" t="n">
        <x:v>0.0186201124</x:v>
      </x:c>
      <x:c r="AJ12" s="38" t="n">
        <x:v>0.0230943163</x:v>
      </x:c>
      <x:c r="AK12" s="38" t="n">
        <x:v>-0.0146381219</x:v>
      </x:c>
      <x:c r="AL12" s="38" t="n">
        <x:v>-0.0192558526</x:v>
      </x:c>
      <x:c r="AM12" s="38" t="n">
        <x:v>0.0173879203</x:v>
      </x:c>
      <x:c r="AN12" s="38" t="n">
        <x:v>0.0076284329</x:v>
      </x:c>
      <x:c r="AO12" s="38" t="n">
        <x:v>-0.0081961667</x:v>
      </x:c>
      <x:c r="AP12" s="38" t="n">
        <x:v>0.0100679488</x:v>
      </x:c>
      <x:c r="AQ12" s="38" t="n">
        <x:v>-0.0257273981</x:v>
      </x:c>
      <x:c r="AR12" s="38" t="n">
        <x:v>0.0268113415</x:v>
      </x:c>
      <x:c r="AS12" s="38" t="n">
        <x:v>0.0196384612</x:v>
      </x:c>
    </x:row>
    <x:row r="13" ht="19" customHeight="1">
      <x:c r="A13" s="29" t="str">
        <x:v>Original</x:v>
      </x:c>
      <x:c r="B13" s="39" t="d">
        <x:v>2021-02-01T00:00:00.000Z</x:v>
      </x:c>
      <x:c r="C13" s="38" t="n">
        <x:v>0.0017127728</x:v>
      </x:c>
      <x:c r="D13" s="38" t="n">
        <x:v>-0.0084490507</x:v>
      </x:c>
      <x:c r="E13" s="38" t="n">
        <x:v>0.0223896294</x:v>
      </x:c>
      <x:c r="F13" s="38" t="n">
        <x:v>0.0071218492</x:v>
      </x:c>
      <x:c r="G13" s="38" t="n">
        <x:v>0.0082382279</x:v>
      </x:c>
      <x:c r="H13" s="38" t="n">
        <x:v>0.0431036112</x:v>
      </x:c>
      <x:c r="I13" s="38" t="n">
        <x:v>0.0311282741</x:v>
      </x:c>
      <x:c r="J13" s="38" t="n">
        <x:v>0.0114704093</x:v>
      </x:c>
      <x:c r="K13" s="38" t="n">
        <x:v>0.0977712305</x:v>
      </x:c>
      <x:c r="L13" s="38" t="n">
        <x:v>0.0403130244</x:v>
      </x:c>
      <x:c r="M13" s="38" t="n">
        <x:v>-0.0002781164</x:v>
      </x:c>
      <x:c r="N13" s="38" t="n">
        <x:v>0.0247026565</x:v>
      </x:c>
      <x:c r="O13" s="38" t="n">
        <x:v>0.0280870312</x:v>
      </x:c>
      <x:c r="P13" s="38" t="n">
        <x:v>0.0853490787</x:v>
      </x:c>
      <x:c r="Q13" s="38" t="n">
        <x:v>-0.0609983587</x:v>
      </x:c>
      <x:c r="R13" s="38"/>
      <x:c r="S13" s="38" t="n">
        <x:v>-0.0254458401</x:v>
      </x:c>
      <x:c r="T13" s="38" t="n">
        <x:v>0.0467313922</x:v>
      </x:c>
      <x:c r="U13" s="38" t="n">
        <x:v>0.2680476294</x:v>
      </x:c>
      <x:c r="V13" s="38" t="n">
        <x:v>0.20761951</x:v>
      </x:c>
      <x:c r="W13" s="38" t="n">
        <x:v>0.0457026969</x:v>
      </x:c>
      <x:c r="X13" s="38" t="n">
        <x:v>-0.0050277405</x:v>
      </x:c>
      <x:c r="Y13" s="38" t="n">
        <x:v>0.0278671739</x:v>
      </x:c>
      <x:c r="Z13" s="38" t="n">
        <x:v>-0.0343174071</x:v>
      </x:c>
      <x:c r="AA13" s="38" t="n">
        <x:v>-0.04638991</x:v>
      </x:c>
      <x:c r="AB13" s="38" t="n">
        <x:v>0.0595177951</x:v>
      </x:c>
      <x:c r="AC13" s="38" t="n">
        <x:v>0.2133335809</x:v>
      </x:c>
      <x:c r="AD13" s="38" t="n">
        <x:v>-0.037642187</x:v>
      </x:c>
      <x:c r="AE13" s="38" t="n">
        <x:v>0.1476187982</x:v>
      </x:c>
      <x:c r="AF13" s="38" t="n">
        <x:v>0.0604925126</x:v>
      </x:c>
      <x:c r="AG13" s="38" t="n">
        <x:v>-0.0056587647</x:v>
      </x:c>
      <x:c r="AH13" s="38" t="n">
        <x:v>-0.0187077407</x:v>
      </x:c>
      <x:c r="AI13" s="38" t="n">
        <x:v>-0.0439548536</x:v>
      </x:c>
      <x:c r="AJ13" s="38" t="n">
        <x:v>0.1156230072</x:v>
      </x:c>
      <x:c r="AK13" s="38" t="n">
        <x:v>0.0126938597</x:v>
      </x:c>
      <x:c r="AL13" s="38" t="n">
        <x:v>0.042724185</x:v>
      </x:c>
      <x:c r="AM13" s="38" t="n">
        <x:v>0.0587283611</x:v>
      </x:c>
      <x:c r="AN13" s="38" t="n">
        <x:v>0.0900288903</x:v>
      </x:c>
      <x:c r="AO13" s="38" t="n">
        <x:v>-0.0232668238</x:v>
      </x:c>
      <x:c r="AP13" s="38" t="n">
        <x:v>0.021401875</x:v>
      </x:c>
      <x:c r="AQ13" s="38" t="n">
        <x:v>-0.017039537</x:v>
      </x:c>
      <x:c r="AR13" s="38" t="n">
        <x:v>0.0163123864</x:v>
      </x:c>
      <x:c r="AS13" s="38" t="n">
        <x:v>0.002890573</x:v>
      </x:c>
    </x:row>
    <x:row r="14" ht="19" customHeight="1">
      <x:c r="A14" s="29" t="str">
        <x:v>Original</x:v>
      </x:c>
      <x:c r="B14" s="39" t="d">
        <x:v>2021-03-01T00:00:00.000Z</x:v>
      </x:c>
      <x:c r="C14" s="38" t="n">
        <x:v>-0.1013829291</x:v>
      </x:c>
      <x:c r="D14" s="38" t="n">
        <x:v>0.0222961626</x:v>
      </x:c>
      <x:c r="E14" s="38" t="n">
        <x:v>-0.0192764009</x:v>
      </x:c>
      <x:c r="F14" s="38" t="n">
        <x:v>-0.0431202749</x:v>
      </x:c>
      <x:c r="G14" s="38" t="n">
        <x:v>0.0289646369</x:v>
      </x:c>
      <x:c r="H14" s="38" t="n">
        <x:v>-0.0749510029</x:v>
      </x:c>
      <x:c r="I14" s="38" t="n">
        <x:v>-0.0674569667</x:v>
      </x:c>
      <x:c r="J14" s="38" t="n">
        <x:v>0.1123592548</x:v>
      </x:c>
      <x:c r="K14" s="38" t="n">
        <x:v>0.0335883175</x:v>
      </x:c>
      <x:c r="L14" s="38" t="n">
        <x:v>0.1597671841</x:v>
      </x:c>
      <x:c r="M14" s="38" t="n">
        <x:v>0.0579537277</x:v>
      </x:c>
      <x:c r="N14" s="38" t="n">
        <x:v>0.0115929889</x:v>
      </x:c>
      <x:c r="O14" s="38" t="n">
        <x:v>0.0343558456</x:v>
      </x:c>
      <x:c r="P14" s="38" t="n">
        <x:v>0.0794458887</x:v>
      </x:c>
      <x:c r="Q14" s="38" t="n">
        <x:v>-0.0236058533</x:v>
      </x:c>
      <x:c r="R14" s="38"/>
      <x:c r="S14" s="38" t="n">
        <x:v>0.0677325188</x:v>
      </x:c>
      <x:c r="T14" s="38" t="n">
        <x:v>-0.1485499577</x:v>
      </x:c>
      <x:c r="U14" s="38" t="n">
        <x:v>-0.1750423828</x:v>
      </x:c>
      <x:c r="V14" s="38" t="n">
        <x:v>-0.1302696764</x:v>
      </x:c>
      <x:c r="W14" s="38" t="n">
        <x:v>-0.0392505458</x:v>
      </x:c>
      <x:c r="X14" s="38" t="n">
        <x:v>0.0456390739</x:v>
      </x:c>
      <x:c r="Y14" s="38" t="n">
        <x:v>0.0560942714</x:v>
      </x:c>
      <x:c r="Z14" s="38" t="n">
        <x:v>-0.0209362115</x:v>
      </x:c>
      <x:c r="AA14" s="38" t="n">
        <x:v>0.0143711413</x:v>
      </x:c>
      <x:c r="AB14" s="38" t="n">
        <x:v>-0.0749587433</x:v>
      </x:c>
      <x:c r="AC14" s="38" t="n">
        <x:v>-0.2347590861</x:v>
      </x:c>
      <x:c r="AD14" s="38" t="n">
        <x:v>-0.0171010882</x:v>
      </x:c>
      <x:c r="AE14" s="38" t="n">
        <x:v>0.0389157033</x:v>
      </x:c>
      <x:c r="AF14" s="38" t="n">
        <x:v>0.0557294816</x:v>
      </x:c>
      <x:c r="AG14" s="38" t="n">
        <x:v>0.043185318</x:v>
      </x:c>
      <x:c r="AH14" s="38" t="n">
        <x:v>0.079406597</x:v>
      </x:c>
      <x:c r="AI14" s="38" t="n">
        <x:v>-0.068680381</x:v>
      </x:c>
      <x:c r="AJ14" s="38" t="n">
        <x:v>0.0178758222</x:v>
      </x:c>
      <x:c r="AK14" s="38" t="n">
        <x:v>0.0620764445</x:v>
      </x:c>
      <x:c r="AL14" s="38" t="n">
        <x:v>-0.0511237226</x:v>
      </x:c>
      <x:c r="AM14" s="38" t="n">
        <x:v>-0.0258366356</x:v>
      </x:c>
      <x:c r="AN14" s="38" t="n">
        <x:v>0.0023961187</x:v>
      </x:c>
      <x:c r="AO14" s="38" t="n">
        <x:v>-0.0685825964</x:v>
      </x:c>
      <x:c r="AP14" s="38" t="n">
        <x:v>-0.0579811652</x:v>
      </x:c>
      <x:c r="AQ14" s="38" t="n">
        <x:v>0.0138162826</x:v>
      </x:c>
      <x:c r="AR14" s="38" t="n">
        <x:v>-0.0279316761</x:v>
      </x:c>
      <x:c r="AS14" s="38" t="n">
        <x:v>0.044864882</x:v>
      </x:c>
    </x:row>
    <x:row r="15" ht="19" customHeight="1">
      <x:c r="A15" s="29" t="str">
        <x:v>Original</x:v>
      </x:c>
      <x:c r="B15" s="39" t="d">
        <x:v>2021-03-29T00:00:00.000Z</x:v>
      </x:c>
      <x:c r="C15" s="38" t="n">
        <x:v>0.0015270548</x:v>
      </x:c>
      <x:c r="D15" s="38" t="n">
        <x:v>-0.0249202531</x:v>
      </x:c>
      <x:c r="E15" s="38" t="n">
        <x:v>0.0498763397</x:v>
      </x:c>
      <x:c r="F15" s="38" t="n">
        <x:v>0.0688046838</x:v>
      </x:c>
      <x:c r="G15" s="38" t="n">
        <x:v>-0.0033229068</x:v>
      </x:c>
      <x:c r="H15" s="38" t="n">
        <x:v>0.0473322763</x:v>
      </x:c>
      <x:c r="I15" s="38" t="n">
        <x:v>0.0321733344</x:v>
      </x:c>
      <x:c r="J15" s="38" t="n">
        <x:v>0.0531783028</x:v>
      </x:c>
      <x:c r="K15" s="38" t="n">
        <x:v>0.0470240261</x:v>
      </x:c>
      <x:c r="L15" s="38" t="n">
        <x:v>-0.0298426283</x:v>
      </x:c>
      <x:c r="M15" s="38" t="n">
        <x:v>-0.0160577967</x:v>
      </x:c>
      <x:c r="N15" s="38" t="n">
        <x:v>0.004039344</x:v>
      </x:c>
      <x:c r="O15" s="38" t="n">
        <x:v>0.030459277</x:v>
      </x:c>
      <x:c r="P15" s="38" t="n">
        <x:v>0.0292216443</x:v>
      </x:c>
      <x:c r="Q15" s="38" t="n">
        <x:v>-0.0735856995</x:v>
      </x:c>
      <x:c r="R15" s="38"/>
      <x:c r="S15" s="38" t="n">
        <x:v>-0.0204159933</x:v>
      </x:c>
      <x:c r="T15" s="38" t="n">
        <x:v>0.0423470441</x:v>
      </x:c>
      <x:c r="U15" s="38" t="n">
        <x:v>0.001678733</x:v>
      </x:c>
      <x:c r="V15" s="38" t="n">
        <x:v>0.0000863182</x:v>
      </x:c>
      <x:c r="W15" s="38" t="n">
        <x:v>0.0269323977</x:v>
      </x:c>
      <x:c r="X15" s="38" t="n">
        <x:v>-0.0038214493</x:v>
      </x:c>
      <x:c r="Y15" s="38" t="n">
        <x:v>0.0236941239</x:v>
      </x:c>
      <x:c r="Z15" s="38" t="n">
        <x:v>0.0528286683</x:v>
      </x:c>
      <x:c r="AA15" s="38" t="n">
        <x:v>0.0399621171</x:v>
      </x:c>
      <x:c r="AB15" s="38" t="n">
        <x:v>-0.0564386297</x:v>
      </x:c>
      <x:c r="AC15" s="38" t="n">
        <x:v>0.6399732226</x:v>
      </x:c>
      <x:c r="AD15" s="38" t="n">
        <x:v>0.0393837394</x:v>
      </x:c>
      <x:c r="AE15" s="38" t="n">
        <x:v>-0.0050511307</x:v>
      </x:c>
      <x:c r="AF15" s="38" t="n">
        <x:v>0.0583731573</x:v>
      </x:c>
      <x:c r="AG15" s="38" t="n">
        <x:v>0.0772028307</x:v>
      </x:c>
      <x:c r="AH15" s="38" t="n">
        <x:v>0.0590093384</x:v>
      </x:c>
      <x:c r="AI15" s="38" t="n">
        <x:v>0.019879627</x:v>
      </x:c>
      <x:c r="AJ15" s="38" t="n">
        <x:v>-0.0683181602</x:v>
      </x:c>
      <x:c r="AK15" s="38" t="n">
        <x:v>0.0257245738</x:v>
      </x:c>
      <x:c r="AL15" s="38" t="n">
        <x:v>0.0188012124</x:v>
      </x:c>
      <x:c r="AM15" s="38" t="n">
        <x:v>0.0280058589</x:v>
      </x:c>
      <x:c r="AN15" s="38" t="n">
        <x:v>0.0095538181</x:v>
      </x:c>
      <x:c r="AO15" s="38" t="n">
        <x:v>0.0691566269</x:v>
      </x:c>
      <x:c r="AP15" s="38" t="n">
        <x:v>0.1235085695</x:v>
      </x:c>
      <x:c r="AQ15" s="38" t="n">
        <x:v>0.025673747</x:v>
      </x:c>
      <x:c r="AR15" s="38" t="n">
        <x:v>0.0260544252</x:v>
      </x:c>
      <x:c r="AS15" s="38" t="n">
        <x:v>0.0121923244</x:v>
      </x:c>
    </x:row>
    <x:row r="16" ht="19" customHeight="1">
      <x:c r="A16" s="29" t="str">
        <x:v>Original</x:v>
      </x:c>
      <x:c r="B16" s="39" t="d">
        <x:v>2021-04-26T00:00:00.000Z</x:v>
      </x:c>
      <x:c r="C16" s="38" t="n">
        <x:v>-0.0307733723</x:v>
      </x:c>
      <x:c r="D16" s="38" t="n">
        <x:v>-0.0023490576</x:v>
      </x:c>
      <x:c r="E16" s="38" t="n">
        <x:v>0.0227800598</x:v>
      </x:c>
      <x:c r="F16" s="38" t="n">
        <x:v>0.0578703561</x:v>
      </x:c>
      <x:c r="G16" s="38" t="n">
        <x:v>-0.0098498106</x:v>
      </x:c>
      <x:c r="H16" s="38" t="n">
        <x:v>0.0228902458</x:v>
      </x:c>
      <x:c r="I16" s="38" t="n">
        <x:v>0.0579211932</x:v>
      </x:c>
      <x:c r="J16" s="38" t="n">
        <x:v>0.0498995375</x:v>
      </x:c>
      <x:c r="K16" s="38" t="n">
        <x:v>0.105113407</x:v>
      </x:c>
      <x:c r="L16" s="38" t="n">
        <x:v>-0.0112408364</x:v>
      </x:c>
      <x:c r="M16" s="38" t="n">
        <x:v>0.0360325378</x:v>
      </x:c>
      <x:c r="N16" s="38" t="n">
        <x:v>0.0079907375</x:v>
      </x:c>
      <x:c r="O16" s="38" t="n">
        <x:v>-0.0060878253</x:v>
      </x:c>
      <x:c r="P16" s="38" t="n">
        <x:v>-0.0065248496</x:v>
      </x:c>
      <x:c r="Q16" s="38" t="n">
        <x:v>0.0663085767</x:v>
      </x:c>
      <x:c r="R16" s="38" t="n">
        <x:v>-0.0032959941</x:v>
      </x:c>
      <x:c r="S16" s="38" t="n">
        <x:v>-0.0125800257</x:v>
      </x:c>
      <x:c r="T16" s="38" t="n">
        <x:v>0.1038213495</x:v>
      </x:c>
      <x:c r="U16" s="38" t="n">
        <x:v>0.1874438966</x:v>
      </x:c>
      <x:c r="V16" s="38" t="n">
        <x:v>0.0363390071</x:v>
      </x:c>
      <x:c r="W16" s="38" t="n">
        <x:v>-0.0308647885</x:v>
      </x:c>
      <x:c r="X16" s="38" t="n">
        <x:v>0.0186692794</x:v>
      </x:c>
      <x:c r="Y16" s="38" t="n">
        <x:v>-0.0444943686</x:v>
      </x:c>
      <x:c r="Z16" s="38" t="n">
        <x:v>0.0060475452</x:v>
      </x:c>
      <x:c r="AA16" s="38" t="n">
        <x:v>0.0337599304</x:v>
      </x:c>
      <x:c r="AB16" s="38" t="n">
        <x:v>-0.0556832145</x:v>
      </x:c>
      <x:c r="AC16" s="38" t="n">
        <x:v>-0.1754272011</x:v>
      </x:c>
      <x:c r="AD16" s="38" t="n">
        <x:v>-0.0000298188</x:v>
      </x:c>
      <x:c r="AE16" s="38" t="n">
        <x:v>-0.0332760866</x:v>
      </x:c>
      <x:c r="AF16" s="38" t="n">
        <x:v>0.0126314412</x:v>
      </x:c>
      <x:c r="AG16" s="38" t="n">
        <x:v>-0.0479448941</x:v>
      </x:c>
      <x:c r="AH16" s="38" t="n">
        <x:v>0.0243197476</x:v>
      </x:c>
      <x:c r="AI16" s="38" t="n">
        <x:v>0.0040783942</x:v>
      </x:c>
      <x:c r="AJ16" s="38" t="n">
        <x:v>-0.0084036516</x:v>
      </x:c>
      <x:c r="AK16" s="38" t="n">
        <x:v>0.0150306636</x:v>
      </x:c>
      <x:c r="AL16" s="38" t="n">
        <x:v>0.0982881443</x:v>
      </x:c>
      <x:c r="AM16" s="38" t="n">
        <x:v>0.0248907811</x:v>
      </x:c>
      <x:c r="AN16" s="38" t="n">
        <x:v>0.0625302513</x:v>
      </x:c>
      <x:c r="AO16" s="38" t="n">
        <x:v>0.0308796888</x:v>
      </x:c>
      <x:c r="AP16" s="38" t="n">
        <x:v>0.031574691</x:v>
      </x:c>
      <x:c r="AQ16" s="38" t="n">
        <x:v>0.0172845782</x:v>
      </x:c>
      <x:c r="AR16" s="38" t="n">
        <x:v>-0.0003844653</x:v>
      </x:c>
      <x:c r="AS16" s="38" t="n">
        <x:v>0.0393485843</x:v>
      </x:c>
    </x:row>
    <x:row r="17" ht="19" customHeight="1">
      <x:c r="A17" s="29" t="str">
        <x:v>Original</x:v>
      </x:c>
      <x:c r="B17" s="39" t="d">
        <x:v>2021-05-24T00:00:00.000Z</x:v>
      </x:c>
      <x:c r="C17" s="38" t="n">
        <x:v>-0.0269071767</x:v>
      </x:c>
      <x:c r="D17" s="38" t="n">
        <x:v>0.1885922645</x:v>
      </x:c>
      <x:c r="E17" s="38" t="n">
        <x:v>-0.0143441509</x:v>
      </x:c>
      <x:c r="F17" s="38" t="n">
        <x:v>-0.0183022922</x:v>
      </x:c>
      <x:c r="G17" s="38" t="n">
        <x:v>-0.0256668731</x:v>
      </x:c>
      <x:c r="H17" s="38" t="n">
        <x:v>-0.0532581273</x:v>
      </x:c>
      <x:c r="I17" s="38" t="n">
        <x:v>-0.046397165</x:v>
      </x:c>
      <x:c r="J17" s="38" t="n">
        <x:v>0.0050570956</x:v>
      </x:c>
      <x:c r="K17" s="38" t="n">
        <x:v>0.0243400295</x:v>
      </x:c>
      <x:c r="L17" s="38" t="n">
        <x:v>0.0609849292</x:v>
      </x:c>
      <x:c r="M17" s="38" t="n">
        <x:v>0.0602337863</x:v>
      </x:c>
      <x:c r="N17" s="38" t="n">
        <x:v>0.0754079941</x:v>
      </x:c>
      <x:c r="O17" s="38" t="n">
        <x:v>-0.0031180436</x:v>
      </x:c>
      <x:c r="P17" s="38" t="n">
        <x:v>0.04005985</x:v>
      </x:c>
      <x:c r="Q17" s="38" t="n">
        <x:v>-0.0481614075</x:v>
      </x:c>
      <x:c r="R17" s="38" t="n">
        <x:v>-0.0226963855</x:v>
      </x:c>
      <x:c r="S17" s="38" t="n">
        <x:v>0.0506386909</x:v>
      </x:c>
      <x:c r="T17" s="38" t="n">
        <x:v>-0.0204042227</x:v>
      </x:c>
      <x:c r="U17" s="38" t="n">
        <x:v>0.0216061318</x:v>
      </x:c>
      <x:c r="V17" s="38" t="n">
        <x:v>-0.0479127897</x:v>
      </x:c>
      <x:c r="W17" s="38" t="n">
        <x:v>-0.0133200055</x:v>
      </x:c>
      <x:c r="X17" s="38" t="n">
        <x:v>0.0133151451</x:v>
      </x:c>
      <x:c r="Y17" s="38" t="n">
        <x:v>-0.0143990539</x:v>
      </x:c>
      <x:c r="Z17" s="38" t="n">
        <x:v>0.1036734222</x:v>
      </x:c>
      <x:c r="AA17" s="38" t="n">
        <x:v>-0.0105493332</x:v>
      </x:c>
      <x:c r="AB17" s="38" t="n">
        <x:v>0.0091619938</x:v>
      </x:c>
      <x:c r="AC17" s="38" t="n">
        <x:v>0.1950237502</x:v>
      </x:c>
      <x:c r="AD17" s="38" t="n">
        <x:v>0.0067687011</x:v>
      </x:c>
      <x:c r="AE17" s="38" t="n">
        <x:v>0.1462813021</x:v>
      </x:c>
      <x:c r="AF17" s="38" t="n">
        <x:v>-0.0023825603</x:v>
      </x:c>
      <x:c r="AG17" s="38" t="n">
        <x:v>0.0335388131</x:v>
      </x:c>
      <x:c r="AH17" s="38" t="n">
        <x:v>0.0149377945</x:v>
      </x:c>
      <x:c r="AI17" s="38" t="n">
        <x:v>-0.0120939439</x:v>
      </x:c>
      <x:c r="AJ17" s="38" t="n">
        <x:v>0.0591720871</x:v>
      </x:c>
      <x:c r="AK17" s="38" t="n">
        <x:v>0.003002065</x:v>
      </x:c>
      <x:c r="AL17" s="38" t="n">
        <x:v>0.0619918828</x:v>
      </x:c>
      <x:c r="AM17" s="38" t="n">
        <x:v>-0.0048612119</x:v>
      </x:c>
      <x:c r="AN17" s="38" t="n">
        <x:v>0.0009029908</x:v>
      </x:c>
      <x:c r="AO17" s="38" t="n">
        <x:v>0.0104586528</x:v>
      </x:c>
      <x:c r="AP17" s="38" t="n">
        <x:v>-0.0094066612</x:v>
      </x:c>
      <x:c r="AQ17" s="38" t="n">
        <x:v>0.0152240704</x:v>
      </x:c>
      <x:c r="AR17" s="38" t="n">
        <x:v>0.0288910506</x:v>
      </x:c>
      <x:c r="AS17" s="38" t="n">
        <x:v>0.0326082949</x:v>
      </x:c>
    </x:row>
    <x:row r="18" ht="19" customHeight="1">
      <x:c r="A18" s="29" t="str">
        <x:v>Original</x:v>
      </x:c>
      <x:c r="B18" s="39" t="d">
        <x:v>2021-06-21T00:00:00.000Z</x:v>
      </x:c>
      <x:c r="C18" s="38" t="n">
        <x:v>0.0881147607</x:v>
      </x:c>
      <x:c r="D18" s="38" t="n">
        <x:v>0.0484905579</x:v>
      </x:c>
      <x:c r="E18" s="38" t="n">
        <x:v>-0.009276256</x:v>
      </x:c>
      <x:c r="F18" s="38" t="n">
        <x:v>-0.0229152384</x:v>
      </x:c>
      <x:c r="G18" s="38" t="n">
        <x:v>-0.0010820958</x:v>
      </x:c>
      <x:c r="H18" s="38" t="n">
        <x:v>0.0654440734</x:v>
      </x:c>
      <x:c r="I18" s="38" t="n">
        <x:v>0.0346886291</x:v>
      </x:c>
      <x:c r="J18" s="38" t="n">
        <x:v>-0.028182453</x:v>
      </x:c>
      <x:c r="K18" s="38" t="n">
        <x:v>-0.0654204117</x:v>
      </x:c>
      <x:c r="L18" s="38" t="n">
        <x:v>0.0133949392</x:v>
      </x:c>
      <x:c r="M18" s="38" t="n">
        <x:v>-0.02267832</x:v>
      </x:c>
      <x:c r="N18" s="38" t="n">
        <x:v>-0.0112879944</x:v>
      </x:c>
      <x:c r="O18" s="38" t="n">
        <x:v>-0.0147973983</x:v>
      </x:c>
      <x:c r="P18" s="38" t="n">
        <x:v>-0.0395355626</x:v>
      </x:c>
      <x:c r="Q18" s="38" t="n">
        <x:v>0.0279900482</x:v>
      </x:c>
      <x:c r="R18" s="38" t="n">
        <x:v>0.1271811746</x:v>
      </x:c>
      <x:c r="S18" s="38" t="n">
        <x:v>0.0007817705</x:v>
      </x:c>
      <x:c r="T18" s="38" t="n">
        <x:v>0.157752372</x:v>
      </x:c>
      <x:c r="U18" s="38" t="n">
        <x:v>0.1113640028</x:v>
      </x:c>
      <x:c r="V18" s="38" t="n">
        <x:v>0.1305193171</x:v>
      </x:c>
      <x:c r="W18" s="38" t="n">
        <x:v>0.0303425397</x:v>
      </x:c>
      <x:c r="X18" s="38" t="n">
        <x:v>-0.0104153478</x:v>
      </x:c>
      <x:c r="Y18" s="38" t="n">
        <x:v>-0.0163538049</x:v>
      </x:c>
      <x:c r="Z18" s="38" t="n">
        <x:v>-0.0975585787</x:v>
      </x:c>
      <x:c r="AA18" s="38" t="n">
        <x:v>-0.0146586789</x:v>
      </x:c>
      <x:c r="AB18" s="38" t="n">
        <x:v>0.0235498406</x:v>
      </x:c>
      <x:c r="AC18" s="38" t="n">
        <x:v>-0.1243028872</x:v>
      </x:c>
      <x:c r="AD18" s="38" t="n">
        <x:v>0.0003343148</x:v>
      </x:c>
      <x:c r="AE18" s="38" t="n">
        <x:v>0.0286045872</x:v>
      </x:c>
      <x:c r="AF18" s="38" t="n">
        <x:v>-0.0462711019</x:v>
      </x:c>
      <x:c r="AG18" s="38" t="n">
        <x:v>0.0035355024</x:v>
      </x:c>
      <x:c r="AH18" s="38" t="n">
        <x:v>-0.0087858258</x:v>
      </x:c>
      <x:c r="AI18" s="38" t="n">
        <x:v>0.0430740961</x:v>
      </x:c>
      <x:c r="AJ18" s="38" t="n">
        <x:v>0.0914498334</x:v>
      </x:c>
      <x:c r="AK18" s="38" t="n">
        <x:v>0.0751065666</x:v>
      </x:c>
      <x:c r="AL18" s="38" t="n">
        <x:v>0.0352092646</x:v>
      </x:c>
      <x:c r="AM18" s="38" t="n">
        <x:v>0.0383941563</x:v>
      </x:c>
      <x:c r="AN18" s="38" t="n">
        <x:v>0.0250047404</x:v>
      </x:c>
      <x:c r="AO18" s="38" t="n">
        <x:v>0.0270683213</x:v>
      </x:c>
      <x:c r="AP18" s="38" t="n">
        <x:v>-0.0073827471</x:v>
      </x:c>
      <x:c r="AQ18" s="38" t="n">
        <x:v>-0.0065635303</x:v>
      </x:c>
      <x:c r="AR18" s="38" t="n">
        <x:v>-0.0194663318</x:v>
      </x:c>
      <x:c r="AS18" s="38" t="n">
        <x:v>-0.0250880108</x:v>
      </x:c>
    </x:row>
    <x:row r="19" ht="19" customHeight="1">
      <x:c r="A19" s="29" t="str">
        <x:v>Original</x:v>
      </x:c>
      <x:c r="B19" s="39" t="d">
        <x:v>2021-07-19T00:00:00.000Z</x:v>
      </x:c>
      <x:c r="C19" s="38" t="n">
        <x:v>0.0247391046</x:v>
      </x:c>
      <x:c r="D19" s="38" t="n">
        <x:v>0.0377983153</x:v>
      </x:c>
      <x:c r="E19" s="38" t="n">
        <x:v>0.0092561288</x:v>
      </x:c>
      <x:c r="F19" s="38" t="n">
        <x:v>0.0074155284</x:v>
      </x:c>
      <x:c r="G19" s="38" t="n">
        <x:v>-0.008143034</x:v>
      </x:c>
      <x:c r="H19" s="38" t="n">
        <x:v>0.1220790897</x:v>
      </x:c>
      <x:c r="I19" s="38" t="n">
        <x:v>0.0472430897</x:v>
      </x:c>
      <x:c r="J19" s="38" t="n">
        <x:v>-0.0335200126</x:v>
      </x:c>
      <x:c r="K19" s="38" t="n">
        <x:v>-0.007746716</x:v>
      </x:c>
      <x:c r="L19" s="38" t="n">
        <x:v>-0.1655368723</x:v>
      </x:c>
      <x:c r="M19" s="38" t="n">
        <x:v>-0.0532603572</x:v>
      </x:c>
      <x:c r="N19" s="38" t="n">
        <x:v>-0.0160089985</x:v>
      </x:c>
      <x:c r="O19" s="38" t="n">
        <x:v>-0.0092384799</x:v>
      </x:c>
      <x:c r="P19" s="38" t="n">
        <x:v>-0.0680390757</x:v>
      </x:c>
      <x:c r="Q19" s="38" t="n">
        <x:v>-0.126358988</x:v>
      </x:c>
      <x:c r="R19" s="38" t="n">
        <x:v>0.0419728337</x:v>
      </x:c>
      <x:c r="S19" s="38" t="n">
        <x:v>-0.0188939725</x:v>
      </x:c>
      <x:c r="T19" s="38" t="n">
        <x:v>0.0730052809</x:v>
      </x:c>
      <x:c r="U19" s="38" t="n">
        <x:v>0.3012156044</x:v>
      </x:c>
      <x:c r="V19" s="38" t="n">
        <x:v>0.0399089198</x:v>
      </x:c>
      <x:c r="W19" s="38" t="n">
        <x:v>-0.0146096261</x:v>
      </x:c>
      <x:c r="X19" s="38" t="n">
        <x:v>0.0248792097</x:v>
      </x:c>
      <x:c r="Y19" s="38" t="n">
        <x:v>-0.0503788671</x:v>
      </x:c>
      <x:c r="Z19" s="38" t="n">
        <x:v>-0.02734155</x:v>
      </x:c>
      <x:c r="AA19" s="38" t="n">
        <x:v>-0.0137938162</x:v>
      </x:c>
      <x:c r="AB19" s="38" t="n">
        <x:v>-0.129250487</x:v>
      </x:c>
      <x:c r="AC19" s="38" t="n">
        <x:v>-0.0308034227</x:v>
      </x:c>
      <x:c r="AD19" s="38" t="n">
        <x:v>0.0272518349</x:v>
      </x:c>
      <x:c r="AE19" s="38" t="n">
        <x:v>-0.0617286745</x:v>
      </x:c>
      <x:c r="AF19" s="38" t="n">
        <x:v>-0.0289898717</x:v>
      </x:c>
      <x:c r="AG19" s="38" t="n">
        <x:v>-0.0747419251</x:v>
      </x:c>
      <x:c r="AH19" s="38" t="n">
        <x:v>-0.0298533136</x:v>
      </x:c>
      <x:c r="AI19" s="38" t="n">
        <x:v>0.0479998747</x:v>
      </x:c>
      <x:c r="AJ19" s="38" t="n">
        <x:v>0.0383663093</x:v>
      </x:c>
      <x:c r="AK19" s="38" t="n">
        <x:v>0.0284418548</x:v>
      </x:c>
      <x:c r="AL19" s="38" t="n">
        <x:v>0.0349942837</x:v>
      </x:c>
      <x:c r="AM19" s="38" t="n">
        <x:v>0.0580823106</x:v>
      </x:c>
      <x:c r="AN19" s="38" t="n">
        <x:v>0.0537355551</x:v>
      </x:c>
      <x:c r="AO19" s="38" t="n">
        <x:v>0.0462005201</x:v>
      </x:c>
      <x:c r="AP19" s="38" t="n">
        <x:v>0.0388238173</x:v>
      </x:c>
      <x:c r="AQ19" s="38" t="n">
        <x:v>0.0315656571</x:v>
      </x:c>
      <x:c r="AR19" s="38" t="n">
        <x:v>0.0294708258</x:v>
      </x:c>
      <x:c r="AS19" s="38" t="n">
        <x:v>0.0002579711</x:v>
      </x:c>
    </x:row>
    <x:row r="20" ht="19" customHeight="1">
      <x:c r="A20" s="29" t="str">
        <x:v>Original</x:v>
      </x:c>
      <x:c r="B20" s="39" t="d">
        <x:v>2021-08-16T00:00:00.000Z</x:v>
      </x:c>
      <x:c r="C20" s="38" t="n">
        <x:v>-0.034521578</x:v>
      </x:c>
      <x:c r="D20" s="38" t="n">
        <x:v>0.0128302825</x:v>
      </x:c>
      <x:c r="E20" s="38" t="n">
        <x:v>0.0436756876</x:v>
      </x:c>
      <x:c r="F20" s="38" t="n">
        <x:v>0.0781741628</x:v>
      </x:c>
      <x:c r="G20" s="38" t="n">
        <x:v>-0.0038466709</x:v>
      </x:c>
      <x:c r="H20" s="38" t="n">
        <x:v>0.0215743087</x:v>
      </x:c>
      <x:c r="I20" s="38" t="n">
        <x:v>-0.0883629032</x:v>
      </x:c>
      <x:c r="J20" s="38" t="n">
        <x:v>-0.0078218828</x:v>
      </x:c>
      <x:c r="K20" s="38" t="n">
        <x:v>0.0299946133</x:v>
      </x:c>
      <x:c r="L20" s="38" t="n">
        <x:v>-0.0280612641</x:v>
      </x:c>
      <x:c r="M20" s="38" t="n">
        <x:v>-0.0369383736</x:v>
      </x:c>
      <x:c r="N20" s="38" t="n">
        <x:v>0.0022365362</x:v>
      </x:c>
      <x:c r="O20" s="38" t="n">
        <x:v>0.0274590308</x:v>
      </x:c>
      <x:c r="P20" s="38" t="n">
        <x:v>-0.0397128577</x:v>
      </x:c>
      <x:c r="Q20" s="38" t="n">
        <x:v>0.0268777704</x:v>
      </x:c>
      <x:c r="R20" s="38" t="n">
        <x:v>-0.0178208779</x:v>
      </x:c>
      <x:c r="S20" s="38" t="n">
        <x:v>-0.0437351385</x:v>
      </x:c>
      <x:c r="T20" s="38" t="n">
        <x:v>0.0151910077</x:v>
      </x:c>
      <x:c r="U20" s="38" t="n">
        <x:v>0.0618616286</x:v>
      </x:c>
      <x:c r="V20" s="38" t="n">
        <x:v>0.0136105284</x:v>
      </x:c>
      <x:c r="W20" s="38" t="n">
        <x:v>0.0392548917</x:v>
      </x:c>
      <x:c r="X20" s="38" t="n">
        <x:v>0.0118106722</x:v>
      </x:c>
      <x:c r="Y20" s="38" t="n">
        <x:v>-0.0517741668</x:v>
      </x:c>
      <x:c r="Z20" s="38" t="n">
        <x:v>-0.0427835765</x:v>
      </x:c>
      <x:c r="AA20" s="38" t="n">
        <x:v>0.0195650863</x:v>
      </x:c>
      <x:c r="AB20" s="38" t="n">
        <x:v>-0.0249970904</x:v>
      </x:c>
      <x:c r="AC20" s="38" t="n">
        <x:v>0.3429509378</x:v>
      </x:c>
      <x:c r="AD20" s="38" t="n">
        <x:v>0.0246477531</x:v>
      </x:c>
      <x:c r="AE20" s="38" t="n">
        <x:v>-0.062792607</x:v>
      </x:c>
      <x:c r="AF20" s="38" t="n">
        <x:v>0.0221726183</x:v>
      </x:c>
      <x:c r="AG20" s="38" t="n">
        <x:v>-0.0270045554</x:v>
      </x:c>
      <x:c r="AH20" s="38" t="n">
        <x:v>-0.0033241558</x:v>
      </x:c>
      <x:c r="AI20" s="38" t="n">
        <x:v>0.0842525567</x:v>
      </x:c>
      <x:c r="AJ20" s="38" t="n">
        <x:v>0.0710212554</x:v>
      </x:c>
      <x:c r="AK20" s="38" t="n">
        <x:v>-0.0225028898</x:v>
      </x:c>
      <x:c r="AL20" s="38" t="n">
        <x:v>0.0170569604</x:v>
      </x:c>
      <x:c r="AM20" s="38" t="n">
        <x:v>0.0340319817</x:v>
      </x:c>
      <x:c r="AN20" s="38" t="n">
        <x:v>0.0216250483</x:v>
      </x:c>
      <x:c r="AO20" s="38" t="n">
        <x:v>0.0546518975</x:v>
      </x:c>
      <x:c r="AP20" s="38" t="n">
        <x:v>-0.0072030329</x:v>
      </x:c>
      <x:c r="AQ20" s="38" t="n">
        <x:v>-0.0043126122</x:v>
      </x:c>
      <x:c r="AR20" s="38" t="n">
        <x:v>0.0288568745</x:v>
      </x:c>
      <x:c r="AS20" s="38" t="n">
        <x:v>0.0159319685</x:v>
      </x:c>
    </x:row>
    <x:row r="21" ht="19" customHeight="1">
      <x:c r="A21" s="29" t="str">
        <x:v>Original</x:v>
      </x:c>
      <x:c r="B21" s="39" t="d">
        <x:v>2021-09-13T00:00:00.000Z</x:v>
      </x:c>
      <x:c r="C21" s="38" t="n">
        <x:v>-0.0070959563</x:v>
      </x:c>
      <x:c r="D21" s="38" t="n">
        <x:v>0.0541401377</x:v>
      </x:c>
      <x:c r="E21" s="38" t="n">
        <x:v>-0.0535595605</x:v>
      </x:c>
      <x:c r="F21" s="38" t="n">
        <x:v>-0.0211984556</x:v>
      </x:c>
      <x:c r="G21" s="38" t="n">
        <x:v>0.0312897719</x:v>
      </x:c>
      <x:c r="H21" s="38" t="n">
        <x:v>0.006179243</x:v>
      </x:c>
      <x:c r="I21" s="38" t="n">
        <x:v>0.0529750474</x:v>
      </x:c>
      <x:c r="J21" s="38" t="n">
        <x:v>-0.0454883525</x:v>
      </x:c>
      <x:c r="K21" s="38" t="n">
        <x:v>-0.0442354765</x:v>
      </x:c>
      <x:c r="L21" s="38" t="n">
        <x:v>0.0577055527</x:v>
      </x:c>
      <x:c r="M21" s="38" t="n">
        <x:v>0.0665326244</x:v>
      </x:c>
      <x:c r="N21" s="38" t="n">
        <x:v>0.0408510169</x:v>
      </x:c>
      <x:c r="O21" s="38" t="n">
        <x:v>-0.0435948775</x:v>
      </x:c>
      <x:c r="P21" s="38" t="n">
        <x:v>-0.0241481712</x:v>
      </x:c>
      <x:c r="Q21" s="38" t="n">
        <x:v>0.1970453253</x:v>
      </x:c>
      <x:c r="R21" s="38" t="n">
        <x:v>0.2927360077</x:v>
      </x:c>
      <x:c r="S21" s="38" t="n">
        <x:v>-0.030587429</x:v>
      </x:c>
      <x:c r="T21" s="38" t="n">
        <x:v>0.0612391361</x:v>
      </x:c>
      <x:c r="U21" s="38" t="n">
        <x:v>0.077868095</x:v>
      </x:c>
      <x:c r="V21" s="38" t="n">
        <x:v>-0.054074183</x:v>
      </x:c>
      <x:c r="W21" s="38" t="n">
        <x:v>0.0502405934</x:v>
      </x:c>
      <x:c r="X21" s="38" t="n">
        <x:v>-0.026522865</x:v>
      </x:c>
      <x:c r="Y21" s="38" t="n">
        <x:v>0.0378434803</x:v>
      </x:c>
      <x:c r="Z21" s="38" t="n">
        <x:v>-0.0072380059</x:v>
      </x:c>
      <x:c r="AA21" s="38" t="n">
        <x:v>-0.0350469431</x:v>
      </x:c>
      <x:c r="AB21" s="38" t="n">
        <x:v>0.0541297882</x:v>
      </x:c>
      <x:c r="AC21" s="38" t="n">
        <x:v>0.2945695435</x:v>
      </x:c>
      <x:c r="AD21" s="38" t="n">
        <x:v>-0.0034813724</x:v>
      </x:c>
      <x:c r="AE21" s="38" t="n">
        <x:v>0.0504305952</x:v>
      </x:c>
      <x:c r="AF21" s="38" t="n">
        <x:v>-0.0436938243</x:v>
      </x:c>
      <x:c r="AG21" s="38" t="n">
        <x:v>0.0021759406</x:v>
      </x:c>
      <x:c r="AH21" s="38" t="n">
        <x:v>-0.0224251515</x:v>
      </x:c>
      <x:c r="AI21" s="38" t="n">
        <x:v>-0.0049609263</x:v>
      </x:c>
      <x:c r="AJ21" s="38" t="n">
        <x:v>-0.1096779348</x:v>
      </x:c>
      <x:c r="AK21" s="38" t="n">
        <x:v>0.0127202339</x:v>
      </x:c>
      <x:c r="AL21" s="38" t="n">
        <x:v>-0.0471595478</x:v>
      </x:c>
      <x:c r="AM21" s="38" t="n">
        <x:v>-0.0099836215</x:v>
      </x:c>
      <x:c r="AN21" s="38" t="n">
        <x:v>0.0162760335</x:v>
      </x:c>
      <x:c r="AO21" s="38" t="n">
        <x:v>0.000760761</x:v>
      </x:c>
      <x:c r="AP21" s="38" t="n">
        <x:v>0.016399412</x:v>
      </x:c>
      <x:c r="AQ21" s="38" t="n">
        <x:v>-0.0215612953</x:v>
      </x:c>
      <x:c r="AR21" s="38" t="n">
        <x:v>-0.0533948828</x:v>
      </x:c>
      <x:c r="AS21" s="38" t="n">
        <x:v>-0.0203440965</x:v>
      </x:c>
    </x:row>
    <x:row r="22" ht="19" customHeight="1">
      <x:c r="A22" s="29" t="str">
        <x:v>Original</x:v>
      </x:c>
      <x:c r="B22" s="39" t="d">
        <x:v>2021-10-11T00:00:00.000Z</x:v>
      </x:c>
      <x:c r="C22" s="38" t="n">
        <x:v>0.0687870395</x:v>
      </x:c>
      <x:c r="D22" s="38" t="n">
        <x:v>0.2401276909</x:v>
      </x:c>
      <x:c r="E22" s="38" t="n">
        <x:v>-0.0049597744</x:v>
      </x:c>
      <x:c r="F22" s="38" t="n">
        <x:v>-0.0561854685</x:v>
      </x:c>
      <x:c r="G22" s="38" t="n">
        <x:v>-0.0265407244</x:v>
      </x:c>
      <x:c r="H22" s="38" t="n">
        <x:v>-0.0284546063</x:v>
      </x:c>
      <x:c r="I22" s="38" t="n">
        <x:v>-0.0106088487</x:v>
      </x:c>
      <x:c r="J22" s="38" t="n">
        <x:v>0.098987404</x:v>
      </x:c>
      <x:c r="K22" s="38" t="n">
        <x:v>-0.008863287</x:v>
      </x:c>
      <x:c r="L22" s="38" t="n">
        <x:v>0.1236935219</x:v>
      </x:c>
      <x:c r="M22" s="38" t="n">
        <x:v>0.1251374488</x:v>
      </x:c>
      <x:c r="N22" s="38" t="n">
        <x:v>0.0879491673</x:v>
      </x:c>
      <x:c r="O22" s="38" t="n">
        <x:v>0.027878159</x:v>
      </x:c>
      <x:c r="P22" s="38" t="n">
        <x:v>-0.0301826513</x:v>
      </x:c>
      <x:c r="Q22" s="38" t="n">
        <x:v>-0.006442019</x:v>
      </x:c>
      <x:c r="R22" s="38" t="n">
        <x:v>0.0549079726</x:v>
      </x:c>
      <x:c r="S22" s="38" t="n">
        <x:v>0.0791798003</x:v>
      </x:c>
      <x:c r="T22" s="38" t="n">
        <x:v>0.1660939327</x:v>
      </x:c>
      <x:c r="U22" s="38" t="n">
        <x:v>-0.1924700521</x:v>
      </x:c>
      <x:c r="V22" s="38" t="n">
        <x:v>0.0216274554</x:v>
      </x:c>
      <x:c r="W22" s="38" t="n">
        <x:v>0.0435897263</x:v>
      </x:c>
      <x:c r="X22" s="38" t="n">
        <x:v>-0.0348899754</x:v>
      </x:c>
      <x:c r="Y22" s="38" t="n">
        <x:v>-0.0626263488</x:v>
      </x:c>
      <x:c r="Z22" s="38" t="n">
        <x:v>0.0219729537</x:v>
      </x:c>
      <x:c r="AA22" s="38" t="n">
        <x:v>-0.0093320417</x:v>
      </x:c>
      <x:c r="AB22" s="38" t="n">
        <x:v>-0.071780646</x:v>
      </x:c>
      <x:c r="AC22" s="38" t="n">
        <x:v>0.1712468677</x:v>
      </x:c>
      <x:c r="AD22" s="38" t="n">
        <x:v>0.0003774244</x:v>
      </x:c>
      <x:c r="AE22" s="38" t="n">
        <x:v>0.1003355908</x:v>
      </x:c>
      <x:c r="AF22" s="38" t="n">
        <x:v>0.0760409852</x:v>
      </x:c>
      <x:c r="AG22" s="38" t="n">
        <x:v>0.0116505003</x:v>
      </x:c>
      <x:c r="AH22" s="38" t="n">
        <x:v>0.0522084968</x:v>
      </x:c>
      <x:c r="AI22" s="38" t="n">
        <x:v>0.0520048506</x:v>
      </x:c>
      <x:c r="AJ22" s="38" t="n">
        <x:v>0.0226544202</x:v>
      </x:c>
      <x:c r="AK22" s="38" t="n">
        <x:v>-0.0137912217</x:v>
      </x:c>
      <x:c r="AL22" s="38" t="n">
        <x:v>0.047829156</x:v>
      </x:c>
      <x:c r="AM22" s="38" t="n">
        <x:v>0.0097894063</x:v>
      </x:c>
      <x:c r="AN22" s="38" t="n">
        <x:v>0.0027427229</x:v>
      </x:c>
      <x:c r="AO22" s="38" t="n">
        <x:v>-0.0106389638</x:v>
      </x:c>
      <x:c r="AP22" s="38" t="n">
        <x:v>0.0292786212</x:v>
      </x:c>
      <x:c r="AQ22" s="38" t="n">
        <x:v>0.0005002688</x:v>
      </x:c>
      <x:c r="AR22" s="38" t="n">
        <x:v>-0.0144182249</x:v>
      </x:c>
      <x:c r="AS22" s="38" t="n">
        <x:v>0.0180967422</x:v>
      </x:c>
    </x:row>
    <x:row r="23" ht="19" customHeight="1">
      <x:c r="A23" s="29" t="str">
        <x:v>Original</x:v>
      </x:c>
      <x:c r="B23" s="39" t="d">
        <x:v>2021-11-08T00:00:00.000Z</x:v>
      </x:c>
      <x:c r="C23" s="38" t="n">
        <x:v>-0.0010540649</x:v>
      </x:c>
      <x:c r="D23" s="38" t="n">
        <x:v>-0.0455254034</x:v>
      </x:c>
      <x:c r="E23" s="38" t="n">
        <x:v>-0.0058202721</x:v>
      </x:c>
      <x:c r="F23" s="38" t="n">
        <x:v>0.002393634</x:v>
      </x:c>
      <x:c r="G23" s="38" t="n">
        <x:v>-0.0692586962</x:v>
      </x:c>
      <x:c r="H23" s="38" t="n">
        <x:v>0.0119978434</x:v>
      </x:c>
      <x:c r="I23" s="38" t="n">
        <x:v>0.0231458515</x:v>
      </x:c>
      <x:c r="J23" s="38" t="n">
        <x:v>0.1510552779</x:v>
      </x:c>
      <x:c r="K23" s="38" t="n">
        <x:v>0.191150051</x:v>
      </x:c>
      <x:c r="L23" s="38" t="n">
        <x:v>-0.0185170523</x:v>
      </x:c>
      <x:c r="M23" s="38" t="n">
        <x:v>0.0655898571</x:v>
      </x:c>
      <x:c r="N23" s="38" t="n">
        <x:v>-0.0290190745</x:v>
      </x:c>
      <x:c r="O23" s="38" t="n">
        <x:v>-0.0128556289</x:v>
      </x:c>
      <x:c r="P23" s="38" t="n">
        <x:v>0.0614086013</x:v>
      </x:c>
      <x:c r="Q23" s="38" t="n">
        <x:v>-0.0186917011</x:v>
      </x:c>
      <x:c r="R23" s="38" t="n">
        <x:v>0.2284669581</x:v>
      </x:c>
      <x:c r="S23" s="38" t="n">
        <x:v>0.0409870379</x:v>
      </x:c>
      <x:c r="T23" s="38" t="n">
        <x:v>0.1379993906</x:v>
      </x:c>
      <x:c r="U23" s="38" t="n">
        <x:v>-0.2336489034</x:v>
      </x:c>
      <x:c r="V23" s="38" t="n">
        <x:v>-0.0298764588</x:v>
      </x:c>
      <x:c r="W23" s="38" t="n">
        <x:v>0.0572956397</x:v>
      </x:c>
      <x:c r="X23" s="38" t="n">
        <x:v>-0.0066837131</x:v>
      </x:c>
      <x:c r="Y23" s="38" t="n">
        <x:v>0.0918307548</x:v>
      </x:c>
      <x:c r="Z23" s="38" t="n">
        <x:v>0.02029564</x:v>
      </x:c>
      <x:c r="AA23" s="38" t="n">
        <x:v>0.0362852111</x:v>
      </x:c>
      <x:c r="AB23" s="38" t="n">
        <x:v>-0.0841750339</x:v>
      </x:c>
      <x:c r="AC23" s="38" t="n">
        <x:v>-0.2691397061</x:v>
      </x:c>
      <x:c r="AD23" s="38" t="n">
        <x:v>0.0144337573</x:v>
      </x:c>
      <x:c r="AE23" s="38" t="n">
        <x:v>0.1497681788</x:v>
      </x:c>
      <x:c r="AF23" s="38" t="n">
        <x:v>-0.0236605411</x:v>
      </x:c>
      <x:c r="AG23" s="38" t="n">
        <x:v>0.0123682262</x:v>
      </x:c>
      <x:c r="AH23" s="38" t="n">
        <x:v>-0.0635549309</x:v>
      </x:c>
      <x:c r="AI23" s="38" t="n">
        <x:v>0.1913259029</x:v>
      </x:c>
      <x:c r="AJ23" s="38" t="n">
        <x:v>0.0627458394</x:v>
      </x:c>
      <x:c r="AK23" s="38" t="n">
        <x:v>0.0117297264</x:v>
      </x:c>
      <x:c r="AL23" s="38" t="n">
        <x:v>-0.0262573349</x:v>
      </x:c>
      <x:c r="AM23" s="38" t="n">
        <x:v>0.0701557857</x:v>
      </x:c>
      <x:c r="AN23" s="38" t="n">
        <x:v>0.0348356929</x:v>
      </x:c>
      <x:c r="AO23" s="38" t="n">
        <x:v>0.0935856999</x:v>
      </x:c>
      <x:c r="AP23" s="38" t="n">
        <x:v>0.0424816069</x:v>
      </x:c>
      <x:c r="AQ23" s="38" t="n">
        <x:v>0.0264997524</x:v>
      </x:c>
      <x:c r="AR23" s="38" t="n">
        <x:v>0.0157123211</x:v>
      </x:c>
      <x:c r="AS23" s="38" t="n">
        <x:v>0.0043139618</x:v>
      </x:c>
    </x:row>
    <x:row r="24" ht="19" customHeight="1">
      <x:c r="A24" s="29" t="str">
        <x:v>Original</x:v>
      </x:c>
      <x:c r="B24" s="39" t="d">
        <x:v>2021-12-06T00:00:00.000Z</x:v>
      </x:c>
      <x:c r="C24" s="38" t="n">
        <x:v>0.0472299803</x:v>
      </x:c>
      <x:c r="D24" s="38" t="n">
        <x:v>-0.0200739835</x:v>
      </x:c>
      <x:c r="E24" s="38" t="n">
        <x:v>0.0166325122</x:v>
      </x:c>
      <x:c r="F24" s="38" t="n">
        <x:v>0.0389696662</x:v>
      </x:c>
      <x:c r="G24" s="38" t="n">
        <x:v>-0.0310566971</x:v>
      </x:c>
      <x:c r="H24" s="38" t="n">
        <x:v>-0.0553959294</x:v>
      </x:c>
      <x:c r="I24" s="38" t="n">
        <x:v>-0.0162716869</x:v>
      </x:c>
      <x:c r="J24" s="38" t="n">
        <x:v>-0.0217304544</x:v>
      </x:c>
      <x:c r="K24" s="38" t="n">
        <x:v>-0.0278321485</x:v>
      </x:c>
      <x:c r="L24" s="38" t="n">
        <x:v>-0.0456322204</x:v>
      </x:c>
      <x:c r="M24" s="38" t="n">
        <x:v>-0.0379067747</x:v>
      </x:c>
      <x:c r="N24" s="38" t="n">
        <x:v>0.0203224706</x:v>
      </x:c>
      <x:c r="O24" s="38" t="n">
        <x:v>-0.0424672443</x:v>
      </x:c>
      <x:c r="P24" s="38" t="n">
        <x:v>-0.0318398946</x:v>
      </x:c>
      <x:c r="Q24" s="38" t="n">
        <x:v>-0.0745739114</x:v>
      </x:c>
      <x:c r="R24" s="38" t="n">
        <x:v>-0.2712617581</x:v>
      </x:c>
      <x:c r="S24" s="38" t="n">
        <x:v>0.0137016262</x:v>
      </x:c>
      <x:c r="T24" s="38" t="n">
        <x:v>-0.2640315014</x:v>
      </x:c>
      <x:c r="U24" s="38" t="n">
        <x:v>0.0743304005</x:v>
      </x:c>
      <x:c r="V24" s="38" t="n">
        <x:v>-0.1305261421</x:v>
      </x:c>
      <x:c r="W24" s="38" t="n">
        <x:v>-0.0769074915</x:v>
      </x:c>
      <x:c r="X24" s="38" t="n">
        <x:v>-0.0694807667</x:v>
      </x:c>
      <x:c r="Y24" s="38" t="n">
        <x:v>0.0709811082</x:v>
      </x:c>
      <x:c r="Z24" s="38" t="n">
        <x:v>-0.0252370673</x:v>
      </x:c>
      <x:c r="AA24" s="38" t="n">
        <x:v>-0.0081352335</x:v>
      </x:c>
      <x:c r="AB24" s="38" t="n">
        <x:v>-0.0408898457</x:v>
      </x:c>
      <x:c r="AC24" s="38" t="n">
        <x:v>-0.3481287047</x:v>
      </x:c>
      <x:c r="AD24" s="38" t="n">
        <x:v>0.0413129087</x:v>
      </x:c>
      <x:c r="AE24" s="38" t="n">
        <x:v>0.0703101233</x:v>
      </x:c>
      <x:c r="AF24" s="38" t="n">
        <x:v>0.0321846325</x:v>
      </x:c>
      <x:c r="AG24" s="38" t="n">
        <x:v>-0.0523328781</x:v>
      </x:c>
      <x:c r="AH24" s="38" t="n">
        <x:v>-0.0180509903</x:v>
      </x:c>
      <x:c r="AI24" s="38" t="n">
        <x:v>-0.0457164493</x:v>
      </x:c>
      <x:c r="AJ24" s="38" t="n">
        <x:v>-0.0431621826</x:v>
      </x:c>
      <x:c r="AK24" s="38" t="n">
        <x:v>-0.0186439529</x:v>
      </x:c>
      <x:c r="AL24" s="38" t="n">
        <x:v>0.0407401441</x:v>
      </x:c>
      <x:c r="AM24" s="38" t="n">
        <x:v>0.0132897597</x:v>
      </x:c>
      <x:c r="AN24" s="38" t="n">
        <x:v>-0.0031957633</x:v>
      </x:c>
      <x:c r="AO24" s="38" t="n">
        <x:v>0.0542788525</x:v>
      </x:c>
      <x:c r="AP24" s="38" t="n">
        <x:v>0.0790349789</x:v>
      </x:c>
      <x:c r="AQ24" s="38" t="n">
        <x:v>0.0013164268</x:v>
      </x:c>
      <x:c r="AR24" s="38" t="n">
        <x:v>0.0066106613</x:v>
      </x:c>
      <x:c r="AS24" s="38" t="n">
        <x:v>0.0054674069</x:v>
      </x:c>
    </x:row>
    <x:row r="25" ht="19" customHeight="1">
      <x:c r="A25" s="29" t="str">
        <x:v>Original</x:v>
      </x:c>
      <x:c r="B25" s="39" t="d">
        <x:v>2022-01-03T00:00:00.000Z</x:v>
      </x:c>
      <x:c r="C25" s="38" t="n">
        <x:v>0.0601118291</x:v>
      </x:c>
      <x:c r="D25" s="38" t="n">
        <x:v>-0.0172154974</x:v>
      </x:c>
      <x:c r="E25" s="38" t="n">
        <x:v>0.0554086951</x:v>
      </x:c>
      <x:c r="F25" s="38" t="n">
        <x:v>0.0305650484</x:v>
      </x:c>
      <x:c r="G25" s="38" t="n">
        <x:v>0.0234380992</x:v>
      </x:c>
      <x:c r="H25" s="38" t="n">
        <x:v>-0.0529515018</x:v>
      </x:c>
      <x:c r="I25" s="38" t="n">
        <x:v>-0.0410199522</x:v>
      </x:c>
      <x:c r="J25" s="38" t="n">
        <x:v>-0.0071548349</x:v>
      </x:c>
      <x:c r="K25" s="38" t="n">
        <x:v>0.051402997</x:v>
      </x:c>
      <x:c r="L25" s="38" t="n">
        <x:v>0.095154311</x:v>
      </x:c>
      <x:c r="M25" s="38" t="n">
        <x:v>0.0870465862</x:v>
      </x:c>
      <x:c r="N25" s="38" t="n">
        <x:v>-0.0078185333</x:v>
      </x:c>
      <x:c r="O25" s="38" t="n">
        <x:v>-0.0587761178</x:v>
      </x:c>
      <x:c r="P25" s="38" t="n">
        <x:v>0.0915951907</x:v>
      </x:c>
      <x:c r="Q25" s="38" t="n">
        <x:v>-0.1284027889</x:v>
      </x:c>
      <x:c r="R25" s="38" t="n">
        <x:v>-0.1240651213</x:v>
      </x:c>
      <x:c r="S25" s="38" t="n">
        <x:v>-0.0003724415</x:v>
      </x:c>
      <x:c r="T25" s="38" t="n">
        <x:v>-0.1934837666</x:v>
      </x:c>
      <x:c r="U25" s="38" t="n">
        <x:v>-0.1307638951</x:v>
      </x:c>
      <x:c r="V25" s="38" t="n">
        <x:v>0.0185476394</x:v>
      </x:c>
      <x:c r="W25" s="38" t="n">
        <x:v>-0.0871672665</x:v>
      </x:c>
      <x:c r="X25" s="38" t="n">
        <x:v>0.0266018553</x:v>
      </x:c>
      <x:c r="Y25" s="38" t="n">
        <x:v>0.0711800962</x:v>
      </x:c>
      <x:c r="Z25" s="38" t="n">
        <x:v>0.0409824837</x:v>
      </x:c>
      <x:c r="AA25" s="38" t="n">
        <x:v>0.1095427284</x:v>
      </x:c>
      <x:c r="AB25" s="38" t="n">
        <x:v>-0.0944677777</x:v>
      </x:c>
      <x:c r="AC25" s="38" t="n">
        <x:v>-0.2260828108</x:v>
      </x:c>
      <x:c r="AD25" s="38" t="n">
        <x:v>0.0325263896</x:v>
      </x:c>
      <x:c r="AE25" s="38" t="n">
        <x:v>0.0927466497</x:v>
      </x:c>
      <x:c r="AF25" s="38" t="n">
        <x:v>0.0844891437</x:v>
      </x:c>
      <x:c r="AG25" s="38" t="n">
        <x:v>0.0352931501</x:v>
      </x:c>
      <x:c r="AH25" s="38" t="n">
        <x:v>0.0262239028</x:v>
      </x:c>
      <x:c r="AI25" s="38" t="n">
        <x:v>-0.0344197239</x:v>
      </x:c>
      <x:c r="AJ25" s="38" t="n">
        <x:v>0.0433644048</x:v>
      </x:c>
      <x:c r="AK25" s="38" t="n">
        <x:v>0.0426877495</x:v>
      </x:c>
      <x:c r="AL25" s="38" t="n">
        <x:v>0.009382528</x:v>
      </x:c>
      <x:c r="AM25" s="38" t="n">
        <x:v>-0.0617389762</x:v>
      </x:c>
      <x:c r="AN25" s="38" t="n">
        <x:v>-0.0548088322</x:v>
      </x:c>
      <x:c r="AO25" s="38" t="n">
        <x:v>-0.0293936395</x:v>
      </x:c>
      <x:c r="AP25" s="38" t="n">
        <x:v>-0.0382945978</x:v>
      </x:c>
      <x:c r="AQ25" s="38" t="n">
        <x:v>0.0493880634</x:v>
      </x:c>
      <x:c r="AR25" s="38" t="n">
        <x:v>0.0354345045</x:v>
      </x:c>
      <x:c r="AS25" s="38" t="n">
        <x:v>0.0738256486</x:v>
      </x:c>
    </x:row>
    <x:row r="26" ht="19" customHeight="1">
      <x:c r="A26" s="29" t="str">
        <x:v>Original</x:v>
      </x:c>
      <x:c r="B26" s="39" t="d">
        <x:v>2022-01-31T00:00:00.000Z</x:v>
      </x:c>
      <x:c r="C26" s="38" t="n">
        <x:v>-0.0284866339</x:v>
      </x:c>
      <x:c r="D26" s="38" t="n">
        <x:v>0.0844784456</x:v>
      </x:c>
      <x:c r="E26" s="38" t="n">
        <x:v>-0.013057106</x:v>
      </x:c>
      <x:c r="F26" s="38" t="n">
        <x:v>-0.0079506006</x:v>
      </x:c>
      <x:c r="G26" s="38" t="n">
        <x:v>-0.0760822416</x:v>
      </x:c>
      <x:c r="H26" s="38" t="n">
        <x:v>-0.0535348087</x:v>
      </x:c>
      <x:c r="I26" s="38" t="n">
        <x:v>-0.0221285531</x:v>
      </x:c>
      <x:c r="J26" s="38" t="n">
        <x:v>-0.0903994658</x:v>
      </x:c>
      <x:c r="K26" s="38" t="n">
        <x:v>-0.0147001465</x:v>
      </x:c>
      <x:c r="L26" s="38" t="n">
        <x:v>0.0572267116</x:v>
      </x:c>
      <x:c r="M26" s="38" t="n">
        <x:v>0.0592178107</x:v>
      </x:c>
      <x:c r="N26" s="38" t="n">
        <x:v>0.033413747</x:v>
      </x:c>
      <x:c r="O26" s="38" t="n">
        <x:v>-0.0633757431</x:v>
      </x:c>
      <x:c r="P26" s="38" t="n">
        <x:v>-0.1726288651</x:v>
      </x:c>
      <x:c r="Q26" s="38" t="n">
        <x:v>0.0299034309</x:v>
      </x:c>
      <x:c r="R26" s="38" t="n">
        <x:v>-0.152787759</x:v>
      </x:c>
      <x:c r="S26" s="38" t="n">
        <x:v>0.0646886502</x:v>
      </x:c>
      <x:c r="T26" s="38" t="n">
        <x:v>-0.0261343589</x:v>
      </x:c>
      <x:c r="U26" s="38" t="n">
        <x:v>-0.1957075605</x:v>
      </x:c>
      <x:c r="V26" s="38" t="n">
        <x:v>-0.011005716</x:v>
      </x:c>
      <x:c r="W26" s="38" t="n">
        <x:v>-0.1996348367</x:v>
      </x:c>
      <x:c r="X26" s="38" t="n">
        <x:v>-0.0104446607</x:v>
      </x:c>
      <x:c r="Y26" s="38" t="n">
        <x:v>-0.1092207967</x:v>
      </x:c>
      <x:c r="Z26" s="38" t="n">
        <x:v>0.0179673171</x:v>
      </x:c>
      <x:c r="AA26" s="38" t="n">
        <x:v>-0.000726523</x:v>
      </x:c>
      <x:c r="AB26" s="38" t="n">
        <x:v>-0.066583748</x:v>
      </x:c>
      <x:c r="AC26" s="38" t="n">
        <x:v>-0.1228053716</x:v>
      </x:c>
      <x:c r="AD26" s="38" t="n">
        <x:v>-0.0014981198</x:v>
      </x:c>
      <x:c r="AE26" s="38" t="n">
        <x:v>-0.2183670763</x:v>
      </x:c>
      <x:c r="AF26" s="38" t="n">
        <x:v>-0.0123072399</x:v>
      </x:c>
      <x:c r="AG26" s="38" t="n">
        <x:v>-0.0309247346</x:v>
      </x:c>
      <x:c r="AH26" s="38" t="n">
        <x:v>-0.039738651</x:v>
      </x:c>
      <x:c r="AI26" s="38" t="n">
        <x:v>-0.0473943508</x:v>
      </x:c>
      <x:c r="AJ26" s="38" t="n">
        <x:v>-0.0495226261</x:v>
      </x:c>
      <x:c r="AK26" s="38" t="n">
        <x:v>-0.0634430388</x:v>
      </x:c>
      <x:c r="AL26" s="38" t="n">
        <x:v>-0.0476236949</x:v>
      </x:c>
      <x:c r="AM26" s="38" t="n">
        <x:v>-0.0188357375</x:v>
      </x:c>
      <x:c r="AN26" s="38" t="n">
        <x:v>0.0322825242</x:v>
      </x:c>
      <x:c r="AO26" s="38" t="n">
        <x:v>-0.0213137006</x:v>
      </x:c>
      <x:c r="AP26" s="38" t="n">
        <x:v>-0.064998231</x:v>
      </x:c>
      <x:c r="AQ26" s="38" t="n">
        <x:v>0.0074880422</x:v>
      </x:c>
      <x:c r="AR26" s="38" t="n">
        <x:v>-0.0096782732</x:v>
      </x:c>
      <x:c r="AS26" s="38" t="n">
        <x:v>-0.0108787697</x:v>
      </x:c>
    </x:row>
    <x:row r="27" ht="19" customHeight="1">
      <x:c r="A27" s="29" t="str">
        <x:v>Original</x:v>
      </x:c>
      <x:c r="B27" s="39" t="d">
        <x:v>2022-02-28T00:00:00.000Z</x:v>
      </x:c>
      <x:c r="C27" s="38" t="n">
        <x:v>0.0224245236</x:v>
      </x:c>
      <x:c r="D27" s="38" t="n">
        <x:v>0.1726312634</x:v>
      </x:c>
      <x:c r="E27" s="38" t="n">
        <x:v>0.0628117341</x:v>
      </x:c>
      <x:c r="F27" s="38" t="n">
        <x:v>0.015434197</x:v>
      </x:c>
      <x:c r="G27" s="38" t="n">
        <x:v>-0.0067225739</x:v>
      </x:c>
      <x:c r="H27" s="38" t="n">
        <x:v>-0.0205705591</x:v>
      </x:c>
      <x:c r="I27" s="38" t="n">
        <x:v>-0.0578740052</x:v>
      </x:c>
      <x:c r="J27" s="38" t="n">
        <x:v>0.0037074395</x:v>
      </x:c>
      <x:c r="K27" s="38" t="n">
        <x:v>-0.0382344341</x:v>
      </x:c>
      <x:c r="L27" s="38" t="n">
        <x:v>-0.0060962853</x:v>
      </x:c>
      <x:c r="M27" s="38" t="n">
        <x:v>0.1456478069</x:v>
      </x:c>
      <x:c r="N27" s="38" t="n">
        <x:v>0.1984258998</x:v>
      </x:c>
      <x:c r="O27" s="38" t="n">
        <x:v>0.06915488</x:v>
      </x:c>
      <x:c r="P27" s="38" t="n">
        <x:v>-0.0220590938</x:v>
      </x:c>
      <x:c r="Q27" s="38" t="n">
        <x:v>-0.1118415147</x:v>
      </x:c>
      <x:c r="R27" s="38" t="n">
        <x:v>-0.0788427192</x:v>
      </x:c>
      <x:c r="S27" s="38" t="n">
        <x:v>-0.0071621135</x:v>
      </x:c>
      <x:c r="T27" s="38" t="n">
        <x:v>-0.0163336928</x:v>
      </x:c>
      <x:c r="U27" s="38" t="n">
        <x:v>-0.129965316</x:v>
      </x:c>
      <x:c r="V27" s="38" t="n">
        <x:v>-0.0252791552</x:v>
      </x:c>
      <x:c r="W27" s="38" t="n">
        <x:v>-0.0918731721</x:v>
      </x:c>
      <x:c r="X27" s="38" t="n">
        <x:v>-0.0321122575</x:v>
      </x:c>
      <x:c r="Y27" s="38" t="n">
        <x:v>0.0066345811</x:v>
      </x:c>
      <x:c r="Z27" s="38" t="n">
        <x:v>0.1448320076</x:v>
      </x:c>
      <x:c r="AA27" s="38" t="n">
        <x:v>-0.0127107084</x:v>
      </x:c>
      <x:c r="AB27" s="38" t="n">
        <x:v>0.0675291562</x:v>
      </x:c>
      <x:c r="AC27" s="38" t="n">
        <x:v>0.1920911207</x:v>
      </x:c>
      <x:c r="AD27" s="38" t="n">
        <x:v>-0.0295070518</x:v>
      </x:c>
      <x:c r="AE27" s="38" t="n">
        <x:v>-0.0466380039</x:v>
      </x:c>
      <x:c r="AF27" s="38" t="n">
        <x:v>-0.0184640189</x:v>
      </x:c>
      <x:c r="AG27" s="38" t="n">
        <x:v>-0.0968238273</x:v>
      </x:c>
      <x:c r="AH27" s="38" t="n">
        <x:v>0.1342513808</x:v>
      </x:c>
      <x:c r="AI27" s="38" t="n">
        <x:v>-0.0958621858</x:v>
      </x:c>
      <x:c r="AJ27" s="38" t="n">
        <x:v>0.0627037869</x:v>
      </x:c>
      <x:c r="AK27" s="38" t="n">
        <x:v>0.0633831089</x:v>
      </x:c>
      <x:c r="AL27" s="38" t="n">
        <x:v>-0.1269118166</x:v>
      </x:c>
      <x:c r="AM27" s="38" t="n">
        <x:v>-0.0379598746</x:v>
      </x:c>
      <x:c r="AN27" s="38" t="n">
        <x:v>-0.0605292783</x:v>
      </x:c>
      <x:c r="AO27" s="38" t="n">
        <x:v>0.0080149588</x:v>
      </x:c>
      <x:c r="AP27" s="38" t="n">
        <x:v>-0.075766283</x:v>
      </x:c>
      <x:c r="AQ27" s="38" t="n">
        <x:v>0.0190569597</x:v>
      </x:c>
      <x:c r="AR27" s="38" t="n">
        <x:v>-0.0045379166</x:v>
      </x:c>
      <x:c r="AS27" s="38" t="n">
        <x:v>0.0236346575</x:v>
      </x:c>
    </x:row>
    <x:row r="28" ht="19" customHeight="1">
      <x:c r="A28" s="29" t="str">
        <x:v>Original</x:v>
      </x:c>
      <x:c r="B28" s="39" t="d">
        <x:v>2022-03-28T00:00:00.000Z</x:v>
      </x:c>
      <x:c r="C28" s="38" t="n">
        <x:v>0.0356619829</x:v>
      </x:c>
      <x:c r="D28" s="38" t="n">
        <x:v>0.0908654284</x:v>
      </x:c>
      <x:c r="E28" s="38" t="n">
        <x:v>0.0388340375</x:v>
      </x:c>
      <x:c r="F28" s="38" t="n">
        <x:v>0.0501219304</x:v>
      </x:c>
      <x:c r="G28" s="38" t="n">
        <x:v>-0.0198636231</x:v>
      </x:c>
      <x:c r="H28" s="38" t="n">
        <x:v>0.0741770633</x:v>
      </x:c>
      <x:c r="I28" s="38" t="n">
        <x:v>0.0860314744</x:v>
      </x:c>
      <x:c r="J28" s="38" t="n">
        <x:v>0.0445277812</x:v>
      </x:c>
      <x:c r="K28" s="38" t="n">
        <x:v>-0.1005975775</x:v>
      </x:c>
      <x:c r="L28" s="38" t="n">
        <x:v>0.1213531835</x:v>
      </x:c>
      <x:c r="M28" s="38" t="n">
        <x:v>0.0663316629</x:v>
      </x:c>
      <x:c r="N28" s="38" t="n">
        <x:v>0.0690662775</x:v>
      </x:c>
      <x:c r="O28" s="38" t="n">
        <x:v>0.0785705852</x:v>
      </x:c>
      <x:c r="P28" s="38" t="n">
        <x:v>-0.0282596465</x:v>
      </x:c>
      <x:c r="Q28" s="38" t="n">
        <x:v>0.0770026118</x:v>
      </x:c>
      <x:c r="R28" s="38" t="n">
        <x:v>0.1098035317</x:v>
      </x:c>
      <x:c r="S28" s="38" t="n">
        <x:v>-0.0087761028</x:v>
      </x:c>
      <x:c r="T28" s="38" t="n">
        <x:v>0.149777015</x:v>
      </x:c>
      <x:c r="U28" s="38" t="n">
        <x:v>0.1911389255</x:v>
      </x:c>
      <x:c r="V28" s="38" t="n">
        <x:v>0.0063068232</x:v>
      </x:c>
      <x:c r="W28" s="38" t="n">
        <x:v>0.0236808475</x:v>
      </x:c>
      <x:c r="X28" s="38" t="n">
        <x:v>0.0076556915</x:v>
      </x:c>
      <x:c r="Y28" s="38" t="n">
        <x:v>-0.0537698406</x:v>
      </x:c>
      <x:c r="Z28" s="38" t="n">
        <x:v>0.085602496</x:v>
      </x:c>
      <x:c r="AA28" s="38" t="n">
        <x:v>0.0533678714</x:v>
      </x:c>
      <x:c r="AB28" s="38" t="n">
        <x:v>0.05598324</x:v>
      </x:c>
      <x:c r="AC28" s="38" t="n">
        <x:v>-0.1204923925</x:v>
      </x:c>
      <x:c r="AD28" s="38" t="n">
        <x:v>-0.0002389663</x:v>
      </x:c>
      <x:c r="AE28" s="38" t="n">
        <x:v>-0.0088529687</x:v>
      </x:c>
      <x:c r="AF28" s="38" t="n">
        <x:v>-0.0004383107</x:v>
      </x:c>
      <x:c r="AG28" s="38" t="n">
        <x:v>0.0395946858</x:v>
      </x:c>
      <x:c r="AH28" s="38" t="n">
        <x:v>-0.0543441118</x:v>
      </x:c>
      <x:c r="AI28" s="38" t="n">
        <x:v>-0.0015061374</x:v>
      </x:c>
      <x:c r="AJ28" s="38" t="n">
        <x:v>0.0796189088</x:v>
      </x:c>
      <x:c r="AK28" s="38" t="n">
        <x:v>0.086229011</x:v>
      </x:c>
      <x:c r="AL28" s="38" t="n">
        <x:v>0.107641577</x:v>
      </x:c>
      <x:c r="AM28" s="38" t="n">
        <x:v>0.0484163103</x:v>
      </x:c>
      <x:c r="AN28" s="38" t="n">
        <x:v>0.044947917</x:v>
      </x:c>
      <x:c r="AO28" s="38" t="n">
        <x:v>0.0674779483</x:v>
      </x:c>
      <x:c r="AP28" s="38" t="n">
        <x:v>-0.0485383541</x:v>
      </x:c>
      <x:c r="AQ28" s="38" t="n">
        <x:v>0.0092003394</x:v>
      </x:c>
      <x:c r="AR28" s="38" t="n">
        <x:v>0.03715698</x:v>
      </x:c>
      <x:c r="AS28" s="38" t="n">
        <x:v>0.0581422147</x:v>
      </x:c>
    </x:row>
    <x:row r="29" ht="19" customHeight="1">
      <x:c r="A29" s="29" t="str">
        <x:v>Original</x:v>
      </x:c>
      <x:c r="B29" s="39" t="d">
        <x:v>2022-04-25T00:00:00.000Z</x:v>
      </x:c>
      <x:c r="C29" s="38" t="n">
        <x:v>0.0490510854</x:v>
      </x:c>
      <x:c r="D29" s="38" t="n">
        <x:v>-0.0622367064</x:v>
      </x:c>
      <x:c r="E29" s="38" t="n">
        <x:v>-0.0179920809</x:v>
      </x:c>
      <x:c r="F29" s="38" t="n">
        <x:v>-0.0078046899</x:v>
      </x:c>
      <x:c r="G29" s="38" t="n">
        <x:v>-0.1539933936</x:v>
      </x:c>
      <x:c r="H29" s="38" t="n">
        <x:v>-0.0683124293</x:v>
      </x:c>
      <x:c r="I29" s="38" t="n">
        <x:v>-0.2065094829</x:v>
      </x:c>
      <x:c r="J29" s="38" t="n">
        <x:v>-0.0492141445</x:v>
      </x:c>
      <x:c r="K29" s="38" t="n">
        <x:v>-0.064771282</x:v>
      </x:c>
      <x:c r="L29" s="38" t="n">
        <x:v>0.0722290048</x:v>
      </x:c>
      <x:c r="M29" s="38" t="n">
        <x:v>-0.0226421546</x:v>
      </x:c>
      <x:c r="N29" s="38" t="n">
        <x:v>-0.0411029101</x:v>
      </x:c>
      <x:c r="O29" s="38" t="n">
        <x:v>-0.0916087312</x:v>
      </x:c>
      <x:c r="P29" s="38" t="n">
        <x:v>0.0694192341</x:v>
      </x:c>
      <x:c r="Q29" s="38" t="n">
        <x:v>-0.1800999229</x:v>
      </x:c>
      <x:c r="R29" s="38" t="n">
        <x:v>-0.3102748475</x:v>
      </x:c>
      <x:c r="S29" s="38" t="n">
        <x:v>-0.0671235361</x:v>
      </x:c>
      <x:c r="T29" s="38" t="n">
        <x:v>-0.270904189</x:v>
      </x:c>
      <x:c r="U29" s="38" t="n">
        <x:v>-0.2052349753</x:v>
      </x:c>
      <x:c r="V29" s="38" t="n">
        <x:v>-0.1627367521</x:v>
      </x:c>
      <x:c r="W29" s="38" t="n">
        <x:v>-0.5067569278</x:v>
      </x:c>
      <x:c r="X29" s="38" t="n">
        <x:v>-0.1326763514</x:v>
      </x:c>
      <x:c r="Y29" s="38" t="n">
        <x:v>-0.0822904494</x:v>
      </x:c>
      <x:c r="Z29" s="38" t="n">
        <x:v>-0.0960873731</x:v>
      </x:c>
      <x:c r="AA29" s="38" t="n">
        <x:v>-0.0522754715</x:v>
      </x:c>
      <x:c r="AB29" s="38" t="n">
        <x:v>0.0559698793</x:v>
      </x:c>
      <x:c r="AC29" s="38" t="n">
        <x:v>-0.2811315659</x:v>
      </x:c>
      <x:c r="AD29" s="38" t="n">
        <x:v>0.030224256</x:v>
      </x:c>
      <x:c r="AE29" s="38" t="n">
        <x:v>-0.116821815</x:v>
      </x:c>
      <x:c r="AF29" s="38" t="n">
        <x:v>-0.04175959</x:v>
      </x:c>
      <x:c r="AG29" s="38" t="n">
        <x:v>-0.1865928506</x:v>
      </x:c>
      <x:c r="AH29" s="38" t="n">
        <x:v>0.0366119184</x:v>
      </x:c>
      <x:c r="AI29" s="38" t="n">
        <x:v>-0.176813359</x:v>
      </x:c>
      <x:c r="AJ29" s="38" t="n">
        <x:v>-0.0013887561</x:v>
      </x:c>
      <x:c r="AK29" s="38" t="n">
        <x:v>-0.0559151376</x:v>
      </x:c>
      <x:c r="AL29" s="38" t="n">
        <x:v>-0.0724822312</x:v>
      </x:c>
      <x:c r="AM29" s="38" t="n">
        <x:v>-0.0818174898</x:v>
      </x:c>
      <x:c r="AN29" s="38" t="n">
        <x:v>-0.1545703782</x:v>
      </x:c>
      <x:c r="AO29" s="38" t="n">
        <x:v>-0.0583656458</x:v>
      </x:c>
      <x:c r="AP29" s="38" t="n">
        <x:v>-0.0037206238</x:v>
      </x:c>
      <x:c r="AQ29" s="38" t="n">
        <x:v>0.0205282653</x:v>
      </x:c>
      <x:c r="AR29" s="38" t="n">
        <x:v>0.0095188305</x:v>
      </x:c>
      <x:c r="AS29" s="38" t="n">
        <x:v>-0.064791605</x:v>
      </x:c>
    </x:row>
    <x:row r="30" ht="19" customHeight="1">
      <x:c r="A30" s="29" t="str">
        <x:v>Original</x:v>
      </x:c>
      <x:c r="B30" s="39" t="d">
        <x:v>2022-05-23T00:00:00.000Z</x:v>
      </x:c>
      <x:c r="C30" s="38" t="n">
        <x:v>0.0383401671</x:v>
      </x:c>
      <x:c r="D30" s="38" t="n">
        <x:v>0.0995781204</x:v>
      </x:c>
      <x:c r="E30" s="38" t="n">
        <x:v>0.0395619093</x:v>
      </x:c>
      <x:c r="F30" s="38" t="n">
        <x:v>0.0207589062</x:v>
      </x:c>
      <x:c r="G30" s="38" t="n">
        <x:v>-0.0159469689</x:v>
      </x:c>
      <x:c r="H30" s="38" t="n">
        <x:v>-0.0283894435</x:v>
      </x:c>
      <x:c r="I30" s="38" t="n">
        <x:v>-0.0582221923</x:v>
      </x:c>
      <x:c r="J30" s="38" t="n">
        <x:v>0.0635450526</x:v>
      </x:c>
      <x:c r="K30" s="38" t="n">
        <x:v>0.05495489</x:v>
      </x:c>
      <x:c r="L30" s="38" t="n">
        <x:v>0.1339561507</x:v>
      </x:c>
      <x:c r="M30" s="38" t="n">
        <x:v>-0.0056936359</x:v>
      </x:c>
      <x:c r="N30" s="38" t="n">
        <x:v>-0.0210914529</x:v>
      </x:c>
      <x:c r="O30" s="38" t="n">
        <x:v>-0.0401264401</x:v>
      </x:c>
      <x:c r="P30" s="38" t="n">
        <x:v>0.1216751832</x:v>
      </x:c>
      <x:c r="Q30" s="38" t="n">
        <x:v>-0.021008988</x:v>
      </x:c>
      <x:c r="R30" s="38" t="n">
        <x:v>0.1899172734</x:v>
      </x:c>
      <x:c r="S30" s="38" t="n">
        <x:v>-0.0706621215</x:v>
      </x:c>
      <x:c r="T30" s="38" t="n">
        <x:v>-0.2897712613</x:v>
      </x:c>
      <x:c r="U30" s="38" t="n">
        <x:v>0.0717005826</x:v>
      </x:c>
      <x:c r="V30" s="38" t="n">
        <x:v>-0.068808381</x:v>
      </x:c>
      <x:c r="W30" s="38" t="n">
        <x:v>0.01910878</x:v>
      </x:c>
      <x:c r="X30" s="38" t="n">
        <x:v>0.0800441558</x:v>
      </x:c>
      <x:c r="Y30" s="38" t="n">
        <x:v>0.0553178082</x:v>
      </x:c>
      <x:c r="Z30" s="38" t="n">
        <x:v>-0.0446199063</x:v>
      </x:c>
      <x:c r="AA30" s="38" t="n">
        <x:v>0.08704171</x:v>
      </x:c>
      <x:c r="AB30" s="38" t="n">
        <x:v>0.0159218954</x:v>
      </x:c>
      <x:c r="AC30" s="38" t="n">
        <x:v>-0.3044063807</x:v>
      </x:c>
      <x:c r="AD30" s="38" t="n">
        <x:v>-0.0583717866</x:v>
      </x:c>
      <x:c r="AE30" s="38" t="n">
        <x:v>-0.0290927571</x:v>
      </x:c>
      <x:c r="AF30" s="38" t="n">
        <x:v>0.0185777979</x:v>
      </x:c>
      <x:c r="AG30" s="38" t="n">
        <x:v>-0.0902413266</x:v>
      </x:c>
      <x:c r="AH30" s="38" t="n">
        <x:v>0.0103061185</x:v>
      </x:c>
      <x:c r="AI30" s="38" t="n">
        <x:v>0.1363341619</x:v>
      </x:c>
      <x:c r="AJ30" s="38" t="n">
        <x:v>0.0803067923</x:v>
      </x:c>
      <x:c r="AK30" s="38" t="n">
        <x:v>-0.0000954729</x:v>
      </x:c>
      <x:c r="AL30" s="38" t="n">
        <x:v>0.0181677549</x:v>
      </x:c>
      <x:c r="AM30" s="38" t="n">
        <x:v>-0.0100791509</x:v>
      </x:c>
      <x:c r="AN30" s="38" t="n">
        <x:v>-0.0120783418</x:v>
      </x:c>
      <x:c r="AO30" s="38" t="n">
        <x:v>-0.0928643833</x:v>
      </x:c>
      <x:c r="AP30" s="38" t="n">
        <x:v>0.0201923344</x:v>
      </x:c>
      <x:c r="AQ30" s="38" t="n">
        <x:v>0.0008258983</x:v>
      </x:c>
      <x:c r="AR30" s="38" t="n">
        <x:v>0.0075426381</x:v>
      </x:c>
      <x:c r="AS30" s="38" t="n">
        <x:v>-0.0088388854</x:v>
      </x:c>
    </x:row>
    <x:row r="31" ht="19" customHeight="1">
      <x:c r="A31" s="29" t="str">
        <x:v>Original</x:v>
      </x:c>
      <x:c r="B31" s="39" t="d">
        <x:v>2022-06-20T00:00:00.000Z</x:v>
      </x:c>
      <x:c r="C31" s="38" t="n">
        <x:v>-0.0848594715</x:v>
      </x:c>
      <x:c r="D31" s="38" t="n">
        <x:v>-0.2311162125</x:v>
      </x:c>
      <x:c r="E31" s="38" t="n">
        <x:v>-0.0782873401</x:v>
      </x:c>
      <x:c r="F31" s="38" t="n">
        <x:v>-0.0703720812</x:v>
      </x:c>
      <x:c r="G31" s="38" t="n">
        <x:v>-0.0862865076</x:v>
      </x:c>
      <x:c r="H31" s="38" t="n">
        <x:v>-0.0415792008</x:v>
      </x:c>
      <x:c r="I31" s="38" t="n">
        <x:v>0.0087730554</x:v>
      </x:c>
      <x:c r="J31" s="38" t="n">
        <x:v>-0.0760696721</x:v>
      </x:c>
      <x:c r="K31" s="38" t="n">
        <x:v>-0.1263459086</x:v>
      </x:c>
      <x:c r="L31" s="38" t="n">
        <x:v>-0.183807661</x:v>
      </x:c>
      <x:c r="M31" s="38" t="n">
        <x:v>-0.1073085217</x:v>
      </x:c>
      <x:c r="N31" s="38" t="n">
        <x:v>-0.1357110184</x:v>
      </x:c>
      <x:c r="O31" s="38" t="n">
        <x:v>-0.0254522431</x:v>
      </x:c>
      <x:c r="P31" s="38" t="n">
        <x:v>-0.2161991813</x:v>
      </x:c>
      <x:c r="Q31" s="38" t="n">
        <x:v>0.0197803891</x:v>
      </x:c>
      <x:c r="R31" s="38" t="n">
        <x:v>-0.0445335879</x:v>
      </x:c>
      <x:c r="S31" s="38" t="n">
        <x:v>0.041893414</x:v>
      </x:c>
      <x:c r="T31" s="38" t="n">
        <x:v>-0.0988857507</x:v>
      </x:c>
      <x:c r="U31" s="38" t="n">
        <x:v>-0.0179641828</x:v>
      </x:c>
      <x:c r="V31" s="38" t="n">
        <x:v>-0.0495356602</x:v>
      </x:c>
      <x:c r="W31" s="38" t="n">
        <x:v>-0.0173917313</x:v>
      </x:c>
      <x:c r="X31" s="38" t="n">
        <x:v>-0.0848855986</x:v>
      </x:c>
      <x:c r="Y31" s="38" t="n">
        <x:v>-0.17544575</x:v>
      </x:c>
      <x:c r="Z31" s="38" t="n">
        <x:v>-0.0464570554</x:v>
      </x:c>
      <x:c r="AA31" s="38" t="n">
        <x:v>-0.0284766457</x:v>
      </x:c>
      <x:c r="AB31" s="38" t="n">
        <x:v>0.0126798923</x:v>
      </x:c>
      <x:c r="AC31" s="38" t="n">
        <x:v>-0.1595254688</x:v>
      </x:c>
      <x:c r="AD31" s="38" t="n">
        <x:v>-0.0230679475</x:v>
      </x:c>
      <x:c r="AE31" s="38" t="n">
        <x:v>-0.0978684676</x:v>
      </x:c>
      <x:c r="AF31" s="38" t="n">
        <x:v>-0.0834060619</x:v>
      </x:c>
      <x:c r="AG31" s="38" t="n">
        <x:v>0.0525711308</x:v>
      </x:c>
      <x:c r="AH31" s="38" t="n">
        <x:v>0.0033836058</x:v>
      </x:c>
      <x:c r="AI31" s="38" t="n">
        <x:v>-0.1242881071</x:v>
      </x:c>
      <x:c r="AJ31" s="38" t="n">
        <x:v>0.0050999596</x:v>
      </x:c>
      <x:c r="AK31" s="38" t="n">
        <x:v>-0.0607382247</x:v>
      </x:c>
      <x:c r="AL31" s="38" t="n">
        <x:v>-0.0513235723</x:v>
      </x:c>
      <x:c r="AM31" s="38" t="n">
        <x:v>-0.0158430351</x:v>
      </x:c>
      <x:c r="AN31" s="38" t="n">
        <x:v>0.0380170615</x:v>
      </x:c>
      <x:c r="AO31" s="38" t="n">
        <x:v>0.022044139</x:v>
      </x:c>
      <x:c r="AP31" s="38" t="n">
        <x:v>-0.0617603797</x:v>
      </x:c>
      <x:c r="AQ31" s="38" t="n">
        <x:v>-0.0142963059</x:v>
      </x:c>
      <x:c r="AR31" s="38" t="n">
        <x:v>0.0051084236</x:v>
      </x:c>
      <x:c r="AS31" s="38" t="n">
        <x:v>-0.1058926903</x:v>
      </x:c>
    </x:row>
    <x:row r="32" ht="19" customHeight="1">
      <x:c r="A32" s="29" t="str">
        <x:v>Original</x:v>
      </x:c>
      <x:c r="B32" s="39" t="d">
        <x:v>2022-07-18T00:00:00.000Z</x:v>
      </x:c>
      <x:c r="C32" s="38" t="n">
        <x:v>-0.0131901635</x:v>
      </x:c>
      <x:c r="D32" s="38" t="n">
        <x:v>-0.1258747084</x:v>
      </x:c>
      <x:c r="E32" s="38" t="n">
        <x:v>0.0062604594</x:v>
      </x:c>
      <x:c r="F32" s="38" t="n">
        <x:v>-0.0084181809</x:v>
      </x:c>
      <x:c r="G32" s="38" t="n">
        <x:v>0.0386626868</x:v>
      </x:c>
      <x:c r="H32" s="38" t="n">
        <x:v>0.0107335097</x:v>
      </x:c>
      <x:c r="I32" s="38" t="n">
        <x:v>0.0391513456</x:v>
      </x:c>
      <x:c r="J32" s="38" t="n">
        <x:v>0.0744046282</x:v>
      </x:c>
      <x:c r="K32" s="38" t="n">
        <x:v>0.0278515801</x:v>
      </x:c>
      <x:c r="L32" s="38" t="n">
        <x:v>0.0006791057</x:v>
      </x:c>
      <x:c r="M32" s="38" t="n">
        <x:v>0.013904065</x:v>
      </x:c>
      <x:c r="N32" s="38" t="n">
        <x:v>-0.0140474325</x:v>
      </x:c>
      <x:c r="O32" s="38" t="n">
        <x:v>0.09307676</x:v>
      </x:c>
      <x:c r="P32" s="38" t="n">
        <x:v>0.002495702</x:v>
      </x:c>
      <x:c r="Q32" s="38" t="n">
        <x:v>-0.0225388848</x:v>
      </x:c>
      <x:c r="R32" s="38" t="n">
        <x:v>-0.1555728431</x:v>
      </x:c>
      <x:c r="S32" s="38" t="n">
        <x:v>-0.020895449</x:v>
      </x:c>
      <x:c r="T32" s="38" t="n">
        <x:v>-0.002880333</x:v>
      </x:c>
      <x:c r="U32" s="38" t="n">
        <x:v>0.098250232</x:v>
      </x:c>
      <x:c r="V32" s="38" t="n">
        <x:v>0.0471724316</x:v>
      </x:c>
      <x:c r="W32" s="38" t="n">
        <x:v>0.1130676014</x:v>
      </x:c>
      <x:c r="X32" s="38" t="n">
        <x:v>0.0631530348</x:v>
      </x:c>
      <x:c r="Y32" s="38" t="n">
        <x:v>0.0388863656</x:v>
      </x:c>
      <x:c r="Z32" s="38" t="n">
        <x:v>-0.1743404353</x:v>
      </x:c>
      <x:c r="AA32" s="38" t="n">
        <x:v>-0.0324830924</x:v>
      </x:c>
      <x:c r="AB32" s="38" t="n">
        <x:v>-0.0161081994</x:v>
      </x:c>
      <x:c r="AC32" s="38" t="n">
        <x:v>-0.3554317421</x:v>
      </x:c>
      <x:c r="AD32" s="38" t="n">
        <x:v>-0.002185158</x:v>
      </x:c>
      <x:c r="AE32" s="38" t="n">
        <x:v>0.0511980072</x:v>
      </x:c>
      <x:c r="AF32" s="38" t="n">
        <x:v>-0.0163489199</x:v>
      </x:c>
      <x:c r="AG32" s="38" t="n">
        <x:v>0.0871478398</x:v>
      </x:c>
      <x:c r="AH32" s="38" t="n">
        <x:v>-0.0244561036</x:v>
      </x:c>
      <x:c r="AI32" s="38" t="n">
        <x:v>0.0091350152</x:v>
      </x:c>
      <x:c r="AJ32" s="38" t="n">
        <x:v>0.0075045088</x:v>
      </x:c>
      <x:c r="AK32" s="38" t="n">
        <x:v>-0.0050032272</x:v>
      </x:c>
      <x:c r="AL32" s="38" t="n">
        <x:v>0.0459238053</x:v>
      </x:c>
      <x:c r="AM32" s="38" t="n">
        <x:v>-0.0218087994</x:v>
      </x:c>
      <x:c r="AN32" s="38" t="n">
        <x:v>-0.0700253576</x:v>
      </x:c>
      <x:c r="AO32" s="38" t="n">
        <x:v>0.0702070795</x:v>
      </x:c>
      <x:c r="AP32" s="38" t="n">
        <x:v>0.0628055894</x:v>
      </x:c>
      <x:c r="AQ32" s="38" t="n">
        <x:v>-0.0182538546</x:v>
      </x:c>
      <x:c r="AR32" s="38" t="n">
        <x:v>-0.0450324089</x:v>
      </x:c>
      <x:c r="AS32" s="38" t="n">
        <x:v>0.0212734084</x:v>
      </x:c>
    </x:row>
    <x:row r="33" ht="19" customHeight="1">
      <x:c r="A33" s="29" t="str">
        <x:v>Original</x:v>
      </x:c>
      <x:c r="B33" s="39" t="d">
        <x:v>2022-08-15T00:00:00.000Z</x:v>
      </x:c>
      <x:c r="C33" s="38" t="n">
        <x:v>0.0742529818</x:v>
      </x:c>
      <x:c r="D33" s="38" t="n">
        <x:v>0.2865016408</x:v>
      </x:c>
      <x:c r="E33" s="38" t="n">
        <x:v>0.0908565687</x:v>
      </x:c>
      <x:c r="F33" s="38" t="n">
        <x:v>0.0913990401</x:v>
      </x:c>
      <x:c r="G33" s="38" t="n">
        <x:v>0.1246280959</x:v>
      </x:c>
      <x:c r="H33" s="38" t="n">
        <x:v>0.1718857729</x:v>
      </x:c>
      <x:c r="I33" s="38" t="n">
        <x:v>0.0966319578</x:v>
      </x:c>
      <x:c r="J33" s="38" t="n">
        <x:v>0.1128189667</x:v>
      </x:c>
      <x:c r="K33" s="38" t="n">
        <x:v>0.0318679845</x:v>
      </x:c>
      <x:c r="L33" s="38" t="n">
        <x:v>0.1109536276</x:v>
      </x:c>
      <x:c r="M33" s="38" t="n">
        <x:v>0.161560752</x:v>
      </x:c>
      <x:c r="N33" s="38" t="n">
        <x:v>0.113502716</x:v>
      </x:c>
      <x:c r="O33" s="38" t="n">
        <x:v>0.1379672639</x:v>
      </x:c>
      <x:c r="P33" s="38" t="n">
        <x:v>0.0075458758</x:v>
      </x:c>
      <x:c r="Q33" s="38" t="n">
        <x:v>0.0358531917</x:v>
      </x:c>
      <x:c r="R33" s="38" t="n">
        <x:v>0.0812382438</x:v>
      </x:c>
      <x:c r="S33" s="38" t="n">
        <x:v>-0.0094323097</x:v>
      </x:c>
      <x:c r="T33" s="38" t="n">
        <x:v>0.2249748749</x:v>
      </x:c>
      <x:c r="U33" s="38" t="n">
        <x:v>-0.0896171636</x:v>
      </x:c>
      <x:c r="V33" s="38" t="n">
        <x:v>0.1963138403</x:v>
      </x:c>
      <x:c r="W33" s="38" t="n">
        <x:v>0.0714708303</x:v>
      </x:c>
      <x:c r="X33" s="38" t="n">
        <x:v>-0.076798552</x:v>
      </x:c>
      <x:c r="Y33" s="38" t="n">
        <x:v>-0.0101898096</x:v>
      </x:c>
      <x:c r="Z33" s="38" t="n">
        <x:v>-0.132060687</x:v>
      </x:c>
      <x:c r="AA33" s="38" t="n">
        <x:v>0.1087705963</x:v>
      </x:c>
      <x:c r="AB33" s="38" t="n">
        <x:v>-0.0200576582</x:v>
      </x:c>
      <x:c r="AC33" s="38" t="n">
        <x:v>0.0710052664</x:v>
      </x:c>
      <x:c r="AD33" s="38" t="n">
        <x:v>0.0364765951</x:v>
      </x:c>
      <x:c r="AE33" s="38" t="n">
        <x:v>0.1781920245</x:v>
      </x:c>
      <x:c r="AF33" s="38" t="n">
        <x:v>0.0606078786</x:v>
      </x:c>
      <x:c r="AG33" s="38" t="n">
        <x:v>0.0235905597</x:v>
      </x:c>
      <x:c r="AH33" s="38" t="n">
        <x:v>0.0959683126</x:v>
      </x:c>
      <x:c r="AI33" s="38" t="n">
        <x:v>0.0679063753</x:v>
      </x:c>
      <x:c r="AJ33" s="38" t="n">
        <x:v>-0.0120120313</x:v>
      </x:c>
      <x:c r="AK33" s="38" t="n">
        <x:v>-0.0318451265</x:v>
      </x:c>
      <x:c r="AL33" s="38" t="n">
        <x:v>-0.0062893102</x:v>
      </x:c>
      <x:c r="AM33" s="38" t="n">
        <x:v>0.0768300207</x:v>
      </x:c>
      <x:c r="AN33" s="38" t="n">
        <x:v>0.0658439067</x:v>
      </x:c>
      <x:c r="AO33" s="38" t="n">
        <x:v>0.037787673</x:v>
      </x:c>
      <x:c r="AP33" s="38" t="n">
        <x:v>0.037333482</x:v>
      </x:c>
      <x:c r="AQ33" s="38" t="n">
        <x:v>0.0449498171</x:v>
      </x:c>
      <x:c r="AR33" s="38" t="n">
        <x:v>-0.0130957661</x:v>
      </x:c>
      <x:c r="AS33" s="38" t="n">
        <x:v>0.0309698576</x:v>
      </x:c>
    </x:row>
    <x:row r="34" ht="19" customHeight="1">
      <x:c r="A34" s="29" t="str">
        <x:v>Original</x:v>
      </x:c>
      <x:c r="B34" s="39" t="d">
        <x:v>2022-09-12T00:00:00.000Z</x:v>
      </x:c>
      <x:c r="C34" s="38" t="n">
        <x:v>0.0019152294</x:v>
      </x:c>
      <x:c r="D34" s="38" t="n">
        <x:v>0.0932885508</x:v>
      </x:c>
      <x:c r="E34" s="38" t="n">
        <x:v>-0.0360067598</x:v>
      </x:c>
      <x:c r="F34" s="38" t="n">
        <x:v>-0.0424178539</x:v>
      </x:c>
      <x:c r="G34" s="38" t="n">
        <x:v>-0.0840879194</x:v>
      </x:c>
      <x:c r="H34" s="38" t="n">
        <x:v>0.0102171644</x:v>
      </x:c>
      <x:c r="I34" s="38" t="n">
        <x:v>-0.0907209243</x:v>
      </x:c>
      <x:c r="J34" s="38" t="n">
        <x:v>-0.0414480622</x:v>
      </x:c>
      <x:c r="K34" s="38" t="n">
        <x:v>-0.196176195</x:v>
      </x:c>
      <x:c r="L34" s="38" t="n">
        <x:v>-0.1020944503</x:v>
      </x:c>
      <x:c r="M34" s="38" t="n">
        <x:v>-0.0392156036</x:v>
      </x:c>
      <x:c r="N34" s="38" t="n">
        <x:v>-0.0390729554</x:v>
      </x:c>
      <x:c r="O34" s="38" t="n">
        <x:v>-0.0727527644</x:v>
      </x:c>
      <x:c r="P34" s="38" t="n">
        <x:v>-0.1996660929</x:v>
      </x:c>
      <x:c r="Q34" s="38" t="n">
        <x:v>0.1191973309</x:v>
      </x:c>
      <x:c r="R34" s="38" t="n">
        <x:v>-0.0343968714</x:v>
      </x:c>
      <x:c r="S34" s="38" t="n">
        <x:v>-0.0390602443</x:v>
      </x:c>
      <x:c r="T34" s="38" t="n">
        <x:v>-0.1219115899</x:v>
      </x:c>
      <x:c r="U34" s="38" t="n">
        <x:v>-0.047543882</x:v>
      </x:c>
      <x:c r="V34" s="38" t="n">
        <x:v>-0.0801572258</x:v>
      </x:c>
      <x:c r="W34" s="38" t="n">
        <x:v>-0.0034535204</x:v>
      </x:c>
      <x:c r="X34" s="38" t="n">
        <x:v>-0.0918093319</x:v>
      </x:c>
      <x:c r="Y34" s="38" t="n">
        <x:v>-0.1092113173</x:v>
      </x:c>
      <x:c r="Z34" s="38" t="n">
        <x:v>0.0140399814</x:v>
      </x:c>
      <x:c r="AA34" s="38" t="n">
        <x:v>-0.0165619379</x:v>
      </x:c>
      <x:c r="AB34" s="38" t="n">
        <x:v>0.0068379943</x:v>
      </x:c>
      <x:c r="AC34" s="38" t="n">
        <x:v>-0.1218798666</x:v>
      </x:c>
      <x:c r="AD34" s="38" t="n">
        <x:v>-0.0641892976</x:v>
      </x:c>
      <x:c r="AE34" s="38" t="n">
        <x:v>-0.0612039588</x:v>
      </x:c>
      <x:c r="AF34" s="38" t="n">
        <x:v>-0.0969026471</x:v>
      </x:c>
      <x:c r="AG34" s="38" t="n">
        <x:v>-0.0979821975</x:v>
      </x:c>
      <x:c r="AH34" s="38" t="n">
        <x:v>-0.0076769632</x:v>
      </x:c>
      <x:c r="AI34" s="38" t="n">
        <x:v>-0.1826811343</x:v>
      </x:c>
      <x:c r="AJ34" s="38" t="n">
        <x:v>-0.0354659026</x:v>
      </x:c>
      <x:c r="AK34" s="38" t="n">
        <x:v>-0.0654195087</x:v>
      </x:c>
      <x:c r="AL34" s="38" t="n">
        <x:v>-0.0684626027</x:v>
      </x:c>
      <x:c r="AM34" s="38" t="n">
        <x:v>-0.1261303913</x:v>
      </x:c>
      <x:c r="AN34" s="38" t="n">
        <x:v>-0.1058473014</x:v>
      </x:c>
      <x:c r="AO34" s="38" t="n">
        <x:v>-0.0768686231</x:v>
      </x:c>
      <x:c r="AP34" s="38" t="n">
        <x:v>-0.1175145873</x:v>
      </x:c>
      <x:c r="AQ34" s="38" t="n">
        <x:v>-0.0670403054</x:v>
      </x:c>
      <x:c r="AR34" s="38" t="n">
        <x:v>-0.0027871438</x:v>
      </x:c>
      <x:c r="AS34" s="38" t="n">
        <x:v>-0.0634159547</x:v>
      </x:c>
    </x:row>
    <x:row r="35" ht="19" customHeight="1">
      <x:c r="A35" s="29" t="str">
        <x:v>Original</x:v>
      </x:c>
      <x:c r="B35" s="39" t="d">
        <x:v>2022-10-10T00:00:00.000Z</x:v>
      </x:c>
      <x:c r="C35" s="38" t="n">
        <x:v>-0.1306603502</x:v>
      </x:c>
      <x:c r="D35" s="38" t="n">
        <x:v>0.1107329864</x:v>
      </x:c>
      <x:c r="E35" s="38" t="n">
        <x:v>-0.1503095364</x:v>
      </x:c>
      <x:c r="F35" s="38" t="n">
        <x:v>-0.1172729529</x:v>
      </x:c>
      <x:c r="G35" s="38" t="n">
        <x:v>-0.1115981832</x:v>
      </x:c>
      <x:c r="H35" s="38" t="n">
        <x:v>-0.0947485742</x:v>
      </x:c>
      <x:c r="I35" s="38" t="n">
        <x:v>-0.1183227521</x:v>
      </x:c>
      <x:c r="J35" s="38" t="n">
        <x:v>0.012451818</x:v>
      </x:c>
      <x:c r="K35" s="38" t="n">
        <x:v>-0.1501265738</x:v>
      </x:c>
      <x:c r="L35" s="38" t="n">
        <x:v>0.0723785</x:v>
      </x:c>
      <x:c r="M35" s="38" t="n">
        <x:v>-0.0045780563</x:v>
      </x:c>
      <x:c r="N35" s="38" t="n">
        <x:v>-0.0766569937</x:v>
      </x:c>
      <x:c r="O35" s="38" t="n">
        <x:v>-0.0129896153</x:v>
      </x:c>
      <x:c r="P35" s="38" t="n">
        <x:v>-0.0808144503</x:v>
      </x:c>
      <x:c r="Q35" s="38" t="n">
        <x:v>0</x:v>
      </x:c>
      <x:c r="R35" s="38" t="n">
        <x:v>-0.1756939261</x:v>
      </x:c>
      <x:c r="S35" s="38" t="n">
        <x:v>-0.0889964193</x:v>
      </x:c>
      <x:c r="T35" s="38" t="n">
        <x:v>-0.2079235712</x:v>
      </x:c>
      <x:c r="U35" s="38" t="n">
        <x:v>-0.0225271103</x:v>
      </x:c>
      <x:c r="V35" s="38" t="n">
        <x:v>0.0076399796</x:v>
      </x:c>
      <x:c r="W35" s="38" t="n">
        <x:v>-0.0352710438</x:v>
      </x:c>
      <x:c r="X35" s="38" t="n">
        <x:v>-0.106237627</x:v>
      </x:c>
      <x:c r="Y35" s="38" t="n">
        <x:v>-0.0002905703</x:v>
      </x:c>
      <x:c r="Z35" s="38" t="n">
        <x:v>-0.0575830054</x:v>
      </x:c>
      <x:c r="AA35" s="38" t="n">
        <x:v>-0.0605353144</x:v>
      </x:c>
      <x:c r="AB35" s="38" t="n">
        <x:v>-0.1186991569</x:v>
      </x:c>
      <x:c r="AC35" s="38" t="n">
        <x:v>-0.0528361746</x:v>
      </x:c>
      <x:c r="AD35" s="38" t="n">
        <x:v>-0.0821007163</x:v>
      </x:c>
      <x:c r="AE35" s="38" t="n">
        <x:v>-0.1900049474</x:v>
      </x:c>
      <x:c r="AF35" s="38" t="n">
        <x:v>-0.029992993</x:v>
      </x:c>
      <x:c r="AG35" s="38" t="n">
        <x:v>-0.065752016</x:v>
      </x:c>
      <x:c r="AH35" s="38" t="n">
        <x:v>-0.0321421834</x:v>
      </x:c>
      <x:c r="AI35" s="38" t="n">
        <x:v>-0.256253893</x:v>
      </x:c>
      <x:c r="AJ35" s="38" t="n">
        <x:v>0.0575375711</x:v>
      </x:c>
      <x:c r="AK35" s="38" t="n">
        <x:v>-0.1884699308</x:v>
      </x:c>
      <x:c r="AL35" s="38" t="n">
        <x:v>-0.032449104</x:v>
      </x:c>
      <x:c r="AM35" s="38" t="n">
        <x:v>-0.0559720634</x:v>
      </x:c>
      <x:c r="AN35" s="38" t="n">
        <x:v>-0.0512445785</x:v>
      </x:c>
      <x:c r="AO35" s="38" t="n">
        <x:v>-0.0845550158</x:v>
      </x:c>
      <x:c r="AP35" s="38" t="n">
        <x:v>0.0013627081</x:v>
      </x:c>
      <x:c r="AQ35" s="38" t="n">
        <x:v>-0.0652038038</x:v>
      </x:c>
      <x:c r="AR35" s="38" t="n">
        <x:v>-0.0154770078</x:v>
      </x:c>
      <x:c r="AS35" s="38" t="n">
        <x:v>-0.0063974058</x:v>
      </x:c>
    </x:row>
    <x:row r="36" ht="19" customHeight="1">
      <x:c r="A36" s="29" t="str">
        <x:v>Original</x:v>
      </x:c>
      <x:c r="B36" s="39" t="d">
        <x:v>2022-11-07T00:00:00.000Z</x:v>
      </x:c>
      <x:c r="C36" s="38" t="n">
        <x:v>0.0974957015</x:v>
      </x:c>
      <x:c r="D36" s="38" t="n">
        <x:v>0.1783648442</x:v>
      </x:c>
      <x:c r="E36" s="38" t="n">
        <x:v>0.0695869032</x:v>
      </x:c>
      <x:c r="F36" s="38" t="n">
        <x:v>0.0920914866</x:v>
      </x:c>
      <x:c r="G36" s="38" t="n">
        <x:v>0.0049062155</x:v>
      </x:c>
      <x:c r="H36" s="38" t="n">
        <x:v>-0.0011341843</x:v>
      </x:c>
      <x:c r="I36" s="38" t="n">
        <x:v>-0.0488465039</x:v>
      </x:c>
      <x:c r="J36" s="38" t="n">
        <x:v>0.1512905655</x:v>
      </x:c>
      <x:c r="K36" s="38" t="n">
        <x:v>0.084625054</x:v>
      </x:c>
      <x:c r="L36" s="38" t="n">
        <x:v>0.1330332475</x:v>
      </x:c>
      <x:c r="M36" s="38" t="n">
        <x:v>0.0395092702</x:v>
      </x:c>
      <x:c r="N36" s="38" t="n">
        <x:v>-0.0133139134</x:v>
      </x:c>
      <x:c r="O36" s="38" t="n">
        <x:v>0.103518113</x:v>
      </x:c>
      <x:c r="P36" s="38" t="n">
        <x:v>0.1365423704</x:v>
      </x:c>
      <x:c r="Q36" s="38" t="n">
        <x:v>0.1715230136</x:v>
      </x:c>
      <x:c r="R36" s="38" t="n">
        <x:v>-0.0122181643</x:v>
      </x:c>
      <x:c r="S36" s="38" t="n">
        <x:v>0.0116553538</x:v>
      </x:c>
      <x:c r="T36" s="38" t="n">
        <x:v>0.1340378224</x:v>
      </x:c>
      <x:c r="U36" s="38" t="n">
        <x:v>0.2033319096</x:v>
      </x:c>
      <x:c r="V36" s="38" t="n">
        <x:v>0.3537752728</x:v>
      </x:c>
      <x:c r="W36" s="38" t="n">
        <x:v>0.1927559761</x:v>
      </x:c>
      <x:c r="X36" s="38" t="n">
        <x:v>0.1029851042</x:v>
      </x:c>
      <x:c r="Y36" s="38" t="n">
        <x:v>0.1414996616</x:v>
      </x:c>
      <x:c r="Z36" s="38" t="n">
        <x:v>0.1102896308</x:v>
      </x:c>
      <x:c r="AA36" s="38" t="n">
        <x:v>0.0709310136</x:v>
      </x:c>
      <x:c r="AB36" s="38" t="n">
        <x:v>-0.0163542529</x:v>
      </x:c>
      <x:c r="AC36" s="38" t="n">
        <x:v>-0.0145993255</x:v>
      </x:c>
      <x:c r="AD36" s="38" t="n">
        <x:v>0.1051261557</x:v>
      </x:c>
      <x:c r="AE36" s="38" t="n">
        <x:v>0.180204898</x:v>
      </x:c>
      <x:c r="AF36" s="38" t="n">
        <x:v>0.1612563005</x:v>
      </x:c>
      <x:c r="AG36" s="38" t="n">
        <x:v>0.2385595048</x:v>
      </x:c>
      <x:c r="AH36" s="38" t="n">
        <x:v>0.0162405149</x:v>
      </x:c>
      <x:c r="AI36" s="38" t="n">
        <x:v>0.2137225465</x:v>
      </x:c>
      <x:c r="AJ36" s="38" t="n">
        <x:v>0.0507821838</x:v>
      </x:c>
      <x:c r="AK36" s="38" t="n">
        <x:v>0.1768918334</x:v>
      </x:c>
      <x:c r="AL36" s="38" t="n">
        <x:v>0.0580612131</x:v>
      </x:c>
      <x:c r="AM36" s="38" t="n">
        <x:v>0.0647649788</x:v>
      </x:c>
      <x:c r="AN36" s="38" t="n">
        <x:v>-0.0012902486</x:v>
      </x:c>
      <x:c r="AO36" s="38" t="n">
        <x:v>0.1056980175</x:v>
      </x:c>
      <x:c r="AP36" s="38" t="n">
        <x:v>0.1082461682</x:v>
      </x:c>
      <x:c r="AQ36" s="38" t="n">
        <x:v>0.0905780524</x:v>
      </x:c>
      <x:c r="AR36" s="38" t="n">
        <x:v>0.0238275616</x:v>
      </x:c>
      <x:c r="AS36" s="38" t="n">
        <x:v>0.1057410332</x:v>
      </x:c>
    </x:row>
    <x:row r="37" ht="19" customHeight="1">
      <x:c r="A37" s="29" t="str">
        <x:v>Original</x:v>
      </x:c>
      <x:c r="B37" s="39" t="d">
        <x:v>2022-12-05T00:00:00.000Z</x:v>
      </x:c>
      <x:c r="C37" s="38" t="n">
        <x:v>-0.008074913</x:v>
      </x:c>
      <x:c r="D37" s="38" t="n">
        <x:v>-0.1278400175</x:v>
      </x:c>
      <x:c r="E37" s="38" t="n">
        <x:v>0.0595818023</x:v>
      </x:c>
      <x:c r="F37" s="38" t="n">
        <x:v>0.0461866755</x:v>
      </x:c>
      <x:c r="G37" s="38" t="n">
        <x:v>-0.0145661536</x:v>
      </x:c>
      <x:c r="H37" s="38" t="n">
        <x:v>0.0110526267</x:v>
      </x:c>
      <x:c r="I37" s="38" t="n">
        <x:v>-0.1038634947</x:v>
      </x:c>
      <x:c r="J37" s="38" t="n">
        <x:v>-0.0055615945</x:v>
      </x:c>
      <x:c r="K37" s="38" t="n">
        <x:v>-0.0455431292</x:v>
      </x:c>
      <x:c r="L37" s="38" t="n">
        <x:v>-0.1251391251</x:v>
      </x:c>
      <x:c r="M37" s="38" t="n">
        <x:v>-0.0311416748</x:v>
      </x:c>
      <x:c r="N37" s="38" t="n">
        <x:v>0.0017545951</x:v>
      </x:c>
      <x:c r="O37" s="38" t="n">
        <x:v>0.0179858502</x:v>
      </x:c>
      <x:c r="P37" s="38" t="n">
        <x:v>-0.0902162879</x:v>
      </x:c>
      <x:c r="Q37" s="38" t="n">
        <x:v>-0.1008420768</x:v>
      </x:c>
      <x:c r="R37" s="38" t="n">
        <x:v>-0.0988238014</x:v>
      </x:c>
      <x:c r="S37" s="38" t="n">
        <x:v>0.0266347514</x:v>
      </x:c>
      <x:c r="T37" s="38" t="n">
        <x:v>-0.0872764034</x:v>
      </x:c>
      <x:c r="U37" s="38" t="n">
        <x:v>0.0297071726</x:v>
      </x:c>
      <x:c r="V37" s="38" t="n">
        <x:v>-0.0686602565</x:v>
      </x:c>
      <x:c r="W37" s="38" t="n">
        <x:v>0.0825095211</x:v>
      </x:c>
      <x:c r="X37" s="38" t="n">
        <x:v>0.0315658706</x:v>
      </x:c>
      <x:c r="Y37" s="38" t="n">
        <x:v>-0.1098631848</x:v>
      </x:c>
      <x:c r="Z37" s="38" t="n">
        <x:v>0.0075276819</x:v>
      </x:c>
      <x:c r="AA37" s="38" t="n">
        <x:v>0.0207472388</x:v>
      </x:c>
      <x:c r="AB37" s="38" t="n">
        <x:v>0.0760277247</x:v>
      </x:c>
      <x:c r="AC37" s="38" t="n">
        <x:v>-0.2334833894</x:v>
      </x:c>
      <x:c r="AD37" s="38" t="n">
        <x:v>0.0574087368</x:v>
      </x:c>
      <x:c r="AE37" s="38" t="n">
        <x:v>-0.0715891936</x:v>
      </x:c>
      <x:c r="AF37" s="38" t="n">
        <x:v>0.046060614</x:v>
      </x:c>
      <x:c r="AG37" s="38" t="n">
        <x:v>0.0096662252</x:v>
      </x:c>
      <x:c r="AH37" s="38" t="n">
        <x:v>0.0256533428</x:v>
      </x:c>
      <x:c r="AI37" s="38" t="n">
        <x:v>-0.0451550527</x:v>
      </x:c>
      <x:c r="AJ37" s="38" t="n">
        <x:v>0.0228553477</x:v>
      </x:c>
      <x:c r="AK37" s="38" t="n">
        <x:v>-0.0522519006</x:v>
      </x:c>
      <x:c r="AL37" s="38" t="n">
        <x:v>0.0244504929</x:v>
      </x:c>
      <x:c r="AM37" s="38" t="n">
        <x:v>-0.0034076513</x:v>
      </x:c>
      <x:c r="AN37" s="38" t="n">
        <x:v>-0.0318512709</x:v>
      </x:c>
      <x:c r="AO37" s="38" t="n">
        <x:v>-0.0547302577</x:v>
      </x:c>
      <x:c r="AP37" s="38" t="n">
        <x:v>0.0197547864</x:v>
      </x:c>
      <x:c r="AQ37" s="38" t="n">
        <x:v>0.0305680062</x:v>
      </x:c>
      <x:c r="AR37" s="38" t="n">
        <x:v>0.0370888951</x:v>
      </x:c>
      <x:c r="AS37" s="38" t="n">
        <x:v>-0.0090990073</x:v>
      </x:c>
    </x:row>
    <x:row r="38" ht="19" customHeight="1">
      <x:c r="A38" s="29" t="str">
        <x:v>Original</x:v>
      </x:c>
      <x:c r="B38" s="39" t="d">
        <x:v>2023-01-02T00:00:00.000Z</x:v>
      </x:c>
      <x:c r="C38" s="38" t="n">
        <x:v>-0.0428493621</x:v>
      </x:c>
      <x:c r="D38" s="38" t="n">
        <x:v>0.1785528479</x:v>
      </x:c>
      <x:c r="E38" s="38" t="n">
        <x:v>-0.0004422519</x:v>
      </x:c>
      <x:c r="F38" s="38" t="n">
        <x:v>-0.0699154355</x:v>
      </x:c>
      <x:c r="G38" s="38" t="n">
        <x:v>0.0049223871</x:v>
      </x:c>
      <x:c r="H38" s="38" t="n">
        <x:v>-0.072458978</x:v>
      </x:c>
      <x:c r="I38" s="38" t="n">
        <x:v>-0.029341167</x:v>
      </x:c>
      <x:c r="J38" s="38" t="n">
        <x:v>-0.0500576397</x:v>
      </x:c>
      <x:c r="K38" s="38" t="n">
        <x:v>0.0392640266</x:v>
      </x:c>
      <x:c r="L38" s="38" t="n">
        <x:v>0.0910907245</x:v>
      </x:c>
      <x:c r="M38" s="38" t="n">
        <x:v>-0.1335158522</x:v>
      </x:c>
      <x:c r="N38" s="38" t="n">
        <x:v>0.0110484477</x:v>
      </x:c>
      <x:c r="O38" s="38" t="n">
        <x:v>-0.1134548415</x:v>
      </x:c>
      <x:c r="P38" s="38" t="n">
        <x:v>0.0342082415</x:v>
      </x:c>
      <x:c r="Q38" s="38" t="n">
        <x:v>0.0680228439</x:v>
      </x:c>
      <x:c r="R38" s="38" t="n">
        <x:v>-0.1613597291</x:v>
      </x:c>
      <x:c r="S38" s="38" t="n">
        <x:v>0.0044130093</x:v>
      </x:c>
      <x:c r="T38" s="38" t="n">
        <x:v>-0.1652196355</x:v>
      </x:c>
      <x:c r="U38" s="38" t="n">
        <x:v>0.0143199381</x:v>
      </x:c>
      <x:c r="V38" s="38" t="n">
        <x:v>0.0115164039</x:v>
      </x:c>
      <x:c r="W38" s="38" t="n">
        <x:v>-0.011981557</x:v>
      </x:c>
      <x:c r="X38" s="38" t="n">
        <x:v>0.066577832</x:v>
      </x:c>
      <x:c r="Y38" s="38" t="n">
        <x:v>0.0310011392</x:v>
      </x:c>
      <x:c r="Z38" s="38" t="n">
        <x:v>0.1085260294</x:v>
      </x:c>
      <x:c r="AA38" s="38" t="n">
        <x:v>0.0344805031</x:v>
      </x:c>
      <x:c r="AB38" s="38" t="n">
        <x:v>0.1260349815</x:v>
      </x:c>
      <x:c r="AC38" s="38" t="n">
        <x:v>-0.2271316117</x:v>
      </x:c>
      <x:c r="AD38" s="38" t="n">
        <x:v>0.0168030319</x:v>
      </x:c>
      <x:c r="AE38" s="38" t="n">
        <x:v>-0.0397753274</x:v>
      </x:c>
      <x:c r="AF38" s="38" t="n">
        <x:v>0.0555792507</x:v>
      </x:c>
      <x:c r="AG38" s="38" t="n">
        <x:v>0.1458901365</x:v>
      </x:c>
      <x:c r="AH38" s="38" t="n">
        <x:v>-0.0119729032</x:v>
      </x:c>
      <x:c r="AI38" s="38" t="n">
        <x:v>-0.05966318</x:v>
      </x:c>
      <x:c r="AJ38" s="38" t="n">
        <x:v>0.0045992838</x:v>
      </x:c>
      <x:c r="AK38" s="38" t="n">
        <x:v>0.0389217542</x:v>
      </x:c>
      <x:c r="AL38" s="38" t="n">
        <x:v>-0.0105394652</x:v>
      </x:c>
      <x:c r="AM38" s="38" t="n">
        <x:v>-0.0744259163</x:v>
      </x:c>
      <x:c r="AN38" s="38" t="n">
        <x:v>-0.0520419911</x:v>
      </x:c>
      <x:c r="AO38" s="38" t="n">
        <x:v>-0.0002651079</x:v>
      </x:c>
      <x:c r="AP38" s="38" t="n">
        <x:v>-0.0078944614</x:v>
      </x:c>
      <x:c r="AQ38" s="38" t="n">
        <x:v>0.0035081958</x:v>
      </x:c>
      <x:c r="AR38" s="38" t="n">
        <x:v>0.0216317212</x:v>
      </x:c>
      <x:c r="AS38" s="38" t="n">
        <x:v>0.0336011224</x:v>
      </x:c>
    </x:row>
    <x:row r="39" ht="19" customHeight="1">
      <x:c r="A39" s="29" t="str">
        <x:v>Original</x:v>
      </x:c>
      <x:c r="B39" s="39" t="d">
        <x:v>2023-01-30T00:00:00.000Z</x:v>
      </x:c>
      <x:c r="C39" s="38" t="n">
        <x:v>0.0141157674</x:v>
      </x:c>
      <x:c r="D39" s="38" t="n">
        <x:v>0.044674663</x:v>
      </x:c>
      <x:c r="E39" s="38" t="n">
        <x:v>-0.0405804193</x:v>
      </x:c>
      <x:c r="F39" s="38" t="n">
        <x:v>0.0032103041</x:v>
      </x:c>
      <x:c r="G39" s="38" t="n">
        <x:v>0.1424002974</x:v>
      </x:c>
      <x:c r="H39" s="38" t="n">
        <x:v>0.1632410791</x:v>
      </x:c>
      <x:c r="I39" s="38" t="n">
        <x:v>0.1586430268</x:v>
      </x:c>
      <x:c r="J39" s="38" t="n">
        <x:v>0.0628847996</x:v>
      </x:c>
      <x:c r="K39" s="38" t="n">
        <x:v>0.2055310891</x:v>
      </x:c>
      <x:c r="L39" s="38" t="n">
        <x:v>0.0278509021</x:v>
      </x:c>
      <x:c r="M39" s="38" t="n">
        <x:v>0.0154521587</x:v>
      </x:c>
      <x:c r="N39" s="38" t="n">
        <x:v>0.0608458386</x:v>
      </x:c>
      <x:c r="O39" s="38" t="n">
        <x:v>0.0345286699</x:v>
      </x:c>
      <x:c r="P39" s="38" t="n">
        <x:v>0.1311659092</x:v>
      </x:c>
      <x:c r="Q39" s="38" t="n">
        <x:v>-0.0761923564</x:v>
      </x:c>
      <x:c r="R39" s="38" t="n">
        <x:v>0.2101214239</x:v>
      </x:c>
      <x:c r="S39" s="38" t="n">
        <x:v>0.00718974</x:v>
      </x:c>
      <x:c r="T39" s="38" t="n">
        <x:v>0.3449577617</x:v>
      </x:c>
      <x:c r="U39" s="38" t="n">
        <x:v>-0.0347741542</x:v>
      </x:c>
      <x:c r="V39" s="38" t="n">
        <x:v>0.1282674433</x:v>
      </x:c>
      <x:c r="W39" s="38" t="n">
        <x:v>0.128176788</x:v>
      </x:c>
      <x:c r="X39" s="38" t="n">
        <x:v>0.0462705539</x:v>
      </x:c>
      <x:c r="Y39" s="38" t="n">
        <x:v>0.082007232</x:v>
      </x:c>
      <x:c r="Z39" s="38" t="n">
        <x:v>-0.0479719661</x:v>
      </x:c>
      <x:c r="AA39" s="38" t="n">
        <x:v>0.0108659238</x:v>
      </x:c>
      <x:c r="AB39" s="38" t="n">
        <x:v>-0.1160977731</x:v>
      </x:c>
      <x:c r="AC39" s="38" t="n">
        <x:v>0.4534489463</x:v>
      </x:c>
      <x:c r="AD39" s="38" t="n">
        <x:v>-0.060661845</x:v>
      </x:c>
      <x:c r="AE39" s="38" t="n">
        <x:v>0.0436184841</x:v>
      </x:c>
      <x:c r="AF39" s="38" t="n">
        <x:v>-0.0403979909</x:v>
      </x:c>
      <x:c r="AG39" s="38" t="n">
        <x:v>-0.0288898422</x:v>
      </x:c>
      <x:c r="AH39" s="38" t="n">
        <x:v>-0.0509080016</x:v>
      </x:c>
      <x:c r="AI39" s="38" t="n">
        <x:v>0.2572622484</x:v>
      </x:c>
      <x:c r="AJ39" s="38" t="n">
        <x:v>-0.0588763704</x:v>
      </x:c>
      <x:c r="AK39" s="38" t="n">
        <x:v>0.0718743552</x:v>
      </x:c>
      <x:c r="AL39" s="38" t="n">
        <x:v>-0.0031637011</x:v>
      </x:c>
      <x:c r="AM39" s="38" t="n">
        <x:v>0.1199369739</x:v>
      </x:c>
      <x:c r="AN39" s="38" t="n">
        <x:v>0.1576241958</x:v>
      </x:c>
      <x:c r="AO39" s="38" t="n">
        <x:v>0.0569442928</x:v>
      </x:c>
      <x:c r="AP39" s="38" t="n">
        <x:v>0.0372777338</x:v>
      </x:c>
      <x:c r="AQ39" s="38" t="n">
        <x:v>-0.0501793682</x:v>
      </x:c>
      <x:c r="AR39" s="38" t="n">
        <x:v>-0.0785858995</x:v>
      </x:c>
      <x:c r="AS39" s="38" t="n">
        <x:v>-0.0281080871</x:v>
      </x:c>
    </x:row>
    <x:row r="40" ht="19" customHeight="1">
      <x:c r="A40" s="29" t="str">
        <x:v>Original</x:v>
      </x:c>
      <x:c r="B40" s="39" t="d">
        <x:v>2023-02-27T00:00:00.000Z</x:v>
      </x:c>
      <x:c r="C40" s="38" t="n">
        <x:v>-0.0583104627</x:v>
      </x:c>
      <x:c r="D40" s="38" t="n">
        <x:v>0.1919706562</x:v>
      </x:c>
      <x:c r="E40" s="38" t="n">
        <x:v>-0.0211715533</x:v>
      </x:c>
      <x:c r="F40" s="38" t="n">
        <x:v>-0.0158591796</x:v>
      </x:c>
      <x:c r="G40" s="38" t="n">
        <x:v>-0.0793878825</x:v>
      </x:c>
      <x:c r="H40" s="38" t="n">
        <x:v>-0.1004326718</x:v>
      </x:c>
      <x:c r="I40" s="38" t="n">
        <x:v>-0.0752397232</x:v>
      </x:c>
      <x:c r="J40" s="38" t="n">
        <x:v>0.1851235501</x:v>
      </x:c>
      <x:c r="K40" s="38" t="n">
        <x:v>-0.0819970335</x:v>
      </x:c>
      <x:c r="L40" s="38" t="n">
        <x:v>0.0671614159</x:v>
      </x:c>
      <x:c r="M40" s="38" t="n">
        <x:v>0.0064007732</x:v>
      </x:c>
      <x:c r="N40" s="38" t="n">
        <x:v>-0.0015890907</x:v>
      </x:c>
      <x:c r="O40" s="38" t="n">
        <x:v>0.0086188342</x:v>
      </x:c>
      <x:c r="P40" s="38" t="n">
        <x:v>-0.1001071954</x:v>
      </x:c>
      <x:c r="Q40" s="38" t="n">
        <x:v>-0.0151045133</x:v>
      </x:c>
      <x:c r="R40" s="38" t="n">
        <x:v>0.1133151227</x:v>
      </x:c>
      <x:c r="S40" s="38" t="n">
        <x:v>0.0424281898</x:v>
      </x:c>
      <x:c r="T40" s="38" t="n">
        <x:v>0.0312059947</x:v>
      </x:c>
      <x:c r="U40" s="38" t="n">
        <x:v>-0.1672725878</x:v>
      </x:c>
      <x:c r="V40" s="38" t="n">
        <x:v>0.0954586485</x:v>
      </x:c>
      <x:c r="W40" s="38" t="n">
        <x:v>-0.1310269881</x:v>
      </x:c>
      <x:c r="X40" s="38" t="n">
        <x:v>-0.0623578325</x:v>
      </x:c>
      <x:c r="Y40" s="38" t="n">
        <x:v>-0.0830169943</x:v>
      </x:c>
      <x:c r="Z40" s="38" t="n">
        <x:v>-0.095752759</x:v>
      </x:c>
      <x:c r="AA40" s="38" t="n">
        <x:v>0.0578945909</x:v>
      </x:c>
      <x:c r="AB40" s="38" t="n">
        <x:v>-0.0280056765</x:v>
      </x:c>
      <x:c r="AC40" s="38" t="n">
        <x:v>-0.1410736351</x:v>
      </x:c>
      <x:c r="AD40" s="38" t="n">
        <x:v>-0.0102812055</x:v>
      </x:c>
      <x:c r="AE40" s="38" t="n">
        <x:v>0.0436694144</x:v>
      </x:c>
      <x:c r="AF40" s="38" t="n">
        <x:v>-0.0583578078</x:v>
      </x:c>
      <x:c r="AG40" s="38" t="n">
        <x:v>0.0379558096</x:v>
      </x:c>
      <x:c r="AH40" s="38" t="n">
        <x:v>0.0111167139</x:v>
      </x:c>
      <x:c r="AI40" s="38" t="n">
        <x:v>-0.0478959449</x:v>
      </x:c>
      <x:c r="AJ40" s="38" t="n">
        <x:v>-0.0523376592</x:v>
      </x:c>
      <x:c r="AK40" s="38" t="n">
        <x:v>0.0012574745</x:v>
      </x:c>
      <x:c r="AL40" s="38" t="n">
        <x:v>0.005482531</x:v>
      </x:c>
      <x:c r="AM40" s="38" t="n">
        <x:v>-0.0082659385</x:v>
      </x:c>
      <x:c r="AN40" s="38" t="n">
        <x:v>-0.0986094643</x:v>
      </x:c>
      <x:c r="AO40" s="38" t="n">
        <x:v>-0.0701745562</x:v>
      </x:c>
      <x:c r="AP40" s="38" t="n">
        <x:v>-0.0922229563</x:v>
      </x:c>
      <x:c r="AQ40" s="38" t="n">
        <x:v>-0.0057426098</x:v>
      </x:c>
      <x:c r="AR40" s="38" t="n">
        <x:v>-0.052097674</x:v>
      </x:c>
      <x:c r="AS40" s="38" t="n">
        <x:v>0.0111432919</x:v>
      </x:c>
    </x:row>
    <x:row r="41" ht="19" customHeight="1">
      <x:c r="A41" s="29" t="str">
        <x:v>Original</x:v>
      </x:c>
      <x:c r="B41" s="39" t="d">
        <x:v>2023-03-27T00:00:00.000Z</x:v>
      </x:c>
      <x:c r="C41" s="38" t="n">
        <x:v>0.1087523028</x:v>
      </x:c>
      <x:c r="D41" s="38" t="n">
        <x:v>0.0223281405</x:v>
      </x:c>
      <x:c r="E41" s="38" t="n">
        <x:v>0.0187931575</x:v>
      </x:c>
      <x:c r="F41" s="38" t="n">
        <x:v>0.0223480891</x:v>
      </x:c>
      <x:c r="G41" s="38" t="n">
        <x:v>-0.0089381844</x:v>
      </x:c>
      <x:c r="H41" s="38" t="n">
        <x:v>0.1098812873</x:v>
      </x:c>
      <x:c r="I41" s="38" t="n">
        <x:v>0.0754462628</x:v>
      </x:c>
      <x:c r="J41" s="38" t="n">
        <x:v>-0.0294203407</x:v>
      </x:c>
      <x:c r="K41" s="38" t="n">
        <x:v>0.0312277968</x:v>
      </x:c>
      <x:c r="L41" s="38" t="n">
        <x:v>-0.0099596727</x:v>
      </x:c>
      <x:c r="M41" s="38" t="n">
        <x:v>-0.153852395</x:v>
      </x:c>
      <x:c r="N41" s="38" t="n">
        <x:v>-0.095466415</x:v>
      </x:c>
      <x:c r="O41" s="38" t="n">
        <x:v>-0.0381233155</x:v>
      </x:c>
      <x:c r="P41" s="38" t="n">
        <x:v>-0.0214886809</x:v>
      </x:c>
      <x:c r="Q41" s="38" t="n">
        <x:v>-0.0555428202</x:v>
      </x:c>
      <x:c r="R41" s="38" t="n">
        <x:v>0.0934014754</x:v>
      </x:c>
      <x:c r="S41" s="38" t="n">
        <x:v>0.0348524946</x:v>
      </x:c>
      <x:c r="T41" s="38" t="n">
        <x:v>0.0011561801</x:v>
      </x:c>
      <x:c r="U41" s="38" t="n">
        <x:v>0.062321518</x:v>
      </x:c>
      <x:c r="V41" s="38" t="n">
        <x:v>0.0155824073</x:v>
      </x:c>
      <x:c r="W41" s="38" t="n">
        <x:v>0.0817461688</x:v>
      </x:c>
      <x:c r="X41" s="38" t="n">
        <x:v>0.0161191991</x:v>
      </x:c>
      <x:c r="Y41" s="38" t="n">
        <x:v>0.0541564334</x:v>
      </x:c>
      <x:c r="Z41" s="38" t="n">
        <x:v>0.0905811104</x:v>
      </x:c>
      <x:c r="AA41" s="38" t="n">
        <x:v>-0.0156731066</x:v>
      </x:c>
      <x:c r="AB41" s="38" t="n">
        <x:v>-0.0730031815</x:v>
      </x:c>
      <x:c r="AC41" s="38" t="n">
        <x:v>-0.150711214</x:v>
      </x:c>
      <x:c r="AD41" s="38" t="n">
        <x:v>0.0476083759</x:v>
      </x:c>
      <x:c r="AE41" s="38" t="n">
        <x:v>-0.03329613</x:v>
      </x:c>
      <x:c r="AF41" s="38" t="n">
        <x:v>0.0448168153</x:v>
      </x:c>
      <x:c r="AG41" s="38" t="n">
        <x:v>-0.0111651082</x:v>
      </x:c>
      <x:c r="AH41" s="38" t="n">
        <x:v>-0.0480644906</x:v>
      </x:c>
      <x:c r="AI41" s="38" t="n">
        <x:v>0.164061809</x:v>
      </x:c>
      <x:c r="AJ41" s="38" t="n">
        <x:v>0.0672839894</x:v>
      </x:c>
      <x:c r="AK41" s="38" t="n">
        <x:v>-0.043870769</x:v>
      </x:c>
      <x:c r="AL41" s="38" t="n">
        <x:v>0.01647553</x:v>
      </x:c>
      <x:c r="AM41" s="38" t="n">
        <x:v>0.1082944253</x:v>
      </x:c>
      <x:c r="AN41" s="38" t="n">
        <x:v>0.0910401426</x:v>
      </x:c>
      <x:c r="AO41" s="38" t="n">
        <x:v>0.0396002399</x:v>
      </x:c>
      <x:c r="AP41" s="38" t="n">
        <x:v>-0.0035667415</x:v>
      </x:c>
      <x:c r="AQ41" s="38" t="n">
        <x:v>0.044788446</x:v>
      </x:c>
      <x:c r="AR41" s="38" t="n">
        <x:v>0.0056485515</x:v>
      </x:c>
      <x:c r="AS41" s="38" t="n">
        <x:v>-0.0105513522</x:v>
      </x:c>
    </x:row>
    <x:row r="42" ht="19" customHeight="1">
      <x:c r="A42" s="29" t="str">
        <x:v>Original</x:v>
      </x:c>
      <x:c r="B42" s="39" t="d">
        <x:v>2023-04-24T00:00:00.000Z</x:v>
      </x:c>
      <x:c r="C42" s="38" t="n">
        <x:v>-0.0052842367</x:v>
      </x:c>
      <x:c r="D42" s="38" t="n">
        <x:v>0.0501544623</x:v>
      </x:c>
      <x:c r="E42" s="38" t="n">
        <x:v>0.0140845652</x:v>
      </x:c>
      <x:c r="F42" s="38" t="n">
        <x:v>-0.0013425586</x:v>
      </x:c>
      <x:c r="G42" s="38" t="n">
        <x:v>0.0211294756</x:v>
      </x:c>
      <x:c r="H42" s="38" t="n">
        <x:v>0.1724285763</x:v>
      </x:c>
      <x:c r="I42" s="38" t="n">
        <x:v>0.0186932054</x:v>
      </x:c>
      <x:c r="J42" s="38" t="n">
        <x:v>0.0215841226</x:v>
      </x:c>
      <x:c r="K42" s="38" t="n">
        <x:v>-0.1064345268</x:v>
      </x:c>
      <x:c r="L42" s="38" t="n">
        <x:v>-0.1776828697</x:v>
      </x:c>
      <x:c r="M42" s="38" t="n">
        <x:v>-0.0114102575</x:v>
      </x:c>
      <x:c r="N42" s="38" t="n">
        <x:v>-0.0561337027</x:v>
      </x:c>
      <x:c r="O42" s="38" t="n">
        <x:v>-0.2027724989</x:v>
      </x:c>
      <x:c r="P42" s="38" t="n">
        <x:v>-0.0809691053</x:v>
      </x:c>
      <x:c r="Q42" s="38" t="n">
        <x:v>-0.3856358049</x:v>
      </x:c>
      <x:c r="R42" s="38" t="n">
        <x:v>-0.1956855225</x:v>
      </x:c>
      <x:c r="S42" s="38" t="n">
        <x:v>-0.0275325438</x:v>
      </x:c>
      <x:c r="T42" s="38" t="n">
        <x:v>-0.2442514494</x:v>
      </x:c>
      <x:c r="U42" s="38" t="n">
        <x:v>-0.1306950799</x:v>
      </x:c>
      <x:c r="V42" s="38" t="n">
        <x:v>-0.0586644529</x:v>
      </x:c>
      <x:c r="W42" s="38" t="n">
        <x:v>-0.0415968782</x:v>
      </x:c>
      <x:c r="X42" s="38" t="n">
        <x:v>0.0858054831</x:v>
      </x:c>
      <x:c r="Y42" s="38" t="n">
        <x:v>0.0600782132</x:v>
      </x:c>
      <x:c r="Z42" s="38" t="n">
        <x:v>-0.0303536517</x:v>
      </x:c>
      <x:c r="AA42" s="38" t="n">
        <x:v>-0.0424322779</x:v>
      </x:c>
      <x:c r="AB42" s="38" t="n">
        <x:v>0.0045274206</x:v>
      </x:c>
      <x:c r="AC42" s="38" t="n">
        <x:v>-0.1208512024</x:v>
      </x:c>
      <x:c r="AD42" s="38" t="n">
        <x:v>0.0511823332</x:v>
      </x:c>
      <x:c r="AE42" s="38" t="n">
        <x:v>-0.0419345557</x:v>
      </x:c>
      <x:c r="AF42" s="38" t="n">
        <x:v>-0.0962348236</x:v>
      </x:c>
      <x:c r="AG42" s="38" t="n">
        <x:v>-0.02434802</x:v>
      </x:c>
      <x:c r="AH42" s="38" t="n">
        <x:v>-0.023693623</x:v>
      </x:c>
      <x:c r="AI42" s="38" t="n">
        <x:v>-0.0833526726</x:v>
      </x:c>
      <x:c r="AJ42" s="38" t="n">
        <x:v>0.1283523997</x:v>
      </x:c>
      <x:c r="AK42" s="38" t="n">
        <x:v>0.0902109146</x:v>
      </x:c>
      <x:c r="AL42" s="38" t="n">
        <x:v>-0.1361348619</x:v>
      </x:c>
      <x:c r="AM42" s="38" t="n">
        <x:v>0.0575281862</x:v>
      </x:c>
      <x:c r="AN42" s="38" t="n">
        <x:v>0.0308989861</x:v>
      </x:c>
      <x:c r="AO42" s="38" t="n">
        <x:v>0.0114699919</x:v>
      </x:c>
      <x:c r="AP42" s="38" t="n">
        <x:v>0.0164375354</x:v>
      </x:c>
      <x:c r="AQ42" s="38" t="n">
        <x:v>0.0303535535</x:v>
      </x:c>
      <x:c r="AR42" s="38" t="n">
        <x:v>0.0493248678</x:v>
      </x:c>
      <x:c r="AS42" s="38" t="n">
        <x:v>0.0560827406</x:v>
      </x:c>
    </x:row>
    <x:row r="43" ht="19" customHeight="1">
      <x:c r="A43" s="29" t="str">
        <x:v>Original</x:v>
      </x:c>
      <x:c r="B43" s="39" t="d">
        <x:v>2023-05-22T00:00:00.000Z</x:v>
      </x:c>
      <x:c r="C43" s="38" t="n">
        <x:v>0.0223760295</x:v>
      </x:c>
      <x:c r="D43" s="38" t="n">
        <x:v>0.0117470627</x:v>
      </x:c>
      <x:c r="E43" s="38" t="n">
        <x:v>-0.0985028851</x:v>
      </x:c>
      <x:c r="F43" s="38" t="n">
        <x:v>-0.0874661677</x:v>
      </x:c>
      <x:c r="G43" s="38" t="n">
        <x:v>-0.1367059429</x:v>
      </x:c>
      <x:c r="H43" s="38" t="n">
        <x:v>0.0015050334</x:v>
      </x:c>
      <x:c r="I43" s="38" t="n">
        <x:v>0.1192418532</x:v>
      </x:c>
      <x:c r="J43" s="38" t="n">
        <x:v>0.0043366861</x:v>
      </x:c>
      <x:c r="K43" s="38" t="n">
        <x:v>0.0532852408</x:v>
      </x:c>
      <x:c r="L43" s="38" t="n">
        <x:v>0.001620375</x:v>
      </x:c>
      <x:c r="M43" s="38" t="n">
        <x:v>-0.113673868</x:v>
      </x:c>
      <x:c r="N43" s="38" t="n">
        <x:v>-0.198324002</x:v>
      </x:c>
      <x:c r="O43" s="38" t="n">
        <x:v>-0.0058764123</x:v>
      </x:c>
      <x:c r="P43" s="38" t="n">
        <x:v>0.130429764</x:v>
      </x:c>
      <x:c r="Q43" s="38" t="n">
        <x:v>0.228189401</x:v>
      </x:c>
      <x:c r="R43" s="38" t="n">
        <x:v>0.1211574848</x:v>
      </x:c>
      <x:c r="S43" s="38" t="n">
        <x:v>-0.0460086247</x:v>
      </x:c>
      <x:c r="T43" s="38" t="n">
        <x:v>0.2399614823</x:v>
      </x:c>
      <x:c r="U43" s="38" t="n">
        <x:v>-0.0470265916</x:v>
      </x:c>
      <x:c r="V43" s="38" t="n">
        <x:v>-0.0712126287</x:v>
      </x:c>
      <x:c r="W43" s="38" t="n">
        <x:v>0.1267239856</x:v>
      </x:c>
      <x:c r="X43" s="38" t="n">
        <x:v>-0.0428355492</x:v>
      </x:c>
      <x:c r="Y43" s="38" t="n">
        <x:v>0.1269872557</x:v>
      </x:c>
      <x:c r="Z43" s="38" t="n">
        <x:v>-0.1400492597</x:v>
      </x:c>
      <x:c r="AA43" s="38" t="n">
        <x:v>-0.0547247196</x:v>
      </x:c>
      <x:c r="AB43" s="38" t="n">
        <x:v>0.0359276661</x:v>
      </x:c>
      <x:c r="AC43" s="38" t="n">
        <x:v>0.5329273462</x:v>
      </x:c>
      <x:c r="AD43" s="38" t="n">
        <x:v>-0.0666881282</x:v>
      </x:c>
      <x:c r="AE43" s="38" t="n">
        <x:v>0.0160509448</x:v>
      </x:c>
      <x:c r="AF43" s="38" t="n">
        <x:v>0.0630296166</x:v>
      </x:c>
      <x:c r="AG43" s="38" t="n">
        <x:v>-0.0140619123</x:v>
      </x:c>
      <x:c r="AH43" s="38" t="n">
        <x:v>0.0039569056</x:v>
      </x:c>
      <x:c r="AI43" s="38" t="n">
        <x:v>0.3221143807</x:v>
      </x:c>
      <x:c r="AJ43" s="38" t="n">
        <x:v>0.0691459222</x:v>
      </x:c>
      <x:c r="AK43" s="38" t="n">
        <x:v>-0.0610791805</x:v>
      </x:c>
      <x:c r="AL43" s="38" t="n">
        <x:v>-0.0379412581</x:v>
      </x:c>
      <x:c r="AM43" s="38" t="n">
        <x:v>0.0753916827</x:v>
      </x:c>
      <x:c r="AN43" s="38" t="n">
        <x:v>0.1366615706</x:v>
      </x:c>
      <x:c r="AO43" s="38" t="n">
        <x:v>0.0092334913</x:v>
      </x:c>
      <x:c r="AP43" s="38" t="n">
        <x:v>-0.0238066404</x:v>
      </x:c>
      <x:c r="AQ43" s="38" t="n">
        <x:v>-0.0573034521</x:v>
      </x:c>
      <x:c r="AR43" s="38" t="n">
        <x:v>-0.0469887474</x:v>
      </x:c>
      <x:c r="AS43" s="38" t="n">
        <x:v>-0.0224381407</x:v>
      </x:c>
    </x:row>
    <x:row r="44" ht="19" customHeight="1">
      <x:c r="A44" s="29" t="str">
        <x:v>Original</x:v>
      </x:c>
      <x:c r="B44" s="39" t="d">
        <x:v>2023-06-19T00:00:00.000Z</x:v>
      </x:c>
      <x:c r="C44" s="38" t="n">
        <x:v>0.0319696127</x:v>
      </x:c>
      <x:c r="D44" s="38" t="n">
        <x:v>0.0893841428</x:v>
      </x:c>
      <x:c r="E44" s="38" t="n">
        <x:v>0.0139018257</x:v>
      </x:c>
      <x:c r="F44" s="38" t="n">
        <x:v>0.0031616787</x:v>
      </x:c>
      <x:c r="G44" s="38" t="n">
        <x:v>-0.0020014858</x:v>
      </x:c>
      <x:c r="H44" s="38" t="n">
        <x:v>-0.0123461876</x:v>
      </x:c>
      <x:c r="I44" s="38" t="n">
        <x:v>0.0687115817</x:v>
      </x:c>
      <x:c r="J44" s="38" t="n">
        <x:v>0.063262946</x:v>
      </x:c>
      <x:c r="K44" s="38" t="n">
        <x:v>-0.0196873716</x:v>
      </x:c>
      <x:c r="L44" s="38" t="n">
        <x:v>-0.0208004034</x:v>
      </x:c>
      <x:c r="M44" s="38" t="n">
        <x:v>0.107502062</x:v>
      </x:c>
      <x:c r="N44" s="38" t="n">
        <x:v>0.0465227417</x:v>
      </x:c>
      <x:c r="O44" s="38" t="n">
        <x:v>0.0407202001</x:v>
      </x:c>
      <x:c r="P44" s="38" t="n">
        <x:v>-0.0443228933</x:v>
      </x:c>
      <x:c r="Q44" s="38" t="n">
        <x:v>-0.0162902827</x:v>
      </x:c>
      <x:c r="R44" s="38" t="n">
        <x:v>0.0652666924</x:v>
      </x:c>
      <x:c r="S44" s="38" t="n">
        <x:v>0.0315429805</x:v>
      </x:c>
      <x:c r="T44" s="38" t="n">
        <x:v>0.0338686181</x:v>
      </x:c>
      <x:c r="U44" s="38" t="n">
        <x:v>-0.0587824804</x:v>
      </x:c>
      <x:c r="V44" s="38" t="n">
        <x:v>-0.0302233673</x:v>
      </x:c>
      <x:c r="W44" s="38" t="n">
        <x:v>0.1045744182</x:v>
      </x:c>
      <x:c r="X44" s="38" t="n">
        <x:v>0.0142448244</x:v>
      </x:c>
      <x:c r="Y44" s="38" t="n">
        <x:v>-0.1156040149</x:v>
      </x:c>
      <x:c r="Z44" s="38" t="n">
        <x:v>0.0295743508</x:v>
      </x:c>
      <x:c r="AA44" s="38" t="n">
        <x:v>0.0304420647</x:v>
      </x:c>
      <x:c r="AB44" s="38" t="n">
        <x:v>-0.0180402361</x:v>
      </x:c>
      <x:c r="AC44" s="38" t="n">
        <x:v>0.1779375037</x:v>
      </x:c>
      <x:c r="AD44" s="38" t="n">
        <x:v>0.0193492643</x:v>
      </x:c>
      <x:c r="AE44" s="38" t="n">
        <x:v>0.1375974811</x:v>
      </x:c>
      <x:c r="AF44" s="38" t="n">
        <x:v>0.0755739609</x:v>
      </x:c>
      <x:c r="AG44" s="38" t="n">
        <x:v>0.0080858154</x:v>
      </x:c>
      <x:c r="AH44" s="38" t="n">
        <x:v>0.0696472783</x:v>
      </x:c>
      <x:c r="AI44" s="38" t="n">
        <x:v>-0.1336450917</x:v>
      </x:c>
      <x:c r="AJ44" s="38" t="n">
        <x:v>0.0694510003</x:v>
      </x:c>
      <x:c r="AK44" s="38" t="n">
        <x:v>0.0339857744</x:v>
      </x:c>
      <x:c r="AL44" s="38" t="n">
        <x:v>-0.0092905001</x:v>
      </x:c>
      <x:c r="AM44" s="38" t="n">
        <x:v>0.0059252728</x:v>
      </x:c>
      <x:c r="AN44" s="38" t="n">
        <x:v>-0.017080278</x:v>
      </x:c>
      <x:c r="AO44" s="38" t="n">
        <x:v>0.0309440454</x:v>
      </x:c>
      <x:c r="AP44" s="38" t="n">
        <x:v>0.031643311</x:v>
      </x:c>
      <x:c r="AQ44" s="38" t="n">
        <x:v>0.0214291626</x:v>
      </x:c>
      <x:c r="AR44" s="38" t="n">
        <x:v>0.064686915</x:v>
      </x:c>
      <x:c r="AS44" s="38" t="n">
        <x:v>0.0415118732</x:v>
      </x:c>
    </x:row>
    <x:row r="45" ht="19" customHeight="1">
      <x:c r="A45" s="29" t="str">
        <x:v>Original</x:v>
      </x:c>
      <x:c r="B45" s="39" t="d">
        <x:v>2023-07-17T00:00:00.000Z</x:v>
      </x:c>
      <x:c r="C45" s="38" t="n">
        <x:v>0.1150583633</x:v>
      </x:c>
      <x:c r="D45" s="38" t="n">
        <x:v>0.1085982006</x:v>
      </x:c>
      <x:c r="E45" s="38" t="n">
        <x:v>0.0488214656</x:v>
      </x:c>
      <x:c r="F45" s="38" t="n">
        <x:v>0.0643024879</x:v>
      </x:c>
      <x:c r="G45" s="38" t="n">
        <x:v>-0.009891218</x:v>
      </x:c>
      <x:c r="H45" s="38" t="n">
        <x:v>0.0251078344</x:v>
      </x:c>
      <x:c r="I45" s="38" t="n">
        <x:v>0.0048686894</x:v>
      </x:c>
      <x:c r="J45" s="38" t="n">
        <x:v>0.0244434022</x:v>
      </x:c>
      <x:c r="K45" s="38" t="n">
        <x:v>-0.0111564249</x:v>
      </x:c>
      <x:c r="L45" s="38" t="n">
        <x:v>0.0941049488</x:v>
      </x:c>
      <x:c r="M45" s="38" t="n">
        <x:v>0.1069352034</x:v>
      </x:c>
      <x:c r="N45" s="38" t="n">
        <x:v>0.0927712548</x:v>
      </x:c>
      <x:c r="O45" s="38" t="n">
        <x:v>0.0155510457</x:v>
      </x:c>
      <x:c r="P45" s="38" t="n">
        <x:v>0.0108873784</x:v>
      </x:c>
      <x:c r="Q45" s="38" t="n">
        <x:v>0.0112576761</x:v>
      </x:c>
      <x:c r="R45" s="38" t="n">
        <x:v>0.2196732056</x:v>
      </x:c>
      <x:c r="S45" s="38" t="n">
        <x:v>0.0385655908</x:v>
      </x:c>
      <x:c r="T45" s="38" t="n">
        <x:v>0.0458233006</x:v>
      </x:c>
      <x:c r="U45" s="38" t="n">
        <x:v>0.0610342049</x:v>
      </x:c>
      <x:c r="V45" s="38" t="n">
        <x:v>-0.0447344453</x:v>
      </x:c>
      <x:c r="W45" s="38" t="n">
        <x:v>0.0077015214</x:v>
      </x:c>
      <x:c r="X45" s="38" t="n">
        <x:v>0.0702114629</x:v>
      </x:c>
      <x:c r="Y45" s="38" t="n">
        <x:v>0.0070969463</x:v>
      </x:c>
      <x:c r="Z45" s="38" t="n">
        <x:v>0.0362315893</x:v>
      </x:c>
      <x:c r="AA45" s="38" t="n">
        <x:v>-0.0607133112</x:v>
      </x:c>
      <x:c r="AB45" s="38" t="n">
        <x:v>0</x:v>
      </x:c>
      <x:c r="AC45" s="38" t="n">
        <x:v>0.5530346283</x:v>
      </x:c>
      <x:c r="AD45" s="38" t="n">
        <x:v>0.033869385</x:v>
      </x:c>
      <x:c r="AE45" s="38" t="n">
        <x:v>-0.0060679585</x:v>
      </x:c>
      <x:c r="AF45" s="38" t="n">
        <x:v>0.0412886165</x:v>
      </x:c>
      <x:c r="AG45" s="38" t="n">
        <x:v>0.0288649171</x:v>
      </x:c>
      <x:c r="AH45" s="38" t="n">
        <x:v>0.0614047364</x:v>
      </x:c>
      <x:c r="AI45" s="38" t="n">
        <x:v>0.0080168668</x:v>
      </x:c>
      <x:c r="AJ45" s="38" t="n">
        <x:v>0.006548604</x:v>
      </x:c>
      <x:c r="AK45" s="38" t="n">
        <x:v>0.0716871195</x:v>
      </x:c>
      <x:c r="AL45" s="38" t="n">
        <x:v>-0.0095176529</x:v>
      </x:c>
      <x:c r="AM45" s="38" t="n">
        <x:v>0.0242934678</x:v>
      </x:c>
      <x:c r="AN45" s="38" t="n">
        <x:v>-0.0180397694</x:v>
      </x:c>
      <x:c r="AO45" s="38" t="n">
        <x:v>0.0582085869</x:v>
      </x:c>
      <x:c r="AP45" s="38" t="n">
        <x:v>0.0596529712</x:v>
      </x:c>
      <x:c r="AQ45" s="38" t="n">
        <x:v>0.0188999559</x:v>
      </x:c>
      <x:c r="AR45" s="38" t="n">
        <x:v>0.0264440294</x:v>
      </x:c>
      <x:c r="AS45" s="38" t="n">
        <x:v>0.0290853544</x:v>
      </x:c>
    </x:row>
    <x:row r="46" ht="19" customHeight="1">
      <x:c r="A46" s="29" t="str">
        <x:v>Original</x:v>
      </x:c>
      <x:c r="B46" s="39" t="d">
        <x:v>2023-08-14T00:00:00.000Z</x:v>
      </x:c>
      <x:c r="C46" s="38" t="n">
        <x:v>0.0492525035</x:v>
      </x:c>
      <x:c r="D46" s="38" t="n">
        <x:v>-0.0417822425</x:v>
      </x:c>
      <x:c r="E46" s="38" t="n">
        <x:v>-0.0922336275</x:v>
      </x:c>
      <x:c r="F46" s="38" t="n">
        <x:v>-0.069977315</x:v>
      </x:c>
      <x:c r="G46" s="38" t="n">
        <x:v>-0.0134674834</x:v>
      </x:c>
      <x:c r="H46" s="38" t="n">
        <x:v>-0.1210249256</x:v>
      </x:c>
      <x:c r="I46" s="38" t="n">
        <x:v>0.0233814883</x:v>
      </x:c>
      <x:c r="J46" s="38" t="n">
        <x:v>0.0679949677</x:v>
      </x:c>
      <x:c r="K46" s="38" t="n">
        <x:v>0.0731175992</x:v>
      </x:c>
      <x:c r="L46" s="38" t="n">
        <x:v>0.0865309999</x:v>
      </x:c>
      <x:c r="M46" s="38" t="n">
        <x:v>0.0049175995</x:v>
      </x:c>
      <x:c r="N46" s="38" t="n">
        <x:v>-0.0424179925</x:v>
      </x:c>
      <x:c r="O46" s="38" t="n">
        <x:v>-0.0352722049</x:v>
      </x:c>
      <x:c r="P46" s="38" t="n">
        <x:v>0.03527016</x:v>
      </x:c>
      <x:c r="Q46" s="38" t="n">
        <x:v>0.0129742978</x:v>
      </x:c>
      <x:c r="R46" s="38" t="n">
        <x:v>-0.3812178285</x:v>
      </x:c>
      <x:c r="S46" s="38" t="n">
        <x:v>0.0704041061</x:v>
      </x:c>
      <x:c r="T46" s="38" t="n">
        <x:v>-0.1156826737</x:v>
      </x:c>
      <x:c r="U46" s="38" t="n">
        <x:v>-0.2087527565</x:v>
      </x:c>
      <x:c r="V46" s="38" t="n">
        <x:v>0.1013742428</x:v>
      </x:c>
      <x:c r="W46" s="38" t="n">
        <x:v>-0.0527771445</x:v>
      </x:c>
      <x:c r="X46" s="38" t="n">
        <x:v>0.0618969328</x:v>
      </x:c>
      <x:c r="Y46" s="38" t="n">
        <x:v>-0.0304664369</x:v>
      </x:c>
      <x:c r="Z46" s="38" t="n">
        <x:v>-0.1177667518</x:v>
      </x:c>
      <x:c r="AA46" s="38" t="n">
        <x:v>0.0706156664</x:v>
      </x:c>
      <x:c r="AB46" s="38" t="n">
        <x:v>0.013950834</x:v>
      </x:c>
      <x:c r="AC46" s="38" t="n">
        <x:v>-0.5003439773</x:v>
      </x:c>
      <x:c r="AD46" s="38" t="n">
        <x:v>-0.0024404009</x:v>
      </x:c>
      <x:c r="AE46" s="38" t="n">
        <x:v>-0.1353635392</x:v>
      </x:c>
      <x:c r="AF46" s="38" t="n">
        <x:v>-0.01450464</x:v>
      </x:c>
      <x:c r="AG46" s="38" t="n">
        <x:v>0.0647568326</x:v>
      </x:c>
      <x:c r="AH46" s="38" t="n">
        <x:v>-0.0514152003</x:v>
      </x:c>
      <x:c r="AI46" s="38" t="n">
        <x:v>-0.0485861316</x:v>
      </x:c>
      <x:c r="AJ46" s="38" t="n">
        <x:v>0.1623552937</x:v>
      </x:c>
      <x:c r="AK46" s="38" t="n">
        <x:v>-0.0060312299</x:v>
      </x:c>
      <x:c r="AL46" s="38" t="n">
        <x:v>-0.0237802241</x:v>
      </x:c>
      <x:c r="AM46" s="38" t="n">
        <x:v>-0.0770204501</x:v>
      </x:c>
      <x:c r="AN46" s="38" t="n">
        <x:v>0.0574747659</x:v>
      </x:c>
      <x:c r="AO46" s="38" t="n">
        <x:v>-0.0223921846</x:v>
      </x:c>
      <x:c r="AP46" s="38" t="n">
        <x:v>0.0203568993</x:v>
      </x:c>
      <x:c r="AQ46" s="38" t="n">
        <x:v>-0.0230800677</x:v>
      </x:c>
      <x:c r="AR46" s="38" t="n">
        <x:v>0.0128280667</x:v>
      </x:c>
      <x:c r="AS46" s="38" t="n">
        <x:v>0.0186114716</x:v>
      </x:c>
    </x:row>
    <x:row r="47" ht="19" customHeight="1">
      <x:c r="A47" s="29" t="str">
        <x:v>Original</x:v>
      </x:c>
      <x:c r="B47" s="39" t="d">
        <x:v>2023-09-11T00:00:00.000Z</x:v>
      </x:c>
      <x:c r="C47" s="38" t="n">
        <x:v>0.0942598953</x:v>
      </x:c>
      <x:c r="D47" s="38" t="n">
        <x:v>0.0787060055</x:v>
      </x:c>
      <x:c r="E47" s="38" t="n">
        <x:v>0.0124303381</x:v>
      </x:c>
      <x:c r="F47" s="38" t="n">
        <x:v>0.0281812804</x:v>
      </x:c>
      <x:c r="G47" s="38" t="n">
        <x:v>-0.0042938108</x:v>
      </x:c>
      <x:c r="H47" s="38" t="n">
        <x:v>0.0326209473</x:v>
      </x:c>
      <x:c r="I47" s="38" t="n">
        <x:v>0.0508069286</x:v>
      </x:c>
      <x:c r="J47" s="38" t="n">
        <x:v>0.0583175997</x:v>
      </x:c>
      <x:c r="K47" s="38" t="n">
        <x:v>-0.0090790571</x:v>
      </x:c>
      <x:c r="L47" s="38" t="n">
        <x:v>0.0706419067</x:v>
      </x:c>
      <x:c r="M47" s="38" t="n">
        <x:v>0.0366908026</x:v>
      </x:c>
      <x:c r="N47" s="38" t="n">
        <x:v>0.0395451106</x:v>
      </x:c>
      <x:c r="O47" s="38" t="n">
        <x:v>-0.0650715278</x:v>
      </x:c>
      <x:c r="P47" s="38" t="n">
        <x:v>0.089842423</x:v>
      </x:c>
      <x:c r="Q47" s="38" t="n">
        <x:v>0.122509055</x:v>
      </x:c>
      <x:c r="R47" s="38" t="n">
        <x:v>-0.2875449088</x:v>
      </x:c>
      <x:c r="S47" s="38" t="n">
        <x:v>0.0198381486</x:v>
      </x:c>
      <x:c r="T47" s="38" t="n">
        <x:v>0.0602052573</x:v>
      </x:c>
      <x:c r="U47" s="38" t="n">
        <x:v>0.116418545</x:v>
      </x:c>
      <x:c r="V47" s="38" t="n">
        <x:v>0.029150962</x:v>
      </x:c>
      <x:c r="W47" s="38" t="n">
        <x:v>-0.018357066</x:v>
      </x:c>
      <x:c r="X47" s="38" t="n">
        <x:v>-0.0089365822</x:v>
      </x:c>
      <x:c r="Y47" s="38" t="n">
        <x:v>0.0914166148</x:v>
      </x:c>
      <x:c r="Z47" s="38" t="n">
        <x:v>0.0626210874</x:v>
      </x:c>
      <x:c r="AA47" s="38" t="n">
        <x:v>0.034197248</x:v>
      </x:c>
      <x:c r="AB47" s="38" t="n">
        <x:v>-0.0094096014</x:v>
      </x:c>
      <x:c r="AC47" s="38" t="n">
        <x:v>-0.076972317</x:v>
      </x:c>
      <x:c r="AD47" s="38" t="n">
        <x:v>0.0058910193</x:v>
      </x:c>
      <x:c r="AE47" s="38" t="n">
        <x:v>0.0512916356</x:v>
      </x:c>
      <x:c r="AF47" s="38" t="n">
        <x:v>0.0108158397</x:v>
      </x:c>
      <x:c r="AG47" s="38" t="n">
        <x:v>-0.0827103554</x:v>
      </x:c>
      <x:c r="AH47" s="38" t="n">
        <x:v>-0.0295584818</x:v>
      </x:c>
      <x:c r="AI47" s="38" t="n">
        <x:v>-0.0370971113</x:v>
      </x:c>
      <x:c r="AJ47" s="38" t="n">
        <x:v>0.050505083</x:v>
      </x:c>
      <x:c r="AK47" s="38" t="n">
        <x:v>0.0371163216</x:v>
      </x:c>
      <x:c r="AL47" s="38" t="n">
        <x:v>0.030054625</x:v>
      </x:c>
      <x:c r="AM47" s="38" t="n">
        <x:v>0.0411891841</x:v>
      </x:c>
      <x:c r="AN47" s="38" t="n">
        <x:v>0.0727797891</x:v>
      </x:c>
      <x:c r="AO47" s="38" t="n">
        <x:v>0.0219301287</x:v>
      </x:c>
      <x:c r="AP47" s="38" t="n">
        <x:v>-0.0116682049</x:v>
      </x:c>
      <x:c r="AQ47" s="38" t="n">
        <x:v>-0.0414261842</x:v>
      </x:c>
      <x:c r="AR47" s="38" t="n">
        <x:v>-0.0570945169</x:v>
      </x:c>
      <x:c r="AS47" s="38" t="n">
        <x:v>0.0411724834</x:v>
      </x:c>
    </x:row>
    <x:row r="48" ht="19" customHeight="1">
      <x:c r="A48" s="29" t="str">
        <x:v>Original</x:v>
      </x:c>
      <x:c r="B48" s="39" t="d">
        <x:v>2023-10-09T00:00:00.000Z</x:v>
      </x:c>
      <x:c r="C48" s="38" t="n">
        <x:v>-0.0326184849</x:v>
      </x:c>
      <x:c r="D48" s="38" t="n">
        <x:v>0.1311636607</x:v>
      </x:c>
      <x:c r="E48" s="38" t="n">
        <x:v>-0.0708998808</x:v>
      </x:c>
      <x:c r="F48" s="38" t="n">
        <x:v>-0.0496828386</x:v>
      </x:c>
      <x:c r="G48" s="38" t="n">
        <x:v>-0.0142299478</x:v>
      </x:c>
      <x:c r="H48" s="38" t="n">
        <x:v>-0.0697565011</x:v>
      </x:c>
      <x:c r="I48" s="38" t="n">
        <x:v>-0.0771676747</x:v>
      </x:c>
      <x:c r="J48" s="38" t="n">
        <x:v>-0.1639957788</x:v>
      </x:c>
      <x:c r="K48" s="38" t="n">
        <x:v>0.0801309893</x:v>
      </x:c>
      <x:c r="L48" s="38" t="n">
        <x:v>-0.1286773126</x:v>
      </x:c>
      <x:c r="M48" s="38" t="n">
        <x:v>0.0289036437</x:v>
      </x:c>
      <x:c r="N48" s="38" t="n">
        <x:v>-0.0488376009</x:v>
      </x:c>
      <x:c r="O48" s="38" t="n">
        <x:v>-0.0275846409</x:v>
      </x:c>
      <x:c r="P48" s="38" t="n">
        <x:v>0.0462387485</x:v>
      </x:c>
      <x:c r="Q48" s="38" t="n">
        <x:v>-0.0911316221</x:v>
      </x:c>
      <x:c r="R48" s="38" t="n">
        <x:v>-0.057420648</x:v>
      </x:c>
      <x:c r="S48" s="38" t="n">
        <x:v>0.0579510634</x:v>
      </x:c>
      <x:c r="T48" s="38" t="n">
        <x:v>-0.0253841025</x:v>
      </x:c>
      <x:c r="U48" s="38" t="n">
        <x:v>-0.1507213991</x:v>
      </x:c>
      <x:c r="V48" s="38" t="n">
        <x:v>0.0429949253</x:v>
      </x:c>
      <x:c r="W48" s="38" t="n">
        <x:v>-0.1078818936</x:v>
      </x:c>
      <x:c r="X48" s="38" t="n">
        <x:v>-0.0273140221</x:v>
      </x:c>
      <x:c r="Y48" s="38" t="n">
        <x:v>-0.0078312335</x:v>
      </x:c>
      <x:c r="Z48" s="38" t="n">
        <x:v>-0.0221838679</x:v>
      </x:c>
      <x:c r="AA48" s="38" t="n">
        <x:v>0.1093214261</x:v>
      </x:c>
      <x:c r="AB48" s="38" t="n">
        <x:v>-0.00480661</x:v>
      </x:c>
      <x:c r="AC48" s="38" t="n">
        <x:v>-0.0869756367</x:v>
      </x:c>
      <x:c r="AD48" s="38" t="n">
        <x:v>-0.057906758</x:v>
      </x:c>
      <x:c r="AE48" s="38" t="n">
        <x:v>-0.064425687</x:v>
      </x:c>
      <x:c r="AF48" s="38" t="n">
        <x:v>-0.0345750715</x:v>
      </x:c>
      <x:c r="AG48" s="38" t="n">
        <x:v>-0.1161817684</x:v>
      </x:c>
      <x:c r="AH48" s="38" t="n">
        <x:v>0.0593803543</x:v>
      </x:c>
      <x:c r="AI48" s="38" t="n">
        <x:v>0.0342623804</x:v>
      </x:c>
      <x:c r="AJ48" s="38" t="n">
        <x:v>0.0556638512</x:v>
      </x:c>
      <x:c r="AK48" s="38" t="n">
        <x:v>0.0090455279</x:v>
      </x:c>
      <x:c r="AL48" s="38" t="n">
        <x:v>-0.1110958338</x:v>
      </x:c>
      <x:c r="AM48" s="38" t="n">
        <x:v>-0.0074396328</x:v>
      </x:c>
      <x:c r="AN48" s="38" t="n">
        <x:v>-0.0002862273</x:v>
      </x:c>
      <x:c r="AO48" s="38" t="n">
        <x:v>0.0183433833</x:v>
      </x:c>
      <x:c r="AP48" s="38" t="n">
        <x:v>-0.0945659267</x:v>
      </x:c>
      <x:c r="AQ48" s="38" t="n">
        <x:v>-0.0896385268</x:v>
      </x:c>
      <x:c r="AR48" s="38" t="n">
        <x:v>-0.0284123986</x:v>
      </x:c>
      <x:c r="AS48" s="38" t="n">
        <x:v>-0.0628074259</x:v>
      </x:c>
    </x:row>
    <x:row r="49" ht="19" customHeight="1">
      <x:c r="A49" s="29" t="str">
        <x:v>Original</x:v>
      </x:c>
      <x:c r="B49" s="39" t="d">
        <x:v>2023-11-06T00:00:00.000Z</x:v>
      </x:c>
      <x:c r="C49" s="38" t="n">
        <x:v>0.0856909679</x:v>
      </x:c>
      <x:c r="D49" s="38" t="n">
        <x:v>-0.1485509601</x:v>
      </x:c>
      <x:c r="E49" s="38" t="n">
        <x:v>0.0536164057</x:v>
      </x:c>
      <x:c r="F49" s="38" t="n">
        <x:v>0.0320864805</x:v>
      </x:c>
      <x:c r="G49" s="38" t="n">
        <x:v>0.0452847104</x:v>
      </x:c>
      <x:c r="H49" s="38" t="n">
        <x:v>0.1737053401</x:v>
      </x:c>
      <x:c r="I49" s="38" t="n">
        <x:v>0.1005229834</x:v>
      </x:c>
      <x:c r="J49" s="38" t="n">
        <x:v>0.1663243193</x:v>
      </x:c>
      <x:c r="K49" s="38" t="n">
        <x:v>0.0564955117</x:v>
      </x:c>
      <x:c r="L49" s="38" t="n">
        <x:v>-0.0270965872</x:v>
      </x:c>
      <x:c r="M49" s="38" t="n">
        <x:v>-0.0610191961</x:v>
      </x:c>
      <x:c r="N49" s="38" t="n">
        <x:v>-0.1201655278</x:v>
      </x:c>
      <x:c r="O49" s="38" t="n">
        <x:v>0.101418101</x:v>
      </x:c>
      <x:c r="P49" s="38" t="n">
        <x:v>-0.015387983</x:v>
      </x:c>
      <x:c r="Q49" s="38" t="n">
        <x:v>-0.0356829988</x:v>
      </x:c>
      <x:c r="R49" s="38" t="n">
        <x:v>0.0936708238</x:v>
      </x:c>
      <x:c r="S49" s="38" t="n">
        <x:v>-0.0103690052</x:v>
      </x:c>
      <x:c r="T49" s="38" t="n">
        <x:v>0.0308146613</x:v>
      </x:c>
      <x:c r="U49" s="38" t="n">
        <x:v>-0.3377651946</x:v>
      </x:c>
      <x:c r="V49" s="38" t="n">
        <x:v>0.0115479268</x:v>
      </x:c>
      <x:c r="W49" s="38" t="n">
        <x:v>0.2283542972</x:v>
      </x:c>
      <x:c r="X49" s="38" t="n">
        <x:v>-0.044200441</x:v>
      </x:c>
      <x:c r="Y49" s="38" t="n">
        <x:v>0.0848675662</x:v>
      </x:c>
      <x:c r="Z49" s="38" t="n">
        <x:v>-0.1418602926</x:v>
      </x:c>
      <x:c r="AA49" s="38" t="n">
        <x:v>0.0343989553</x:v>
      </x:c>
      <x:c r="AB49" s="38" t="n">
        <x:v>-0.1303292213</x:v>
      </x:c>
      <x:c r="AC49" s="38" t="n">
        <x:v>-0.2615147224</x:v>
      </x:c>
      <x:c r="AD49" s="38" t="n">
        <x:v>0.0515296508</x:v>
      </x:c>
      <x:c r="AE49" s="38" t="n">
        <x:v>-0.1644773465</x:v>
      </x:c>
      <x:c r="AF49" s="38" t="n">
        <x:v>-0.0319626099</x:v>
      </x:c>
      <x:c r="AG49" s="38" t="n">
        <x:v>0.0613655449</x:v>
      </x:c>
      <x:c r="AH49" s="38" t="n">
        <x:v>0.0223607943</x:v>
      </x:c>
      <x:c r="AI49" s="38" t="n">
        <x:v>0.1204806711</x:v>
      </x:c>
      <x:c r="AJ49" s="38" t="n">
        <x:v>-0.0189819033</x:v>
      </x:c>
      <x:c r="AK49" s="38" t="n">
        <x:v>0.0096704075</x:v>
      </x:c>
      <x:c r="AL49" s="38" t="n">
        <x:v>0.0043858467</x:v>
      </x:c>
      <x:c r="AM49" s="38" t="n">
        <x:v>0.1200472748</x:v>
      </x:c>
      <x:c r="AN49" s="38" t="n">
        <x:v>-0.0352341776</x:v>
      </x:c>
      <x:c r="AO49" s="38" t="n">
        <x:v>0.0197451655</x:v>
      </x:c>
      <x:c r="AP49" s="38" t="n">
        <x:v>-0.0011274576</x:v>
      </x:c>
      <x:c r="AQ49" s="38" t="n">
        <x:v>0.0696961974</x:v>
      </x:c>
      <x:c r="AR49" s="38" t="n">
        <x:v>-0.0629624557</x:v>
      </x:c>
      <x:c r="AS49" s="38" t="n">
        <x:v>0.0156779105</x:v>
      </x:c>
    </x:row>
    <x:row r="50" ht="19" customHeight="1">
      <x:c r="A50" s="29" t="str">
        <x:v>Original</x:v>
      </x:c>
      <x:c r="B50" s="39" t="d">
        <x:v>2023-12-04T00:00:00.000Z</x:v>
      </x:c>
      <x:c r="C50" s="38" t="n">
        <x:v>0.070224845</x:v>
      </x:c>
      <x:c r="D50" s="38" t="n">
        <x:v>0.1286118648</x:v>
      </x:c>
      <x:c r="E50" s="38" t="n">
        <x:v>0.024933994</x:v>
      </x:c>
      <x:c r="F50" s="38" t="n">
        <x:v>0.0668856684</x:v>
      </x:c>
      <x:c r="G50" s="38" t="n">
        <x:v>0.0541074118</x:v>
      </x:c>
      <x:c r="H50" s="38" t="n">
        <x:v>0.0567227253</x:v>
      </x:c>
      <x:c r="I50" s="38" t="n">
        <x:v>0.0268259675</x:v>
      </x:c>
      <x:c r="J50" s="38" t="n">
        <x:v>0.034792373</x:v>
      </x:c>
      <x:c r="K50" s="38" t="n">
        <x:v>0.1080738546</x:v>
      </x:c>
      <x:c r="L50" s="38" t="n">
        <x:v>0.0087493159</x:v>
      </x:c>
      <x:c r="M50" s="38" t="n">
        <x:v>-0.0334029035</x:v>
      </x:c>
      <x:c r="N50" s="38" t="n">
        <x:v>0.0162940898</x:v>
      </x:c>
      <x:c r="O50" s="38" t="n">
        <x:v>-0.0169317414</x:v>
      </x:c>
      <x:c r="P50" s="38" t="n">
        <x:v>0.0622990134</x:v>
      </x:c>
      <x:c r="Q50" s="38" t="n">
        <x:v>0.178290631</x:v>
      </x:c>
      <x:c r="R50" s="38" t="n">
        <x:v>0.2110629806</x:v>
      </x:c>
      <x:c r="S50" s="38" t="n">
        <x:v>-0.0206907894</x:v>
      </x:c>
      <x:c r="T50" s="38" t="n">
        <x:v>0.2084113561</x:v>
      </x:c>
      <x:c r="U50" s="38" t="n">
        <x:v>0.1383220499</x:v>
      </x:c>
      <x:c r="V50" s="38" t="n">
        <x:v>0.0821189608</x:v>
      </x:c>
      <x:c r="W50" s="38" t="n">
        <x:v>0.0146331005</x:v>
      </x:c>
      <x:c r="X50" s="38" t="n">
        <x:v>0.0045732543</x:v>
      </x:c>
      <x:c r="Y50" s="38" t="n">
        <x:v>-0.005380956</x:v>
      </x:c>
      <x:c r="Z50" s="38" t="n">
        <x:v>0.1448778465</x:v>
      </x:c>
      <x:c r="AA50" s="38" t="n">
        <x:v>0.0049049774</x:v>
      </x:c>
      <x:c r="AB50" s="38" t="n">
        <x:v>0.0112340478</x:v>
      </x:c>
      <x:c r="AC50" s="38" t="n">
        <x:v>0.5767480157</x:v>
      </x:c>
      <x:c r="AD50" s="38" t="n">
        <x:v>-0.0426906692</x:v>
      </x:c>
      <x:c r="AE50" s="38" t="n">
        <x:v>0.1115375963</x:v>
      </x:c>
      <x:c r="AF50" s="38" t="n">
        <x:v>0.0163381312</x:v>
      </x:c>
      <x:c r="AG50" s="38" t="n">
        <x:v>0.2210246543</x:v>
      </x:c>
      <x:c r="AH50" s="38" t="n">
        <x:v>0.0774630249</x:v>
      </x:c>
      <x:c r="AI50" s="38" t="n">
        <x:v>0.0844433954</x:v>
      </x:c>
      <x:c r="AJ50" s="38" t="n">
        <x:v>0.0024410136</x:v>
      </x:c>
      <x:c r="AK50" s="38" t="n">
        <x:v>0.0274552923</x:v>
      </x:c>
      <x:c r="AL50" s="38" t="n">
        <x:v>-0.0940488047</x:v>
      </x:c>
      <x:c r="AM50" s="38" t="n">
        <x:v>0.0144455233</x:v>
      </x:c>
      <x:c r="AN50" s="38" t="n">
        <x:v>0.0181374178</x:v>
      </x:c>
      <x:c r="AO50" s="38" t="n">
        <x:v>0.057313608</x:v>
      </x:c>
      <x:c r="AP50" s="38" t="n">
        <x:v>0.1210049706</x:v>
      </x:c>
      <x:c r="AQ50" s="38" t="n">
        <x:v>0.0411596164</x:v>
      </x:c>
      <x:c r="AR50" s="38" t="n">
        <x:v>0.0561343948</x:v>
      </x:c>
      <x:c r="AS50" s="38" t="n">
        <x:v>0.0072419525</x:v>
      </x:c>
    </x:row>
    <x:row r="51" ht="19" customHeight="1">
      <x:c r="A51" s="29" t="str">
        <x:v>Original</x:v>
      </x:c>
      <x:c r="B51" s="39" t="d">
        <x:v>2024-01-01T00:00:00.000Z</x:v>
      </x:c>
      <x:c r="C51" s="38" t="n">
        <x:v>0.0500542537</x:v>
      </x:c>
      <x:c r="D51" s="38" t="n">
        <x:v>-0.0204475422</x:v>
      </x:c>
      <x:c r="E51" s="38" t="n">
        <x:v>0.0555089208</x:v>
      </x:c>
      <x:c r="F51" s="38" t="n">
        <x:v>0.0192192332</x:v>
      </x:c>
      <x:c r="G51" s="38" t="n">
        <x:v>-0.0214334245</x:v>
      </x:c>
      <x:c r="H51" s="38" t="n">
        <x:v>-0.0138772159</x:v>
      </x:c>
      <x:c r="I51" s="38" t="n">
        <x:v>-0.0152766615</x:v>
      </x:c>
      <x:c r="J51" s="38" t="n">
        <x:v>0.0098888076</x:v>
      </x:c>
      <x:c r="K51" s="38" t="n">
        <x:v>0.0046393071</x:v>
      </x:c>
      <x:c r="L51" s="38" t="n">
        <x:v>0.051008153</x:v>
      </x:c>
      <x:c r="M51" s="38" t="n">
        <x:v>0.0595779647</x:v>
      </x:c>
      <x:c r="N51" s="38" t="n">
        <x:v>0.0421351303</x:v>
      </x:c>
      <x:c r="O51" s="38" t="n">
        <x:v>0.1007821487</x:v>
      </x:c>
      <x:c r="P51" s="38" t="n">
        <x:v>0.045879326</x:v>
      </x:c>
      <x:c r="Q51" s="38" t="n">
        <x:v>0.1908514226</x:v>
      </x:c>
      <x:c r="R51" s="38" t="n">
        <x:v>0.1327055378</x:v>
      </x:c>
      <x:c r="S51" s="38" t="n">
        <x:v>-0.0366974994</x:v>
      </x:c>
      <x:c r="T51" s="38" t="n">
        <x:v>-0.0165349462</x:v>
      </x:c>
      <x:c r="U51" s="38" t="n">
        <x:v>0.3328408895</x:v>
      </x:c>
      <x:c r="V51" s="38" t="n">
        <x:v>0.0334159889</x:v>
      </x:c>
      <x:c r="W51" s="38" t="n">
        <x:v>0.0448776528</x:v>
      </x:c>
      <x:c r="X51" s="38" t="n">
        <x:v>0.0294475337</x:v>
      </x:c>
      <x:c r="Y51" s="38" t="n">
        <x:v>0.1113915724</x:v>
      </x:c>
      <x:c r="Z51" s="38" t="n">
        <x:v>0.0325391108</x:v>
      </x:c>
      <x:c r="AA51" s="38" t="n">
        <x:v>0.0097517463</x:v>
      </x:c>
      <x:c r="AB51" s="38" t="n">
        <x:v>-0.1074087647</x:v>
      </x:c>
      <x:c r="AC51" s="38" t="n">
        <x:v>-0.1076676749</x:v>
      </x:c>
      <x:c r="AD51" s="38" t="n">
        <x:v>0.015912244</x:v>
      </x:c>
      <x:c r="AE51" s="38" t="n">
        <x:v>0.0753922783</x:v>
      </x:c>
      <x:c r="AF51" s="38" t="n">
        <x:v>0.0663978833</x:v>
      </x:c>
      <x:c r="AG51" s="38" t="n">
        <x:v>0.0178626292</x:v>
      </x:c>
      <x:c r="AH51" s="38" t="n">
        <x:v>0.0230392192</x:v>
      </x:c>
      <x:c r="AI51" s="38" t="n">
        <x:v>0.0740919731</x:v>
      </x:c>
      <x:c r="AJ51" s="38" t="n">
        <x:v>0.0345602786</x:v>
      </x:c>
      <x:c r="AK51" s="38" t="n">
        <x:v>0.0093091659</x:v>
      </x:c>
      <x:c r="AL51" s="38" t="n">
        <x:v>0.0805873158</x:v>
      </x:c>
      <x:c r="AM51" s="38" t="n">
        <x:v>-0.0179110895</x:v>
      </x:c>
      <x:c r="AN51" s="38" t="n">
        <x:v>0.0056056714</x:v>
      </x:c>
      <x:c r="AO51" s="38" t="n">
        <x:v>0.0963116802</x:v>
      </x:c>
      <x:c r="AP51" s="38" t="n">
        <x:v>0.0504684391</x:v>
      </x:c>
      <x:c r="AQ51" s="38" t="n">
        <x:v>0.0183794135</x:v>
      </x:c>
      <x:c r="AR51" s="38" t="n">
        <x:v>0.0436164418</x:v>
      </x:c>
      <x:c r="AS51" s="38" t="n">
        <x:v>0.0357026766</x:v>
      </x:c>
    </x:row>
    <x:row r="52" ht="19" customHeight="1">
      <x:c r="A52" s="29" t="str">
        <x:v>Original</x:v>
      </x:c>
      <x:c r="B52" s="39" t="d">
        <x:v>2024-01-29T00:00:00.000Z</x:v>
      </x:c>
      <x:c r="C52" s="38" t="n">
        <x:v>0.1493598033</x:v>
      </x:c>
      <x:c r="D52" s="38" t="n">
        <x:v>0.0815490459</x:v>
      </x:c>
      <x:c r="E52" s="38" t="n">
        <x:v>-0.0695704987</x:v>
      </x:c>
      <x:c r="F52" s="38" t="n">
        <x:v>-0.0340705619</x:v>
      </x:c>
      <x:c r="G52" s="38" t="n">
        <x:v>0.0689401822</x:v>
      </x:c>
      <x:c r="H52" s="38" t="n">
        <x:v>0.1195123765</x:v>
      </x:c>
      <x:c r="I52" s="38" t="n">
        <x:v>0.1747170598</x:v>
      </x:c>
      <x:c r="J52" s="38" t="n">
        <x:v>0.1727592495</x:v>
      </x:c>
      <x:c r="K52" s="38" t="n">
        <x:v>0.0897981558</x:v>
      </x:c>
      <x:c r="L52" s="38" t="n">
        <x:v>0.076878274</x:v>
      </x:c>
      <x:c r="M52" s="38" t="n">
        <x:v>-0.0609674662</x:v>
      </x:c>
      <x:c r="N52" s="38" t="n">
        <x:v>-0.100805943</x:v>
      </x:c>
      <x:c r="O52" s="38" t="n">
        <x:v>-0.0102151968</x:v>
      </x:c>
      <x:c r="P52" s="38" t="n">
        <x:v>0.1561784271</x:v>
      </x:c>
      <x:c r="Q52" s="38" t="n">
        <x:v>0.0776026997</x:v>
      </x:c>
      <x:c r="R52" s="38" t="n">
        <x:v>0.0117049793</x:v>
      </x:c>
      <x:c r="S52" s="38" t="n">
        <x:v>0.0377336791</x:v>
      </x:c>
      <x:c r="T52" s="38" t="n">
        <x:v>0.0834100349</x:v>
      </x:c>
      <x:c r="U52" s="38" t="n">
        <x:v>-0.1359850821</x:v>
      </x:c>
      <x:c r="V52" s="38" t="n">
        <x:v>0.053047538</x:v>
      </x:c>
      <x:c r="W52" s="38" t="n">
        <x:v>0.1818438844</x:v>
      </x:c>
      <x:c r="X52" s="38" t="n">
        <x:v>0.0483905239</x:v>
      </x:c>
      <x:c r="Y52" s="38" t="n">
        <x:v>0.0370914546</x:v>
      </x:c>
      <x:c r="Z52" s="38" t="n">
        <x:v>-0.1653516673</x:v>
      </x:c>
      <x:c r="AA52" s="38" t="n">
        <x:v>0.1142191277</x:v>
      </x:c>
      <x:c r="AB52" s="38" t="n">
        <x:v>-0.0063997834</x:v>
      </x:c>
      <x:c r="AC52" s="38" t="n">
        <x:v>-0.0170336255</x:v>
      </x:c>
      <x:c r="AD52" s="38" t="n">
        <x:v>0.0792193342</x:v>
      </x:c>
      <x:c r="AE52" s="38" t="n">
        <x:v>0.0251446143</x:v>
      </x:c>
      <x:c r="AF52" s="38" t="n">
        <x:v>-0.1124698408</x:v>
      </x:c>
      <x:c r="AG52" s="38" t="n">
        <x:v>-0.1802294067</x:v>
      </x:c>
      <x:c r="AH52" s="38" t="n">
        <x:v>0.0638957211</x:v>
      </x:c>
      <x:c r="AI52" s="38" t="n">
        <x:v>0.2583539626</x:v>
      </x:c>
      <x:c r="AJ52" s="38" t="n">
        <x:v>0.0794396391</x:v>
      </x:c>
      <x:c r="AK52" s="38" t="n">
        <x:v>-0.0069547531</x:v>
      </x:c>
      <x:c r="AL52" s="38" t="n">
        <x:v>0.0414827863</x:v>
      </x:c>
      <x:c r="AM52" s="38" t="n">
        <x:v>0.1161909925</x:v>
      </x:c>
      <x:c r="AN52" s="38" t="n">
        <x:v>0.0497440726</x:v>
      </x:c>
      <x:c r="AO52" s="38" t="n">
        <x:v>0.083015994</x:v>
      </x:c>
      <x:c r="AP52" s="38" t="n">
        <x:v>0.0424559912</x:v>
      </x:c>
      <x:c r="AQ52" s="38" t="n">
        <x:v>0.0150535744</x:v>
      </x:c>
      <x:c r="AR52" s="38" t="n">
        <x:v>-0.0295901973</x:v>
      </x:c>
      <x:c r="AS52" s="38" t="n">
        <x:v>0.0692158813</x:v>
      </x:c>
    </x:row>
    <x:row r="53" ht="19" customHeight="1">
      <x:c r="A53" s="29" t="str">
        <x:v>Original</x:v>
      </x:c>
      <x:c r="B53" s="39" t="d">
        <x:v>2024-02-26T00:00:00.000Z</x:v>
      </x:c>
      <x:c r="C53" s="38" t="n">
        <x:v>0.2126232411</x:v>
      </x:c>
      <x:c r="D53" s="38" t="n">
        <x:v>0.1609037476</x:v>
      </x:c>
      <x:c r="E53" s="38" t="n">
        <x:v>0.0941091895</x:v>
      </x:c>
      <x:c r="F53" s="38" t="n">
        <x:v>0.010878826</x:v>
      </x:c>
      <x:c r="G53" s="38" t="n">
        <x:v>0.1497751613</x:v>
      </x:c>
      <x:c r="H53" s="38" t="n">
        <x:v>0.0842842725</x:v>
      </x:c>
      <x:c r="I53" s="38" t="n">
        <x:v>0.038634607</x:v>
      </x:c>
      <x:c r="J53" s="38" t="n">
        <x:v>0.323898729</x:v>
      </x:c>
      <x:c r="K53" s="38" t="n">
        <x:v>0.1102116844</x:v>
      </x:c>
      <x:c r="L53" s="38" t="n">
        <x:v>0.0407493017</x:v>
      </x:c>
      <x:c r="M53" s="38" t="n">
        <x:v>0.0862345196</x:v>
      </x:c>
      <x:c r="N53" s="38" t="n">
        <x:v>0.0255447762</x:v>
      </x:c>
      <x:c r="O53" s="38" t="n">
        <x:v>-0.0907818911</x:v>
      </x:c>
      <x:c r="P53" s="38" t="n">
        <x:v>0.105855349</x:v>
      </x:c>
      <x:c r="Q53" s="38" t="n">
        <x:v>0.091730234</x:v>
      </x:c>
      <x:c r="R53" s="38" t="n">
        <x:v>0.0757164763</x:v>
      </x:c>
      <x:c r="S53" s="38" t="n">
        <x:v>0.0627438087</x:v>
      </x:c>
      <x:c r="T53" s="38" t="n">
        <x:v>0.2001419728</x:v>
      </x:c>
      <x:c r="U53" s="38" t="n">
        <x:v>-0.0267314408</x:v>
      </x:c>
      <x:c r="V53" s="38" t="n">
        <x:v>0.2121625224</x:v>
      </x:c>
      <x:c r="W53" s="38" t="n">
        <x:v>0.0975274728</x:v>
      </x:c>
      <x:c r="X53" s="38" t="n">
        <x:v>-0.0549757039</x:v>
      </x:c>
      <x:c r="Y53" s="38" t="n">
        <x:v>0.1007710592</x:v>
      </x:c>
      <x:c r="Z53" s="38" t="n">
        <x:v>-0.078565411</x:v>
      </x:c>
      <x:c r="AA53" s="38" t="n">
        <x:v>0.0408758442</x:v>
      </x:c>
      <x:c r="AB53" s="38" t="n">
        <x:v>0.0320614389</x:v>
      </x:c>
      <x:c r="AC53" s="38" t="n">
        <x:v>-0.2289268521</x:v>
      </x:c>
      <x:c r="AD53" s="38" t="n">
        <x:v>0.0050585847</x:v>
      </x:c>
      <x:c r="AE53" s="38" t="n">
        <x:v>0.0546775343</x:v>
      </x:c>
      <x:c r="AF53" s="38" t="n">
        <x:v>0.010217095</x:v>
      </x:c>
      <x:c r="AG53" s="38" t="n">
        <x:v>-0.0483423088</x:v>
      </x:c>
      <x:c r="AH53" s="38" t="n">
        <x:v>0.0949253071</x:v>
      </x:c>
      <x:c r="AI53" s="38" t="n">
        <x:v>0.1387607775</x:v>
      </x:c>
      <x:c r="AJ53" s="38" t="n">
        <x:v>0.168753042</x:v>
      </x:c>
      <x:c r="AK53" s="38" t="n">
        <x:v>0.0627953708</x:v>
      </x:c>
      <x:c r="AL53" s="38" t="n">
        <x:v>0.0029669086</x:v>
      </x:c>
      <x:c r="AM53" s="38" t="n">
        <x:v>0.0128696385</x:v>
      </x:c>
      <x:c r="AN53" s="38" t="n">
        <x:v>-0.0395497159</x:v>
      </x:c>
      <x:c r="AO53" s="38" t="n">
        <x:v>0.0577932485</x:v>
      </x:c>
      <x:c r="AP53" s="38" t="n">
        <x:v>0.0774536267</x:v>
      </x:c>
      <x:c r="AQ53" s="38" t="n">
        <x:v>-0.0177447593</x:v>
      </x:c>
      <x:c r="AR53" s="38" t="n">
        <x:v>0.0444488204</x:v>
      </x:c>
      <x:c r="AS53" s="38" t="n">
        <x:v>0.0432605499</x:v>
      </x:c>
    </x:row>
    <x:row r="54" ht="19" customHeight="1">
      <x:c r="A54" s="29" t="str">
        <x:v>Original</x:v>
      </x:c>
      <x:c r="B54" s="39" t="d">
        <x:v>2024-03-25T00:00:00.000Z</x:v>
      </x:c>
      <x:c r="C54" s="38" t="n">
        <x:v>0.2660690986</x:v>
      </x:c>
      <x:c r="D54" s="38" t="n">
        <x:v>0.1044652682</x:v>
      </x:c>
      <x:c r="E54" s="38" t="n">
        <x:v>0.0138807898</x:v>
      </x:c>
      <x:c r="F54" s="38" t="n">
        <x:v>0.0540811076</x:v>
      </x:c>
      <x:c r="G54" s="38" t="n">
        <x:v>0.0951137921</x:v>
      </x:c>
      <x:c r="H54" s="38" t="n">
        <x:v>0.0833895269</x:v>
      </x:c>
      <x:c r="I54" s="38" t="n">
        <x:v>0.0128868705</x:v>
      </x:c>
      <x:c r="J54" s="38" t="n">
        <x:v>0.0119544127</x:v>
      </x:c>
      <x:c r="K54" s="38" t="n">
        <x:v>-0.0375505302</x:v>
      </x:c>
      <x:c r="L54" s="38" t="n">
        <x:v>0.1872518943</x:v>
      </x:c>
      <x:c r="M54" s="38" t="n">
        <x:v>0.0091668954</x:v>
      </x:c>
      <x:c r="N54" s="38" t="n">
        <x:v>0.0525113517</x:v>
      </x:c>
      <x:c r="O54" s="38" t="n">
        <x:v>-0.0255134646</x:v>
      </x:c>
      <x:c r="P54" s="38" t="n">
        <x:v>0.063617344</x:v>
      </x:c>
      <x:c r="Q54" s="38" t="n">
        <x:v>-0.0091598015</x:v>
      </x:c>
      <x:c r="R54" s="38" t="n">
        <x:v>-0.0061462317</x:v>
      </x:c>
      <x:c r="S54" s="38" t="n">
        <x:v>-0.0136878189</x:v>
      </x:c>
      <x:c r="T54" s="38" t="n">
        <x:v>-0.0336029149</x:v>
      </x:c>
      <x:c r="U54" s="38" t="n">
        <x:v>0.1221613692</x:v>
      </x:c>
      <x:c r="V54" s="38" t="n">
        <x:v>-0.0046736926</x:v>
      </x:c>
      <x:c r="W54" s="38" t="n">
        <x:v>-0.0209471941</x:v>
      </x:c>
      <x:c r="X54" s="38" t="n">
        <x:v>0.0136591512</x:v>
      </x:c>
      <x:c r="Y54" s="38" t="n">
        <x:v>0.2302692484</x:v>
      </x:c>
      <x:c r="Z54" s="38" t="n">
        <x:v>0.131642665</x:v>
      </x:c>
      <x:c r="AA54" s="38" t="n">
        <x:v>0.1030258522</x:v>
      </x:c>
      <x:c r="AB54" s="38" t="n">
        <x:v>0.0561494855</x:v>
      </x:c>
      <x:c r="AC54" s="38" t="n">
        <x:v>0.0229190178</x:v>
      </x:c>
      <x:c r="AD54" s="38" t="n">
        <x:v>0.0226543714</x:v>
      </x:c>
      <x:c r="AE54" s="38" t="n">
        <x:v>0.0690379267</x:v>
      </x:c>
      <x:c r="AF54" s="38" t="n">
        <x:v>0.1474532937</x:v>
      </x:c>
      <x:c r="AG54" s="38" t="n">
        <x:v>-0.0381663174</x:v>
      </x:c>
      <x:c r="AH54" s="38" t="n">
        <x:v>-0.0036273133</x:v>
      </x:c>
      <x:c r="AI54" s="38" t="n">
        <x:v>-0.1238254811</x:v>
      </x:c>
      <x:c r="AJ54" s="38" t="n">
        <x:v>-0.0057047625</x:v>
      </x:c>
      <x:c r="AK54" s="38" t="n">
        <x:v>0.0082745514</x:v>
      </x:c>
      <x:c r="AL54" s="38" t="n">
        <x:v>-0.0060265583</x:v>
      </x:c>
      <x:c r="AM54" s="38" t="n">
        <x:v>0.013355194</x:v>
      </x:c>
      <x:c r="AN54" s="38" t="n">
        <x:v>0.1024935222</x:v>
      </x:c>
      <x:c r="AO54" s="38" t="n">
        <x:v>-0.0242668657</x:v>
      </x:c>
      <x:c r="AP54" s="38" t="n">
        <x:v>0.0040111787</x:v>
      </x:c>
      <x:c r="AQ54" s="38" t="n">
        <x:v>0.0377681372</x:v>
      </x:c>
      <x:c r="AR54" s="38" t="n">
        <x:v>-0.0262506287</x:v>
      </x:c>
      <x:c r="AS54" s="38" t="n">
        <x:v>0.034667994</x:v>
      </x:c>
    </x:row>
    <x:row r="55" ht="19" customHeight="1">
      <x:c r="A55" s="29" t="str">
        <x:v>Original</x:v>
      </x:c>
      <x:c r="B55" s="39" t="d">
        <x:v>2024-04-22T00:00:00.000Z</x:v>
      </x:c>
      <x:c r="C55" s="38" t="n">
        <x:v>0.0464974329</x:v>
      </x:c>
      <x:c r="D55" s="38" t="n">
        <x:v>0.0426716835</x:v>
      </x:c>
      <x:c r="E55" s="38" t="n">
        <x:v>-0.0106364089</x:v>
      </x:c>
      <x:c r="F55" s="38" t="n">
        <x:v>0.0083854272</x:v>
      </x:c>
      <x:c r="G55" s="38" t="n">
        <x:v>-0.0889315117</x:v>
      </x:c>
      <x:c r="H55" s="38" t="n">
        <x:v>0.0998416355</x:v>
      </x:c>
      <x:c r="I55" s="38" t="n">
        <x:v>-0.0045807693</x:v>
      </x:c>
      <x:c r="J55" s="38" t="n">
        <x:v>-0.0550176325</x:v>
      </x:c>
      <x:c r="K55" s="38" t="n">
        <x:v>-0.0849745459</x:v>
      </x:c>
      <x:c r="L55" s="38" t="n">
        <x:v>-0.0315346227</x:v>
      </x:c>
      <x:c r="M55" s="38" t="n">
        <x:v>-0.0426811382</x:v>
      </x:c>
      <x:c r="N55" s="38" t="n">
        <x:v>-0.0357404415</x:v>
      </x:c>
      <x:c r="O55" s="38" t="n">
        <x:v>-0.0131729999</x:v>
      </x:c>
      <x:c r="P55" s="38" t="n">
        <x:v>0.048502243</x:v>
      </x:c>
      <x:c r="Q55" s="38" t="n">
        <x:v>-0.1155267545</x:v>
      </x:c>
      <x:c r="R55" s="38" t="n">
        <x:v>-0.1415451613</x:v>
      </x:c>
      <x:c r="S55" s="38" t="n">
        <x:v>-0.0221452522</x:v>
      </x:c>
      <x:c r="T55" s="38" t="n">
        <x:v>-0.103615242</x:v>
      </x:c>
      <x:c r="U55" s="38" t="n">
        <x:v>0.0142613148</x:v>
      </x:c>
      <x:c r="V55" s="38" t="n">
        <x:v>-0.0162447513</x:v>
      </x:c>
      <x:c r="W55" s="38" t="n">
        <x:v>-0.0856439151</x:v>
      </x:c>
      <x:c r="X55" s="38" t="n">
        <x:v>-0.1187677588</x:v>
      </x:c>
      <x:c r="Y55" s="38" t="n">
        <x:v>-0.0284376356</x:v>
      </x:c>
      <x:c r="Z55" s="38" t="n">
        <x:v>0.1907658647</x:v>
      </x:c>
      <x:c r="AA55" s="38" t="n">
        <x:v>0.0068455064</x:v>
      </x:c>
      <x:c r="AB55" s="38" t="n">
        <x:v>0.7703346173</x:v>
      </x:c>
      <x:c r="AC55" s="38" t="n">
        <x:v>-0.1480433739</x:v>
      </x:c>
      <x:c r="AD55" s="38" t="n">
        <x:v>0.0005445917</x:v>
      </x:c>
      <x:c r="AE55" s="38" t="n">
        <x:v>-0.0407873906</x:v>
      </x:c>
      <x:c r="AF55" s="38" t="n">
        <x:v>-0.0348193352</x:v>
      </x:c>
      <x:c r="AG55" s="38" t="n">
        <x:v>-0.1554971395</x:v>
      </x:c>
      <x:c r="AH55" s="38" t="n">
        <x:v>-0.0553601665</x:v>
      </x:c>
      <x:c r="AI55" s="38" t="n">
        <x:v>-0.1485071315</x:v>
      </x:c>
      <x:c r="AJ55" s="38" t="n">
        <x:v>-0.0638290467</x:v>
      </x:c>
      <x:c r="AK55" s="38" t="n">
        <x:v>0.0103996709</x:v>
      </x:c>
      <x:c r="AL55" s="38" t="n">
        <x:v>0.0465332262</x:v>
      </x:c>
      <x:c r="AM55" s="38" t="n">
        <x:v>-0.0377833523</x:v>
      </x:c>
      <x:c r="AN55" s="38" t="n">
        <x:v>0.1414578645</x:v>
      </x:c>
      <x:c r="AO55" s="38" t="n">
        <x:v>-0.0033811469</x:v>
      </x:c>
      <x:c r="AP55" s="38" t="n">
        <x:v>-0.1466802957</x:v>
      </x:c>
      <x:c r="AQ55" s="38" t="n">
        <x:v>0.0098852966</x:v>
      </x:c>
      <x:c r="AR55" s="38" t="n">
        <x:v>-0.0859588803</x:v>
      </x:c>
      <x:c r="AS55" s="38" t="n">
        <x:v>-0.0485941136</x:v>
      </x:c>
    </x:row>
    <x:row r="56" ht="19" customHeight="1">
      <x:c r="A56" s="29" t="str">
        <x:v>Original</x:v>
      </x:c>
      <x:c r="B56" s="39" t="d">
        <x:v>2024-05-20T00:00:00.000Z</x:v>
      </x:c>
      <x:c r="C56" s="38" t="n">
        <x:v>0.3736769925</x:v>
      </x:c>
      <x:c r="D56" s="38" t="n">
        <x:v>0.0322457287</x:v>
      </x:c>
      <x:c r="E56" s="38" t="n">
        <x:v>0.0576081839</x:v>
      </x:c>
      <x:c r="F56" s="38" t="n">
        <x:v>0.038660798</x:v>
      </x:c>
      <x:c r="G56" s="38" t="n">
        <x:v>-0.1126479602</x:v>
      </x:c>
      <x:c r="H56" s="38" t="n">
        <x:v>-0.0122693343</x:v>
      </x:c>
      <x:c r="I56" s="38" t="n">
        <x:v>0.0069004483</x:v>
      </x:c>
      <x:c r="J56" s="38" t="n">
        <x:v>0.138840749</x:v>
      </x:c>
      <x:c r="K56" s="38" t="n">
        <x:v>0.0995794635</x:v>
      </x:c>
      <x:c r="L56" s="38" t="n">
        <x:v>-0.0226628078</x:v>
      </x:c>
      <x:c r="M56" s="38" t="n">
        <x:v>-0.0273578483</x:v>
      </x:c>
      <x:c r="N56" s="38" t="n">
        <x:v>0.1247713951</x:v>
      </x:c>
      <x:c r="O56" s="38" t="n">
        <x:v>-0.018429839</x:v>
      </x:c>
      <x:c r="P56" s="38" t="n">
        <x:v>0.0519501237</x:v>
      </x:c>
      <x:c r="Q56" s="38" t="n">
        <x:v>-0.0453721984</x:v>
      </x:c>
      <x:c r="R56" s="38" t="n">
        <x:v>0.0846565247</x:v>
      </x:c>
      <x:c r="S56" s="38" t="n">
        <x:v>0.0205671709</x:v>
      </x:c>
      <x:c r="T56" s="38" t="n">
        <x:v>-0.1879557511</x:v>
      </x:c>
      <x:c r="U56" s="38" t="n">
        <x:v>0.477316092</x:v>
      </x:c>
      <x:c r="V56" s="38" t="n">
        <x:v>-0.0837873488</x:v>
      </x:c>
      <x:c r="W56" s="38" t="n">
        <x:v>0.1560556047</x:v>
      </x:c>
      <x:c r="X56" s="38" t="n">
        <x:v>-0.0008560548</x:v>
      </x:c>
      <x:c r="Y56" s="38" t="n">
        <x:v>0.1321071794</x:v>
      </x:c>
      <x:c r="Z56" s="38" t="n">
        <x:v>-0.0194842118</x:v>
      </x:c>
      <x:c r="AA56" s="38" t="n">
        <x:v>-0.0220102734</x:v>
      </x:c>
      <x:c r="AB56" s="38" t="n">
        <x:v>-0.0600029241</x:v>
      </x:c>
      <x:c r="AC56" s="38" t="n">
        <x:v>-0.0051712307</x:v>
      </x:c>
      <x:c r="AD56" s="38" t="n">
        <x:v>0.0272210292</x:v>
      </x:c>
      <x:c r="AE56" s="38" t="n">
        <x:v>-0.042294986</x:v>
      </x:c>
      <x:c r="AF56" s="38" t="n">
        <x:v>0.0767250558</x:v>
      </x:c>
      <x:c r="AG56" s="38" t="n">
        <x:v>0.0470151123</x:v>
      </x:c>
      <x:c r="AH56" s="38" t="n">
        <x:v>-0.0857700076</x:v>
      </x:c>
      <x:c r="AI56" s="38" t="n">
        <x:v>0.0609172445</x:v>
      </x:c>
      <x:c r="AJ56" s="38" t="n">
        <x:v>0.1075201435</x:v>
      </x:c>
      <x:c r="AK56" s="38" t="n">
        <x:v>0.0804302776</x:v>
      </x:c>
      <x:c r="AL56" s="38" t="n">
        <x:v>0.0586969238</x:v>
      </x:c>
      <x:c r="AM56" s="38" t="n">
        <x:v>0.0647182623</x:v>
      </x:c>
      <x:c r="AN56" s="38" t="n">
        <x:v>0.0192830449</x:v>
      </x:c>
      <x:c r="AO56" s="38" t="n">
        <x:v>0.1152906041</x:v>
      </x:c>
      <x:c r="AP56" s="38" t="n">
        <x:v>-0.0333022724</x:v>
      </x:c>
      <x:c r="AQ56" s="38" t="n">
        <x:v>0.0046238844</x:v>
      </x:c>
      <x:c r="AR56" s="38" t="n">
        <x:v>0.0150899549</x:v>
      </x:c>
      <x:c r="AS56" s="38" t="n">
        <x:v>0.0144351903</x:v>
      </x:c>
    </x:row>
    <x:row r="57" ht="19" customHeight="1">
      <x:c r="A57" s="29" t="str">
        <x:v>Original</x:v>
      </x:c>
      <x:c r="B57" s="39" t="d">
        <x:v>2024-06-17T00:00:00.000Z</x:v>
      </x:c>
      <x:c r="C57" s="38" t="n">
        <x:v>-0.1774972405</x:v>
      </x:c>
      <x:c r="D57" s="38" t="n">
        <x:v>-0.0425999075</x:v>
      </x:c>
      <x:c r="E57" s="38" t="n">
        <x:v>-0.0243458011</x:v>
      </x:c>
      <x:c r="F57" s="38" t="n">
        <x:v>-0.0345786786</x:v>
      </x:c>
      <x:c r="G57" s="38" t="n">
        <x:v>0.0055788157</x:v>
      </x:c>
      <x:c r="H57" s="38" t="n">
        <x:v>0.0206489598</x:v>
      </x:c>
      <x:c r="I57" s="38" t="n">
        <x:v>0.0502786594</x:v>
      </x:c>
      <x:c r="J57" s="38" t="n">
        <x:v>-0.0881848248</x:v>
      </x:c>
      <x:c r="K57" s="38" t="n">
        <x:v>0.1080418907</x:v>
      </x:c>
      <x:c r="L57" s="38" t="n">
        <x:v>-0.0795153878</x:v>
      </x:c>
      <x:c r="M57" s="38" t="n">
        <x:v>-0.0652171628</x:v>
      </x:c>
      <x:c r="N57" s="38" t="n">
        <x:v>-0.14755019</x:v>
      </x:c>
      <x:c r="O57" s="38" t="n">
        <x:v>0.0013699584</x:v>
      </x:c>
      <x:c r="P57" s="38" t="n">
        <x:v>0.014229149</x:v>
      </x:c>
      <x:c r="Q57" s="38" t="n">
        <x:v>-0.0221240786</x:v>
      </x:c>
      <x:c r="R57" s="38" t="n">
        <x:v>-0.0742634169</x:v>
      </x:c>
      <x:c r="S57" s="38" t="n">
        <x:v>-0.1051349246</x:v>
      </x:c>
      <x:c r="T57" s="38" t="n">
        <x:v>0.0550264692</x:v>
      </x:c>
      <x:c r="U57" s="38" t="n">
        <x:v>-0.2480755174</x:v>
      </x:c>
      <x:c r="V57" s="38" t="n">
        <x:v>0.0213603593</x:v>
      </x:c>
      <x:c r="W57" s="38" t="n">
        <x:v>0.065943326</x:v>
      </x:c>
      <x:c r="X57" s="38" t="n">
        <x:v>-0.0017387066</x:v>
      </x:c>
      <x:c r="Y57" s="38" t="n">
        <x:v>0.0834131341</x:v>
      </x:c>
      <x:c r="Z57" s="38" t="n">
        <x:v>0.0140982018</x:v>
      </x:c>
      <x:c r="AA57" s="38" t="n">
        <x:v>0.0285280319</x:v>
      </x:c>
      <x:c r="AB57" s="38" t="n">
        <x:v>0.0356350302</x:v>
      </x:c>
      <x:c r="AC57" s="38" t="n">
        <x:v>-0.084870529</x:v>
      </x:c>
      <x:c r="AD57" s="38" t="n">
        <x:v>0.0196033496</x:v>
      </x:c>
      <x:c r="AE57" s="38" t="n">
        <x:v>-0.0297598191</x:v>
      </x:c>
      <x:c r="AF57" s="38" t="n">
        <x:v>0.1493465005</x:v>
      </x:c>
      <x:c r="AG57" s="38" t="n">
        <x:v>0.0129686511</x:v>
      </x:c>
      <x:c r="AH57" s="38" t="n">
        <x:v>-0.0264237956</x:v>
      </x:c>
      <x:c r="AI57" s="38" t="n">
        <x:v>-0.0349534401</x:v>
      </x:c>
      <x:c r="AJ57" s="38" t="n">
        <x:v>0.1009525119</x:v>
      </x:c>
      <x:c r="AK57" s="38" t="n">
        <x:v>0.0159272682</x:v>
      </x:c>
      <x:c r="AL57" s="38" t="n">
        <x:v>-0.0503957729</x:v>
      </x:c>
      <x:c r="AM57" s="38" t="n">
        <x:v>0.0497722173</x:v>
      </x:c>
      <x:c r="AN57" s="38" t="n">
        <x:v>0.0304842865</x:v>
      </x:c>
      <x:c r="AO57" s="38" t="n">
        <x:v>0.0519414086</x:v>
      </x:c>
      <x:c r="AP57" s="38" t="n">
        <x:v>0.1084277952</x:v>
      </x:c>
      <x:c r="AQ57" s="38" t="n">
        <x:v>0.0223992991</x:v>
      </x:c>
      <x:c r="AR57" s="38" t="n">
        <x:v>0.0134342839</x:v>
      </x:c>
      <x:c r="AS57" s="38" t="n">
        <x:v>0.0060369965</x:v>
      </x:c>
    </x:row>
    <x:row r="58" ht="19" customHeight="1">
      <x:c r="A58" s="29" t="str">
        <x:v>Original</x:v>
      </x:c>
      <x:c r="B58" s="39" t="d">
        <x:v>2024-07-15T00:00:00.000Z</x:v>
      </x:c>
      <x:c r="C58" s="38" t="n">
        <x:v>-0.1441872539</x:v>
      </x:c>
      <x:c r="D58" s="38" t="n">
        <x:v>0.1381867874</x:v>
      </x:c>
      <x:c r="E58" s="38" t="n">
        <x:v>0.0765317938</x:v>
      </x:c>
      <x:c r="F58" s="38" t="n">
        <x:v>0.0488808641</x:v>
      </x:c>
      <x:c r="G58" s="38" t="n">
        <x:v>-0.0694653429</x:v>
      </x:c>
      <x:c r="H58" s="38" t="n">
        <x:v>-0.2056739785</x:v>
      </x:c>
      <x:c r="I58" s="38" t="n">
        <x:v>-0.0361872894</x:v>
      </x:c>
      <x:c r="J58" s="38" t="n">
        <x:v>-0.0438836679</x:v>
      </x:c>
      <x:c r="K58" s="38" t="n">
        <x:v>-0.0049516625</x:v>
      </x:c>
      <x:c r="L58" s="38" t="n">
        <x:v>-0.0142544013</x:v>
      </x:c>
      <x:c r="M58" s="38" t="n">
        <x:v>-0.021409393</x:v>
      </x:c>
      <x:c r="N58" s="38" t="n">
        <x:v>-0.0112361014</x:v>
      </x:c>
      <x:c r="O58" s="38" t="n">
        <x:v>0.048250689</x:v>
      </x:c>
      <x:c r="P58" s="38" t="n">
        <x:v>-0.0925589752</x:v>
      </x:c>
      <x:c r="Q58" s="38" t="n">
        <x:v>0.0633471665</x:v>
      </x:c>
      <x:c r="R58" s="38" t="n">
        <x:v>-0.0353072348</x:v>
      </x:c>
      <x:c r="S58" s="38" t="n">
        <x:v>0.0308270724</x:v>
      </x:c>
      <x:c r="T58" s="38" t="n">
        <x:v>0.0104072234</x:v>
      </x:c>
      <x:c r="U58" s="38" t="n">
        <x:v>-0.1091090521</x:v>
      </x:c>
      <x:c r="V58" s="38" t="n">
        <x:v>0.0653274714</x:v>
      </x:c>
      <x:c r="W58" s="38" t="n">
        <x:v>-0.0905931387</x:v>
      </x:c>
      <x:c r="X58" s="38" t="n">
        <x:v>0.0553387752</x:v>
      </x:c>
      <x:c r="Y58" s="38" t="n">
        <x:v>-0.2252238926</x:v>
      </x:c>
      <x:c r="Z58" s="38" t="n">
        <x:v>0.1203151329</x:v>
      </x:c>
      <x:c r="AA58" s="38" t="n">
        <x:v>0.0542114729</x:v>
      </x:c>
      <x:c r="AB58" s="38" t="n">
        <x:v>-0.0700290779</x:v>
      </x:c>
      <x:c r="AC58" s="38" t="n">
        <x:v>0.2830942807</x:v>
      </x:c>
      <x:c r="AD58" s="38" t="n">
        <x:v>0.0047669604</x:v>
      </x:c>
      <x:c r="AE58" s="38" t="n">
        <x:v>0.1880378843</x:v>
      </x:c>
      <x:c r="AF58" s="38" t="n">
        <x:v>-0.0240579117</x:v>
      </x:c>
      <x:c r="AG58" s="38" t="n">
        <x:v>0.0197620221</x:v>
      </x:c>
      <x:c r="AH58" s="38" t="n">
        <x:v>0.0641244756</x:v>
      </x:c>
      <x:c r="AI58" s="38" t="n">
        <x:v>-0.069851317</x:v>
      </x:c>
      <x:c r="AJ58" s="38" t="n">
        <x:v>-0.0343325686</x:v>
      </x:c>
      <x:c r="AK58" s="38" t="n">
        <x:v>0.0549455621</x:v>
      </x:c>
      <x:c r="AL58" s="38" t="n">
        <x:v>-0.0092642756</x:v>
      </x:c>
      <x:c r="AM58" s="38" t="n">
        <x:v>-0.0323391886</x:v>
      </x:c>
      <x:c r="AN58" s="38" t="n">
        <x:v>-0.0124806611</x:v>
      </x:c>
      <x:c r="AO58" s="38" t="n">
        <x:v>-0.0136638752</x:v>
      </x:c>
      <x:c r="AP58" s="38" t="n">
        <x:v>0.023795895</x:v>
      </x:c>
      <x:c r="AQ58" s="38" t="n">
        <x:v>0.0445483571</x:v>
      </x:c>
      <x:c r="AR58" s="38" t="n">
        <x:v>0.0443157468</x:v>
      </x:c>
      <x:c r="AS58" s="38" t="n">
        <x:v>0.066658206</x:v>
      </x:c>
    </x:row>
    <x:row r="59" ht="19" customHeight="1">
      <x:c r="A59" s="29" t="str">
        <x:v>Original</x:v>
      </x:c>
      <x:c r="B59" s="39" t="d">
        <x:v>2024-08-12T00:00:00.000Z</x:v>
      </x:c>
      <x:c r="C59" s="38" t="n">
        <x:v>0.0424356674</x:v>
      </x:c>
      <x:c r="D59" s="38" t="n">
        <x:v>0.036792312</x:v>
      </x:c>
      <x:c r="E59" s="38" t="n">
        <x:v>0.0562501133</x:v>
      </x:c>
      <x:c r="F59" s="38" t="n">
        <x:v>0.082778378</x:v>
      </x:c>
      <x:c r="G59" s="38" t="n">
        <x:v>-0.0799297605</x:v>
      </x:c>
      <x:c r="H59" s="38" t="n">
        <x:v>-0.0231720791</x:v>
      </x:c>
      <x:c r="I59" s="38" t="n">
        <x:v>-0.0386911931</x:v>
      </x:c>
      <x:c r="J59" s="38" t="n">
        <x:v>0.0964291007</x:v>
      </x:c>
      <x:c r="K59" s="38" t="n">
        <x:v>-0.0101102506</x:v>
      </x:c>
      <x:c r="L59" s="38" t="n">
        <x:v>0.0190924039</x:v>
      </x:c>
      <x:c r="M59" s="38" t="n">
        <x:v>0.1460713242</x:v>
      </x:c>
      <x:c r="N59" s="38" t="n">
        <x:v>-0.0885121476</x:v>
      </x:c>
      <x:c r="O59" s="38" t="n">
        <x:v>0.0237722918</x:v>
      </x:c>
      <x:c r="P59" s="38" t="n">
        <x:v>-0.0990091212</x:v>
      </x:c>
      <x:c r="Q59" s="38" t="n">
        <x:v>0.0304098597</x:v>
      </x:c>
      <x:c r="R59" s="38" t="n">
        <x:v>0.1545405061</x:v>
      </x:c>
      <x:c r="S59" s="38" t="n">
        <x:v>0.0452180847</x:v>
      </x:c>
      <x:c r="T59" s="38" t="n">
        <x:v>0.053039465</x:v>
      </x:c>
      <x:c r="U59" s="38" t="n">
        <x:v>-0.3820943538</x:v>
      </x:c>
      <x:c r="V59" s="38" t="n">
        <x:v>0.2202334351</x:v>
      </x:c>
      <x:c r="W59" s="38" t="n">
        <x:v>0.0715412309</x:v>
      </x:c>
      <x:c r="X59" s="38" t="n">
        <x:v>-0.0132498801</x:v>
      </x:c>
      <x:c r="Y59" s="38" t="n">
        <x:v>-0.0647821626</x:v>
      </x:c>
      <x:c r="Z59" s="38" t="n">
        <x:v>0.0758343427</x:v>
      </x:c>
      <x:c r="AA59" s="38" t="n">
        <x:v>0.0833961913</x:v>
      </x:c>
      <x:c r="AB59" s="38" t="n">
        <x:v>-0.1252097225</x:v>
      </x:c>
      <x:c r="AC59" s="38" t="n">
        <x:v>0.3226516972</x:v>
      </x:c>
      <x:c r="AD59" s="38" t="n">
        <x:v>-0.0004784203</x:v>
      </x:c>
      <x:c r="AE59" s="38" t="n">
        <x:v>-0.3097397541</x:v>
      </x:c>
      <x:c r="AF59" s="38" t="n">
        <x:v>-0.1062110854</x:v>
      </x:c>
      <x:c r="AG59" s="38" t="n">
        <x:v>0.0020425906</x:v>
      </x:c>
      <x:c r="AH59" s="38" t="n">
        <x:v>0.0307405952</x:v>
      </x:c>
      <x:c r="AI59" s="38" t="n">
        <x:v>-0.0230999894</x:v>
      </x:c>
      <x:c r="AJ59" s="38" t="n">
        <x:v>0.0850387321</x:v>
      </x:c>
      <x:c r="AK59" s="38" t="n">
        <x:v>0.0940892737</x:v>
      </x:c>
      <x:c r="AL59" s="38" t="n">
        <x:v>0.1263898277</x:v>
      </x:c>
      <x:c r="AM59" s="38" t="n">
        <x:v>-0.0479557355</x:v>
      </x:c>
      <x:c r="AN59" s="38" t="n">
        <x:v>-0.0991358257</x:v>
      </x:c>
      <x:c r="AO59" s="38" t="n">
        <x:v>0.0452486747</x:v>
      </x:c>
      <x:c r="AP59" s="38" t="n">
        <x:v>-0.0041138645</x:v>
      </x:c>
      <x:c r="AQ59" s="38" t="n">
        <x:v>0.0664293378</x:v>
      </x:c>
      <x:c r="AR59" s="38" t="n">
        <x:v>0.0343560634</x:v>
      </x:c>
      <x:c r="AS59" s="38" t="n">
        <x:v>0.0262233043</x:v>
      </x:c>
    </x:row>
    <x:row r="60" ht="19" customHeight="1">
      <x:c r="A60" s="29" t="str">
        <x:v>Original</x:v>
      </x:c>
      <x:c r="B60" s="39" t="d">
        <x:v>2024-09-09T00:00:00.000Z</x:v>
      </x:c>
      <x:c r="C60" s="38" t="n">
        <x:v>0.0875815923</x:v>
      </x:c>
      <x:c r="D60" s="38" t="n">
        <x:v>-0.0572900424</x:v>
      </x:c>
      <x:c r="E60" s="38" t="n">
        <x:v>0.0837391279</x:v>
      </x:c>
      <x:c r="F60" s="38" t="n">
        <x:v>0.0903451188</x:v>
      </x:c>
      <x:c r="G60" s="38" t="n">
        <x:v>0.0161823844</x:v>
      </x:c>
      <x:c r="H60" s="38" t="n">
        <x:v>0.0782893926</x:v>
      </x:c>
      <x:c r="I60" s="38" t="n">
        <x:v>0.0604062481</x:v>
      </x:c>
      <x:c r="J60" s="38" t="n">
        <x:v>0.0587034623</x:v>
      </x:c>
      <x:c r="K60" s="38" t="n">
        <x:v>0.00456846</x:v>
      </x:c>
      <x:c r="L60" s="38" t="n">
        <x:v>-0.1276557691</x:v>
      </x:c>
      <x:c r="M60" s="38" t="n">
        <x:v>-0.0264655831</x:v>
      </x:c>
      <x:c r="N60" s="38" t="n">
        <x:v>-0.0009958363</x:v>
      </x:c>
      <x:c r="O60" s="38" t="n">
        <x:v>-0.0077088614</x:v>
      </x:c>
      <x:c r="P60" s="38" t="n">
        <x:v>0.0174982956</x:v>
      </x:c>
      <x:c r="Q60" s="38" t="n">
        <x:v>-0.1773591642</x:v>
      </x:c>
      <x:c r="R60" s="38" t="n">
        <x:v>0.083145805</x:v>
      </x:c>
      <x:c r="S60" s="38" t="n">
        <x:v>0.0560177484</x:v>
      </x:c>
      <x:c r="T60" s="38" t="n">
        <x:v>-0.0548291088</x:v>
      </x:c>
      <x:c r="U60" s="38" t="n">
        <x:v>-0.2799188064</x:v>
      </x:c>
      <x:c r="V60" s="38" t="n">
        <x:v>0.0182977615</x:v>
      </x:c>
      <x:c r="W60" s="38" t="n">
        <x:v>0.0390425571</x:v>
      </x:c>
      <x:c r="X60" s="38" t="n">
        <x:v>-0.0020584718</x:v>
      </x:c>
      <x:c r="Y60" s="38" t="n">
        <x:v>-0.1964659928</x:v>
      </x:c>
      <x:c r="Z60" s="38" t="n">
        <x:v>0.0840986319</x:v>
      </x:c>
      <x:c r="AA60" s="38" t="n">
        <x:v>0.0928319164</x:v>
      </x:c>
      <x:c r="AB60" s="38" t="n">
        <x:v>0.311968602</x:v>
      </x:c>
      <x:c r="AC60" s="38" t="n">
        <x:v>0.037957721</x:v>
      </x:c>
      <x:c r="AD60" s="38" t="n">
        <x:v>0.0421489722</x:v>
      </x:c>
      <x:c r="AE60" s="38" t="n">
        <x:v>0.0197689307</x:v>
      </x:c>
      <x:c r="AF60" s="38" t="n">
        <x:v>-0.0988588814</x:v>
      </x:c>
      <x:c r="AG60" s="38" t="n">
        <x:v>-0.1607932915</x:v>
      </x:c>
      <x:c r="AH60" s="38" t="n">
        <x:v>-0.0341080449</x:v>
      </x:c>
      <x:c r="AI60" s="38" t="n">
        <x:v>0.0290209355</x:v>
      </x:c>
      <x:c r="AJ60" s="38" t="n">
        <x:v>0.0020056816</x:v>
      </x:c>
      <x:c r="AK60" s="38" t="n">
        <x:v>0.1312096277</x:v>
      </x:c>
      <x:c r="AL60" s="38" t="n">
        <x:v>0.0452150768</x:v>
      </x:c>
      <x:c r="AM60" s="38" t="n">
        <x:v>0.0332377336</x:v>
      </x:c>
      <x:c r="AN60" s="38" t="n">
        <x:v>-0.0384251106</x:v>
      </x:c>
      <x:c r="AO60" s="38" t="n">
        <x:v>0.059191121</x:v>
      </x:c>
      <x:c r="AP60" s="38" t="n">
        <x:v>0.0633179919</x:v>
      </x:c>
      <x:c r="AQ60" s="38" t="n">
        <x:v>0.0448874711</x:v>
      </x:c>
      <x:c r="AR60" s="38" t="n">
        <x:v>0.0527353193</x:v>
      </x:c>
      <x:c r="AS60" s="38" t="n">
        <x:v>0.0080904611</x:v>
      </x:c>
    </x:row>
    <x:row r="61" ht="19" customHeight="1">
      <x:c r="A61" s="29" t="str">
        <x:v>Original</x:v>
      </x:c>
      <x:c r="B61" s="39" t="d">
        <x:v>2024-10-07T00:00:00.000Z</x:v>
      </x:c>
      <x:c r="C61" s="38" t="n">
        <x:v>0.4532663342</x:v>
      </x:c>
      <x:c r="D61" s="38" t="n">
        <x:v>0.0478584521</x:v>
      </x:c>
      <x:c r="E61" s="38" t="n">
        <x:v>-0.069079886</x:v>
      </x:c>
      <x:c r="F61" s="38" t="n">
        <x:v>0.0325275596</x:v>
      </x:c>
      <x:c r="G61" s="38" t="n">
        <x:v>0.0457800302</x:v>
      </x:c>
      <x:c r="H61" s="38" t="n">
        <x:v>0.0520622051</x:v>
      </x:c>
      <x:c r="I61" s="38" t="n">
        <x:v>0.01465991</x:v>
      </x:c>
      <x:c r="J61" s="38" t="n">
        <x:v>0.2107092553</x:v>
      </x:c>
      <x:c r="K61" s="38" t="n">
        <x:v>0.0935219972</x:v>
      </x:c>
      <x:c r="L61" s="38" t="n">
        <x:v>0.0689989253</x:v>
      </x:c>
      <x:c r="M61" s="38" t="n">
        <x:v>0.1225899876</x:v>
      </x:c>
      <x:c r="N61" s="38" t="n">
        <x:v>0.0701311523</x:v>
      </x:c>
      <x:c r="O61" s="38" t="n">
        <x:v>0.0166493824</x:v>
      </x:c>
      <x:c r="P61" s="38" t="n">
        <x:v>-0.002544963</x:v>
      </x:c>
      <x:c r="Q61" s="38" t="n">
        <x:v>0.091895992</x:v>
      </x:c>
      <x:c r="R61" s="38" t="n">
        <x:v>0.101755655</x:v>
      </x:c>
      <x:c r="S61" s="38" t="n">
        <x:v>0.0254601056</x:v>
      </x:c>
      <x:c r="T61" s="38" t="n">
        <x:v>0.2047241152</x:v>
      </x:c>
      <x:c r="U61" s="38" t="n">
        <x:v>-0.1867663018</x:v>
      </x:c>
      <x:c r="V61" s="38" t="n">
        <x:v>0.1607553618</x:v>
      </x:c>
      <x:c r="W61" s="38" t="n">
        <x:v>0.0427960956</x:v>
      </x:c>
      <x:c r="X61" s="38" t="n">
        <x:v>0.0587851142</x:v>
      </x:c>
      <x:c r="Y61" s="38" t="n">
        <x:v>0.1888274378</x:v>
      </x:c>
      <x:c r="Z61" s="38" t="n">
        <x:v>0.0128988831</x:v>
      </x:c>
      <x:c r="AA61" s="38" t="n">
        <x:v>-0.005884793</x:v>
      </x:c>
      <x:c r="AB61" s="38" t="n">
        <x:v>0.0533283537</x:v>
      </x:c>
      <x:c r="AC61" s="38" t="n">
        <x:v>0.2505361613</x:v>
      </x:c>
      <x:c r="AD61" s="38" t="n">
        <x:v>-0.0204555989</x:v>
      </x:c>
      <x:c r="AE61" s="38" t="n">
        <x:v>0.0033089085</x:v>
      </x:c>
      <x:c r="AF61" s="38" t="n">
        <x:v>0.2288314718</x:v>
      </x:c>
      <x:c r="AG61" s="38" t="n">
        <x:v>-0.0441187776</x:v>
      </x:c>
      <x:c r="AH61" s="38" t="n">
        <x:v>-0.0097909316</x:v>
      </x:c>
      <x:c r="AI61" s="38" t="n">
        <x:v>0.1149870359</x:v>
      </x:c>
      <x:c r="AJ61" s="38" t="n">
        <x:v>0.0106247272</x:v>
      </x:c>
      <x:c r="AK61" s="38" t="n">
        <x:v>-0.0423350847</x:v>
      </x:c>
      <x:c r="AL61" s="38" t="n">
        <x:v>0.0441425881</x:v>
      </x:c>
      <x:c r="AM61" s="38" t="n">
        <x:v>-0.0397911846</x:v>
      </x:c>
      <x:c r="AN61" s="38" t="n">
        <x:v>0.042563358</x:v>
      </x:c>
      <x:c r="AO61" s="38" t="n">
        <x:v>-0.035284921</x:v>
      </x:c>
      <x:c r="AP61" s="38" t="n">
        <x:v>0.0952045258</x:v>
      </x:c>
      <x:c r="AQ61" s="38" t="n">
        <x:v>-0.030821026</x:v>
      </x:c>
      <x:c r="AR61" s="38" t="n">
        <x:v>-0.0293216618</x:v>
      </x:c>
      <x:c r="AS61" s="38" t="n">
        <x:v>0.0327761941</x:v>
      </x:c>
    </x:row>
    <x:row r="62" ht="19" customHeight="1">
      <x:c r="A62" s="29" t="str">
        <x:v>Original</x:v>
      </x:c>
      <x:c r="B62" s="39" t="d">
        <x:v>2024-11-04T00:00:00.000Z</x:v>
      </x:c>
      <x:c r="C62" s="38" t="n">
        <x:v>0.1490706633</x:v>
      </x:c>
      <x:c r="D62" s="38" t="n">
        <x:v>-0.0422363323</x:v>
      </x:c>
      <x:c r="E62" s="38" t="n">
        <x:v>-0.0111455082</x:v>
      </x:c>
      <x:c r="F62" s="38" t="n">
        <x:v>0.1573032157</x:v>
      </x:c>
      <x:c r="G62" s="38" t="n">
        <x:v>0.0606442126</x:v>
      </x:c>
      <x:c r="H62" s="38" t="n">
        <x:v>0.0032622146</x:v>
      </x:c>
      <x:c r="I62" s="38" t="n">
        <x:v>0.1168804394</x:v>
      </x:c>
      <x:c r="J62" s="38" t="n">
        <x:v>0.1266926021</x:v>
      </x:c>
      <x:c r="K62" s="38" t="n">
        <x:v>-0.0561462968</x:v>
      </x:c>
      <x:c r="L62" s="38" t="n">
        <x:v>-0.0484996258</x:v>
      </x:c>
      <x:c r="M62" s="38" t="n">
        <x:v>-0.0572578386</x:v>
      </x:c>
      <x:c r="N62" s="38" t="n">
        <x:v>-0.0179551</x:v>
      </x:c>
      <x:c r="O62" s="38" t="n">
        <x:v>0.0409640637</x:v>
      </x:c>
      <x:c r="P62" s="38" t="n">
        <x:v>0.0842621001</x:v>
      </x:c>
      <x:c r="Q62" s="38" t="n">
        <x:v>-0.0429458063</x:v>
      </x:c>
      <x:c r="R62" s="38" t="n">
        <x:v>-0.1588063417</x:v>
      </x:c>
      <x:c r="S62" s="38" t="n">
        <x:v>0.021091818</x:v>
      </x:c>
      <x:c r="T62" s="38" t="n">
        <x:v>-0.0287834534</x:v>
      </x:c>
      <x:c r="U62" s="38" t="n">
        <x:v>-0.2621267668</x:v>
      </x:c>
      <x:c r="V62" s="38" t="n">
        <x:v>0.3914608248</x:v>
      </x:c>
      <x:c r="W62" s="38" t="n">
        <x:v>0.1140842444</x:v>
      </x:c>
      <x:c r="X62" s="38" t="n">
        <x:v>0.0745386502</x:v>
      </x:c>
      <x:c r="Y62" s="38" t="n">
        <x:v>0.0545130426</x:v>
      </x:c>
      <x:c r="Z62" s="38" t="n">
        <x:v>-0.2238886542</x:v>
      </x:c>
      <x:c r="AA62" s="38" t="n">
        <x:v>0.0345130241</x:v>
      </x:c>
      <x:c r="AB62" s="38" t="n">
        <x:v>0.0290742273</x:v>
      </x:c>
      <x:c r="AC62" s="38" t="n">
        <x:v>0.6512574116</x:v>
      </x:c>
      <x:c r="AD62" s="38" t="n">
        <x:v>-0.0168732248</x:v>
      </x:c>
      <x:c r="AE62" s="38" t="n">
        <x:v>0.0437644624</x:v>
      </x:c>
      <x:c r="AF62" s="38" t="n">
        <x:v>0.0768461422</x:v>
      </x:c>
      <x:c r="AG62" s="38" t="n">
        <x:v>0.0052216442</x:v>
      </x:c>
      <x:c r="AH62" s="38" t="n">
        <x:v>-0.2955311892</x:v>
      </x:c>
      <x:c r="AI62" s="38" t="n">
        <x:v>-0.1513975276</x:v>
      </x:c>
      <x:c r="AJ62" s="38" t="n">
        <x:v>-0.1366488016</x:v>
      </x:c>
      <x:c r="AK62" s="38" t="n">
        <x:v>0.118485499</x:v>
      </x:c>
      <x:c r="AL62" s="38" t="n">
        <x:v>0.059354992</x:v>
      </x:c>
      <x:c r="AM62" s="38" t="n">
        <x:v>0.0177578671</x:v>
      </x:c>
      <x:c r="AN62" s="38" t="n">
        <x:v>0.1060047048</x:v>
      </x:c>
      <x:c r="AO62" s="38" t="n">
        <x:v>0.0731768811</x:v>
      </x:c>
      <x:c r="AP62" s="38" t="n">
        <x:v>-0.0175709363</x:v>
      </x:c>
      <x:c r="AQ62" s="38" t="n">
        <x:v>-0.1014241351</x:v>
      </x:c>
      <x:c r="AR62" s="38" t="n">
        <x:v>-0.0452687556</x:v>
      </x:c>
      <x:c r="AS62" s="38" t="n">
        <x:v>0.0082974137</x:v>
      </x:c>
    </x:row>
    <x:row r="63" ht="19" customHeight="1">
      <x:c r="A63" s="29" t="str">
        <x:v>Original</x:v>
      </x:c>
      <x:c r="B63" s="39" t="d">
        <x:v>2024-12-02T00:00:00.000Z</x:v>
      </x:c>
      <x:c r="C63" s="38" t="n">
        <x:v>0.145643113</x:v>
      </x:c>
      <x:c r="D63" s="38" t="n">
        <x:v>0.1828642773</x:v>
      </x:c>
      <x:c r="E63" s="38" t="n">
        <x:v>-0.0069486324</x:v>
      </x:c>
      <x:c r="F63" s="38" t="n">
        <x:v>0.0306564655</x:v>
      </x:c>
      <x:c r="G63" s="38" t="n">
        <x:v>0.199826129</x:v>
      </x:c>
      <x:c r="H63" s="38" t="n">
        <x:v>0.1289860156</x:v>
      </x:c>
      <x:c r="I63" s="38" t="n">
        <x:v>0.105266508</x:v>
      </x:c>
      <x:c r="J63" s="38" t="n">
        <x:v>0.0894795271</x:v>
      </x:c>
      <x:c r="K63" s="38" t="n">
        <x:v>-0.0749366343</x:v>
      </x:c>
      <x:c r="L63" s="38" t="n">
        <x:v>-0.0376396998</x:v>
      </x:c>
      <x:c r="M63" s="38" t="n">
        <x:v>0.0738556799</x:v>
      </x:c>
      <x:c r="N63" s="38" t="n">
        <x:v>-0.0098417118</x:v>
      </x:c>
      <x:c r="O63" s="38" t="n">
        <x:v>0.0352941855</x:v>
      </x:c>
      <x:c r="P63" s="38" t="n">
        <x:v>0.0252083045</x:v>
      </x:c>
      <x:c r="Q63" s="38" t="n">
        <x:v>0.0818650965</x:v>
      </x:c>
      <x:c r="R63" s="38" t="n">
        <x:v>0.0515677147</x:v>
      </x:c>
      <x:c r="S63" s="38" t="n">
        <x:v>0.0716797275</x:v>
      </x:c>
      <x:c r="T63" s="38" t="n">
        <x:v>0.2591987038</x:v>
      </x:c>
      <x:c r="U63" s="38" t="n">
        <x:v>-0.0636173406</x:v>
      </x:c>
      <x:c r="V63" s="38" t="n">
        <x:v>0.1592403213</x:v>
      </x:c>
      <x:c r="W63" s="38" t="n">
        <x:v>0.196588571</x:v>
      </x:c>
      <x:c r="X63" s="38" t="n">
        <x:v>-0.021203712</x:v>
      </x:c>
      <x:c r="Y63" s="38" t="n">
        <x:v>-0.1224195885</x:v>
      </x:c>
      <x:c r="Z63" s="38" t="n">
        <x:v>-0.1036705042</x:v>
      </x:c>
      <x:c r="AA63" s="38" t="n">
        <x:v>-0.0327586547</x:v>
      </x:c>
      <x:c r="AB63" s="38" t="n">
        <x:v>-0.2792153847</x:v>
      </x:c>
      <x:c r="AC63" s="38" t="n">
        <x:v>-0.0589827864</x:v>
      </x:c>
      <x:c r="AD63" s="38" t="n">
        <x:v>0.0434573879</x:v>
      </x:c>
      <x:c r="AE63" s="38" t="n">
        <x:v>-0.0520229978</x:v>
      </x:c>
      <x:c r="AF63" s="38" t="n">
        <x:v>0.1009314758</x:v>
      </x:c>
      <x:c r="AG63" s="38" t="n">
        <x:v>0.0178825154</x:v>
      </x:c>
      <x:c r="AH63" s="38" t="n">
        <x:v>-0.0832611508</x:v>
      </x:c>
      <x:c r="AI63" s="38" t="n">
        <x:v>-0.0793690086</x:v>
      </x:c>
      <x:c r="AJ63" s="38" t="n">
        <x:v>-0.0050648751</x:v>
      </x:c>
      <x:c r="AK63" s="38" t="n">
        <x:v>-0.0555536002</x:v>
      </x:c>
      <x:c r="AL63" s="38" t="n">
        <x:v>-0.0856959732</x:v>
      </x:c>
      <x:c r="AM63" s="38" t="n">
        <x:v>0.0614155274</x:v>
      </x:c>
      <x:c r="AN63" s="38" t="n">
        <x:v>-0.0250421203</x:v>
      </x:c>
      <x:c r="AO63" s="38" t="n">
        <x:v>0.0612363493</x:v>
      </x:c>
      <x:c r="AP63" s="38" t="n">
        <x:v>0.0802884988</x:v>
      </x:c>
      <x:c r="AQ63" s="38" t="n">
        <x:v>-0.0175241795</x:v>
      </x:c>
      <x:c r="AR63" s="38" t="n">
        <x:v>-0.0393917829</x:v>
      </x:c>
      <x:c r="AS63" s="38" t="n">
        <x:v>0.0184397535</x:v>
      </x:c>
    </x:row>
    <x:row r="64" ht="19" customHeight="1">
      <x:c r="A64" s="29" t="str">
        <x:v>Original</x:v>
      </x:c>
      <x:c r="B64" s="39" t="d">
        <x:v>2024-12-30T00:00:00.000Z</x:v>
      </x:c>
      <x:c r="C64" s="38" t="n">
        <x:v>0.0201833873</x:v>
      </x:c>
      <x:c r="D64" s="38" t="n">
        <x:v>-0.0269870268</x:v>
      </x:c>
      <x:c r="E64" s="38" t="n">
        <x:v>-0.0498247688</x:v>
      </x:c>
      <x:c r="F64" s="38" t="n">
        <x:v>0.0145417574</x:v>
      </x:c>
      <x:c r="G64" s="38" t="n">
        <x:v>-0.0547750951</x:v>
      </x:c>
      <x:c r="H64" s="38" t="n">
        <x:v>-0.1123174597</x:v>
      </x:c>
      <x:c r="I64" s="38" t="n">
        <x:v>-0.015504724</x:v>
      </x:c>
      <x:c r="J64" s="38" t="n">
        <x:v>-0.1263334547</x:v>
      </x:c>
      <x:c r="K64" s="38" t="n">
        <x:v>-0.1138524532</x:v>
      </x:c>
      <x:c r="L64" s="38" t="n">
        <x:v>-0.0699383844</x:v>
      </x:c>
      <x:c r="M64" s="38" t="n">
        <x:v>0.0009745108</x:v>
      </x:c>
      <x:c r="N64" s="38" t="n">
        <x:v>-0.0134493932</x:v>
      </x:c>
      <x:c r="O64" s="38" t="n">
        <x:v>-0.1137133124</x:v>
      </x:c>
      <x:c r="P64" s="38" t="n">
        <x:v>-0.1277122364</x:v>
      </x:c>
      <x:c r="Q64" s="38" t="n">
        <x:v>0.0666910903</x:v>
      </x:c>
      <x:c r="R64" s="38" t="n">
        <x:v>-0.1446113991</x:v>
      </x:c>
      <x:c r="S64" s="38" t="n">
        <x:v>0.0002448284</x:v>
      </x:c>
      <x:c r="T64" s="38" t="n">
        <x:v>0.0191499644</x:v>
      </x:c>
      <x:c r="U64" s="38" t="n">
        <x:v>-0.0642861455</x:v>
      </x:c>
      <x:c r="V64" s="38" t="n">
        <x:v>-0.1658379577</x:v>
      </x:c>
      <x:c r="W64" s="38" t="n">
        <x:v>-0.0728589504</x:v>
      </x:c>
      <x:c r="X64" s="38" t="n">
        <x:v>-0.167285017</x:v>
      </x:c>
      <x:c r="Y64" s="38" t="n">
        <x:v>-0.1442788074</x:v>
      </x:c>
      <x:c r="Z64" s="38" t="n">
        <x:v>-0.0933303113</x:v>
      </x:c>
      <x:c r="AA64" s="38" t="n">
        <x:v>-0.0612025311</x:v>
      </x:c>
      <x:c r="AB64" s="38" t="n">
        <x:v>-0.022869397</x:v>
      </x:c>
      <x:c r="AC64" s="38" t="n">
        <x:v>-0.2287837283</x:v>
      </x:c>
      <x:c r="AD64" s="38" t="n">
        <x:v>-0.0631696519</x:v>
      </x:c>
      <x:c r="AE64" s="38" t="n">
        <x:v>-0.0761358315</x:v>
      </x:c>
      <x:c r="AF64" s="38" t="n">
        <x:v>-0.1070318533</x:v>
      </x:c>
      <x:c r="AG64" s="38" t="n">
        <x:v>0.1215819783</x:v>
      </x:c>
      <x:c r="AH64" s="38" t="n">
        <x:v>0.0008516519</x:v>
      </x:c>
      <x:c r="AI64" s="38" t="n">
        <x:v>-0.1234768408</x:v>
      </x:c>
      <x:c r="AJ64" s="38" t="n">
        <x:v>-0.0685121992</x:v>
      </x:c>
      <x:c r="AK64" s="38" t="n">
        <x:v>-0.0531659616</x:v>
      </x:c>
      <x:c r="AL64" s="38" t="n">
        <x:v>0.0678163629</x:v>
      </x:c>
      <x:c r="AM64" s="38" t="n">
        <x:v>-0.057465775</x:v>
      </x:c>
      <x:c r="AN64" s="38" t="n">
        <x:v>0.1162940085</x:v>
      </x:c>
      <x:c r="AO64" s="38" t="n">
        <x:v>-0.0981509447</x:v>
      </x:c>
      <x:c r="AP64" s="38" t="n">
        <x:v>-0.1267699825</x:v>
      </x:c>
      <x:c r="AQ64" s="38" t="n">
        <x:v>-0.015460551</x:v>
      </x:c>
      <x:c r="AR64" s="38" t="n">
        <x:v>-0.0429768267</x:v>
      </x:c>
      <x:c r="AS64" s="38" t="n">
        <x:v>-0.0451638363</x:v>
      </x:c>
    </x:row>
    <x:row r="65" ht="19" customHeight="1">
      <x:c r="A65" s="29" t="str">
        <x:v>Original</x:v>
      </x:c>
      <x:c r="B65" s="39" t="d">
        <x:v>2025-01-27T00:00:00.000Z</x:v>
      </x:c>
      <x:c r="C65" s="38" t="n">
        <x:v>0.0428795193</x:v>
      </x:c>
      <x:c r="D65" s="38" t="n">
        <x:v>-0.0050835147</x:v>
      </x:c>
      <x:c r="E65" s="38" t="n">
        <x:v>0.0828228407</x:v>
      </x:c>
      <x:c r="F65" s="38" t="n">
        <x:v>0.0696980512</x:v>
      </x:c>
      <x:c r="G65" s="38" t="n">
        <x:v>0.0211710296</x:v>
      </x:c>
      <x:c r="H65" s="38" t="n">
        <x:v>-0.0285719185</x:v>
      </x:c>
      <x:c r="I65" s="38" t="n">
        <x:v>0.0729906749</x:v>
      </x:c>
      <x:c r="J65" s="38" t="n">
        <x:v>-0.0333020262</x:v>
      </x:c>
      <x:c r="K65" s="38" t="n">
        <x:v>0.0971491499</x:v>
      </x:c>
      <x:c r="L65" s="38" t="n">
        <x:v>0.0950712859</x:v>
      </x:c>
      <x:c r="M65" s="38" t="n">
        <x:v>0.0511574144</x:v>
      </x:c>
      <x:c r="N65" s="38" t="n">
        <x:v>0.1218927545</x:v>
      </x:c>
      <x:c r="O65" s="38" t="n">
        <x:v>0.1576476641</x:v>
      </x:c>
      <x:c r="P65" s="38" t="n">
        <x:v>0.0204979009</x:v>
      </x:c>
      <x:c r="Q65" s="38" t="n">
        <x:v>-0.0898115242</x:v>
      </x:c>
      <x:c r="R65" s="38" t="n">
        <x:v>0.1867518194</x:v>
      </x:c>
      <x:c r="S65" s="38" t="n">
        <x:v>0.021414035</x:v>
      </x:c>
      <x:c r="T65" s="38" t="n">
        <x:v>0.2343025772</x:v>
      </x:c>
      <x:c r="U65" s="38" t="n">
        <x:v>-0.0845350705</x:v>
      </x:c>
      <x:c r="V65" s="38" t="n">
        <x:v>0.1019646312</x:v>
      </x:c>
      <x:c r="W65" s="38" t="n">
        <x:v>0.128822754</x:v>
      </x:c>
      <x:c r="X65" s="38" t="n">
        <x:v>-0.1301399023</x:v>
      </x:c>
      <x:c r="Y65" s="38" t="n">
        <x:v>0.0188989376</x:v>
      </x:c>
      <x:c r="Z65" s="38" t="n">
        <x:v>0.142643389</x:v>
      </x:c>
      <x:c r="AA65" s="38" t="n">
        <x:v>0.0453909945</x:v>
      </x:c>
      <x:c r="AB65" s="38" t="n">
        <x:v>-0.5452064138</x:v>
      </x:c>
      <x:c r="AC65" s="38" t="n">
        <x:v>0.0128966789</x:v>
      </x:c>
      <x:c r="AD65" s="38" t="n">
        <x:v>0.0140827853</x:v>
      </x:c>
      <x:c r="AE65" s="38" t="n">
        <x:v>0.0250342509</x:v>
      </x:c>
      <x:c r="AF65" s="38" t="n">
        <x:v>-0.0365979481</x:v>
      </x:c>
      <x:c r="AG65" s="38" t="n">
        <x:v>0.047748589</x:v>
      </x:c>
      <x:c r="AH65" s="38" t="n">
        <x:v>0.0595295672</x:v>
      </x:c>
      <x:c r="AI65" s="38" t="n">
        <x:v>-0.0975731981</x:v>
      </x:c>
      <x:c r="AJ65" s="38" t="n">
        <x:v>0.0456417036</x:v>
      </x:c>
      <x:c r="AK65" s="38" t="n">
        <x:v>0.1015897426</x:v>
      </x:c>
      <x:c r="AL65" s="38" t="n">
        <x:v>0.0330197486</x:v>
      </x:c>
      <x:c r="AM65" s="38" t="n">
        <x:v>-0.024703866</x:v>
      </x:c>
      <x:c r="AN65" s="38" t="n">
        <x:v>0.0772201712</x:v>
      </x:c>
      <x:c r="AO65" s="38" t="n">
        <x:v>0.0834206066</x:v>
      </x:c>
      <x:c r="AP65" s="38" t="n">
        <x:v>0.0711189905</x:v>
      </x:c>
      <x:c r="AQ65" s="38" t="n">
        <x:v>0.0345155712</x:v>
      </x:c>
      <x:c r="AR65" s="38" t="n">
        <x:v>0.0671241245</x:v>
      </x:c>
      <x:c r="AS65" s="38" t="n">
        <x:v>0.0409370448</x:v>
      </x:c>
    </x:row>
    <x:row r="66" ht="19" customHeight="1">
      <x:c r="A66" s="29" t="str">
        <x:v>Original</x:v>
      </x:c>
      <x:c r="B66" s="39" t="d">
        <x:v>2025-02-24T00:00:00.000Z</x:v>
      </x:c>
      <x:c r="C66" s="38" t="n">
        <x:v>-0.2899232366</x:v>
      </x:c>
      <x:c r="D66" s="38" t="n">
        <x:v>-0.0767178023</x:v>
      </x:c>
      <x:c r="E66" s="38" t="n">
        <x:v>0.1071643417</x:v>
      </x:c>
      <x:c r="F66" s="38" t="n">
        <x:v>0.1030463009</x:v>
      </x:c>
      <x:c r="G66" s="38" t="n">
        <x:v>0.0082651546</x:v>
      </x:c>
      <x:c r="H66" s="38" t="n">
        <x:v>-0.0988580563</x:v>
      </x:c>
      <x:c r="I66" s="38" t="n">
        <x:v>-0.1431847245</x:v>
      </x:c>
      <x:c r="J66" s="38" t="n">
        <x:v>-0.2331734418</x:v>
      </x:c>
      <x:c r="K66" s="38" t="n">
        <x:v>0.0709454702</x:v>
      </x:c>
      <x:c r="L66" s="38" t="n">
        <x:v>-0.0218098367</x:v>
      </x:c>
      <x:c r="M66" s="38" t="n">
        <x:v>-0.1561028139</x:v>
      </x:c>
      <x:c r="N66" s="38" t="n">
        <x:v>0.0177874384</x:v>
      </x:c>
      <x:c r="O66" s="38" t="n">
        <x:v>-0.0161941939</x:v>
      </x:c>
      <x:c r="P66" s="38" t="n">
        <x:v>-0.0077188365</x:v>
      </x:c>
      <x:c r="Q66" s="38" t="n">
        <x:v>0.2292704415</x:v>
      </x:c>
      <x:c r="R66" s="38" t="n">
        <x:v>0.0411672056</x:v>
      </x:c>
      <x:c r="S66" s="38" t="n">
        <x:v>0.0891846746</x:v>
      </x:c>
      <x:c r="T66" s="38" t="n">
        <x:v>0.0616383536</x:v>
      </x:c>
      <x:c r="U66" s="38" t="n">
        <x:v>-0.306056108</x:v>
      </x:c>
      <x:c r="V66" s="38" t="n">
        <x:v>-0.2665224162</x:v>
      </x:c>
      <x:c r="W66" s="38" t="n">
        <x:v>0.0049191969</x:v>
      </x:c>
      <x:c r="X66" s="38" t="n">
        <x:v>0.0809171361</x:v>
      </x:c>
      <x:c r="Y66" s="38" t="n">
        <x:v>0.0327589334</x:v>
      </x:c>
      <x:c r="Z66" s="38" t="n">
        <x:v>0.003553688</x:v>
      </x:c>
      <x:c r="AA66" s="38" t="n">
        <x:v>0.170764625</x:v>
      </x:c>
      <x:c r="AB66" s="38" t="n">
        <x:v>-0.3566414444</x:v>
      </x:c>
      <x:c r="AC66" s="38" t="n">
        <x:v>0.037118538</x:v>
      </x:c>
      <x:c r="AD66" s="38" t="n">
        <x:v>0.0585410271</x:v>
      </x:c>
      <x:c r="AE66" s="38" t="n">
        <x:v>-0.0276882779</x:v>
      </x:c>
      <x:c r="AF66" s="38" t="n">
        <x:v>-0.0853166164</x:v>
      </x:c>
      <x:c r="AG66" s="38" t="n">
        <x:v>-0.0136379223</x:v>
      </x:c>
      <x:c r="AH66" s="38" t="n">
        <x:v>-0.1376515257</x:v>
      </x:c>
      <x:c r="AI66" s="38" t="n">
        <x:v>-0.1892631504</x:v>
      </x:c>
      <x:c r="AJ66" s="38" t="n">
        <x:v>0.1626880389</x:v>
      </x:c>
      <x:c r="AK66" s="38" t="n">
        <x:v>0.1546200799</x:v>
      </x:c>
      <x:c r="AL66" s="38" t="n">
        <x:v>0.0624486422</x:v>
      </x:c>
      <x:c r="AM66" s="38" t="n">
        <x:v>-0.0538548579</x:v>
      </x:c>
      <x:c r="AN66" s="38" t="n">
        <x:v>-0.2290240495</x:v>
      </x:c>
      <x:c r="AO66" s="38" t="n">
        <x:v>0.0872834199</x:v>
      </x:c>
      <x:c r="AP66" s="38" t="n">
        <x:v>-0.04820159</x:v>
      </x:c>
      <x:c r="AQ66" s="38" t="n">
        <x:v>0.1455784897</x:v>
      </x:c>
      <x:c r="AR66" s="38" t="n">
        <x:v>0.1129733314</x:v>
      </x:c>
      <x:c r="AS66" s="38" t="n">
        <x:v>0.1165473929</x:v>
      </x:c>
    </x:row>
    <x:row r="67" ht="19" customHeight="1">
      <x:c r="A67" s="29" t="str">
        <x:v>Original</x:v>
      </x:c>
      <x:c r="B67" s="39" t="d">
        <x:v>2025-03-24T00:00:00.000Z</x:v>
      </x:c>
      <x:c r="C67" s="38" t="n">
        <x:v>-0.1465156714</x:v>
      </x:c>
      <x:c r="D67" s="38" t="n">
        <x:v>-0.0857961864</x:v>
      </x:c>
      <x:c r="E67" s="38" t="n">
        <x:v>0.0109784565</x:v>
      </x:c>
      <x:c r="F67" s="38" t="n">
        <x:v>-0.0434024164</x:v>
      </x:c>
      <x:c r="G67" s="38" t="n">
        <x:v>-0.1911425805</x:v>
      </x:c>
      <x:c r="H67" s="38" t="n">
        <x:v>-0.1004878692</x:v>
      </x:c>
      <x:c r="I67" s="38" t="n">
        <x:v>-0.1242080967</x:v>
      </x:c>
      <x:c r="J67" s="38" t="n">
        <x:v>-0.1451858668</x:v>
      </x:c>
      <x:c r="K67" s="38" t="n">
        <x:v>-0.22386043</x:v>
      </x:c>
      <x:c r="L67" s="38" t="n">
        <x:v>0.0073502252</x:v>
      </x:c>
      <x:c r="M67" s="38" t="n">
        <x:v>-0.0588977273</x:v>
      </x:c>
      <x:c r="N67" s="38" t="n">
        <x:v>-0.05669227</x:v>
      </x:c>
      <x:c r="O67" s="38" t="n">
        <x:v>-0.0537209707</x:v>
      </x:c>
      <x:c r="P67" s="38" t="n">
        <x:v>-0.2391581092</x:v>
      </x:c>
      <x:c r="Q67" s="38" t="n">
        <x:v>-0.0156868559</x:v>
      </x:c>
      <x:c r="R67" s="38" t="n">
        <x:v>-0.2908460718</x:v>
      </x:c>
      <x:c r="S67" s="38" t="n">
        <x:v>0.048425377</x:v>
      </x:c>
      <x:c r="T67" s="38" t="n">
        <x:v>-0.3013909298</x:v>
      </x:c>
      <x:c r="U67" s="38" t="n">
        <x:v>0.0066232649</x:v>
      </x:c>
      <x:c r="V67" s="38" t="n">
        <x:v>0.0157079758</x:v>
      </x:c>
      <x:c r="W67" s="38" t="n">
        <x:v>-0.0627132076</x:v>
      </x:c>
      <x:c r="X67" s="38" t="n">
        <x:v>0.0262304711</x:v>
      </x:c>
      <x:c r="Y67" s="38" t="n">
        <x:v>-0.0732730679</x:v>
      </x:c>
      <x:c r="Z67" s="38" t="n">
        <x:v>0.155875248</x:v>
      </x:c>
      <x:c r="AA67" s="38" t="n">
        <x:v>-0.0143872488</x:v>
      </x:c>
      <x:c r="AB67" s="38" t="n">
        <x:v>0.2675860791</x:v>
      </x:c>
      <x:c r="AC67" s="38" t="n">
        <x:v>-0.4413056163</x:v>
      </x:c>
      <x:c r="AD67" s="38" t="n">
        <x:v>-0.0436771268</x:v>
      </x:c>
      <x:c r="AE67" s="38" t="n">
        <x:v>0.0226712659</x:v>
      </x:c>
      <x:c r="AF67" s="38" t="n">
        <x:v>-0.2810942217</x:v>
      </x:c>
      <x:c r="AG67" s="38" t="n">
        <x:v>-0.009749272</x:v>
      </x:c>
      <x:c r="AH67" s="38" t="n">
        <x:v>0.2010542091</x:v>
      </x:c>
      <x:c r="AI67" s="38" t="n">
        <x:v>0.0425216349</x:v>
      </x:c>
      <x:c r="AJ67" s="38" t="n">
        <x:v>-0.1448046283</x:v>
      </x:c>
      <x:c r="AK67" s="38" t="n">
        <x:v>-0.0007534821</x:v>
      </x:c>
      <x:c r="AL67" s="38" t="n">
        <x:v>0.1053151107</x:v>
      </x:c>
      <x:c r="AM67" s="38" t="n">
        <x:v>-0.060265151</x:v>
      </x:c>
      <x:c r="AN67" s="38" t="n">
        <x:v>-0.1248916986</x:v>
      </x:c>
      <x:c r="AO67" s="38" t="n">
        <x:v>-0.1547038444</x:v>
      </x:c>
      <x:c r="AP67" s="38" t="n">
        <x:v>-0.1229008596</x:v>
      </x:c>
      <x:c r="AQ67" s="38" t="n">
        <x:v>-0.0057998194</x:v>
      </x:c>
      <x:c r="AR67" s="38" t="n">
        <x:v>-0.01024054</x:v>
      </x:c>
      <x:c r="AS67" s="38" t="n">
        <x:v>0.0308347951</x:v>
      </x:c>
    </x:row>
    <x:row r="68" ht="19" customHeight="1">
      <x:c r="A68" s="29" t="str">
        <x:v>Original</x:v>
      </x:c>
      <x:c r="B68" s="39" t="d">
        <x:v>2025-04-21T00:00:00.000Z</x:v>
      </x:c>
      <x:c r="C68" s="38" t="n">
        <x:v>0.080540274</x:v>
      </x:c>
      <x:c r="D68" s="38" t="n">
        <x:v>0.0144597492</x:v>
      </x:c>
      <x:c r="E68" s="38" t="n">
        <x:v>-0.0026830917</x:v>
      </x:c>
      <x:c r="F68" s="38" t="n">
        <x:v>0.0030837883</x:v>
      </x:c>
      <x:c r="G68" s="38" t="n">
        <x:v>-0.1078551336</x:v>
      </x:c>
      <x:c r="H68" s="38" t="n">
        <x:v>0.0479328538</x:v>
      </x:c>
      <x:c r="I68" s="38" t="n">
        <x:v>-0.0254688785</x:v>
      </x:c>
      <x:c r="J68" s="38" t="n">
        <x:v>0.2657570686</x:v>
      </x:c>
      <x:c r="K68" s="38" t="n">
        <x:v>-0.0345205228</x:v>
      </x:c>
      <x:c r="L68" s="38" t="n">
        <x:v>-0.1873878546</x:v>
      </x:c>
      <x:c r="M68" s="38" t="n">
        <x:v>0.0180599246</x:v>
      </x:c>
      <x:c r="N68" s="38" t="n">
        <x:v>0.1131470556</x:v>
      </x:c>
      <x:c r="O68" s="38" t="n">
        <x:v>0.0200032758</x:v>
      </x:c>
      <x:c r="P68" s="38" t="n">
        <x:v>0.0051229803</x:v>
      </x:c>
      <x:c r="Q68" s="38" t="n">
        <x:v>0.0774354537</x:v>
      </x:c>
      <x:c r="R68" s="38" t="n">
        <x:v>-0.1374266054</x:v>
      </x:c>
      <x:c r="S68" s="38" t="n">
        <x:v>0.0201198209</x:v>
      </x:c>
      <x:c r="T68" s="38" t="n">
        <x:v>0.0671825275</x:v>
      </x:c>
      <x:c r="U68" s="38" t="n">
        <x:v>-0.1744888778</x:v>
      </x:c>
      <x:c r="V68" s="38" t="n">
        <x:v>0.1577277295</x:v>
      </x:c>
      <x:c r="W68" s="38" t="n">
        <x:v>0.2152000235</x:v>
      </x:c>
      <x:c r="X68" s="38" t="n">
        <x:v>-0.0888117054</x:v>
      </x:c>
      <x:c r="Y68" s="38" t="n">
        <x:v>-0.1325951182</x:v>
      </x:c>
      <x:c r="Z68" s="38" t="n">
        <x:v>0.1498689352</x:v>
      </x:c>
      <x:c r="AA68" s="38" t="n">
        <x:v>-0.0659216889</x:v>
      </x:c>
      <x:c r="AB68" s="38" t="n">
        <x:v>-0.2791115586</x:v>
      </x:c>
      <x:c r="AC68" s="38" t="n">
        <x:v>0.0377511937</x:v>
      </x:c>
      <x:c r="AD68" s="38" t="n">
        <x:v>-0.0474341591</x:v>
      </x:c>
      <x:c r="AE68" s="38" t="n">
        <x:v>0.0422106436</x:v>
      </x:c>
      <x:c r="AF68" s="38" t="n">
        <x:v>0.0366189572</x:v>
      </x:c>
      <x:c r="AG68" s="38" t="n">
        <x:v>0.0344298955</x:v>
      </x:c>
      <x:c r="AH68" s="38" t="n">
        <x:v>0.1253443443</x:v>
      </x:c>
      <x:c r="AI68" s="38" t="n">
        <x:v>-0.0857028837</x:v>
      </x:c>
      <x:c r="AJ68" s="38" t="n">
        <x:v>0.094747337</x:v>
      </x:c>
      <x:c r="AK68" s="38" t="n">
        <x:v>-0.0560594225</x:v>
      </x:c>
      <x:c r="AL68" s="38" t="n">
        <x:v>-0.0562227298</x:v>
      </x:c>
      <x:c r="AM68" s="38" t="n">
        <x:v>0.0441382706</x:v>
      </x:c>
      <x:c r="AN68" s="38" t="n">
        <x:v>0.0628844542</x:v>
      </x:c>
      <x:c r="AO68" s="38" t="n">
        <x:v>0.0649373481</x:v>
      </x:c>
      <x:c r="AP68" s="38" t="n">
        <x:v>-0.0020755714</x:v>
      </x:c>
      <x:c r="AQ68" s="38" t="n">
        <x:v>0.0282109438</x:v>
      </x:c>
      <x:c r="AR68" s="38" t="n">
        <x:v>-0.0747805456</x:v>
      </x:c>
      <x:c r="AS68" s="38" t="n">
        <x:v>0.0114628689</x:v>
      </x:c>
    </x:row>
    <x:row r="69" ht="19" customHeight="1">
      <x:c r="A69" s="29" t="str">
        <x:v>Original</x:v>
      </x:c>
      <x:c r="B69" s="39" t="d">
        <x:v>2025-05-19T00:00:00.000Z</x:v>
      </x:c>
      <x:c r="C69" s="38" t="n">
        <x:v>0.293747019</x:v>
      </x:c>
      <x:c r="D69" s="38" t="n">
        <x:v>0.0472982903</x:v>
      </x:c>
      <x:c r="E69" s="38" t="n">
        <x:v>-0.0369429239</x:v>
      </x:c>
      <x:c r="F69" s="38" t="n">
        <x:v>-0.0187145081</x:v>
      </x:c>
      <x:c r="G69" s="38" t="n">
        <x:v>0.2577412466</x:v>
      </x:c>
      <x:c r="H69" s="38" t="n">
        <x:v>-0.0296836403</x:v>
      </x:c>
      <x:c r="I69" s="38" t="n">
        <x:v>0.081361757</x:v>
      </x:c>
      <x:c r="J69" s="38" t="n">
        <x:v>0.2271533367</x:v>
      </x:c>
      <x:c r="K69" s="38" t="n">
        <x:v>0.4095307648</x:v>
      </x:c>
      <x:c r="L69" s="38" t="n">
        <x:v>0.1714280134</x:v>
      </x:c>
      <x:c r="M69" s="38" t="n">
        <x:v>0.172495835</x:v>
      </x:c>
      <x:c r="N69" s="38" t="n">
        <x:v>0.1307365912</x:v>
      </x:c>
      <x:c r="O69" s="38" t="n">
        <x:v>0.0956950607</x:v>
      </x:c>
      <x:c r="P69" s="38" t="n">
        <x:v>0.2741415759</x:v>
      </x:c>
      <x:c r="Q69" s="38" t="n">
        <x:v>-0.0174249057</x:v>
      </x:c>
      <x:c r="R69" s="38" t="n">
        <x:v>-0.1242909142</x:v>
      </x:c>
      <x:c r="S69" s="38" t="n">
        <x:v>0.0853746288</x:v>
      </x:c>
      <x:c r="T69" s="38" t="n">
        <x:v>0.35295489</x:v>
      </x:c>
      <x:c r="U69" s="38" t="n">
        <x:v>-0.0474537318</x:v>
      </x:c>
      <x:c r="V69" s="38" t="n">
        <x:v>0.2533716511</x:v>
      </x:c>
      <x:c r="W69" s="38" t="n">
        <x:v>0.096971258</x:v>
      </x:c>
      <x:c r="X69" s="38" t="n">
        <x:v>0.0239533188</x:v>
      </x:c>
      <x:c r="Y69" s="38" t="n">
        <x:v>0.207891027</x:v>
      </x:c>
      <x:c r="Z69" s="38" t="n">
        <x:v>-0.0071247884</x:v>
      </x:c>
      <x:c r="AA69" s="38" t="n">
        <x:v>0.0599133428</x:v>
      </x:c>
      <x:c r="AB69" s="38" t="n">
        <x:v>0.1081032808</x:v>
      </x:c>
      <x:c r="AC69" s="38" t="n">
        <x:v>-0.0962746805</x:v>
      </x:c>
      <x:c r="AD69" s="38" t="n">
        <x:v>0.0391408264</x:v>
      </x:c>
      <x:c r="AE69" s="38" t="n">
        <x:v>0.0606120069</x:v>
      </x:c>
      <x:c r="AF69" s="38" t="n">
        <x:v>0.0927023056</x:v>
      </x:c>
      <x:c r="AG69" s="38" t="n">
        <x:v>0.1698915754</x:v>
      </x:c>
      <x:c r="AH69" s="38" t="n">
        <x:v>-0.0076814064</x:v>
      </x:c>
      <x:c r="AI69" s="38" t="n">
        <x:v>0.1747190667</x:v>
      </x:c>
      <x:c r="AJ69" s="38" t="n">
        <x:v>-0.2809064427</x:v>
      </x:c>
      <x:c r="AK69" s="38" t="n">
        <x:v>0.0258362473</x:v>
      </x:c>
      <x:c r="AL69" s="38" t="n">
        <x:v>0.1016638988</x:v>
      </x:c>
      <x:c r="AM69" s="38" t="n">
        <x:v>0.1858265044</x:v>
      </x:c>
      <x:c r="AN69" s="38" t="n">
        <x:v>0.0520838008</x:v>
      </x:c>
      <x:c r="AO69" s="38" t="n">
        <x:v>0.0434438886</x:v>
      </x:c>
      <x:c r="AP69" s="38" t="n">
        <x:v>0.0188262189</x:v>
      </x:c>
      <x:c r="AQ69" s="38" t="n">
        <x:v>-0.002575788</x:v>
      </x:c>
      <x:c r="AR69" s="38" t="n">
        <x:v>-0.0140968183</x:v>
      </x:c>
      <x:c r="AS69" s="38" t="n">
        <x:v>-0.0702882775</x:v>
      </x:c>
    </x:row>
    <x:row r="70" ht="19" customHeight="1">
      <x:c r="A70" s="29" t="str">
        <x:v>Original</x:v>
      </x:c>
      <x:c r="B70" s="39" t="d">
        <x:v>2025-06-16T00:00:00.000Z</x:v>
      </x:c>
      <x:c r="C70" s="38" t="n">
        <x:v>0.2125294656</x:v>
      </x:c>
      <x:c r="D70" s="38" t="n">
        <x:v>0.0348178165</x:v>
      </x:c>
      <x:c r="E70" s="38" t="n">
        <x:v>-0.0148040454</x:v>
      </x:c>
      <x:c r="F70" s="38" t="n">
        <x:v>-0.0302808818</x:v>
      </x:c>
      <x:c r="G70" s="38" t="n">
        <x:v>0.0933091147</x:v>
      </x:c>
      <x:c r="H70" s="38" t="n">
        <x:v>0.0557449368</x:v>
      </x:c>
      <x:c r="I70" s="38" t="n">
        <x:v>0.0567999426</x:v>
      </x:c>
      <x:c r="J70" s="38" t="n">
        <x:v>0.0787208482</x:v>
      </x:c>
      <x:c r="K70" s="38" t="n">
        <x:v>0.2008038839</x:v>
      </x:c>
      <x:c r="L70" s="38" t="n">
        <x:v>0.1248603276</x:v>
      </x:c>
      <x:c r="M70" s="38" t="n">
        <x:v>0.162677732</x:v>
      </x:c>
      <x:c r="N70" s="38" t="n">
        <x:v>0.0282296787</x:v>
      </x:c>
      <x:c r="O70" s="38" t="n">
        <x:v>-0.0215440434</x:v>
      </x:c>
      <x:c r="P70" s="38" t="n">
        <x:v>0.2261078117</x:v>
      </x:c>
      <x:c r="Q70" s="38" t="n">
        <x:v>0.1179402303</x:v>
      </x:c>
      <x:c r="R70" s="38" t="n">
        <x:v>-0.0305146559</x:v>
      </x:c>
      <x:c r="S70" s="38" t="n">
        <x:v>-0.0423042285</x:v>
      </x:c>
      <x:c r="T70" s="38" t="n">
        <x:v>0.1691760874</x:v>
      </x:c>
      <x:c r="U70" s="38" t="n">
        <x:v>-0.0185029055</x:v>
      </x:c>
      <x:c r="V70" s="38" t="n">
        <x:v>0.0816746606</x:v>
      </x:c>
      <x:c r="W70" s="38" t="n">
        <x:v>0.0510535012</x:v>
      </x:c>
      <x:c r="X70" s="38" t="n">
        <x:v>0.000388322</x:v>
      </x:c>
      <x:c r="Y70" s="38" t="n">
        <x:v>0.3759585418</x:v>
      </x:c>
      <x:c r="Z70" s="38" t="n">
        <x:v>0.1160660183</x:v>
      </x:c>
      <x:c r="AA70" s="38" t="n">
        <x:v>-0.0760243785</x:v>
      </x:c>
      <x:c r="AB70" s="38" t="n">
        <x:v>0.0865080825</x:v>
      </x:c>
      <x:c r="AC70" s="38" t="n">
        <x:v>0.3326785289</x:v>
      </x:c>
      <x:c r="AD70" s="38" t="n">
        <x:v>-0.0559442943</x:v>
      </x:c>
      <x:c r="AE70" s="38" t="n">
        <x:v>0.029432643</x:v>
      </x:c>
      <x:c r="AF70" s="38" t="n">
        <x:v>0.050690276</x:v>
      </x:c>
      <x:c r="AG70" s="38" t="n">
        <x:v>-0.024128087</x:v>
      </x:c>
      <x:c r="AH70" s="38" t="n">
        <x:v>0.0653255426</x:v>
      </x:c>
      <x:c r="AI70" s="38" t="n">
        <x:v>0.201877667</x:v>
      </x:c>
      <x:c r="AJ70" s="38" t="n">
        <x:v>0.0890398801</x:v>
      </x:c>
      <x:c r="AK70" s="38" t="n">
        <x:v>0.0184726243</x:v>
      </x:c>
      <x:c r="AL70" s="38" t="n">
        <x:v>-0.0537772032</x:v>
      </x:c>
      <x:c r="AM70" s="38" t="n">
        <x:v>0.0786916599</x:v>
      </x:c>
      <x:c r="AN70" s="38" t="n">
        <x:v>-0.0130180251</x:v>
      </x:c>
      <x:c r="AO70" s="38" t="n">
        <x:v>-0.0380286406</x:v>
      </x:c>
      <x:c r="AP70" s="38" t="n">
        <x:v>-0.040964916</x:v>
      </x:c>
      <x:c r="AQ70" s="38" t="n">
        <x:v>-0.0463737736</x:v>
      </x:c>
      <x:c r="AR70" s="38" t="n">
        <x:v>-0.0164536919</x:v>
      </x:c>
      <x:c r="AS70" s="38" t="n">
        <x:v>-0.0504860693</x:v>
      </x:c>
    </x:row>
    <x:row r="71" ht="19" customHeight="1">
      <x:c r="A71" s="29" t="str">
        <x:v>Original</x:v>
      </x:c>
      <x:c r="B71" s="39" t="d">
        <x:v>2025-07-14T00:00:00.000Z</x:v>
      </x:c>
      <x:c r="C71" s="38" t="n">
        <x:v>0.056886716</x:v>
      </x:c>
      <x:c r="D71" s="38" t="n">
        <x:v>-0.1859065377</x:v>
      </x:c>
      <x:c r="E71" s="38" t="n">
        <x:v>0.0734660686</x:v>
      </x:c>
      <x:c r="F71" s="38" t="n">
        <x:v>0.0882399685</x:v>
      </x:c>
      <x:c r="G71" s="38" t="n">
        <x:v>0.0488947918</x:v>
      </x:c>
      <x:c r="H71" s="38" t="n">
        <x:v>0.0293022236</x:v>
      </x:c>
      <x:c r="I71" s="38" t="n">
        <x:v>0.1026103805</x:v>
      </x:c>
      <x:c r="J71" s="38" t="n">
        <x:v>0.139806996</x:v>
      </x:c>
      <x:c r="K71" s="38" t="n">
        <x:v>0.1832799797</x:v>
      </x:c>
      <x:c r="L71" s="38" t="n">
        <x:v>0.0478041218</x:v>
      </x:c>
      <x:c r="M71" s="38" t="n">
        <x:v>-0.1089604003</x:v>
      </x:c>
      <x:c r="N71" s="38" t="n">
        <x:v>-0.008098458</x:v>
      </x:c>
      <x:c r="O71" s="38" t="n">
        <x:v>0.0139449151</x:v>
      </x:c>
      <x:c r="P71" s="38" t="n">
        <x:v>0.1863346448</x:v>
      </x:c>
      <x:c r="Q71" s="38" t="n">
        <x:v>-0.0548868643</x:v>
      </x:c>
      <x:c r="R71" s="38" t="n">
        <x:v>0.1032983729</x:v>
      </x:c>
      <x:c r="S71" s="38" t="n">
        <x:v>0.0035183049</x:v>
      </x:c>
      <x:c r="T71" s="38" t="n">
        <x:v>0.1303954851</x:v>
      </x:c>
      <x:c r="U71" s="38" t="n">
        <x:v>0.2557059901</x:v>
      </x:c>
      <x:c r="V71" s="38" t="n">
        <x:v>-0.0376451913</x:v>
      </x:c>
      <x:c r="W71" s="38" t="n">
        <x:v>-0.0246979929</x:v>
      </x:c>
      <x:c r="X71" s="38" t="n">
        <x:v>0.0127984531</x:v>
      </x:c>
      <x:c r="Y71" s="38" t="n">
        <x:v>-0.1039919499</x:v>
      </x:c>
      <x:c r="Z71" s="38" t="n">
        <x:v>-0.0009341734</x:v>
      </x:c>
      <x:c r="AA71" s="38" t="n">
        <x:v>-0.0829228749</x:v>
      </x:c>
      <x:c r="AB71" s="38" t="n">
        <x:v>0.29775227</x:v>
      </x:c>
      <x:c r="AC71" s="38" t="n">
        <x:v>0.4087815875</x:v>
      </x:c>
      <x:c r="AD71" s="38" t="n">
        <x:v>-0.0251793885</x:v>
      </x:c>
      <x:c r="AE71" s="38" t="n">
        <x:v>0.071269889</x:v>
      </x:c>
      <x:c r="AF71" s="38" t="n">
        <x:v>0.2196857047</x:v>
      </x:c>
      <x:c r="AG71" s="38" t="n">
        <x:v>0.1946146963</x:v>
      </x:c>
      <x:c r="AH71" s="38" t="n">
        <x:v>0.1109786688</x:v>
      </x:c>
      <x:c r="AI71" s="38" t="n">
        <x:v>0.2749858787</x:v>
      </x:c>
      <x:c r="AJ71" s="38" t="n">
        <x:v>0.0159120243</x:v>
      </x:c>
      <x:c r="AK71" s="38" t="n">
        <x:v>0.0684486561</x:v>
      </x:c>
      <x:c r="AL71" s="38" t="n">
        <x:v>-0.1046240914</x:v>
      </x:c>
      <x:c r="AM71" s="38" t="n">
        <x:v>0.0899325576</x:v>
      </x:c>
      <x:c r="AN71" s="38" t="n">
        <x:v>0.1425296808</x:v>
      </x:c>
      <x:c r="AO71" s="38" t="n">
        <x:v>-0.0413092105</x:v>
      </x:c>
      <x:c r="AP71" s="38" t="n">
        <x:v>0.0375059705</x:v>
      </x:c>
      <x:c r="AQ71" s="38" t="n">
        <x:v>0.0198002399</x:v>
      </x:c>
      <x:c r="AR71" s="38" t="n">
        <x:v>0.1207200377</x:v>
      </x:c>
      <x:c r="AS71" s="38" t="n">
        <x:v>-0.0313409836</x:v>
      </x:c>
    </x:row>
    <x:row r="72" ht="19" customHeight="1">
      <x:c r="A72" s="29" t="str">
        <x:v>Original</x:v>
      </x:c>
      <x:c r="B72" s="39" t="d">
        <x:v>2025-08-11T00:00:00.000Z</x:v>
      </x:c>
      <x:c r="C72" s="38" t="n">
        <x:v>0.0305192617</x:v>
      </x:c>
      <x:c r="D72" s="38" t="n">
        <x:v>-0.0980882405</x:v>
      </x:c>
      <x:c r="E72" s="38" t="n">
        <x:v>0.0690202664</x:v>
      </x:c>
      <x:c r="F72" s="38" t="n">
        <x:v>0.0518674874</x:v>
      </x:c>
      <x:c r="G72" s="38" t="n">
        <x:v>-0.0702302518</x:v>
      </x:c>
      <x:c r="H72" s="38" t="n">
        <x:v>-0.2793177395</x:v>
      </x:c>
      <x:c r="I72" s="38" t="n">
        <x:v>0.0295568054</x:v>
      </x:c>
      <x:c r="J72" s="38" t="n">
        <x:v>0.2848201961</x:v>
      </x:c>
      <x:c r="K72" s="38" t="n">
        <x:v>0.0487037013</x:v>
      </x:c>
      <x:c r="L72" s="38" t="n">
        <x:v>-0.0799291632</x:v>
      </x:c>
      <x:c r="M72" s="38" t="n">
        <x:v>-0.0958890351</x:v>
      </x:c>
      <x:c r="N72" s="38" t="n">
        <x:v>-0.0678091458</x:v>
      </x:c>
      <x:c r="O72" s="38" t="n">
        <x:v>0.0165346306</x:v>
      </x:c>
      <x:c r="P72" s="38" t="n">
        <x:v>0.1361922585</x:v>
      </x:c>
      <x:c r="Q72" s="38" t="n">
        <x:v>0.2132529577</x:v>
      </x:c>
      <x:c r="R72" s="38" t="n">
        <x:v>0.069224944</x:v>
      </x:c>
      <x:c r="S72" s="38" t="n">
        <x:v>-0.0039204644</x:v>
      </x:c>
      <x:c r="T72" s="38" t="n">
        <x:v>0.0246495001</x:v>
      </x:c>
      <x:c r="U72" s="38" t="n">
        <x:v>-0.1508632085</x:v>
      </x:c>
      <x:c r="V72" s="38" t="n">
        <x:v>-0.0033777091</x:v>
      </x:c>
      <x:c r="W72" s="38" t="n">
        <x:v>0.0334650428</x:v>
      </x:c>
      <x:c r="X72" s="38" t="n">
        <x:v>-0.0442112592</x:v>
      </x:c>
      <x:c r="Y72" s="38" t="n">
        <x:v>0.075971389</x:v>
      </x:c>
      <x:c r="Z72" s="38" t="n">
        <x:v>0.2415066541</x:v>
      </x:c>
      <x:c r="AA72" s="38" t="n">
        <x:v>0.0041341501</x:v>
      </x:c>
      <x:c r="AB72" s="38" t="n">
        <x:v>0.0765396911</x:v>
      </x:c>
      <x:c r="AC72" s="38" t="n">
        <x:v>-0.277162391</x:v>
      </x:c>
      <x:c r="AD72" s="38" t="n">
        <x:v>-0.006593713</x:v>
      </x:c>
      <x:c r="AE72" s="38" t="n">
        <x:v>0.0525569946</x:v>
      </x:c>
      <x:c r="AF72" s="38" t="n">
        <x:v>0.0032616649</x:v>
      </x:c>
      <x:c r="AG72" s="38" t="n">
        <x:v>0.0351381935</x:v>
      </x:c>
      <x:c r="AH72" s="38" t="n">
        <x:v>0.0622834264</x:v>
      </x:c>
      <x:c r="AI72" s="38" t="n">
        <x:v>0.169371458</x:v>
      </x:c>
      <x:c r="AJ72" s="38" t="n">
        <x:v>-0.1290214338</x:v>
      </x:c>
      <x:c r="AK72" s="38" t="n">
        <x:v>0.0390620624</x:v>
      </x:c>
      <x:c r="AL72" s="38" t="n">
        <x:v>-0.1543723066</x:v>
      </x:c>
      <x:c r="AM72" s="38" t="n">
        <x:v>0.0270880521</x:v>
      </x:c>
      <x:c r="AN72" s="38" t="n">
        <x:v>0.1336686132</x:v>
      </x:c>
      <x:c r="AO72" s="38" t="n">
        <x:v>0.032152153</x:v>
      </x:c>
      <x:c r="AP72" s="38" t="n">
        <x:v>0.1454261421</x:v>
      </x:c>
      <x:c r="AQ72" s="38" t="n">
        <x:v>0.001381102</x:v>
      </x:c>
      <x:c r="AR72" s="38" t="n">
        <x:v>0.1048927304</x:v>
      </x:c>
      <x:c r="AS72" s="38" t="n">
        <x:v>0.009858638</x:v>
      </x:c>
    </x:row>
    <x:row r="73" ht="19" customHeight="1">
      <x:c r="A73" s="29" t="str">
        <x:v>Original</x:v>
      </x:c>
      <x:c r="B73" s="39" t="d">
        <x:v>2025-09-08T00:00:00.000Z</x:v>
      </x:c>
      <x:c r="C73" s="38" t="n">
        <x:v>0.0850183949</x:v>
      </x:c>
      <x:c r="D73" s="38" t="n">
        <x:v>-0.2101153598</x:v>
      </x:c>
      <x:c r="E73" s="38" t="n">
        <x:v>-0.0319520334</x:v>
      </x:c>
      <x:c r="F73" s="38" t="n">
        <x:v>0.0182381207</x:v>
      </x:c>
      <x:c r="G73" s="38" t="n">
        <x:v>0.0068903142</x:v>
      </x:c>
      <x:c r="H73" s="38" t="n">
        <x:v>-0.1832766126</x:v>
      </x:c>
      <x:c r="I73" s="38" t="n">
        <x:v>-0.0175409292</x:v>
      </x:c>
      <x:c r="J73" s="38" t="n">
        <x:v>0.1421035906</x:v>
      </x:c>
      <x:c r="K73" s="38" t="n">
        <x:v>0.3332516422</x:v>
      </x:c>
      <x:c r="L73" s="38" t="n">
        <x:v>0.1900885677</x:v>
      </x:c>
      <x:c r="M73" s="38" t="n">
        <x:v>-0.0044021232</x:v>
      </x:c>
      <x:c r="N73" s="38" t="n">
        <x:v>-0.0044126544</x:v>
      </x:c>
      <x:c r="O73" s="38" t="n">
        <x:v>0.0105632774</x:v>
      </x:c>
      <x:c r="P73" s="38" t="n">
        <x:v>0.3696709112</x:v>
      </x:c>
      <x:c r="Q73" s="38" t="n">
        <x:v>-0.0194540076</x:v>
      </x:c>
      <x:c r="R73" s="38" t="n">
        <x:v>0.1951967974</x:v>
      </x:c>
      <x:c r="S73" s="38" t="n">
        <x:v>-0.0539408535</x:v>
      </x:c>
      <x:c r="T73" s="38" t="n">
        <x:v>0.135291098</x:v>
      </x:c>
      <x:c r="U73" s="38" t="n">
        <x:v>-0.2453949702</x:v>
      </x:c>
      <x:c r="V73" s="38" t="n">
        <x:v>0.0034996022</x:v>
      </x:c>
      <x:c r="W73" s="38" t="n">
        <x:v>-0.0582018379</x:v>
      </x:c>
      <x:c r="X73" s="38" t="n">
        <x:v>-0.0163991258</x:v>
      </x:c>
      <x:c r="Y73" s="38" t="n">
        <x:v>0.3677499986</x:v>
      </x:c>
      <x:c r="Z73" s="38" t="n">
        <x:v>0.1916396712</x:v>
      </x:c>
      <x:c r="AA73" s="38" t="n">
        <x:v>0.0063788839</x:v>
      </x:c>
      <x:c r="AB73" s="38" t="n">
        <x:v>0.0027266329</x:v>
      </x:c>
      <x:c r="AC73" s="38" t="n">
        <x:v>-0.0222116137</x:v>
      </x:c>
      <x:c r="AD73" s="38" t="n">
        <x:v>0.0317060429</x:v>
      </x:c>
      <x:c r="AE73" s="38" t="n">
        <x:v>0.0290319442</x:v>
      </x:c>
      <x:c r="AF73" s="38" t="n">
        <x:v>0.2180044066</x:v>
      </x:c>
      <x:c r="AG73" s="38" t="n">
        <x:v>-0.1198229821</x:v>
      </x:c>
      <x:c r="AH73" s="38" t="n">
        <x:v>0.0506147505</x:v>
      </x:c>
      <x:c r="AI73" s="38" t="n">
        <x:v>-0.1577734943</x:v>
      </x:c>
      <x:c r="AJ73" s="38" t="n">
        <x:v>0.1040326654</x:v>
      </x:c>
      <x:c r="AK73" s="38" t="n">
        <x:v>0.0524806098</x:v>
      </x:c>
      <x:c r="AL73" s="38" t="n">
        <x:v>0.0995781926</x:v>
      </x:c>
      <x:c r="AM73" s="38" t="n">
        <x:v>-0.0255870645</x:v>
      </x:c>
      <x:c r="AN73" s="38" t="n">
        <x:v>0.2338425644</x:v>
      </x:c>
      <x:c r="AO73" s="38" t="n">
        <x:v>-0.0059681667</x:v>
      </x:c>
      <x:c r="AP73" s="38" t="n">
        <x:v>0.0872313568</x:v>
      </x:c>
      <x:c r="AQ73" s="38" t="n">
        <x:v>-0.0594421251</x:v>
      </x:c>
      <x:c r="AR73" s="38" t="n">
        <x:v>0.0214221609</x:v>
      </x:c>
      <x:c r="AS73" s="38" t="n">
        <x:v>0.0476454225</x:v>
      </x:c>
    </x:row>
    <x:row r="74" ht="19" customHeight="1">
      <x:c r="A74" s="29" t="str">
        <x:v>Original</x:v>
      </x:c>
      <x:c r="B74" s="39" t="d">
        <x:v>2025-10-06T00:00:00.000Z</x:v>
      </x:c>
      <x:c r="C74" s="38" t="n">
        <x:v>-0.0880816772</x:v>
      </x:c>
      <x:c r="D74" s="38" t="n">
        <x:v>0.0564464347</x:v>
      </x:c>
      <x:c r="E74" s="38" t="n">
        <x:v>0.0949559307</x:v>
      </x:c>
      <x:c r="F74" s="38" t="n">
        <x:v>0.0759904748</x:v>
      </x:c>
      <x:c r="G74" s="38" t="n">
        <x:v>-0.085311389</x:v>
      </x:c>
      <x:c r="H74" s="38" t="n">
        <x:v>0.0430275423</x:v>
      </x:c>
      <x:c r="I74" s="38" t="n">
        <x:v>-0.0751822581</x:v>
      </x:c>
      <x:c r="J74" s="38" t="n">
        <x:v>0.1127717782</x:v>
      </x:c>
      <x:c r="K74" s="38" t="n">
        <x:v>0.131654336</x:v>
      </x:c>
      <x:c r="L74" s="38" t="n">
        <x:v>0.011715451</x:v>
      </x:c>
      <x:c r="M74" s="38" t="n">
        <x:v>0.0280412966</x:v>
      </x:c>
      <x:c r="N74" s="38" t="n">
        <x:v>0.0702005936</x:v>
      </x:c>
      <x:c r="O74" s="38" t="n">
        <x:v>-0.0698994719</x:v>
      </x:c>
      <x:c r="P74" s="38" t="n">
        <x:v>0.2369564485</x:v>
      </x:c>
      <x:c r="Q74" s="38" t="n">
        <x:v>0.0978439499</x:v>
      </x:c>
      <x:c r="R74" s="38" t="n">
        <x:v>0.0621936525</x:v>
      </x:c>
      <x:c r="S74" s="38" t="n">
        <x:v>0.048628088</x:v>
      </x:c>
      <x:c r="T74" s="38" t="n">
        <x:v>-0.0488916813</x:v>
      </x:c>
      <x:c r="U74" s="38" t="n">
        <x:v>0.1873334839</x:v>
      </x:c>
      <x:c r="V74" s="38" t="n">
        <x:v>-0.1032625713</x:v>
      </x:c>
      <x:c r="W74" s="38" t="n">
        <x:v>0.0372624249</x:v>
      </x:c>
      <x:c r="X74" s="38" t="n">
        <x:v>-0.1485285483</x:v>
      </x:c>
      <x:c r="Y74" s="38" t="n">
        <x:v>0.2052423242</x:v>
      </x:c>
      <x:c r="Z74" s="38" t="n">
        <x:v>0.1016682403</x:v>
      </x:c>
      <x:c r="AA74" s="38" t="n">
        <x:v>-0.0475264707</x:v>
      </x:c>
      <x:c r="AB74" s="38" t="n">
        <x:v>0.6578875083</x:v>
      </x:c>
      <x:c r="AC74" s="38" t="n">
        <x:v>-0.3704156364</x:v>
      </x:c>
      <x:c r="AD74" s="38" t="n">
        <x:v>-0.0757241589</x:v>
      </x:c>
      <x:c r="AE74" s="38" t="n">
        <x:v>-0.0331681651</x:v>
      </x:c>
      <x:c r="AF74" s="38" t="n">
        <x:v>-0.0115770774</x:v>
      </x:c>
      <x:c r="AG74" s="38" t="n">
        <x:v>-0.0346359802</x:v>
      </x:c>
      <x:c r="AH74" s="38" t="n">
        <x:v>0.0421132421</x:v>
      </x:c>
      <x:c r="AI74" s="38" t="n">
        <x:v>0.4310919035</x:v>
      </x:c>
      <x:c r="AJ74" s="38" t="n">
        <x:v>0.1395306169</x:v>
      </x:c>
      <x:c r="AK74" s="38" t="n">
        <x:v>-0.0270041725</x:v>
      </x:c>
      <x:c r="AL74" s="38" t="n">
        <x:v>0.2342486051</x:v>
      </x:c>
      <x:c r="AM74" s="38" t="n">
        <x:v>0.0029450427</x:v>
      </x:c>
      <x:c r="AN74" s="38" t="n">
        <x:v>-0.0251338578</x:v>
      </x:c>
      <x:c r="AO74" s="38" t="n">
        <x:v>-0.0566326083</x:v>
      </x:c>
      <x:c r="AP74" s="38" t="n">
        <x:v>-0.1669405149</x:v>
      </x:c>
      <x:c r="AQ74" s="38" t="n">
        <x:v>0.0114693276</x:v>
      </x:c>
      <x:c r="AR74" s="38" t="n">
        <x:v>0.0974085706</x:v>
      </x:c>
      <x:c r="AS74" s="38" t="n">
        <x:v>-0.013303514</x:v>
      </x:c>
    </x:row>
    <x:row r="75" ht="19" customHeight="1">
      <x:c r="A75" s="29" t="str">
        <x:v>Original</x:v>
      </x:c>
      <x:c r="B75" s="39" t="d">
        <x:v>2025-11-03T00:00:00.000Z</x:v>
      </x:c>
      <x:c r="C75" s="38" t="n">
        <x:v>-0.0434647777</x:v>
      </x:c>
      <x:c r="D75" s="38" t="n">
        <x:v>0.3711550596</x:v>
      </x:c>
      <x:c r="E75" s="38" t="n">
        <x:v>0.0529618985</x:v>
      </x:c>
      <x:c r="F75" s="38" t="n">
        <x:v>0.0288493178</x:v>
      </x:c>
      <x:c r="G75" s="38" t="n">
        <x:v>0.0202738184</x:v>
      </x:c>
      <x:c r="H75" s="38" t="n">
        <x:v>-0.379277047</x:v>
      </x:c>
      <x:c r="I75" s="38" t="n">
        <x:v>0.1752686622</x:v>
      </x:c>
      <x:c r="J75" s="38" t="n">
        <x:v>0.22651007</x:v>
      </x:c>
      <x:c r="K75" s="38" t="n">
        <x:v>0.3807428495</x:v>
      </x:c>
      <x:c r="L75" s="38" t="n">
        <x:v>0.1518871187</x:v>
      </x:c>
      <x:c r="M75" s="38" t="n">
        <x:v>-0.0902158889</x:v>
      </x:c>
      <x:c r="N75" s="38" t="n">
        <x:v>-0.0729663907</x:v>
      </x:c>
      <x:c r="O75" s="38" t="n">
        <x:v>-0.259573691</x:v>
      </x:c>
      <x:c r="P75" s="38" t="n">
        <x:v>0.4961125826</x:v>
      </x:c>
      <x:c r="Q75" s="38" t="n">
        <x:v>-0.0834354511</x:v>
      </x:c>
      <x:c r="R75" s="38" t="n">
        <x:v>0.4068166639</x:v>
      </x:c>
      <x:c r="S75" s="38" t="n">
        <x:v>0.0265120717</x:v>
      </x:c>
      <x:c r="T75" s="38" t="n">
        <x:v>0.1223831318</x:v>
      </x:c>
      <x:c r="U75" s="38" t="n">
        <x:v>-0.1283206222</x:v>
      </x:c>
      <x:c r="V75" s="38" t="n">
        <x:v>-0.2219246707</x:v>
      </x:c>
      <x:c r="W75" s="38" t="n">
        <x:v>-0.1442403762</x:v>
      </x:c>
      <x:c r="X75" s="38" t="n">
        <x:v>-0.1068908623</x:v>
      </x:c>
      <x:c r="Y75" s="38" t="n">
        <x:v>0.3885280289</x:v>
      </x:c>
      <x:c r="Z75" s="38" t="n">
        <x:v>-0.0298718364</x:v>
      </x:c>
      <x:c r="AA75" s="38" t="n">
        <x:v>-0.143109129</x:v>
      </x:c>
      <x:c r="AB75" s="38" t="n">
        <x:v>0.1797471359</x:v>
      </x:c>
      <x:c r="AC75" s="38" t="n">
        <x:v>-0.330753606</x:v>
      </x:c>
      <x:c r="AD75" s="38" t="n">
        <x:v>-0.0162548886</x:v>
      </x:c>
      <x:c r="AE75" s="38" t="n">
        <x:v>0.2272284794</x:v>
      </x:c>
      <x:c r="AF75" s="38" t="n">
        <x:v>-0.0571189479</x:v>
      </x:c>
      <x:c r="AG75" s="38" t="n">
        <x:v>-0.1144609549</x:v>
      </x:c>
      <x:c r="AH75" s="38" t="n">
        <x:v>0.1290748963</x:v>
      </x:c>
      <x:c r="AI75" s="38" t="n">
        <x:v>0.1196395229</x:v>
      </x:c>
      <x:c r="AJ75" s="38" t="n">
        <x:v>0.148851844</x:v>
      </x:c>
      <x:c r="AK75" s="38" t="n">
        <x:v>0.1966355423</x:v>
      </x:c>
      <x:c r="AL75" s="38" t="n">
        <x:v>0.3614682978</x:v>
      </x:c>
      <x:c r="AM75" s="38" t="n">
        <x:v>-0.0403639469</x:v>
      </x:c>
      <x:c r="AN75" s="38" t="n">
        <x:v>0.2363979339</x:v>
      </x:c>
      <x:c r="AO75" s="38" t="n">
        <x:v>-0.0092543677</x:v>
      </x:c>
      <x:c r="AP75" s="38" t="n">
        <x:v>-0.017871826</x:v>
      </x:c>
      <x:c r="AQ75" s="38" t="n">
        <x:v>0.073400176</x:v>
      </x:c>
      <x:c r="AR75" s="38" t="n">
        <x:v>-0.0316426295</x:v>
      </x:c>
      <x:c r="AS75" s="38" t="n">
        <x:v>0.0289071912</x:v>
      </x:c>
    </x:row>
    <x:row r="76" ht="19" customHeight="1">
      <x:c r="A76" s="29" t="str">
        <x:v>Original</x:v>
      </x:c>
      <x:c r="B76" s="39" t="d">
        <x:v>2025-12-01T00:00:00.000Z</x:v>
      </x:c>
      <x:c r="C76" s="38" t="n">
        <x:v>-0.1943939573</x:v>
      </x:c>
      <x:c r="D76" s="38" t="n">
        <x:v>0.0819630064</x:v>
      </x:c>
      <x:c r="E76" s="38" t="n">
        <x:v>-0.0360381877</x:v>
      </x:c>
      <x:c r="F76" s="38" t="n">
        <x:v>-0.035569581</x:v>
      </x:c>
      <x:c r="G76" s="38" t="n">
        <x:v>-0.0734787367</x:v>
      </x:c>
      <x:c r="H76" s="38" t="n">
        <x:v>0.151593104</x:v>
      </x:c>
      <x:c r="I76" s="38" t="n">
        <x:v>-0.0916280316</x:v>
      </x:c>
      <x:c r="J76" s="38" t="n">
        <x:v>0.0698257255</x:v>
      </x:c>
      <x:c r="K76" s="38" t="n">
        <x:v>-0.0029271015</x:v>
      </x:c>
      <x:c r="L76" s="38" t="n">
        <x:v>-0.0031757738</x:v>
      </x:c>
      <x:c r="M76" s="38" t="n">
        <x:v>-0.0670567345</x:v>
      </x:c>
      <x:c r="N76" s="38" t="n">
        <x:v>0.0861403017</x:v>
      </x:c>
      <x:c r="O76" s="38" t="n">
        <x:v>0.1064564067</x:v>
      </x:c>
      <x:c r="P76" s="38" t="n">
        <x:v>0.0533115963</x:v>
      </x:c>
      <x:c r="Q76" s="38" t="n">
        <x:v>0.0557250238</x:v>
      </x:c>
      <x:c r="R76" s="38" t="n">
        <x:v>-0.0352094358</x:v>
      </x:c>
      <x:c r="S76" s="38" t="n">
        <x:v>-0.0300087935</x:v>
      </x:c>
      <x:c r="T76" s="38" t="n">
        <x:v>-0.2146767513</x:v>
      </x:c>
      <x:c r="U76" s="38" t="n">
        <x:v>0.1766933934</x:v>
      </x:c>
      <x:c r="V76" s="38" t="n">
        <x:v>-0.1304985656</x:v>
      </x:c>
      <x:c r="W76" s="38" t="n">
        <x:v>-0.1403809088</x:v>
      </x:c>
      <x:c r="X76" s="38" t="n">
        <x:v>-0.0021349378</x:v>
      </x:c>
      <x:c r="Y76" s="38" t="n">
        <x:v>-0.004298126</x:v>
      </x:c>
      <x:c r="Z76" s="38" t="n">
        <x:v>0.1116124672</x:v>
      </x:c>
      <x:c r="AA76" s="38" t="n">
        <x:v>0.0372524666</x:v>
      </x:c>
      <x:c r="AB76" s="38" t="n">
        <x:v>0.1540082663</x:v>
      </x:c>
      <x:c r="AC76" s="38" t="n">
        <x:v>0.2794378935</x:v>
      </x:c>
      <x:c r="AD76" s="38" t="n">
        <x:v>-0.0354617872</x:v>
      </x:c>
      <x:c r="AE76" s="38" t="n">
        <x:v>-0.0200135981</x:v>
      </x:c>
      <x:c r="AF76" s="38" t="n">
        <x:v>-0.0074838746</x:v>
      </x:c>
      <x:c r="AG76" s="38" t="n">
        <x:v>0.053572611</x:v>
      </x:c>
      <x:c r="AH76" s="38" t="n">
        <x:v>-0.0172394491</x:v>
      </x:c>
      <x:c r="AI76" s="38" t="n">
        <x:v>-0.1006466097</x:v>
      </x:c>
      <x:c r="AJ76" s="38" t="n">
        <x:v>0.1318222539</x:v>
      </x:c>
      <x:c r="AK76" s="38" t="n">
        <x:v>0.1096917877</x:v>
      </x:c>
      <x:c r="AL76" s="38" t="n">
        <x:v>-0.1742152337</x:v>
      </x:c>
      <x:c r="AM76" s="38" t="n">
        <x:v>-0.037941813</x:v>
      </x:c>
      <x:c r="AN76" s="38" t="n">
        <x:v>0.2066729935</x:v>
      </x:c>
      <x:c r="AO76" s="38" t="n">
        <x:v>-0.0450476273</x:v>
      </x:c>
      <x:c r="AP76" s="38" t="n">
        <x:v>-0.0569386325</x:v>
      </x:c>
      <x:c r="AQ76" s="38" t="n">
        <x:v>-0.0012068158</x:v>
      </x:c>
      <x:c r="AR76" s="38" t="n">
        <x:v>0.1246395819</x:v>
      </x:c>
      <x:c r="AS76" s="38" t="n">
        <x:v>0.0153521649</x:v>
      </x:c>
    </x:row>
    <x:row r="77" ht="19" customHeight="1">
      <x:c r="A77" s="29" t="str">
        <x:v>Original</x:v>
      </x:c>
      <x:c r="B77" s="39" t="d">
        <x:v>2025-12-29T00:00:00.000Z</x:v>
      </x:c>
      <x:c r="C77" s="38" t="n">
        <x:v>-0.0152080045</x:v>
      </x:c>
      <x:c r="D77" s="38" t="n">
        <x:v>-0.061448329</x:v>
      </x:c>
      <x:c r="E77" s="38" t="n">
        <x:v>-0.0219368003</x:v>
      </x:c>
      <x:c r="F77" s="38" t="n">
        <x:v>-0.0056636164</x:v>
      </x:c>
      <x:c r="G77" s="38" t="n">
        <x:v>0.0992535516</x:v>
      </x:c>
      <x:c r="H77" s="38" t="n">
        <x:v>0.1471753239</x:v>
      </x:c>
      <x:c r="I77" s="38" t="n">
        <x:v>-0.0196600404</x:v>
      </x:c>
      <x:c r="J77" s="38" t="n">
        <x:v>0.0031874521</x:v>
      </x:c>
      <x:c r="K77" s="38" t="n">
        <x:v>0.0495959688</x:v>
      </x:c>
      <x:c r="L77" s="38" t="n">
        <x:v>-0.0769860592</x:v>
      </x:c>
      <x:c r="M77" s="38" t="n">
        <x:v>0.0421363419</x:v>
      </x:c>
      <x:c r="N77" s="38" t="n">
        <x:v>0.0675752627</x:v>
      </x:c>
      <x:c r="O77" s="38" t="n">
        <x:v>0.0279835723</x:v>
      </x:c>
      <x:c r="P77" s="38" t="n">
        <x:v>0.1562254996</x:v>
      </x:c>
      <x:c r="Q77" s="38" t="n">
        <x:v>0.0554772516</x:v>
      </x:c>
      <x:c r="R77" s="38" t="n">
        <x:v>0.0203813531</x:v>
      </x:c>
      <x:c r="S77" s="38" t="n">
        <x:v>0.0002905191</x:v>
      </x:c>
      <x:c r="T77" s="38" t="n">
        <x:v>-0.036748523</x:v>
      </x:c>
      <x:c r="U77" s="38" t="n">
        <x:v>0.1598221714</x:v>
      </x:c>
      <x:c r="V77" s="38" t="n">
        <x:v>0.0331906753</x:v>
      </x:c>
      <x:c r="W77" s="38" t="n">
        <x:v>-0.1432365165</x:v>
      </x:c>
      <x:c r="X77" s="38" t="n">
        <x:v>0.1161251649</x:v>
      </x:c>
      <x:c r="Y77" s="38" t="n">
        <x:v>0.4221168928</x:v>
      </x:c>
      <x:c r="Z77" s="38" t="n">
        <x:v>0.1777655617</x:v>
      </x:c>
      <x:c r="AA77" s="38" t="n">
        <x:v>0.0178330825</x:v>
      </x:c>
      <x:c r="AB77" s="38" t="n">
        <x:v>-0.1287285757</x:v>
      </x:c>
      <x:c r="AC77" s="38" t="n">
        <x:v>-0.029081727</x:v>
      </x:c>
      <x:c r="AD77" s="38" t="n">
        <x:v>-0.0172197701</x:v>
      </x:c>
      <x:c r="AE77" s="38" t="n">
        <x:v>0.0347857738</x:v>
      </x:c>
      <x:c r="AF77" s="38" t="n">
        <x:v>0.0612020618</x:v>
      </x:c>
      <x:c r="AG77" s="38" t="n">
        <x:v>0.178440918</x:v>
      </x:c>
      <x:c r="AH77" s="38" t="n">
        <x:v>0.2045848148</x:v>
      </x:c>
      <x:c r="AI77" s="38" t="n">
        <x:v>0.036867395</x:v>
      </x:c>
      <x:c r="AJ77" s="38" t="n">
        <x:v>0.0991778149</x:v>
      </x:c>
      <x:c r="AK77" s="38" t="n">
        <x:v>-0.1314498761</x:v>
      </x:c>
      <x:c r="AL77" s="38" t="n">
        <x:v>0.1035328672</x:v>
      </x:c>
      <x:c r="AM77" s="38" t="n">
        <x:v>-0.0316295788</x:v>
      </x:c>
      <x:c r="AN77" s="38" t="n">
        <x:v>-0.0274870876</x:v>
      </x:c>
      <x:c r="AO77" s="38" t="n">
        <x:v>-0.067980006</x:v>
      </x:c>
      <x:c r="AP77" s="38" t="n">
        <x:v>-0.0371343199</x:v>
      </x:c>
      <x:c r="AQ77" s="38" t="n">
        <x:v>-0.0187163649</x:v>
      </x:c>
      <x:c r="AR77" s="38" t="n">
        <x:v>0.0391861651</x:v>
      </x:c>
      <x:c r="AS77" s="38" t="n">
        <x:v>-0.0221361365</x:v>
      </x:c>
    </x:row>
    <x:row r="78" ht="19" customHeight="1">
      <x:c r="A78" s="29" t="str">
        <x:v>Original</x:v>
      </x:c>
      <x:c r="B78" s="39" t="d">
        <x:v>2026-01-26T00:00:00.000Z</x:v>
      </x:c>
      <x:c r="C78" s="38" t="n">
        <x:v>-0.0638151392</x:v>
      </x:c>
      <x:c r="D78" s="38" t="n">
        <x:v>0.3219112191</x:v>
      </x:c>
      <x:c r="E78" s="38" t="n">
        <x:v>0.050573981</x:v>
      </x:c>
      <x:c r="F78" s="38" t="n">
        <x:v>0.0321057662</x:v>
      </x:c>
      <x:c r="G78" s="38" t="n">
        <x:v>0.0126903452</x:v>
      </x:c>
      <x:c r="H78" s="38" t="n">
        <x:v>0.0542389965</x:v>
      </x:c>
      <x:c r="I78" s="38" t="n">
        <x:v>0.0824844337</x:v>
      </x:c>
      <x:c r="J78" s="38" t="n">
        <x:v>0.1939113642</x:v>
      </x:c>
      <x:c r="K78" s="38" t="n">
        <x:v>0.5238753567</x:v>
      </x:c>
      <x:c r="L78" s="38" t="n">
        <x:v>0.1396131378</x:v>
      </x:c>
      <x:c r="M78" s="38" t="n">
        <x:v>0.2271974453</x:v>
      </x:c>
      <x:c r="N78" s="38" t="n">
        <x:v>0.1302990107</x:v>
      </x:c>
      <x:c r="O78" s="38" t="n">
        <x:v>0.0501780291</x:v>
      </x:c>
      <x:c r="P78" s="38" t="n">
        <x:v>0.4314331684</x:v>
      </x:c>
      <x:c r="Q78" s="38" t="n">
        <x:v>0.0875133976</x:v>
      </x:c>
      <x:c r="R78" s="38" t="n">
        <x:v>0.1810451952</x:v>
      </x:c>
      <x:c r="S78" s="38" t="n">
        <x:v>0.1041285043</x:v>
      </x:c>
      <x:c r="T78" s="38" t="n">
        <x:v>-0.1501824779</x:v>
      </x:c>
      <x:c r="U78" s="38" t="n">
        <x:v>0.5346386106</x:v>
      </x:c>
      <x:c r="V78" s="38" t="n">
        <x:v>-0.2293619004</x:v>
      </x:c>
      <x:c r="W78" s="38" t="n">
        <x:v>-0.1290729919</x:v>
      </x:c>
      <x:c r="X78" s="38" t="n">
        <x:v>0.1254220633</x:v>
      </x:c>
      <x:c r="Y78" s="38" t="n">
        <x:v>0.4112501076</x:v>
      </x:c>
      <x:c r="Z78" s="38" t="n">
        <x:v>0.1565310765</x:v>
      </x:c>
      <x:c r="AA78" s="38" t="n">
        <x:v>-0.0294298891</x:v>
      </x:c>
      <x:c r="AB78" s="38" t="n">
        <x:v>0.2870383166</x:v>
      </x:c>
      <x:c r="AC78" s="38" t="n">
        <x:v>-0.2328785771</x:v>
      </x:c>
      <x:c r="AD78" s="38" t="n">
        <x:v>0.1126749654</x:v>
      </x:c>
      <x:c r="AE78" s="38" t="n">
        <x:v>0.059540886</x:v>
      </x:c>
      <x:c r="AF78" s="38" t="n">
        <x:v>-0.1742466422</x:v>
      </x:c>
      <x:c r="AG78" s="38" t="n">
        <x:v>0.0386928365</x:v>
      </x:c>
      <x:c r="AH78" s="38" t="n">
        <x:v>0.2764578433</x:v>
      </x:c>
      <x:c r="AI78" s="38" t="n">
        <x:v>0.0864906223</x:v>
      </x:c>
      <x:c r="AJ78" s="38" t="n">
        <x:v>-0.0612451696</x:v>
      </x:c>
      <x:c r="AK78" s="38" t="n">
        <x:v>0.0113545131</x:v>
      </x:c>
      <x:c r="AL78" s="38" t="n">
        <x:v>-0.0185530569</x:v>
      </x:c>
      <x:c r="AM78" s="38" t="n">
        <x:v>-0.1418063201</x:v>
      </x:c>
      <x:c r="AN78" s="38" t="n">
        <x:v>0.1050275256</x:v>
      </x:c>
      <x:c r="AO78" s="38" t="n">
        <x:v>0.1455356308</x:v>
      </x:c>
      <x:c r="AP78" s="38" t="n">
        <x:v>0.1199066443</x:v>
      </x:c>
      <x:c r="AQ78" s="38" t="n">
        <x:v>0.1186966558</x:v>
      </x:c>
      <x:c r="AR78" s="38" t="n">
        <x:v>0.1375051579</x:v>
      </x:c>
      <x:c r="AS78" s="38" t="n">
        <x:v>-0.0501128758</x:v>
      </x:c>
    </x:row>
    <x:row r="79" ht="19" customHeight="1">
      <x:c r="A79" s="29" t="str">
        <x:v>Original</x:v>
      </x:c>
      <x:c r="B79" s="39" t="d">
        <x:v>2026-02-23T00:00:00.000Z</x:v>
      </x:c>
      <x:c r="C79" s="38" t="n">
        <x:v>0.1424594139</x:v>
      </x:c>
      <x:c r="D79" s="38" t="n">
        <x:v>-0.0708041111</x:v>
      </x:c>
      <x:c r="E79" s="38" t="n">
        <x:v>0.1806547237</x:v>
      </x:c>
      <x:c r="F79" s="38" t="n">
        <x:v>0.1783640917</x:v>
      </x:c>
      <x:c r="G79" s="38" t="n">
        <x:v>-0.0940445832</x:v>
      </x:c>
      <x:c r="H79" s="38" t="n">
        <x:v>-0.0660083669</x:v>
      </x:c>
      <x:c r="I79" s="38" t="n">
        <x:v>-0.1987573346</x:v>
      </x:c>
      <x:c r="J79" s="38" t="n">
        <x:v>0.3414289766</x:v>
      </x:c>
      <x:c r="K79" s="38" t="n">
        <x:v>0.0005596526</x:v>
      </x:c>
      <x:c r="L79" s="38" t="n">
        <x:v>0.1924712913</x:v>
      </x:c>
      <x:c r="M79" s="38" t="n">
        <x:v>0.1077619836</x:v>
      </x:c>
      <x:c r="N79" s="38" t="n">
        <x:v>0.1307339573</x:v>
      </x:c>
      <x:c r="O79" s="38" t="n">
        <x:v>0.1146338313</x:v>
      </x:c>
      <x:c r="P79" s="38" t="n">
        <x:v>0.1694281758</x:v>
      </x:c>
      <x:c r="Q79" s="38" t="n">
        <x:v>0.0490076653</x:v>
      </x:c>
      <x:c r="R79" s="38" t="n">
        <x:v>0.022147993</x:v>
      </x:c>
      <x:c r="S79" s="38" t="n">
        <x:v>0.1523628883</x:v>
      </x:c>
      <x:c r="T79" s="38" t="n">
        <x:v>-0.0449324203</x:v>
      </x:c>
      <x:c r="U79" s="38" t="n">
        <x:v>0.2970619718</x:v>
      </x:c>
      <x:c r="V79" s="38" t="n">
        <x:v>0.1746779297</x:v>
      </x:c>
      <x:c r="W79" s="38" t="n">
        <x:v>0.2162693028</x:v>
      </x:c>
      <x:c r="X79" s="38" t="n">
        <x:v>0.0606676196</x:v>
      </x:c>
      <x:c r="Y79" s="38" t="n">
        <x:v>-0.0092344447</x:v>
      </x:c>
      <x:c r="Z79" s="38" t="n">
        <x:v>0.2220478519</x:v>
      </x:c>
      <x:c r="AA79" s="38" t="n">
        <x:v>0.0408559892</x:v>
      </x:c>
      <x:c r="AB79" s="38" t="n">
        <x:v>0.007981272</x:v>
      </x:c>
      <x:c r="AC79" s="38" t="n">
        <x:v>-0.556403086</x:v>
      </x:c>
      <x:c r="AD79" s="38" t="n">
        <x:v>0.1473431337</x:v>
      </x:c>
      <x:c r="AE79" s="38" t="n">
        <x:v>0.0392436538</x:v>
      </x:c>
      <x:c r="AF79" s="38" t="n">
        <x:v>-0.0035398006</x:v>
      </x:c>
      <x:c r="AG79" s="38" t="n">
        <x:v>-0.0408465762</x:v>
      </x:c>
      <x:c r="AH79" s="38" t="n">
        <x:v>0.0892461033</x:v>
      </x:c>
      <x:c r="AI79" s="38" t="n">
        <x:v>-0.2549754412</x:v>
      </x:c>
      <x:c r="AJ79" s="38" t="n">
        <x:v>0.024157368</x:v>
      </x:c>
      <x:c r="AK79" s="38" t="n">
        <x:v>0.1498704505</x:v>
      </x:c>
      <x:c r="AL79" s="38" t="n">
        <x:v>0.2782376819</x:v>
      </x:c>
      <x:c r="AM79" s="38" t="n">
        <x:v>-0.1354847145</x:v>
      </x:c>
      <x:c r="AN79" s="38" t="n">
        <x:v>-0.1229765421</x:v>
      </x:c>
      <x:c r="AO79" s="38" t="n">
        <x:v>0.1100864362</x:v>
      </x:c>
      <x:c r="AP79" s="38" t="n">
        <x:v>0.0247013621</x:v>
      </x:c>
      <x:c r="AQ79" s="38" t="n">
        <x:v>0.1314606147</x:v>
      </x:c>
      <x:c r="AR79" s="38" t="n">
        <x:v>0.143672804</x:v>
      </x:c>
      <x:c r="AS79" s="38" t="n">
        <x:v>0.0754331316</x:v>
      </x:c>
    </x:row>
    <x:row r="80" ht="19" customHeight="1">
      <x:c r="A80" s="29" t="str">
        <x:v>Original</x:v>
      </x:c>
      <x:c r="B80" s="39" t="d">
        <x:v>2026-03-23T00:00:00.000Z</x:v>
      </x:c>
      <x:c r="C80" s="38" t="n">
        <x:v>-0.170607414</x:v>
      </x:c>
      <x:c r="D80" s="38" t="n">
        <x:v>0.387305066</x:v>
      </x:c>
      <x:c r="E80" s="38" t="n">
        <x:v>-0.043510789</x:v>
      </x:c>
      <x:c r="F80" s="38" t="n">
        <x:v>0.0394058562</x:v>
      </x:c>
      <x:c r="G80" s="38" t="n">
        <x:v>-0.2121708276</x:v>
      </x:c>
      <x:c r="H80" s="38" t="n">
        <x:v>-0.2892038192</x:v>
      </x:c>
      <x:c r="I80" s="38" t="n">
        <x:v>-0.0804025102</x:v>
      </x:c>
      <x:c r="J80" s="38" t="n">
        <x:v>-0.0683155596</x:v>
      </x:c>
      <x:c r="K80" s="38" t="n">
        <x:v>-0.1061471855</x:v>
      </x:c>
      <x:c r="L80" s="38" t="n">
        <x:v>0.3354362564</x:v>
      </x:c>
      <x:c r="M80" s="38" t="n">
        <x:v>0.4867748597</x:v>
      </x:c>
      <x:c r="N80" s="38" t="n">
        <x:v>0.0118783054</x:v>
      </x:c>
      <x:c r="O80" s="38" t="n">
        <x:v>-0.2079545788</x:v>
      </x:c>
      <x:c r="P80" s="38" t="n">
        <x:v>-0.0235092267</x:v>
      </x:c>
      <x:c r="Q80" s="38" t="n">
        <x:v>-0.1134606461</x:v>
      </x:c>
      <x:c r="R80" s="38" t="n">
        <x:v>0.5759807236</x:v>
      </x:c>
      <x:c r="S80" s="38" t="n">
        <x:v>-0.0930672454</x:v>
      </x:c>
      <x:c r="T80" s="38" t="n">
        <x:v>0.2542012104</x:v>
      </x:c>
      <x:c r="U80" s="38" t="n">
        <x:v>-0.1200815843</x:v>
      </x:c>
      <x:c r="V80" s="38" t="n">
        <x:v>-0.3586130359</x:v>
      </x:c>
      <x:c r="W80" s="38" t="n">
        <x:v>-0.0457338022</x:v>
      </x:c>
      <x:c r="X80" s="38" t="n">
        <x:v>-0.1370115452</x:v>
      </x:c>
      <x:c r="Y80" s="38" t="n">
        <x:v>-0.2215793403</x:v>
      </x:c>
      <x:c r="Z80" s="38" t="n">
        <x:v>-0.3697282315</x:v>
      </x:c>
      <x:c r="AA80" s="38" t="n">
        <x:v>-0.1109455224</x:v>
      </x:c>
      <x:c r="AB80" s="38" t="n">
        <x:v>0.3961697262</x:v>
      </x:c>
      <x:c r="AC80" s="38" t="n">
        <x:v>-0.1461349623</x:v>
      </x:c>
      <x:c r="AD80" s="38" t="n">
        <x:v>-0.2444317638</x:v>
      </x:c>
      <x:c r="AE80" s="38" t="n">
        <x:v>-0.3310313314</x:v>
      </x:c>
      <x:c r="AF80" s="38" t="n">
        <x:v>0.1779829794</x:v>
      </x:c>
      <x:c r="AG80" s="38" t="n">
        <x:v>-0.2739854473</x:v>
      </x:c>
      <x:c r="AH80" s="38" t="n">
        <x:v>-0.2347831089</x:v>
      </x:c>
      <x:c r="AI80" s="38" t="n">
        <x:v>0.0136608804</x:v>
      </x:c>
      <x:c r="AJ80" s="38" t="n">
        <x:v>-0.2786063582</x:v>
      </x:c>
      <x:c r="AK80" s="38" t="n">
        <x:v>-0.0869806338</x:v>
      </x:c>
      <x:c r="AL80" s="38" t="n">
        <x:v>0.0511224924</x:v>
      </x:c>
      <x:c r="AM80" s="38" t="n">
        <x:v>-0.1482500041</x:v>
      </x:c>
      <x:c r="AN80" s="38" t="n">
        <x:v>-0.1962567947</x:v>
      </x:c>
      <x:c r="AO80" s="38" t="n">
        <x:v>-0.0416768431</x:v>
      </x:c>
      <x:c r="AP80" s="38" t="n">
        <x:v>-0.2499274343</x:v>
      </x:c>
      <x:c r="AQ80" s="38" t="n">
        <x:v>-0.1042947081</x:v>
      </x:c>
      <x:c r="AR80" s="38" t="n">
        <x:v>-0.0503892101</x:v>
      </x:c>
      <x:c r="AS80" s="38" t="n">
        <x:v>-0.115666921</x:v>
      </x:c>
    </x:row>
    <x:row r="81" ht="19" customHeight="1">
      <x:c r="A81" s="29" t="str">
        <x:v>Original</x:v>
      </x:c>
      <x:c r="B81" s="39" t="d">
        <x:v>2026-04-20T00:00:00.000Z</x:v>
      </x:c>
      <x:c r="C81" s="38" t="n">
        <x:v>0.0868435644</x:v>
      </x:c>
      <x:c r="D81" s="38" t="n">
        <x:v>-0.0716420091</x:v>
      </x:c>
      <x:c r="E81" s="38" t="n">
        <x:v>0.0547364759</x:v>
      </x:c>
      <x:c r="F81" s="38" t="n">
        <x:v>0.0526664131</x:v>
      </x:c>
      <x:c r="G81" s="38" t="n">
        <x:v>0.1635629787</x:v>
      </x:c>
      <x:c r="H81" s="38" t="n">
        <x:v>0.1613129597</x:v>
      </x:c>
      <x:c r="I81" s="38" t="n">
        <x:v>0.4396853229</x:v>
      </x:c>
      <x:c r="J81" s="38" t="n">
        <x:v>0.3653761703</x:v>
      </x:c>
      <x:c r="K81" s="38" t="n">
        <x:v>0.6783768658</x:v>
      </x:c>
      <x:c r="L81" s="38" t="n">
        <x:v>-0.1180177782</x:v>
      </x:c>
      <x:c r="M81" s="38" t="n">
        <x:v>-0.1890015744</x:v>
      </x:c>
      <x:c r="N81" s="38" t="n">
        <x:v>-0.0754942737</x:v>
      </x:c>
      <x:c r="O81" s="38" t="n">
        <x:v>-0.1220459214</x:v>
      </x:c>
      <x:c r="P81" s="38" t="n">
        <x:v>0.6001402255</x:v>
      </x:c>
      <x:c r="Q81" s="38" t="n">
        <x:v>0.0864557012</x:v>
      </x:c>
      <x:c r="R81" s="38" t="n">
        <x:v>0.2449096406</x:v>
      </x:c>
      <x:c r="S81" s="38" t="n">
        <x:v>-0.0471641768</x:v>
      </x:c>
      <x:c r="T81" s="38" t="n">
        <x:v>0.0309180143</x:v>
      </x:c>
      <x:c r="U81" s="38" t="n">
        <x:v>0.0365231784</x:v>
      </x:c>
      <x:c r="V81" s="38" t="n">
        <x:v>-0.1242942654</x:v>
      </x:c>
      <x:c r="W81" s="38" t="n">
        <x:v>-0.0166744061</x:v>
      </x:c>
      <x:c r="X81" s="38" t="n">
        <x:v>-0.0250366783</x:v>
      </x:c>
      <x:c r="Y81" s="38" t="n">
        <x:v>0.5166896263</x:v>
      </x:c>
      <x:c r="Z81" s="38" t="n">
        <x:v>0.2619577046</x:v>
      </x:c>
      <x:c r="AA81" s="38" t="n">
        <x:v>0.016864858</x:v>
      </x:c>
      <x:c r="AB81" s="38" t="n">
        <x:v>0.6879418269</x:v>
      </x:c>
      <x:c r="AC81" s="38" t="n">
        <x:v>0.4721090733</x:v>
      </x:c>
      <x:c r="AD81" s="38" t="n">
        <x:v>0.0706174342</x:v>
      </x:c>
      <x:c r="AE81" s="38" t="n">
        <x:v>0.1332113546</x:v>
      </x:c>
      <x:c r="AF81" s="38" t="n">
        <x:v>0.2541256054</x:v>
      </x:c>
      <x:c r="AG81" s="38" t="n">
        <x:v>0.3112944509</x:v>
      </x:c>
      <x:c r="AH81" s="38" t="n">
        <x:v>-0.095076334</x:v>
      </x:c>
      <x:c r="AI81" s="38" t="n">
        <x:v>0.8506314282</x:v>
      </x:c>
      <x:c r="AJ81" s="38" t="n">
        <x:v>0.0101616843</x:v>
      </x:c>
      <x:c r="AK81" s="38" t="n">
        <x:v>0.1004859236</x:v>
      </x:c>
      <x:c r="AL81" s="38" t="n">
        <x:v>0.4235954497</x:v>
      </x:c>
      <x:c r="AM81" s="38" t="n">
        <x:v>0.2725199786</x:v>
      </x:c>
      <x:c r="AN81" s="38" t="n">
        <x:v>0.3559996166</x:v>
      </x:c>
      <x:c r="AO81" s="38" t="n">
        <x:v>0.0428259562</x:v>
      </x:c>
      <x:c r="AP81" s="38" t="n">
        <x:v>0.0678074755</x:v>
      </x:c>
      <x:c r="AQ81" s="38" t="n">
        <x:v>0.018906195</x:v>
      </x:c>
      <x:c r="AR81" s="38" t="n">
        <x:v>-0.0866567878</x:v>
      </x:c>
      <x:c r="AS81" s="38" t="n">
        <x:v>0.0027707262</x:v>
      </x:c>
    </x:row>
    <x:row r="82" ht="19" customHeight="1">
      <x:c r="A82" s="29" t="str">
        <x:v>Original</x:v>
      </x:c>
      <x:c r="B82" s="39" t="d">
        <x:v>2026-05-18T00:00:00.000Z</x:v>
      </x:c>
      <x:c r="C82" s="38" t="n">
        <x:v>-0.0800308211</x:v>
      </x:c>
      <x:c r="D82" s="38" t="n">
        <x:v>0.0981244305</x:v>
      </x:c>
      <x:c r="E82" s="38" t="n">
        <x:v>-0.0259484905</x:v>
      </x:c>
      <x:c r="F82" s="38" t="n">
        <x:v>-0.0087771024</x:v>
      </x:c>
      <x:c r="G82" s="38" t="n">
        <x:v>0.0061770458</x:v>
      </x:c>
      <x:c r="H82" s="38" t="n">
        <x:v>-0.0624671587</x:v>
      </x:c>
      <x:c r="I82" s="38" t="n">
        <x:v>0.0139500732</x:v>
      </x:c>
      <x:c r="J82" s="38" t="n">
        <x:v>0.091876543</x:v>
      </x:c>
      <x:c r="K82" s="38" t="n">
        <x:v>0.5185618138</x:v>
      </x:c>
      <x:c r="L82" s="38" t="n">
        <x:v>0.080598002</x:v>
      </x:c>
      <x:c r="M82" s="38" t="n">
        <x:v>0.0165440327</x:v>
      </x:c>
      <x:c r="N82" s="38" t="n">
        <x:v>-0.0322665678</x:v>
      </x:c>
      <x:c r="O82" s="38" t="n">
        <x:v>0.0098942251</x:v>
      </x:c>
      <x:c r="P82" s="38" t="n">
        <x:v>0.2877320825</x:v>
      </x:c>
      <x:c r="Q82" s="38" t="n">
        <x:v>0.1185711781</x:v>
      </x:c>
      <x:c r="R82" s="38" t="n">
        <x:v>0.8087011623</x:v>
      </x:c>
      <x:c r="S82" s="38" t="n">
        <x:v>0.0339942336</x:v>
      </x:c>
      <x:c r="T82" s="38" t="n">
        <x:v>0.0682756085</x:v>
      </x:c>
      <x:c r="U82" s="38" t="n">
        <x:v>-0.125295654</x:v>
      </x:c>
      <x:c r="V82" s="38" t="n">
        <x:v>-0.045086848</x:v>
      </x:c>
      <x:c r="W82" s="38" t="n">
        <x:v>-0.0673545085</x:v>
      </x:c>
      <x:c r="X82" s="38" t="n">
        <x:v>-0.1414857793</x:v>
      </x:c>
      <x:c r="Y82" s="38" t="n">
        <x:v>0.6562404537</x:v>
      </x:c>
      <x:c r="Z82" s="38" t="n">
        <x:v>-0.1817941198</x:v>
      </x:c>
      <x:c r="AA82" s="38" t="n">
        <x:v>-0.0109428762</x:v>
      </x:c>
      <x:c r="AB82" s="38" t="n">
        <x:v>-0.2065043331</x:v>
      </x:c>
      <x:c r="AC82" s="38" t="n">
        <x:v>-0.2527936012</x:v>
      </x:c>
      <x:c r="AD82" s="38" t="n">
        <x:v>-0.0405821228</x:v>
      </x:c>
      <x:c r="AE82" s="38" t="n">
        <x:v>0.3172092635</x:v>
      </x:c>
      <x:c r="AF82" s="38" t="n">
        <x:v>0.4581048376</x:v>
      </x:c>
      <x:c r="AG82" s="38" t="n">
        <x:v>-0.0944072916</x:v>
      </x:c>
      <x:c r="AH82" s="38" t="n">
        <x:v>-0.1807244067</x:v>
      </x:c>
      <x:c r="AI82" s="38" t="n">
        <x:v>0.4695267301</x:v>
      </x:c>
      <x:c r="AJ82" s="38" t="n">
        <x:v>0.2985110499</x:v>
      </x:c>
      <x:c r="AK82" s="38" t="n">
        <x:v>0.0608581888</x:v>
      </x:c>
      <x:c r="AL82" s="38" t="n">
        <x:v>0.6212599068</x:v>
      </x:c>
      <x:c r="AM82" s="38" t="n">
        <x:v>-0.0193467817</x:v>
      </x:c>
      <x:c r="AN82" s="38" t="n">
        <x:v>0.1685181077</x:v>
      </x:c>
      <x:c r="AO82" s="38" t="n">
        <x:v>0.0289088796</x:v>
      </x:c>
      <x:c r="AP82" s="38" t="n">
        <x:v>-0.1116918726</x:v>
      </x:c>
      <x:c r="AQ82" s="38" t="n">
        <x:v>0.0974234003</x:v>
      </x:c>
      <x:c r="AR82" s="38" t="n">
        <x:v>0.0470263332</x:v>
      </x:c>
      <x:c r="AS82" s="38" t="n">
        <x:v>0.056682358</x:v>
      </x:c>
    </x:row>
    <x:row r="83" ht="19" customHeight="1">
      <x:c r="A83" s="29" t="str">
        <x:v>Original</x:v>
      </x:c>
      <x:c r="B83" s="39" t="d">
        <x:v>2026-06-15T00:00:00.000Z</x:v>
      </x:c>
      <x:c r="C83" s="38" t="n">
        <x:v>0.0752784602</x:v>
      </x:c>
      <x:c r="D83" s="38" t="n">
        <x:v>-0.1535602554</x:v>
      </x:c>
      <x:c r="E83" s="38" t="n">
        <x:v>-0.0484390383</x:v>
      </x:c>
      <x:c r="F83" s="38" t="n">
        <x:v>-0.0185851604</x:v>
      </x:c>
      <x:c r="G83" s="38" t="n">
        <x:v>0.013852259</x:v>
      </x:c>
      <x:c r="H83" s="38" t="n">
        <x:v>-0.0197008737</x:v>
      </x:c>
      <x:c r="I83" s="38" t="n">
        <x:v>-0.138356334</x:v>
      </x:c>
      <x:c r="J83" s="38" t="n">
        <x:v>0.1181107498</x:v>
      </x:c>
      <x:c r="K83" s="38" t="n">
        <x:v>0.443132093</x:v>
      </x:c>
      <x:c r="L83" s="38" t="n">
        <x:v>-0.0710419278</x:v>
      </x:c>
      <x:c r="M83" s="38" t="n">
        <x:v>-0.2696980396</x:v>
      </x:c>
      <x:c r="N83" s="38" t="n">
        <x:v>-0.1762040489</x:v>
      </x:c>
      <x:c r="O83" s="38" t="n">
        <x:v>0.1398707553</x:v>
      </x:c>
      <x:c r="P83" s="38" t="n">
        <x:v>0.696554973</x:v>
      </x:c>
      <x:c r="Q83" s="38" t="n">
        <x:v>-0.1093368014</x:v>
      </x:c>
      <x:c r="R83" s="38" t="n">
        <x:v>0.1438555084</x:v>
      </x:c>
      <x:c r="S83" s="38" t="n">
        <x:v>-0.2609345326</x:v>
      </x:c>
      <x:c r="T83" s="38" t="n">
        <x:v>0.0577180075</x:v>
      </x:c>
      <x:c r="U83" s="38" t="n">
        <x:v>0.5001867706</x:v>
      </x:c>
      <x:c r="V83" s="38" t="n">
        <x:v>0.1488967409</x:v>
      </x:c>
      <x:c r="W83" s="38" t="n">
        <x:v>-0.2180055072</x:v>
      </x:c>
      <x:c r="X83" s="38" t="n">
        <x:v>-0.1881195906</x:v>
      </x:c>
      <x:c r="Y83" s="38" t="n">
        <x:v>0.6634857721</x:v>
      </x:c>
      <x:c r="Z83" s="38" t="n">
        <x:v>-0.0548871155</x:v>
      </x:c>
      <x:c r="AA83" s="38" t="n">
        <x:v>0.042684209</x:v>
      </x:c>
      <x:c r="AB83" s="38" t="n">
        <x:v>0.284844421</x:v>
      </x:c>
      <x:c r="AC83" s="38" t="n">
        <x:v>0.2045991365</x:v>
      </x:c>
      <x:c r="AD83" s="38" t="n">
        <x:v>0.064886648</x:v>
      </x:c>
      <x:c r="AE83" s="38" t="n">
        <x:v>-0.0966649438</x:v>
      </x:c>
      <x:c r="AF83" s="38" t="n">
        <x:v>0.3788150144</x:v>
      </x:c>
      <x:c r="AG83" s="38" t="n">
        <x:v>0.0269719456</x:v>
      </x:c>
      <x:c r="AH83" s="38" t="n">
        <x:v>-0.1802948443</x:v>
      </x:c>
      <x:c r="AI83" s="38" t="n">
        <x:v>0.2242244189</x:v>
      </x:c>
      <x:c r="AJ83" s="38" t="n">
        <x:v>0.0499667706</x:v>
      </x:c>
      <x:c r="AK83" s="38" t="n">
        <x:v>-0.0725141598</x:v>
      </x:c>
      <x:c r="AL83" s="38" t="n">
        <x:v>-0.2205018821</x:v>
      </x:c>
      <x:c r="AM83" s="38" t="n">
        <x:v>-0.158191833</x:v>
      </x:c>
      <x:c r="AN83" s="38" t="n">
        <x:v>-0.0631058793</x:v>
      </x:c>
      <x:c r="AO83" s="38" t="n">
        <x:v>-0.1249662774</x:v>
      </x:c>
      <x:c r="AP83" s="38" t="n">
        <x:v>0.1175730616</x:v>
      </x:c>
      <x:c r="AQ83" s="38" t="n">
        <x:v>-0.0314758051</x:v>
      </x:c>
      <x:c r="AR83" s="38" t="n">
        <x:v>-0.0321747952</x:v>
      </x:c>
      <x:c r="AS83" s="38" t="n">
        <x:v>0.0101634027</x:v>
      </x:c>
    </x:row>
    <x:row r="84" ht="19" customHeight="1">
      <x:c r="A84" s="29" t="str">
        <x:v>Original</x:v>
      </x:c>
      <x:c r="B84" s="39" t="d">
        <x:v>2026-07-13T00:00:00.000Z</x:v>
      </x:c>
      <x:c r="C84" s="38" t="n">
        <x:v>-0.0827582749</x:v>
      </x:c>
      <x:c r="D84" s="38" t="n">
        <x:v>-0.1116383088</x:v>
      </x:c>
      <x:c r="E84" s="38" t="n">
        <x:v>0.0559374692</x:v>
      </x:c>
      <x:c r="F84" s="38" t="n">
        <x:v>0.031006744</x:v>
      </x:c>
      <x:c r="G84" s="38" t="n">
        <x:v>-0.0883481659</x:v>
      </x:c>
      <x:c r="H84" s="38" t="n">
        <x:v>0.0951758144</x:v>
      </x:c>
      <x:c r="I84" s="38" t="n">
        <x:v>0.0188661656</x:v>
      </x:c>
      <x:c r="J84" s="38" t="n">
        <x:v>-0.2636586143</x:v>
      </x:c>
      <x:c r="K84" s="38" t="n">
        <x:v>-0.499422883</x:v>
      </x:c>
      <x:c r="L84" s="38" t="n">
        <x:v>0.4414398616</x:v>
      </x:c>
      <x:c r="M84" s="38" t="n">
        <x:v>0.2697662126</x:v>
      </x:c>
      <x:c r="N84" s="38" t="n">
        <x:v>0.1257066985</x:v>
      </x:c>
      <x:c r="O84" s="38" t="n">
        <x:v>-0.0495531747</x:v>
      </x:c>
      <x:c r="P84" s="38" t="n">
        <x:v>-0.7299996911</x:v>
      </x:c>
      <x:c r="Q84" s="38" t="n">
        <x:v>0.2005840793</x:v>
      </x:c>
      <x:c r="R84" s="38" t="n">
        <x:v>-0.6147623806</x:v>
      </x:c>
      <x:c r="S84" s="38" t="n">
        <x:v>-0.0088386004</x:v>
      </x:c>
      <x:c r="T84" s="38" t="n">
        <x:v>0.3502308926</x:v>
      </x:c>
      <x:c r="U84" s="38" t="n">
        <x:v>-0.055569251</x:v>
      </x:c>
      <x:c r="V84" s="38" t="n">
        <x:v>0.3047688179</x:v>
      </x:c>
      <x:c r="W84" s="38" t="n">
        <x:v>-0.1883501414</x:v>
      </x:c>
      <x:c r="X84" s="38" t="n">
        <x:v>0.1182208653</x:v>
      </x:c>
      <x:c r="Y84" s="38" t="n">
        <x:v>-0.4724700925</x:v>
      </x:c>
      <x:c r="Z84" s="38" t="n">
        <x:v>-0.2382389158</x:v>
      </x:c>
      <x:c r="AA84" s="38" t="n">
        <x:v>0.0250913018</x:v>
      </x:c>
      <x:c r="AB84" s="38" t="n">
        <x:v>0.4049458529</x:v>
      </x:c>
      <x:c r="AC84" s="38" t="n">
        <x:v>-0.154072193</x:v>
      </x:c>
      <x:c r="AD84" s="38" t="n">
        <x:v>-0.0043493341</x:v>
      </x:c>
      <x:c r="AE84" s="38" t="n">
        <x:v>0.0196250937</x:v>
      </x:c>
      <x:c r="AF84" s="38" t="n">
        <x:v>-0.0557023776</x:v>
      </x:c>
      <x:c r="AG84" s="38" t="n">
        <x:v>-0.0649882549</x:v>
      </x:c>
      <x:c r="AH84" s="38" t="n">
        <x:v>-0.0960184555</x:v>
      </x:c>
      <x:c r="AI84" s="38" t="n">
        <x:v>-0.1316037153</x:v>
      </x:c>
      <x:c r="AJ84" s="38" t="n">
        <x:v>0.1155289701</x:v>
      </x:c>
      <x:c r="AK84" s="38" t="n">
        <x:v>0.2662666193</x:v>
      </x:c>
      <x:c r="AL84" s="38" t="n">
        <x:v>-0.4693536771</x:v>
      </x:c>
      <x:c r="AM84" s="38" t="n">
        <x:v>0.0609120728</x:v>
      </x:c>
      <x:c r="AN84" s="38" t="n">
        <x:v>-0.0971621903</x:v>
      </x:c>
      <x:c r="AO84" s="38" t="n">
        <x:v>-0.0182594331</x:v>
      </x:c>
      <x:c r="AP84" s="38" t="n">
        <x:v>0.0222688894</x:v>
      </x:c>
      <x:c r="AQ84" s="38" t="n">
        <x:v>0.0440335761</x:v>
      </x:c>
      <x:c r="AR84" s="38" t="n">
        <x:v>0.167361</x:v>
      </x:c>
      <x:c r="AS84" s="38" t="n">
        <x:v>0.0048302825</x:v>
      </x:c>
    </x:row>
    <x:row r="85" ht="19" customHeight="1">
      <x:c r="A85" s="29" t="str">
        <x:v>Original</x:v>
      </x:c>
      <x:c r="B85" s="39" t="d">
        <x:v>2026-08-10T00:00:00.000Z</x:v>
      </x:c>
      <x:c r="C85" s="38" t="n">
        <x:v>-0.0797728912</x:v>
      </x:c>
      <x:c r="D85" s="38" t="n">
        <x:v>0.1074150071</x:v>
      </x:c>
      <x:c r="E85" s="38" t="n">
        <x:v>-0.0715017669</x:v>
      </x:c>
      <x:c r="F85" s="38" t="n">
        <x:v>-0.0710610298</x:v>
      </x:c>
      <x:c r="G85" s="38" t="n">
        <x:v>0.1487690153</x:v>
      </x:c>
      <x:c r="H85" s="38" t="n">
        <x:v>-0.0458292821</x:v>
      </x:c>
      <x:c r="I85" s="38" t="n">
        <x:v>0.1001987869</x:v>
      </x:c>
      <x:c r="J85" s="38" t="n">
        <x:v>0.0969418172</x:v>
      </x:c>
      <x:c r="K85" s="38" t="n">
        <x:v>0.3507094502</x:v>
      </x:c>
      <x:c r="L85" s="38" t="n">
        <x:v>0.1693516199</x:v>
      </x:c>
      <x:c r="M85" s="38" t="n">
        <x:v>-0.0346000359</x:v>
      </x:c>
      <x:c r="N85" s="38" t="n">
        <x:v>0.0234631584</x:v>
      </x:c>
      <x:c r="O85" s="38" t="n">
        <x:v>-0.0067504251</x:v>
      </x:c>
      <x:c r="P85" s="38" t="n">
        <x:v>0.1061178556</x:v>
      </x:c>
      <x:c r="Q85" s="38" t="n">
        <x:v>-0.0812768077</x:v>
      </x:c>
      <x:c r="R85" s="38" t="n">
        <x:v>0.1466498678</x:v>
      </x:c>
      <x:c r="S85" s="38" t="n">
        <x:v>0.1593465578</x:v>
      </x:c>
      <x:c r="T85" s="38" t="n">
        <x:v>0.2130532066</x:v>
      </x:c>
      <x:c r="U85" s="38" t="n">
        <x:v>0.0397035707</x:v>
      </x:c>
      <x:c r="V85" s="38" t="n">
        <x:v>0.303276271</x:v>
      </x:c>
      <x:c r="W85" s="38" t="n">
        <x:v>0.2076346271</x:v>
      </x:c>
      <x:c r="X85" s="38" t="n">
        <x:v>0.1585380729</x:v>
      </x:c>
      <x:c r="Y85" s="38" t="n">
        <x:v>0.2235813074</x:v>
      </x:c>
      <x:c r="Z85" s="38" t="n">
        <x:v>0.4507509107</x:v>
      </x:c>
      <x:c r="AA85" s="38" t="n">
        <x:v>0.0130886371</x:v>
      </x:c>
      <x:c r="AB85" s="38" t="n">
        <x:v>0.2989605974</x:v>
      </x:c>
      <x:c r="AC85" s="38" t="n">
        <x:v>0.0508415618</x:v>
      </x:c>
      <x:c r="AD85" s="38" t="n">
        <x:v>-0.0487537759</x:v>
      </x:c>
      <x:c r="AE85" s="38" t="n">
        <x:v>0.0340531353</x:v>
      </x:c>
      <x:c r="AF85" s="38" t="n">
        <x:v>0.4105268767</x:v>
      </x:c>
      <x:c r="AG85" s="38" t="n">
        <x:v>0.1311585201</x:v>
      </x:c>
      <x:c r="AH85" s="38" t="n">
        <x:v>0.3261411175</x:v>
      </x:c>
      <x:c r="AI85" s="38" t="n">
        <x:v>0.0610927946</x:v>
      </x:c>
      <x:c r="AJ85" s="38" t="n">
        <x:v>0.0038456525</x:v>
      </x:c>
      <x:c r="AK85" s="38" t="n">
        <x:v>-0.0472414825</x:v>
      </x:c>
      <x:c r="AL85" s="38" t="n">
        <x:v>0.1015545597</x:v>
      </x:c>
      <x:c r="AM85" s="38" t="n">
        <x:v>0.3800253133</x:v>
      </x:c>
      <x:c r="AN85" s="38" t="n">
        <x:v>-0.004160151</x:v>
      </x:c>
      <x:c r="AO85" s="38" t="n">
        <x:v>0.0378616985</x:v>
      </x:c>
      <x:c r="AP85" s="38" t="n">
        <x:v>-0.0000489794</x:v>
      </x:c>
      <x:c r="AQ85" s="38" t="n">
        <x:v>0.1203927656</x:v>
      </x:c>
      <x:c r="AR85" s="38" t="n">
        <x:v>0.047164254</x:v>
      </x:c>
      <x:c r="AS85" s="38" t="n">
        <x:v>0.0436792941</x:v>
      </x:c>
    </x:row>
    <x:row r="86" ht="19" customHeight="1">
      <x:c r="A86" s="29" t="str">
        <x:v>Home FX</x:v>
      </x:c>
      <x:c r="B86" s="39" t="d">
        <x:v>2020-07-20T00:00:00.000Z</x:v>
      </x:c>
      <x:c r="C86" s="38" t="n">
        <x:v>0.0220390063</x:v>
      </x:c>
      <x:c r="D86" s="38" t="n">
        <x:v>0.0541093915</x:v>
      </x:c>
      <x:c r="E86" s="38" t="n">
        <x:v>0.065894395</x:v>
      </x:c>
      <x:c r="F86" s="38" t="n">
        <x:v>0.0616212415</x:v>
      </x:c>
      <x:c r="G86" s="38" t="n">
        <x:v>0.0408369218</x:v>
      </x:c>
      <x:c r="H86" s="38" t="n">
        <x:v>0.0488435173</x:v>
      </x:c>
      <x:c r="I86" s="38" t="n">
        <x:v>0.060334672</x:v>
      </x:c>
      <x:c r="J86" s="38" t="n">
        <x:v>0.0400888818</x:v>
      </x:c>
      <x:c r="K86" s="38" t="n">
        <x:v>-0.0511783034</x:v>
      </x:c>
      <x:c r="L86" s="38" t="n">
        <x:v>0.0157935009</x:v>
      </x:c>
      <x:c r="M86" s="38" t="n">
        <x:v>0.0587088521</x:v>
      </x:c>
      <x:c r="N86" s="38" t="n">
        <x:v>-0.0088807484</x:v>
      </x:c>
      <x:c r="O86" s="38" t="n">
        <x:v>0.0942125819</x:v>
      </x:c>
      <x:c r="P86" s="38" t="n">
        <x:v>0.0257220611</x:v>
      </x:c>
      <x:c r="Q86" s="38" t="n">
        <x:v>-0.0657486741</x:v>
      </x:c>
      <x:c r="R86" s="38"/>
      <x:c r="S86" s="38" t="n">
        <x:v>0.0206868203</x:v>
      </x:c>
      <x:c r="T86" s="38" t="n">
        <x:v>0.0028997815</x:v>
      </x:c>
      <x:c r="U86" s="38" t="n">
        <x:v>0.0967126786</x:v>
      </x:c>
      <x:c r="V86" s="38" t="n">
        <x:v>-0.0625549678</x:v>
      </x:c>
      <x:c r="W86" s="38" t="n">
        <x:v>0.043632435</x:v>
      </x:c>
      <x:c r="X86" s="38" t="n">
        <x:v>0.0656159276</x:v>
      </x:c>
      <x:c r="Y86" s="38" t="n">
        <x:v>0.0168902307</x:v>
      </x:c>
      <x:c r="Z86" s="38" t="n">
        <x:v>0.0639776961</x:v>
      </x:c>
      <x:c r="AA86" s="38" t="n">
        <x:v>0.0661737627</x:v>
      </x:c>
      <x:c r="AB86" s="38" t="n">
        <x:v>0.0047416266</x:v>
      </x:c>
      <x:c r="AC86" s="38"/>
      <x:c r="AD86" s="38" t="n">
        <x:v>0.0518281507</x:v>
      </x:c>
      <x:c r="AE86" s="38" t="n">
        <x:v>0.0826279046</x:v>
      </x:c>
      <x:c r="AF86" s="38" t="n">
        <x:v>0.0068247691</x:v>
      </x:c>
      <x:c r="AG86" s="38" t="n">
        <x:v>0.0118623428</x:v>
      </x:c>
      <x:c r="AH86" s="38" t="n">
        <x:v>0.0190614606</x:v>
      </x:c>
      <x:c r="AI86" s="38" t="n">
        <x:v>0.1771735437</x:v>
      </x:c>
      <x:c r="AJ86" s="38" t="n">
        <x:v>-0.0110980307</x:v>
      </x:c>
      <x:c r="AK86" s="38" t="n">
        <x:v>0.018060508</x:v>
      </x:c>
      <x:c r="AL86" s="38" t="n">
        <x:v>-0.0305591206</x:v>
      </x:c>
      <x:c r="AM86" s="38" t="n">
        <x:v>0.0135922784</x:v>
      </x:c>
      <x:c r="AN86" s="38" t="n">
        <x:v>0.0552254293</x:v>
      </x:c>
      <x:c r="AO86" s="38" t="n">
        <x:v>0.0510931372</x:v>
      </x:c>
      <x:c r="AP86" s="38" t="n">
        <x:v>0.0522281853</x:v>
      </x:c>
      <x:c r="AQ86" s="38" t="n">
        <x:v>0.058169789</x:v>
      </x:c>
      <x:c r="AR86" s="38" t="n">
        <x:v>0.0392262159</x:v>
      </x:c>
      <x:c r="AS86" s="38" t="n">
        <x:v>0.0563475197</x:v>
      </x:c>
    </x:row>
    <x:row r="87" ht="19" customHeight="1">
      <x:c r="A87" s="29" t="str">
        <x:v>Home FX</x:v>
      </x:c>
      <x:c r="B87" s="39" t="d">
        <x:v>2020-08-17T00:00:00.000Z</x:v>
      </x:c>
      <x:c r="C87" s="38" t="n">
        <x:v>0.0063881766</x:v>
      </x:c>
      <x:c r="D87" s="38" t="n">
        <x:v>-0.1398069985</x:v>
      </x:c>
      <x:c r="E87" s="38" t="n">
        <x:v>-0.054707001</x:v>
      </x:c>
      <x:c r="F87" s="38" t="n">
        <x:v>-0.0198401839</x:v>
      </x:c>
      <x:c r="G87" s="38" t="n">
        <x:v>0.0442634235</x:v>
      </x:c>
      <x:c r="H87" s="38" t="n">
        <x:v>0.056953218</x:v>
      </x:c>
      <x:c r="I87" s="38" t="n">
        <x:v>0.0483615256</x:v>
      </x:c>
      <x:c r="J87" s="38" t="n">
        <x:v>0.1346319383</x:v>
      </x:c>
      <x:c r="K87" s="38" t="n">
        <x:v>-0.1032226603</x:v>
      </x:c>
      <x:c r="L87" s="38" t="n">
        <x:v>-0.0437937152</x:v>
      </x:c>
      <x:c r="M87" s="38" t="n">
        <x:v>0.0361204319</x:v>
      </x:c>
      <x:c r="N87" s="38" t="n">
        <x:v>0.039943998</x:v>
      </x:c>
      <x:c r="O87" s="38" t="n">
        <x:v>0.0148283943</x:v>
      </x:c>
      <x:c r="P87" s="38" t="n">
        <x:v>-0.1322918813</x:v>
      </x:c>
      <x:c r="Q87" s="38" t="n">
        <x:v>-0.0050074948</x:v>
      </x:c>
      <x:c r="R87" s="38"/>
      <x:c r="S87" s="38" t="n">
        <x:v>0.0164500421</x:v>
      </x:c>
      <x:c r="T87" s="38" t="n">
        <x:v>0.047310469</x:v>
      </x:c>
      <x:c r="U87" s="38" t="n">
        <x:v>-0.0534228852</x:v>
      </x:c>
      <x:c r="V87" s="38" t="n">
        <x:v>-0.0197343452</x:v>
      </x:c>
      <x:c r="W87" s="38" t="n">
        <x:v>0.0134466419</x:v>
      </x:c>
      <x:c r="X87" s="38" t="n">
        <x:v>-0.0035730158</x:v>
      </x:c>
      <x:c r="Y87" s="38" t="n">
        <x:v>-0.0877648255</x:v>
      </x:c>
      <x:c r="Z87" s="38" t="n">
        <x:v>-0.009834991</x:v>
      </x:c>
      <x:c r="AA87" s="38" t="n">
        <x:v>0.0243095959</x:v>
      </x:c>
      <x:c r="AB87" s="38" t="n">
        <x:v>-0.1178831828</x:v>
      </x:c>
      <x:c r="AC87" s="38"/>
      <x:c r="AD87" s="38" t="n">
        <x:v>0.0480966262</x:v>
      </x:c>
      <x:c r="AE87" s="38" t="n">
        <x:v>-0.0179207832</x:v>
      </x:c>
      <x:c r="AF87" s="38" t="n">
        <x:v>-0.0168786529</x:v>
      </x:c>
      <x:c r="AG87" s="38" t="n">
        <x:v>-0.0202325356</x:v>
      </x:c>
      <x:c r="AH87" s="38" t="n">
        <x:v>-0.0606088716</x:v>
      </x:c>
      <x:c r="AI87" s="38" t="n">
        <x:v>0.1040340046</x:v>
      </x:c>
      <x:c r="AJ87" s="38" t="n">
        <x:v>-0.0340459869</x:v>
      </x:c>
      <x:c r="AK87" s="38" t="n">
        <x:v>0.0542875197</x:v>
      </x:c>
      <x:c r="AL87" s="38" t="n">
        <x:v>0.0595657306</x:v>
      </x:c>
      <x:c r="AM87" s="38" t="n">
        <x:v>0.0325361308</x:v>
      </x:c>
      <x:c r="AN87" s="38" t="n">
        <x:v>0.0240934181</x:v>
      </x:c>
      <x:c r="AO87" s="38" t="n">
        <x:v>0.0321694834</x:v>
      </x:c>
      <x:c r="AP87" s="38" t="n">
        <x:v>0.0360409485</x:v>
      </x:c>
      <x:c r="AQ87" s="38" t="n">
        <x:v>-0.0139345064</x:v>
      </x:c>
      <x:c r="AR87" s="38" t="n">
        <x:v>0.0170088631</x:v>
      </x:c>
      <x:c r="AS87" s="38" t="n">
        <x:v>0.0354336791</x:v>
      </x:c>
    </x:row>
    <x:row r="88" ht="19" customHeight="1">
      <x:c r="A88" s="29" t="str">
        <x:v>Home FX</x:v>
      </x:c>
      <x:c r="B88" s="39" t="d">
        <x:v>2020-09-14T00:00:00.000Z</x:v>
      </x:c>
      <x:c r="C88" s="38" t="n">
        <x:v>-0.0257498283</x:v>
      </x:c>
      <x:c r="D88" s="38" t="n">
        <x:v>-0.1741197306</x:v>
      </x:c>
      <x:c r="E88" s="38" t="n">
        <x:v>-0.0021259424</x:v>
      </x:c>
      <x:c r="F88" s="38" t="n">
        <x:v>-0.015603049</x:v>
      </x:c>
      <x:c r="G88" s="38" t="n">
        <x:v>0.0051979195</x:v>
      </x:c>
      <x:c r="H88" s="38" t="n">
        <x:v>-0.0171092034</x:v>
      </x:c>
      <x:c r="I88" s="38" t="n">
        <x:v>-0.0591760379</x:v>
      </x:c>
      <x:c r="J88" s="38" t="n">
        <x:v>0.0034086916</x:v>
      </x:c>
      <x:c r="K88" s="38" t="n">
        <x:v>-0.0184741768</x:v>
      </x:c>
      <x:c r="L88" s="38" t="n">
        <x:v>-0.0431806512</x:v>
      </x:c>
      <x:c r="M88" s="38" t="n">
        <x:v>0.0276395004</x:v>
      </x:c>
      <x:c r="N88" s="38" t="n">
        <x:v>0.0468681878</x:v>
      </x:c>
      <x:c r="O88" s="38" t="n">
        <x:v>-0.0199823524</x:v>
      </x:c>
      <x:c r="P88" s="38" t="n">
        <x:v>0.0552443752</x:v>
      </x:c>
      <x:c r="Q88" s="38" t="n">
        <x:v>0.0122279211</x:v>
      </x:c>
      <x:c r="R88" s="38"/>
      <x:c r="S88" s="38" t="n">
        <x:v>-0.0128365967</x:v>
      </x:c>
      <x:c r="T88" s="38" t="n">
        <x:v>-0.0267832065</x:v>
      </x:c>
      <x:c r="U88" s="38" t="n">
        <x:v>0.0280669042</x:v>
      </x:c>
      <x:c r="V88" s="38" t="n">
        <x:v>-0.0004063168</x:v>
      </x:c>
      <x:c r="W88" s="38" t="n">
        <x:v>-0.0259833372</x:v>
      </x:c>
      <x:c r="X88" s="38" t="n">
        <x:v>0.0277369343</x:v>
      </x:c>
      <x:c r="Y88" s="38" t="n">
        <x:v>0.0970034891</x:v>
      </x:c>
      <x:c r="Z88" s="38" t="n">
        <x:v>-0.0052538016</x:v>
      </x:c>
      <x:c r="AA88" s="38" t="n">
        <x:v>0.029884206</x:v>
      </x:c>
      <x:c r="AB88" s="38" t="n">
        <x:v>-0.0415990982</x:v>
      </x:c>
      <x:c r="AC88" s="38"/>
      <x:c r="AD88" s="38" t="n">
        <x:v>-0.0002848656</x:v>
      </x:c>
      <x:c r="AE88" s="38" t="n">
        <x:v>0.0459253507</x:v>
      </x:c>
      <x:c r="AF88" s="38" t="n">
        <x:v>0.0171404607</x:v>
      </x:c>
      <x:c r="AG88" s="38" t="n">
        <x:v>-0.021648463</x:v>
      </x:c>
      <x:c r="AH88" s="38" t="n">
        <x:v>-0.0305939002</x:v>
      </x:c>
      <x:c r="AI88" s="38" t="n">
        <x:v>-0.0626348729</x:v>
      </x:c>
      <x:c r="AJ88" s="38" t="n">
        <x:v>0.0181008022</x:v>
      </x:c>
      <x:c r="AK88" s="38" t="n">
        <x:v>0.0031793305</x:v>
      </x:c>
      <x:c r="AL88" s="38" t="n">
        <x:v>-0.127463694</x:v>
      </x:c>
      <x:c r="AM88" s="38" t="n">
        <x:v>-0.0341817785</x:v>
      </x:c>
      <x:c r="AN88" s="38" t="n">
        <x:v>-0.0460273269</x:v>
      </x:c>
      <x:c r="AO88" s="38" t="n">
        <x:v>-0.014216778</x:v>
      </x:c>
      <x:c r="AP88" s="38" t="n">
        <x:v>-0.0131632859</x:v>
      </x:c>
      <x:c r="AQ88" s="38" t="n">
        <x:v>0.0408015462</x:v>
      </x:c>
      <x:c r="AR88" s="38" t="n">
        <x:v>-0.0095525896</x:v>
      </x:c>
      <x:c r="AS88" s="38" t="n">
        <x:v>0.028333869</x:v>
      </x:c>
    </x:row>
    <x:row r="89" ht="19" customHeight="1">
      <x:c r="A89" s="29" t="str">
        <x:v>Home FX</x:v>
      </x:c>
      <x:c r="B89" s="39" t="d">
        <x:v>2020-10-12T00:00:00.000Z</x:v>
      </x:c>
      <x:c r="C89" s="38" t="n">
        <x:v>0.0278073665</x:v>
      </x:c>
      <x:c r="D89" s="38" t="n">
        <x:v>-0.0601423679</x:v>
      </x:c>
      <x:c r="E89" s="38" t="n">
        <x:v>0.0850209842</x:v>
      </x:c>
      <x:c r="F89" s="38" t="n">
        <x:v>0.0631550189</x:v>
      </x:c>
      <x:c r="G89" s="38" t="n">
        <x:v>-0.0080826207</x:v>
      </x:c>
      <x:c r="H89" s="38" t="n">
        <x:v>0.0551829524</x:v>
      </x:c>
      <x:c r="I89" s="38" t="n">
        <x:v>0.0579386511</x:v>
      </x:c>
      <x:c r="J89" s="38" t="n">
        <x:v>0.0355883897</x:v>
      </x:c>
      <x:c r="K89" s="38" t="n">
        <x:v>-0.011775645</x:v>
      </x:c>
      <x:c r="L89" s="38" t="n">
        <x:v>-0.1086282583</x:v>
      </x:c>
      <x:c r="M89" s="38" t="n">
        <x:v>-0.0849366935</x:v>
      </x:c>
      <x:c r="N89" s="38" t="n">
        <x:v>-0.0278392664</x:v>
      </x:c>
      <x:c r="O89" s="38" t="n">
        <x:v>0.0476446093</x:v>
      </x:c>
      <x:c r="P89" s="38" t="n">
        <x:v>0.0110196293</x:v>
      </x:c>
      <x:c r="Q89" s="38" t="n">
        <x:v>0.0369047041</x:v>
      </x:c>
      <x:c r="R89" s="38"/>
      <x:c r="S89" s="38" t="n">
        <x:v>-0.0035673623</x:v>
      </x:c>
      <x:c r="T89" s="38" t="n">
        <x:v>0.2562645494</x:v>
      </x:c>
      <x:c r="U89" s="38" t="n">
        <x:v>0.0321129687</x:v>
      </x:c>
      <x:c r="V89" s="38" t="n">
        <x:v>0.1584790836</x:v>
      </x:c>
      <x:c r="W89" s="38" t="n">
        <x:v>0.0690378347</x:v>
      </x:c>
      <x:c r="X89" s="38" t="n">
        <x:v>0.0066019239</x:v>
      </x:c>
      <x:c r="Y89" s="38" t="n">
        <x:v>0.0096428433</x:v>
      </x:c>
      <x:c r="Z89" s="38" t="n">
        <x:v>-0.0181689103</x:v>
      </x:c>
      <x:c r="AA89" s="38" t="n">
        <x:v>-0.0014031314</x:v>
      </x:c>
      <x:c r="AB89" s="38" t="n">
        <x:v>-0.1230174388</x:v>
      </x:c>
      <x:c r="AC89" s="38"/>
      <x:c r="AD89" s="38" t="n">
        <x:v>0.0282687269</x:v>
      </x:c>
      <x:c r="AE89" s="38" t="n">
        <x:v>0.0335082491</x:v>
      </x:c>
      <x:c r="AF89" s="38" t="n">
        <x:v>-0.0011954391</x:v>
      </x:c>
      <x:c r="AG89" s="38" t="n">
        <x:v>0.0214477058</x:v>
      </x:c>
      <x:c r="AH89" s="38" t="n">
        <x:v>-0.0045041903</x:v>
      </x:c>
      <x:c r="AI89" s="38" t="n">
        <x:v>0.0591763431</x:v>
      </x:c>
      <x:c r="AJ89" s="38" t="n">
        <x:v>-0.0304172079</x:v>
      </x:c>
      <x:c r="AK89" s="38" t="n">
        <x:v>-0.022233673</x:v>
      </x:c>
      <x:c r="AL89" s="38" t="n">
        <x:v>-0.0239725083</x:v>
      </x:c>
      <x:c r="AM89" s="38" t="n">
        <x:v>0.0520769622</x:v>
      </x:c>
      <x:c r="AN89" s="38" t="n">
        <x:v>0.0438406683</x:v>
      </x:c>
      <x:c r="AO89" s="38" t="n">
        <x:v>0.0721600945</x:v>
      </x:c>
      <x:c r="AP89" s="38" t="n">
        <x:v>0.0251362389</x:v>
      </x:c>
      <x:c r="AQ89" s="38" t="n">
        <x:v>-0.0047417235</x:v>
      </x:c>
      <x:c r="AR89" s="38" t="n">
        <x:v>-0.0041209611</x:v>
      </x:c>
      <x:c r="AS89" s="38" t="n">
        <x:v>-0.0166165693</x:v>
      </x:c>
    </x:row>
    <x:row r="90" ht="19" customHeight="1">
      <x:c r="A90" s="29" t="str">
        <x:v>Home FX</x:v>
      </x:c>
      <x:c r="B90" s="39" t="d">
        <x:v>2020-11-09T00:00:00.000Z</x:v>
      </x:c>
      <x:c r="C90" s="38" t="n">
        <x:v>0.0210824094</x:v>
      </x:c>
      <x:c r="D90" s="38" t="n">
        <x:v>-0.0003096113</x:v>
      </x:c>
      <x:c r="E90" s="38" t="n">
        <x:v>-0.0057644431</x:v>
      </x:c>
      <x:c r="F90" s="38" t="n">
        <x:v>0.0184075058</x:v>
      </x:c>
      <x:c r="G90" s="38" t="n">
        <x:v>0.0501435182</x:v>
      </x:c>
      <x:c r="H90" s="38" t="n">
        <x:v>-0.0391993616</x:v>
      </x:c>
      <x:c r="I90" s="38" t="n">
        <x:v>-0.0258662008</x:v>
      </x:c>
      <x:c r="J90" s="38" t="n">
        <x:v>-0.0606832918</x:v>
      </x:c>
      <x:c r="K90" s="38" t="n">
        <x:v>-0.0284700988</x:v>
      </x:c>
      <x:c r="L90" s="38" t="n">
        <x:v>0.135695071</x:v>
      </x:c>
      <x:c r="M90" s="38" t="n">
        <x:v>0.0365458702</x:v>
      </x:c>
      <x:c r="N90" s="38" t="n">
        <x:v>0.0054788023</x:v>
      </x:c>
      <x:c r="O90" s="38" t="n">
        <x:v>0.0489972297</x:v>
      </x:c>
      <x:c r="P90" s="38" t="n">
        <x:v>0.0511762211</x:v>
      </x:c>
      <x:c r="Q90" s="38" t="n">
        <x:v>0.0110900368</x:v>
      </x:c>
      <x:c r="R90" s="38"/>
      <x:c r="S90" s="38" t="n">
        <x:v>-0.0069939245</x:v>
      </x:c>
      <x:c r="T90" s="38" t="n">
        <x:v>0.051687018</x:v>
      </x:c>
      <x:c r="U90" s="38" t="n">
        <x:v>0.1091553707</x:v>
      </x:c>
      <x:c r="V90" s="38" t="n">
        <x:v>0.0591411717</x:v>
      </x:c>
      <x:c r="W90" s="38" t="n">
        <x:v>-0.0544647528</x:v>
      </x:c>
      <x:c r="X90" s="38" t="n">
        <x:v>0.0418721938</x:v>
      </x:c>
      <x:c r="Y90" s="38" t="n">
        <x:v>0.0664521115</x:v>
      </x:c>
      <x:c r="Z90" s="38" t="n">
        <x:v>0.0272484212</x:v>
      </x:c>
      <x:c r="AA90" s="38" t="n">
        <x:v>-0.0051482121</x:v>
      </x:c>
      <x:c r="AB90" s="38" t="n">
        <x:v>-0.0196443944</x:v>
      </x:c>
      <x:c r="AC90" s="38"/>
      <x:c r="AD90" s="38" t="n">
        <x:v>0.0027468259</x:v>
      </x:c>
      <x:c r="AE90" s="38" t="n">
        <x:v>0.0618067552</x:v>
      </x:c>
      <x:c r="AF90" s="38" t="n">
        <x:v>0.0387161341</x:v>
      </x:c>
      <x:c r="AG90" s="38" t="n">
        <x:v>0.0642025601</x:v>
      </x:c>
      <x:c r="AH90" s="38" t="n">
        <x:v>0.059086119</x:v>
      </x:c>
      <x:c r="AI90" s="38" t="n">
        <x:v>-0.0121623456</x:v>
      </x:c>
      <x:c r="AJ90" s="38" t="n">
        <x:v>-0.0119670796</x:v>
      </x:c>
      <x:c r="AK90" s="38" t="n">
        <x:v>0.1150571973</x:v>
      </x:c>
      <x:c r="AL90" s="38" t="n">
        <x:v>-0.0522162246</x:v>
      </x:c>
      <x:c r="AM90" s="38" t="n">
        <x:v>-0.0083090001</x:v>
      </x:c>
      <x:c r="AN90" s="38" t="n">
        <x:v>0.0705514079</x:v>
      </x:c>
      <x:c r="AO90" s="38" t="n">
        <x:v>-0.0029809652</x:v>
      </x:c>
      <x:c r="AP90" s="38" t="n">
        <x:v>-0.0213691294</x:v>
      </x:c>
      <x:c r="AQ90" s="38" t="n">
        <x:v>0.0380373059</x:v>
      </x:c>
      <x:c r="AR90" s="38" t="n">
        <x:v>0.0069492213</x:v>
      </x:c>
      <x:c r="AS90" s="38" t="n">
        <x:v>0.0406334392</x:v>
      </x:c>
    </x:row>
    <x:row r="91" ht="19" customHeight="1">
      <x:c r="A91" s="29" t="str">
        <x:v>Home FX</x:v>
      </x:c>
      <x:c r="B91" s="39" t="d">
        <x:v>2020-12-07T00:00:00.000Z</x:v>
      </x:c>
      <x:c r="C91" s="38" t="n">
        <x:v>-0.0445335861</x:v>
      </x:c>
      <x:c r="D91" s="38" t="n">
        <x:v>0.0599396405</x:v>
      </x:c>
      <x:c r="E91" s="38" t="n">
        <x:v>-0.0480843261</x:v>
      </x:c>
      <x:c r="F91" s="38" t="n">
        <x:v>-0.0352422787</x:v>
      </x:c>
      <x:c r="G91" s="38" t="n">
        <x:v>0.1394546461</x:v>
      </x:c>
      <x:c r="H91" s="38" t="n">
        <x:v>0.0222147771</x:v>
      </x:c>
      <x:c r="I91" s="38" t="n">
        <x:v>-0.0023149072</x:v>
      </x:c>
      <x:c r="J91" s="38" t="n">
        <x:v>0.0086280771</x:v>
      </x:c>
      <x:c r="K91" s="38" t="n">
        <x:v>0.0319749946</x:v>
      </x:c>
      <x:c r="L91" s="38" t="n">
        <x:v>0.096584071</x:v>
      </x:c>
      <x:c r="M91" s="38" t="n">
        <x:v>0.141519196</x:v>
      </x:c>
      <x:c r="N91" s="38" t="n">
        <x:v>0.0629067997</x:v>
      </x:c>
      <x:c r="O91" s="38" t="n">
        <x:v>0.020085439</x:v>
      </x:c>
      <x:c r="P91" s="38" t="n">
        <x:v>0.1217105158</x:v>
      </x:c>
      <x:c r="Q91" s="38" t="n">
        <x:v>0.0238034395</x:v>
      </x:c>
      <x:c r="R91" s="38"/>
      <x:c r="S91" s="38" t="n">
        <x:v>0.0509640165</x:v>
      </x:c>
      <x:c r="T91" s="38" t="n">
        <x:v>0.1496008211</x:v>
      </x:c>
      <x:c r="U91" s="38" t="n">
        <x:v>0.3283390206</x:v>
      </x:c>
      <x:c r="V91" s="38" t="n">
        <x:v>0.010229687</x:v>
      </x:c>
      <x:c r="W91" s="38" t="n">
        <x:v>0.024119465</x:v>
      </x:c>
      <x:c r="X91" s="38" t="n">
        <x:v>0.0225383585</x:v>
      </x:c>
      <x:c r="Y91" s="38" t="n">
        <x:v>0.1148170354</x:v>
      </x:c>
      <x:c r="Z91" s="38" t="n">
        <x:v>-0.0602245654</x:v>
      </x:c>
      <x:c r="AA91" s="38" t="n">
        <x:v>-0.0077974489</x:v>
      </x:c>
      <x:c r="AB91" s="38" t="n">
        <x:v>0.0552101368</x:v>
      </x:c>
      <x:c r="AC91" s="38"/>
      <x:c r="AD91" s="38" t="n">
        <x:v>-0.0322965378</x:v>
      </x:c>
      <x:c r="AE91" s="38" t="n">
        <x:v>0.0319029989</x:v>
      </x:c>
      <x:c r="AF91" s="38" t="n">
        <x:v>0.1035954294</x:v>
      </x:c>
      <x:c r="AG91" s="38" t="n">
        <x:v>0.1212425769</x:v>
      </x:c>
      <x:c r="AH91" s="38" t="n">
        <x:v>0.0506772761</x:v>
      </x:c>
      <x:c r="AI91" s="38" t="n">
        <x:v>0.0689786873</x:v>
      </x:c>
      <x:c r="AJ91" s="38" t="n">
        <x:v>0.0682150642</x:v>
      </x:c>
      <x:c r="AK91" s="38" t="n">
        <x:v>-0.0118647244</x:v>
      </x:c>
      <x:c r="AL91" s="38" t="n">
        <x:v>0.014322734</x:v>
      </x:c>
      <x:c r="AM91" s="38" t="n">
        <x:v>-0.0072983665</x:v>
      </x:c>
      <x:c r="AN91" s="38" t="n">
        <x:v>0.0008355345</x:v>
      </x:c>
      <x:c r="AO91" s="38" t="n">
        <x:v>0.009297042</x:v>
      </x:c>
      <x:c r="AP91" s="38" t="n">
        <x:v>-0.0240150808</x:v>
      </x:c>
      <x:c r="AQ91" s="38" t="n">
        <x:v>0.0034641139</x:v>
      </x:c>
      <x:c r="AR91" s="38" t="n">
        <x:v>0.0157915052</x:v>
      </x:c>
      <x:c r="AS91" s="38" t="n">
        <x:v>-0.0026483096</x:v>
      </x:c>
    </x:row>
    <x:row r="92" ht="19" customHeight="1">
      <x:c r="A92" s="29" t="str">
        <x:v>Home FX</x:v>
      </x:c>
      <x:c r="B92" s="39" t="d">
        <x:v>2021-01-04T00:00:00.000Z</x:v>
      </x:c>
      <x:c r="C92" s="38" t="n">
        <x:v>0.0862152649</x:v>
      </x:c>
      <x:c r="D92" s="38" t="n">
        <x:v>-0.0596984363</x:v>
      </x:c>
      <x:c r="E92" s="38" t="n">
        <x:v>-0.0261655364</x:v>
      </x:c>
      <x:c r="F92" s="38" t="n">
        <x:v>-0.0435305468</x:v>
      </x:c>
      <x:c r="G92" s="38" t="n">
        <x:v>0.0099172193</x:v>
      </x:c>
      <x:c r="H92" s="38" t="n">
        <x:v>0.0448797055</x:v>
      </x:c>
      <x:c r="I92" s="38" t="n">
        <x:v>0.0124522116</x:v>
      </x:c>
      <x:c r="J92" s="38" t="n">
        <x:v>0.0647683905</x:v>
      </x:c>
      <x:c r="K92" s="38" t="n">
        <x:v>-0.115717418</x:v>
      </x:c>
      <x:c r="L92" s="38" t="n">
        <x:v>-0.0133812744</x:v>
      </x:c>
      <x:c r="M92" s="38" t="n">
        <x:v>0.0543828605</x:v>
      </x:c>
      <x:c r="N92" s="38" t="n">
        <x:v>0.021188827</x:v>
      </x:c>
      <x:c r="O92" s="38" t="n">
        <x:v>0.1080269129</x:v>
      </x:c>
      <x:c r="P92" s="38" t="n">
        <x:v>0.0083947114</x:v>
      </x:c>
      <x:c r="Q92" s="38" t="n">
        <x:v>-0.0491019699</x:v>
      </x:c>
      <x:c r="R92" s="38"/>
      <x:c r="S92" s="38" t="n">
        <x:v>0.0687668355</x:v>
      </x:c>
      <x:c r="T92" s="38" t="n">
        <x:v>-0.0238820402</x:v>
      </x:c>
      <x:c r="U92" s="38" t="n">
        <x:v>-0.1956304848</x:v>
      </x:c>
      <x:c r="V92" s="38" t="n">
        <x:v>0.0106683283</x:v>
      </x:c>
      <x:c r="W92" s="38" t="n">
        <x:v>0.0083827476</x:v>
      </x:c>
      <x:c r="X92" s="38" t="n">
        <x:v>0.0097452985</x:v>
      </x:c>
      <x:c r="Y92" s="38" t="n">
        <x:v>0.0551502028</x:v>
      </x:c>
      <x:c r="Z92" s="38" t="n">
        <x:v>0.0381431434</x:v>
      </x:c>
      <x:c r="AA92" s="38" t="n">
        <x:v>0.0289026235</x:v>
      </x:c>
      <x:c r="AB92" s="38" t="n">
        <x:v>-0.0287353817</x:v>
      </x:c>
      <x:c r="AC92" s="38"/>
      <x:c r="AD92" s="38" t="n">
        <x:v>0.0098008554</x:v>
      </x:c>
      <x:c r="AE92" s="38" t="n">
        <x:v>-0.0013134919</x:v>
      </x:c>
      <x:c r="AF92" s="38" t="n">
        <x:v>-0.0054533708</x:v>
      </x:c>
      <x:c r="AG92" s="38" t="n">
        <x:v>-0.0549578097</x:v>
      </x:c>
      <x:c r="AH92" s="38" t="n">
        <x:v>-0.0293870297</x:v>
      </x:c>
      <x:c r="AI92" s="38" t="n">
        <x:v>0.0186201124</x:v>
      </x:c>
      <x:c r="AJ92" s="38" t="n">
        <x:v>0.0230943163</x:v>
      </x:c>
      <x:c r="AK92" s="38" t="n">
        <x:v>-0.0146381219</x:v>
      </x:c>
      <x:c r="AL92" s="38" t="n">
        <x:v>-0.0391534546</x:v>
      </x:c>
      <x:c r="AM92" s="38" t="n">
        <x:v>0.0173879203</x:v>
      </x:c>
      <x:c r="AN92" s="38" t="n">
        <x:v>0.0076284329</x:v>
      </x:c>
      <x:c r="AO92" s="38" t="n">
        <x:v>-0.0081961667</x:v>
      </x:c>
      <x:c r="AP92" s="38" t="n">
        <x:v>0.0100679488</x:v>
      </x:c>
      <x:c r="AQ92" s="38" t="n">
        <x:v>-0.0257273981</x:v>
      </x:c>
      <x:c r="AR92" s="38" t="n">
        <x:v>0.0268113415</x:v>
      </x:c>
      <x:c r="AS92" s="38" t="n">
        <x:v>0.0196384612</x:v>
      </x:c>
    </x:row>
    <x:row r="93" ht="19" customHeight="1">
      <x:c r="A93" s="29" t="str">
        <x:v>Home FX</x:v>
      </x:c>
      <x:c r="B93" s="39" t="d">
        <x:v>2021-02-01T00:00:00.000Z</x:v>
      </x:c>
      <x:c r="C93" s="38" t="n">
        <x:v>0.0017127728</x:v>
      </x:c>
      <x:c r="D93" s="38" t="n">
        <x:v>-0.0436620894</x:v>
      </x:c>
      <x:c r="E93" s="38" t="n">
        <x:v>0.0223896294</x:v>
      </x:c>
      <x:c r="F93" s="38" t="n">
        <x:v>0.0071218492</x:v>
      </x:c>
      <x:c r="G93" s="38" t="n">
        <x:v>0.0082382279</x:v>
      </x:c>
      <x:c r="H93" s="38" t="n">
        <x:v>0.0431036112</x:v>
      </x:c>
      <x:c r="I93" s="38" t="n">
        <x:v>0.0311282741</x:v>
      </x:c>
      <x:c r="J93" s="38" t="n">
        <x:v>0.0114704093</x:v>
      </x:c>
      <x:c r="K93" s="38" t="n">
        <x:v>0.0618998712</x:v>
      </x:c>
      <x:c r="L93" s="38" t="n">
        <x:v>0.0403130244</x:v>
      </x:c>
      <x:c r="M93" s="38" t="n">
        <x:v>-0.0002781164</x:v>
      </x:c>
      <x:c r="N93" s="38" t="n">
        <x:v>0.0215079661</x:v>
      </x:c>
      <x:c r="O93" s="38" t="n">
        <x:v>0.0280870312</x:v>
      </x:c>
      <x:c r="P93" s="38" t="n">
        <x:v>0.0853490787</x:v>
      </x:c>
      <x:c r="Q93" s="38" t="n">
        <x:v>-0.0648476754</x:v>
      </x:c>
      <x:c r="R93" s="38"/>
      <x:c r="S93" s="38" t="n">
        <x:v>-0.0254458401</x:v>
      </x:c>
      <x:c r="T93" s="38" t="n">
        <x:v>0.0467313922</x:v>
      </x:c>
      <x:c r="U93" s="38" t="n">
        <x:v>0.2680476294</x:v>
      </x:c>
      <x:c r="V93" s="38" t="n">
        <x:v>0.20761951</x:v>
      </x:c>
      <x:c r="W93" s="38" t="n">
        <x:v>0.0457026969</x:v>
      </x:c>
      <x:c r="X93" s="38" t="n">
        <x:v>-0.0050277405</x:v>
      </x:c>
      <x:c r="Y93" s="38" t="n">
        <x:v>0.0278671739</x:v>
      </x:c>
      <x:c r="Z93" s="38" t="n">
        <x:v>-0.0343174071</x:v>
      </x:c>
      <x:c r="AA93" s="38" t="n">
        <x:v>-0.04638991</x:v>
      </x:c>
      <x:c r="AB93" s="38" t="n">
        <x:v>0.0595177951</x:v>
      </x:c>
      <x:c r="AC93" s="38" t="n">
        <x:v>0.2133335809</x:v>
      </x:c>
      <x:c r="AD93" s="38" t="n">
        <x:v>-0.037642187</x:v>
      </x:c>
      <x:c r="AE93" s="38" t="n">
        <x:v>0.1476187982</x:v>
      </x:c>
      <x:c r="AF93" s="38" t="n">
        <x:v>0.0604925126</x:v>
      </x:c>
      <x:c r="AG93" s="38" t="n">
        <x:v>-0.0056587647</x:v>
      </x:c>
      <x:c r="AH93" s="38" t="n">
        <x:v>-0.0187077407</x:v>
      </x:c>
      <x:c r="AI93" s="38" t="n">
        <x:v>-0.0439548536</x:v>
      </x:c>
      <x:c r="AJ93" s="38" t="n">
        <x:v>0.1156230072</x:v>
      </x:c>
      <x:c r="AK93" s="38" t="n">
        <x:v>0.0126938597</x:v>
      </x:c>
      <x:c r="AL93" s="38" t="n">
        <x:v>0.0282994523</x:v>
      </x:c>
      <x:c r="AM93" s="38" t="n">
        <x:v>0.0587283611</x:v>
      </x:c>
      <x:c r="AN93" s="38" t="n">
        <x:v>0.0900288903</x:v>
      </x:c>
      <x:c r="AO93" s="38" t="n">
        <x:v>-0.0232668238</x:v>
      </x:c>
      <x:c r="AP93" s="38" t="n">
        <x:v>0.021401875</x:v>
      </x:c>
      <x:c r="AQ93" s="38" t="n">
        <x:v>-0.017039537</x:v>
      </x:c>
      <x:c r="AR93" s="38" t="n">
        <x:v>0.0163123864</x:v>
      </x:c>
      <x:c r="AS93" s="38" t="n">
        <x:v>0.002890573</x:v>
      </x:c>
    </x:row>
    <x:row r="94" ht="19" customHeight="1">
      <x:c r="A94" s="29" t="str">
        <x:v>Home FX</x:v>
      </x:c>
      <x:c r="B94" s="39" t="d">
        <x:v>2021-03-01T00:00:00.000Z</x:v>
      </x:c>
      <x:c r="C94" s="38" t="n">
        <x:v>-0.1013829291</x:v>
      </x:c>
      <x:c r="D94" s="38" t="n">
        <x:v>-0.0097758899</x:v>
      </x:c>
      <x:c r="E94" s="38" t="n">
        <x:v>-0.0192764009</x:v>
      </x:c>
      <x:c r="F94" s="38" t="n">
        <x:v>-0.0431202749</x:v>
      </x:c>
      <x:c r="G94" s="38" t="n">
        <x:v>0.0289646369</x:v>
      </x:c>
      <x:c r="H94" s="38" t="n">
        <x:v>-0.0749510029</x:v>
      </x:c>
      <x:c r="I94" s="38" t="n">
        <x:v>-0.0674569667</x:v>
      </x:c>
      <x:c r="J94" s="38" t="n">
        <x:v>0.1123592548</x:v>
      </x:c>
      <x:c r="K94" s="38" t="n">
        <x:v>0.0035202536</x:v>
      </x:c>
      <x:c r="L94" s="38" t="n">
        <x:v>0.1597671841</x:v>
      </x:c>
      <x:c r="M94" s="38" t="n">
        <x:v>0.0579537277</x:v>
      </x:c>
      <x:c r="N94" s="38" t="n">
        <x:v>-0.0177114915</x:v>
      </x:c>
      <x:c r="O94" s="38" t="n">
        <x:v>0.0343558456</x:v>
      </x:c>
      <x:c r="P94" s="38" t="n">
        <x:v>0.0794458887</x:v>
      </x:c>
      <x:c r="Q94" s="38" t="n">
        <x:v>-0.0287843743</x:v>
      </x:c>
      <x:c r="R94" s="38"/>
      <x:c r="S94" s="38" t="n">
        <x:v>0.0677325188</x:v>
      </x:c>
      <x:c r="T94" s="38" t="n">
        <x:v>-0.1485499577</x:v>
      </x:c>
      <x:c r="U94" s="38" t="n">
        <x:v>-0.1750423828</x:v>
      </x:c>
      <x:c r="V94" s="38" t="n">
        <x:v>-0.1302696764</x:v>
      </x:c>
      <x:c r="W94" s="38" t="n">
        <x:v>-0.0392505458</x:v>
      </x:c>
      <x:c r="X94" s="38" t="n">
        <x:v>0.0456390739</x:v>
      </x:c>
      <x:c r="Y94" s="38" t="n">
        <x:v>0.0560942714</x:v>
      </x:c>
      <x:c r="Z94" s="38" t="n">
        <x:v>-0.0209362115</x:v>
      </x:c>
      <x:c r="AA94" s="38" t="n">
        <x:v>0.0143711413</x:v>
      </x:c>
      <x:c r="AB94" s="38" t="n">
        <x:v>-0.0749587433</x:v>
      </x:c>
      <x:c r="AC94" s="38" t="n">
        <x:v>-0.2347590861</x:v>
      </x:c>
      <x:c r="AD94" s="38" t="n">
        <x:v>-0.0171010882</x:v>
      </x:c>
      <x:c r="AE94" s="38" t="n">
        <x:v>0.0389157033</x:v>
      </x:c>
      <x:c r="AF94" s="38" t="n">
        <x:v>0.0557294816</x:v>
      </x:c>
      <x:c r="AG94" s="38" t="n">
        <x:v>0.043185318</x:v>
      </x:c>
      <x:c r="AH94" s="38" t="n">
        <x:v>0.079406597</x:v>
      </x:c>
      <x:c r="AI94" s="38" t="n">
        <x:v>-0.068680381</x:v>
      </x:c>
      <x:c r="AJ94" s="38" t="n">
        <x:v>0.0178758222</x:v>
      </x:c>
      <x:c r="AK94" s="38" t="n">
        <x:v>0.0620764445</x:v>
      </x:c>
      <x:c r="AL94" s="38" t="n">
        <x:v>-0.0663802004</x:v>
      </x:c>
      <x:c r="AM94" s="38" t="n">
        <x:v>-0.0258366356</x:v>
      </x:c>
      <x:c r="AN94" s="38" t="n">
        <x:v>0.0023961187</x:v>
      </x:c>
      <x:c r="AO94" s="38" t="n">
        <x:v>-0.0685825964</x:v>
      </x:c>
      <x:c r="AP94" s="38" t="n">
        <x:v>-0.0579811652</x:v>
      </x:c>
      <x:c r="AQ94" s="38" t="n">
        <x:v>0.0138162826</x:v>
      </x:c>
      <x:c r="AR94" s="38" t="n">
        <x:v>-0.0279316761</x:v>
      </x:c>
      <x:c r="AS94" s="38" t="n">
        <x:v>0.044864882</x:v>
      </x:c>
    </x:row>
    <x:row r="95" ht="19" customHeight="1">
      <x:c r="A95" s="29" t="str">
        <x:v>Home FX</x:v>
      </x:c>
      <x:c r="B95" s="39" t="d">
        <x:v>2021-03-29T00:00:00.000Z</x:v>
      </x:c>
      <x:c r="C95" s="38" t="n">
        <x:v>0.0015270548</x:v>
      </x:c>
      <x:c r="D95" s="38" t="n">
        <x:v>-0.0632696843</x:v>
      </x:c>
      <x:c r="E95" s="38" t="n">
        <x:v>0.0498763397</x:v>
      </x:c>
      <x:c r="F95" s="38" t="n">
        <x:v>0.0688046838</x:v>
      </x:c>
      <x:c r="G95" s="38" t="n">
        <x:v>-0.0033229068</x:v>
      </x:c>
      <x:c r="H95" s="38" t="n">
        <x:v>0.0473322763</x:v>
      </x:c>
      <x:c r="I95" s="38" t="n">
        <x:v>0.0321733344</x:v>
      </x:c>
      <x:c r="J95" s="38" t="n">
        <x:v>0.0531783028</x:v>
      </x:c>
      <x:c r="K95" s="38" t="n">
        <x:v>0.0042537147</x:v>
      </x:c>
      <x:c r="L95" s="38" t="n">
        <x:v>-0.0298426283</x:v>
      </x:c>
      <x:c r="M95" s="38" t="n">
        <x:v>-0.0160577967</x:v>
      </x:c>
      <x:c r="N95" s="38" t="n">
        <x:v>-0.0113154759</x:v>
      </x:c>
      <x:c r="O95" s="38" t="n">
        <x:v>0.030459277</x:v>
      </x:c>
      <x:c r="P95" s="38" t="n">
        <x:v>0.0292216443</x:v>
      </x:c>
      <x:c r="Q95" s="38" t="n">
        <x:v>-0.0776468766</x:v>
      </x:c>
      <x:c r="R95" s="38"/>
      <x:c r="S95" s="38" t="n">
        <x:v>-0.0204159933</x:v>
      </x:c>
      <x:c r="T95" s="38" t="n">
        <x:v>0.0423470441</x:v>
      </x:c>
      <x:c r="U95" s="38" t="n">
        <x:v>0.001678733</x:v>
      </x:c>
      <x:c r="V95" s="38" t="n">
        <x:v>0.0000863182</x:v>
      </x:c>
      <x:c r="W95" s="38" t="n">
        <x:v>0.0269323977</x:v>
      </x:c>
      <x:c r="X95" s="38" t="n">
        <x:v>-0.0038214493</x:v>
      </x:c>
      <x:c r="Y95" s="38" t="n">
        <x:v>0.0236941239</x:v>
      </x:c>
      <x:c r="Z95" s="38" t="n">
        <x:v>0.0528286683</x:v>
      </x:c>
      <x:c r="AA95" s="38" t="n">
        <x:v>0.0399621171</x:v>
      </x:c>
      <x:c r="AB95" s="38" t="n">
        <x:v>-0.0564386297</x:v>
      </x:c>
      <x:c r="AC95" s="38" t="n">
        <x:v>0.6399732226</x:v>
      </x:c>
      <x:c r="AD95" s="38" t="n">
        <x:v>0.0393837394</x:v>
      </x:c>
      <x:c r="AE95" s="38" t="n">
        <x:v>-0.0050511307</x:v>
      </x:c>
      <x:c r="AF95" s="38" t="n">
        <x:v>0.0583731573</x:v>
      </x:c>
      <x:c r="AG95" s="38" t="n">
        <x:v>0.0772028307</x:v>
      </x:c>
      <x:c r="AH95" s="38" t="n">
        <x:v>0.0590093384</x:v>
      </x:c>
      <x:c r="AI95" s="38" t="n">
        <x:v>0.019879627</x:v>
      </x:c>
      <x:c r="AJ95" s="38" t="n">
        <x:v>-0.0683181602</x:v>
      </x:c>
      <x:c r="AK95" s="38" t="n">
        <x:v>0.0257245738</x:v>
      </x:c>
      <x:c r="AL95" s="38" t="n">
        <x:v>0.0041065235</x:v>
      </x:c>
      <x:c r="AM95" s="38" t="n">
        <x:v>0.0280058589</x:v>
      </x:c>
      <x:c r="AN95" s="38" t="n">
        <x:v>0.0095538181</x:v>
      </x:c>
      <x:c r="AO95" s="38" t="n">
        <x:v>0.0691566269</x:v>
      </x:c>
      <x:c r="AP95" s="38" t="n">
        <x:v>0.1235085695</x:v>
      </x:c>
      <x:c r="AQ95" s="38" t="n">
        <x:v>0.025673747</x:v>
      </x:c>
      <x:c r="AR95" s="38" t="n">
        <x:v>0.0260544252</x:v>
      </x:c>
      <x:c r="AS95" s="38" t="n">
        <x:v>0.0121923244</x:v>
      </x:c>
    </x:row>
    <x:row r="96" ht="19" customHeight="1">
      <x:c r="A96" s="29" t="str">
        <x:v>Home FX</x:v>
      </x:c>
      <x:c r="B96" s="39" t="d">
        <x:v>2021-04-26T00:00:00.000Z</x:v>
      </x:c>
      <x:c r="C96" s="38" t="n">
        <x:v>-0.0307733723</x:v>
      </x:c>
      <x:c r="D96" s="38" t="n">
        <x:v>-0.0380536425</x:v>
      </x:c>
      <x:c r="E96" s="38" t="n">
        <x:v>0.0227800598</x:v>
      </x:c>
      <x:c r="F96" s="38" t="n">
        <x:v>0.0578703561</x:v>
      </x:c>
      <x:c r="G96" s="38" t="n">
        <x:v>-0.0098498106</x:v>
      </x:c>
      <x:c r="H96" s="38" t="n">
        <x:v>0.0228902458</x:v>
      </x:c>
      <x:c r="I96" s="38" t="n">
        <x:v>0.0579211932</x:v>
      </x:c>
      <x:c r="J96" s="38" t="n">
        <x:v>0.0498995375</x:v>
      </x:c>
      <x:c r="K96" s="38" t="n">
        <x:v>0.0308059615</x:v>
      </x:c>
      <x:c r="L96" s="38" t="n">
        <x:v>-0.0112408364</x:v>
      </x:c>
      <x:c r="M96" s="38" t="n">
        <x:v>0.0360325378</x:v>
      </x:c>
      <x:c r="N96" s="38" t="n">
        <x:v>-0.0205733846</x:v>
      </x:c>
      <x:c r="O96" s="38" t="n">
        <x:v>-0.0060878253</x:v>
      </x:c>
      <x:c r="P96" s="38" t="n">
        <x:v>-0.0065248496</x:v>
      </x:c>
      <x:c r="Q96" s="38" t="n">
        <x:v>0.0449600945</x:v>
      </x:c>
      <x:c r="R96" s="38" t="n">
        <x:v>-0.0032959941</x:v>
      </x:c>
      <x:c r="S96" s="38" t="n">
        <x:v>-0.0125800257</x:v>
      </x:c>
      <x:c r="T96" s="38" t="n">
        <x:v>0.1038213495</x:v>
      </x:c>
      <x:c r="U96" s="38" t="n">
        <x:v>0.1874438966</x:v>
      </x:c>
      <x:c r="V96" s="38" t="n">
        <x:v>0.0363390071</x:v>
      </x:c>
      <x:c r="W96" s="38" t="n">
        <x:v>-0.0308647885</x:v>
      </x:c>
      <x:c r="X96" s="38" t="n">
        <x:v>0.0186692794</x:v>
      </x:c>
      <x:c r="Y96" s="38" t="n">
        <x:v>-0.0444943686</x:v>
      </x:c>
      <x:c r="Z96" s="38" t="n">
        <x:v>0.0060475452</x:v>
      </x:c>
      <x:c r="AA96" s="38" t="n">
        <x:v>0.0337599304</x:v>
      </x:c>
      <x:c r="AB96" s="38" t="n">
        <x:v>-0.0556832145</x:v>
      </x:c>
      <x:c r="AC96" s="38" t="n">
        <x:v>-0.1754272011</x:v>
      </x:c>
      <x:c r="AD96" s="38" t="n">
        <x:v>-0.0000298188</x:v>
      </x:c>
      <x:c r="AE96" s="38" t="n">
        <x:v>-0.0332760866</x:v>
      </x:c>
      <x:c r="AF96" s="38" t="n">
        <x:v>0.0126314412</x:v>
      </x:c>
      <x:c r="AG96" s="38" t="n">
        <x:v>-0.0479448941</x:v>
      </x:c>
      <x:c r="AH96" s="38" t="n">
        <x:v>0.0243197476</x:v>
      </x:c>
      <x:c r="AI96" s="38" t="n">
        <x:v>0.0040783942</x:v>
      </x:c>
      <x:c r="AJ96" s="38" t="n">
        <x:v>-0.0084036516</x:v>
      </x:c>
      <x:c r="AK96" s="38" t="n">
        <x:v>0.0150306636</x:v>
      </x:c>
      <x:c r="AL96" s="38" t="n">
        <x:v>0.0754017058</x:v>
      </x:c>
      <x:c r="AM96" s="38" t="n">
        <x:v>0.0248907811</x:v>
      </x:c>
      <x:c r="AN96" s="38" t="n">
        <x:v>0.0625302513</x:v>
      </x:c>
      <x:c r="AO96" s="38" t="n">
        <x:v>0.0308796888</x:v>
      </x:c>
      <x:c r="AP96" s="38" t="n">
        <x:v>0.031574691</x:v>
      </x:c>
      <x:c r="AQ96" s="38" t="n">
        <x:v>0.0172845782</x:v>
      </x:c>
      <x:c r="AR96" s="38" t="n">
        <x:v>-0.0003844653</x:v>
      </x:c>
      <x:c r="AS96" s="38" t="n">
        <x:v>0.0393485843</x:v>
      </x:c>
    </x:row>
    <x:row r="97" ht="19" customHeight="1">
      <x:c r="A97" s="29" t="str">
        <x:v>Home FX</x:v>
      </x:c>
      <x:c r="B97" s="39" t="d">
        <x:v>2021-05-24T00:00:00.000Z</x:v>
      </x:c>
      <x:c r="C97" s="38" t="n">
        <x:v>-0.0269071767</x:v>
      </x:c>
      <x:c r="D97" s="38" t="n">
        <x:v>0.1521606207</x:v>
      </x:c>
      <x:c r="E97" s="38" t="n">
        <x:v>-0.0143441509</x:v>
      </x:c>
      <x:c r="F97" s="38" t="n">
        <x:v>-0.0183022922</x:v>
      </x:c>
      <x:c r="G97" s="38" t="n">
        <x:v>-0.0256668731</x:v>
      </x:c>
      <x:c r="H97" s="38" t="n">
        <x:v>-0.0532581273</x:v>
      </x:c>
      <x:c r="I97" s="38" t="n">
        <x:v>-0.046397165</x:v>
      </x:c>
      <x:c r="J97" s="38" t="n">
        <x:v>0.0050570956</x:v>
      </x:c>
      <x:c r="K97" s="38" t="n">
        <x:v>-0.0374334906</x:v>
      </x:c>
      <x:c r="L97" s="38" t="n">
        <x:v>0.0609849292</x:v>
      </x:c>
      <x:c r="M97" s="38" t="n">
        <x:v>0.0602337863</x:v>
      </x:c>
      <x:c r="N97" s="38" t="n">
        <x:v>0.0306744849</x:v>
      </x:c>
      <x:c r="O97" s="38" t="n">
        <x:v>-0.0031180436</x:v>
      </x:c>
      <x:c r="P97" s="38" t="n">
        <x:v>0.04005985</x:v>
      </x:c>
      <x:c r="Q97" s="38" t="n">
        <x:v>-0.0657076871</x:v>
      </x:c>
      <x:c r="R97" s="38" t="n">
        <x:v>-0.0226963855</x:v>
      </x:c>
      <x:c r="S97" s="38" t="n">
        <x:v>0.0506386909</x:v>
      </x:c>
      <x:c r="T97" s="38" t="n">
        <x:v>-0.0204042227</x:v>
      </x:c>
      <x:c r="U97" s="38" t="n">
        <x:v>0.0216061318</x:v>
      </x:c>
      <x:c r="V97" s="38" t="n">
        <x:v>-0.0479127897</x:v>
      </x:c>
      <x:c r="W97" s="38" t="n">
        <x:v>-0.0133200055</x:v>
      </x:c>
      <x:c r="X97" s="38" t="n">
        <x:v>0.0133151451</x:v>
      </x:c>
      <x:c r="Y97" s="38" t="n">
        <x:v>-0.0143990539</x:v>
      </x:c>
      <x:c r="Z97" s="38" t="n">
        <x:v>0.1036734222</x:v>
      </x:c>
      <x:c r="AA97" s="38" t="n">
        <x:v>-0.0105493332</x:v>
      </x:c>
      <x:c r="AB97" s="38" t="n">
        <x:v>0.0091619938</x:v>
      </x:c>
      <x:c r="AC97" s="38" t="n">
        <x:v>0.1950237502</x:v>
      </x:c>
      <x:c r="AD97" s="38" t="n">
        <x:v>0.0067687011</x:v>
      </x:c>
      <x:c r="AE97" s="38" t="n">
        <x:v>0.1462813021</x:v>
      </x:c>
      <x:c r="AF97" s="38" t="n">
        <x:v>-0.0023825603</x:v>
      </x:c>
      <x:c r="AG97" s="38" t="n">
        <x:v>0.0335388131</x:v>
      </x:c>
      <x:c r="AH97" s="38" t="n">
        <x:v>0.0149377945</x:v>
      </x:c>
      <x:c r="AI97" s="38" t="n">
        <x:v>-0.0120939439</x:v>
      </x:c>
      <x:c r="AJ97" s="38" t="n">
        <x:v>0.0591720871</x:v>
      </x:c>
      <x:c r="AK97" s="38" t="n">
        <x:v>0.003002065</x:v>
      </x:c>
      <x:c r="AL97" s="38" t="n">
        <x:v>0.0408513278</x:v>
      </x:c>
      <x:c r="AM97" s="38" t="n">
        <x:v>-0.0048612119</x:v>
      </x:c>
      <x:c r="AN97" s="38" t="n">
        <x:v>0.0009029908</x:v>
      </x:c>
      <x:c r="AO97" s="38" t="n">
        <x:v>0.0104586528</x:v>
      </x:c>
      <x:c r="AP97" s="38" t="n">
        <x:v>-0.0094066612</x:v>
      </x:c>
      <x:c r="AQ97" s="38" t="n">
        <x:v>0.0152240704</x:v>
      </x:c>
      <x:c r="AR97" s="38" t="n">
        <x:v>0.0288910506</x:v>
      </x:c>
      <x:c r="AS97" s="38" t="n">
        <x:v>0.0326082949</x:v>
      </x:c>
    </x:row>
    <x:row r="98" ht="19" customHeight="1">
      <x:c r="A98" s="29" t="str">
        <x:v>Home FX</x:v>
      </x:c>
      <x:c r="B98" s="39" t="d">
        <x:v>2021-06-21T00:00:00.000Z</x:v>
      </x:c>
      <x:c r="C98" s="38" t="n">
        <x:v>0.0881147607</x:v>
      </x:c>
      <x:c r="D98" s="38" t="n">
        <x:v>0.0126992304</x:v>
      </x:c>
      <x:c r="E98" s="38" t="n">
        <x:v>-0.009276256</x:v>
      </x:c>
      <x:c r="F98" s="38" t="n">
        <x:v>-0.0229152384</x:v>
      </x:c>
      <x:c r="G98" s="38" t="n">
        <x:v>-0.0010820958</x:v>
      </x:c>
      <x:c r="H98" s="38" t="n">
        <x:v>0.0654440734</x:v>
      </x:c>
      <x:c r="I98" s="38" t="n">
        <x:v>0.0346886291</x:v>
      </x:c>
      <x:c r="J98" s="38" t="n">
        <x:v>-0.028182453</x:v>
      </x:c>
      <x:c r="K98" s="38" t="n">
        <x:v>-0.0744238595</x:v>
      </x:c>
      <x:c r="L98" s="38" t="n">
        <x:v>0.0133949392</x:v>
      </x:c>
      <x:c r="M98" s="38" t="n">
        <x:v>-0.02267832</x:v>
      </x:c>
      <x:c r="N98" s="38" t="n">
        <x:v>0.0100824218</x:v>
      </x:c>
      <x:c r="O98" s="38" t="n">
        <x:v>-0.0147973983</x:v>
      </x:c>
      <x:c r="P98" s="38" t="n">
        <x:v>-0.0395355626</x:v>
      </x:c>
      <x:c r="Q98" s="38" t="n">
        <x:v>0.0281985832</x:v>
      </x:c>
      <x:c r="R98" s="38" t="n">
        <x:v>0.1271811746</x:v>
      </x:c>
      <x:c r="S98" s="38" t="n">
        <x:v>0.0007817705</x:v>
      </x:c>
      <x:c r="T98" s="38" t="n">
        <x:v>0.157752372</x:v>
      </x:c>
      <x:c r="U98" s="38" t="n">
        <x:v>0.1113640028</x:v>
      </x:c>
      <x:c r="V98" s="38" t="n">
        <x:v>0.1305193171</x:v>
      </x:c>
      <x:c r="W98" s="38" t="n">
        <x:v>0.0303425397</x:v>
      </x:c>
      <x:c r="X98" s="38" t="n">
        <x:v>-0.0104153478</x:v>
      </x:c>
      <x:c r="Y98" s="38" t="n">
        <x:v>-0.0163538049</x:v>
      </x:c>
      <x:c r="Z98" s="38" t="n">
        <x:v>-0.0975585787</x:v>
      </x:c>
      <x:c r="AA98" s="38" t="n">
        <x:v>-0.0146586789</x:v>
      </x:c>
      <x:c r="AB98" s="38" t="n">
        <x:v>0.0235498406</x:v>
      </x:c>
      <x:c r="AC98" s="38" t="n">
        <x:v>-0.1243028872</x:v>
      </x:c>
      <x:c r="AD98" s="38" t="n">
        <x:v>0.0003343148</x:v>
      </x:c>
      <x:c r="AE98" s="38" t="n">
        <x:v>0.0286045872</x:v>
      </x:c>
      <x:c r="AF98" s="38" t="n">
        <x:v>-0.0462711019</x:v>
      </x:c>
      <x:c r="AG98" s="38" t="n">
        <x:v>0.0035355024</x:v>
      </x:c>
      <x:c r="AH98" s="38" t="n">
        <x:v>-0.0087858258</x:v>
      </x:c>
      <x:c r="AI98" s="38" t="n">
        <x:v>0.0430740961</x:v>
      </x:c>
      <x:c r="AJ98" s="38" t="n">
        <x:v>0.0914498334</x:v>
      </x:c>
      <x:c r="AK98" s="38" t="n">
        <x:v>0.0751065666</x:v>
      </x:c>
      <x:c r="AL98" s="38" t="n">
        <x:v>0.0225612818</x:v>
      </x:c>
      <x:c r="AM98" s="38" t="n">
        <x:v>0.0383941563</x:v>
      </x:c>
      <x:c r="AN98" s="38" t="n">
        <x:v>0.0250047404</x:v>
      </x:c>
      <x:c r="AO98" s="38" t="n">
        <x:v>0.0270683213</x:v>
      </x:c>
      <x:c r="AP98" s="38" t="n">
        <x:v>-0.0073827471</x:v>
      </x:c>
      <x:c r="AQ98" s="38" t="n">
        <x:v>-0.0065635303</x:v>
      </x:c>
      <x:c r="AR98" s="38" t="n">
        <x:v>-0.0194663318</x:v>
      </x:c>
      <x:c r="AS98" s="38" t="n">
        <x:v>-0.0250880108</x:v>
      </x:c>
    </x:row>
    <x:row r="99" ht="19" customHeight="1">
      <x:c r="A99" s="29" t="str">
        <x:v>Home FX</x:v>
      </x:c>
      <x:c r="B99" s="39" t="d">
        <x:v>2021-07-19T00:00:00.000Z</x:v>
      </x:c>
      <x:c r="C99" s="38" t="n">
        <x:v>0.0247391046</x:v>
      </x:c>
      <x:c r="D99" s="38" t="n">
        <x:v>0.0030513278</x:v>
      </x:c>
      <x:c r="E99" s="38" t="n">
        <x:v>0.0092561288</x:v>
      </x:c>
      <x:c r="F99" s="38" t="n">
        <x:v>0.0074155284</x:v>
      </x:c>
      <x:c r="G99" s="38" t="n">
        <x:v>-0.008143034</x:v>
      </x:c>
      <x:c r="H99" s="38" t="n">
        <x:v>0.1220790897</x:v>
      </x:c>
      <x:c r="I99" s="38" t="n">
        <x:v>0.0472430897</x:v>
      </x:c>
      <x:c r="J99" s="38" t="n">
        <x:v>-0.0335200126</x:v>
      </x:c>
      <x:c r="K99" s="38" t="n">
        <x:v>-0.0223312223</x:v>
      </x:c>
      <x:c r="L99" s="38" t="n">
        <x:v>-0.1655368723</x:v>
      </x:c>
      <x:c r="M99" s="38" t="n">
        <x:v>-0.0532603572</x:v>
      </x:c>
      <x:c r="N99" s="38" t="n">
        <x:v>0.0118537352</x:v>
      </x:c>
      <x:c r="O99" s="38" t="n">
        <x:v>-0.0092384799</x:v>
      </x:c>
      <x:c r="P99" s="38" t="n">
        <x:v>-0.0680390757</x:v>
      </x:c>
      <x:c r="Q99" s="38" t="n">
        <x:v>-0.1298288161</x:v>
      </x:c>
      <x:c r="R99" s="38" t="n">
        <x:v>0.0419728337</x:v>
      </x:c>
      <x:c r="S99" s="38" t="n">
        <x:v>-0.0188939725</x:v>
      </x:c>
      <x:c r="T99" s="38" t="n">
        <x:v>0.0730052809</x:v>
      </x:c>
      <x:c r="U99" s="38" t="n">
        <x:v>0.3012156044</x:v>
      </x:c>
      <x:c r="V99" s="38" t="n">
        <x:v>0.0399089198</x:v>
      </x:c>
      <x:c r="W99" s="38" t="n">
        <x:v>-0.0146096261</x:v>
      </x:c>
      <x:c r="X99" s="38" t="n">
        <x:v>0.0248792097</x:v>
      </x:c>
      <x:c r="Y99" s="38" t="n">
        <x:v>-0.0503788671</x:v>
      </x:c>
      <x:c r="Z99" s="38" t="n">
        <x:v>-0.02734155</x:v>
      </x:c>
      <x:c r="AA99" s="38" t="n">
        <x:v>-0.0137938162</x:v>
      </x:c>
      <x:c r="AB99" s="38" t="n">
        <x:v>-0.129250487</x:v>
      </x:c>
      <x:c r="AC99" s="38" t="n">
        <x:v>-0.0308034227</x:v>
      </x:c>
      <x:c r="AD99" s="38" t="n">
        <x:v>0.0272518349</x:v>
      </x:c>
      <x:c r="AE99" s="38" t="n">
        <x:v>-0.0617286745</x:v>
      </x:c>
      <x:c r="AF99" s="38" t="n">
        <x:v>-0.0289898717</x:v>
      </x:c>
      <x:c r="AG99" s="38" t="n">
        <x:v>-0.0747419251</x:v>
      </x:c>
      <x:c r="AH99" s="38" t="n">
        <x:v>-0.0298533136</x:v>
      </x:c>
      <x:c r="AI99" s="38" t="n">
        <x:v>0.0479998747</x:v>
      </x:c>
      <x:c r="AJ99" s="38" t="n">
        <x:v>0.0383663093</x:v>
      </x:c>
      <x:c r="AK99" s="38" t="n">
        <x:v>0.0284418548</x:v>
      </x:c>
      <x:c r="AL99" s="38" t="n">
        <x:v>0.0206342517</x:v>
      </x:c>
      <x:c r="AM99" s="38" t="n">
        <x:v>0.0580823106</x:v>
      </x:c>
      <x:c r="AN99" s="38" t="n">
        <x:v>0.0537355551</x:v>
      </x:c>
      <x:c r="AO99" s="38" t="n">
        <x:v>0.0462005201</x:v>
      </x:c>
      <x:c r="AP99" s="38" t="n">
        <x:v>0.0388238173</x:v>
      </x:c>
      <x:c r="AQ99" s="38" t="n">
        <x:v>0.0315656571</x:v>
      </x:c>
      <x:c r="AR99" s="38" t="n">
        <x:v>0.0294708258</x:v>
      </x:c>
      <x:c r="AS99" s="38" t="n">
        <x:v>0.0002579711</x:v>
      </x:c>
    </x:row>
    <x:row r="100" ht="19" customHeight="1">
      <x:c r="A100" s="29" t="str">
        <x:v>Home FX</x:v>
      </x:c>
      <x:c r="B100" s="39" t="d">
        <x:v>2021-08-16T00:00:00.000Z</x:v>
      </x:c>
      <x:c r="C100" s="38" t="n">
        <x:v>-0.034521578</x:v>
      </x:c>
      <x:c r="D100" s="38" t="n">
        <x:v>-0.0216705371</x:v>
      </x:c>
      <x:c r="E100" s="38" t="n">
        <x:v>0.0436756876</x:v>
      </x:c>
      <x:c r="F100" s="38" t="n">
        <x:v>0.0781741628</x:v>
      </x:c>
      <x:c r="G100" s="38" t="n">
        <x:v>-0.0038466709</x:v>
      </x:c>
      <x:c r="H100" s="38" t="n">
        <x:v>0.0215743087</x:v>
      </x:c>
      <x:c r="I100" s="38" t="n">
        <x:v>-0.0883629032</x:v>
      </x:c>
      <x:c r="J100" s="38" t="n">
        <x:v>-0.0078218828</x:v>
      </x:c>
      <x:c r="K100" s="38" t="n">
        <x:v>-0.0119228642</x:v>
      </x:c>
      <x:c r="L100" s="38" t="n">
        <x:v>-0.0280612641</x:v>
      </x:c>
      <x:c r="M100" s="38" t="n">
        <x:v>-0.0369383736</x:v>
      </x:c>
      <x:c r="N100" s="38" t="n">
        <x:v>-0.0251123176</x:v>
      </x:c>
      <x:c r="O100" s="38" t="n">
        <x:v>0.0274590308</x:v>
      </x:c>
      <x:c r="P100" s="38" t="n">
        <x:v>-0.0397128577</x:v>
      </x:c>
      <x:c r="Q100" s="38" t="n">
        <x:v>0.0196413636</x:v>
      </x:c>
      <x:c r="R100" s="38" t="n">
        <x:v>-0.0178208779</x:v>
      </x:c>
      <x:c r="S100" s="38" t="n">
        <x:v>-0.0437351385</x:v>
      </x:c>
      <x:c r="T100" s="38" t="n">
        <x:v>0.0151910077</x:v>
      </x:c>
      <x:c r="U100" s="38" t="n">
        <x:v>0.0618616286</x:v>
      </x:c>
      <x:c r="V100" s="38" t="n">
        <x:v>0.0136105284</x:v>
      </x:c>
      <x:c r="W100" s="38" t="n">
        <x:v>0.0392548917</x:v>
      </x:c>
      <x:c r="X100" s="38" t="n">
        <x:v>0.0118106722</x:v>
      </x:c>
      <x:c r="Y100" s="38" t="n">
        <x:v>-0.0517741668</x:v>
      </x:c>
      <x:c r="Z100" s="38" t="n">
        <x:v>-0.0427835765</x:v>
      </x:c>
      <x:c r="AA100" s="38" t="n">
        <x:v>0.0195650863</x:v>
      </x:c>
      <x:c r="AB100" s="38" t="n">
        <x:v>-0.0249970904</x:v>
      </x:c>
      <x:c r="AC100" s="38" t="n">
        <x:v>0.3429509378</x:v>
      </x:c>
      <x:c r="AD100" s="38" t="n">
        <x:v>0.0246477531</x:v>
      </x:c>
      <x:c r="AE100" s="38" t="n">
        <x:v>-0.062792607</x:v>
      </x:c>
      <x:c r="AF100" s="38" t="n">
        <x:v>0.0221726183</x:v>
      </x:c>
      <x:c r="AG100" s="38" t="n">
        <x:v>-0.0270045554</x:v>
      </x:c>
      <x:c r="AH100" s="38" t="n">
        <x:v>-0.0033241558</x:v>
      </x:c>
      <x:c r="AI100" s="38" t="n">
        <x:v>0.0842525567</x:v>
      </x:c>
      <x:c r="AJ100" s="38" t="n">
        <x:v>0.0710212554</x:v>
      </x:c>
      <x:c r="AK100" s="38" t="n">
        <x:v>-0.0225028898</x:v>
      </x:c>
      <x:c r="AL100" s="38" t="n">
        <x:v>0.0008489808</x:v>
      </x:c>
      <x:c r="AM100" s="38" t="n">
        <x:v>0.0340319817</x:v>
      </x:c>
      <x:c r="AN100" s="38" t="n">
        <x:v>0.0216250483</x:v>
      </x:c>
      <x:c r="AO100" s="38" t="n">
        <x:v>0.0546518975</x:v>
      </x:c>
      <x:c r="AP100" s="38" t="n">
        <x:v>-0.0072030329</x:v>
      </x:c>
      <x:c r="AQ100" s="38" t="n">
        <x:v>-0.0043126122</x:v>
      </x:c>
      <x:c r="AR100" s="38" t="n">
        <x:v>0.0288568745</x:v>
      </x:c>
      <x:c r="AS100" s="38" t="n">
        <x:v>0.0159319685</x:v>
      </x:c>
    </x:row>
    <x:row r="101" ht="19" customHeight="1">
      <x:c r="A101" s="29" t="str">
        <x:v>Home FX</x:v>
      </x:c>
      <x:c r="B101" s="39" t="d">
        <x:v>2021-09-13T00:00:00.000Z</x:v>
      </x:c>
      <x:c r="C101" s="38" t="n">
        <x:v>-0.0070959563</x:v>
      </x:c>
      <x:c r="D101" s="38" t="n">
        <x:v>0.0175733757</x:v>
      </x:c>
      <x:c r="E101" s="38" t="n">
        <x:v>-0.0535595605</x:v>
      </x:c>
      <x:c r="F101" s="38" t="n">
        <x:v>-0.0211984556</x:v>
      </x:c>
      <x:c r="G101" s="38" t="n">
        <x:v>0.0312897719</x:v>
      </x:c>
      <x:c r="H101" s="38" t="n">
        <x:v>0.006179243</x:v>
      </x:c>
      <x:c r="I101" s="38" t="n">
        <x:v>0.0529750474</x:v>
      </x:c>
      <x:c r="J101" s="38" t="n">
        <x:v>-0.0454883525</x:v>
      </x:c>
      <x:c r="K101" s="38" t="n">
        <x:v>-0.1224210491</x:v>
      </x:c>
      <x:c r="L101" s="38" t="n">
        <x:v>0.0577055527</x:v>
      </x:c>
      <x:c r="M101" s="38" t="n">
        <x:v>0.0665326244</x:v>
      </x:c>
      <x:c r="N101" s="38" t="n">
        <x:v>0.0380441508</x:v>
      </x:c>
      <x:c r="O101" s="38" t="n">
        <x:v>-0.0435948775</x:v>
      </x:c>
      <x:c r="P101" s="38" t="n">
        <x:v>-0.0241481712</x:v>
      </x:c>
      <x:c r="Q101" s="38" t="n">
        <x:v>0.1852432007</x:v>
      </x:c>
      <x:c r="R101" s="38" t="n">
        <x:v>0.2927360077</x:v>
      </x:c>
      <x:c r="S101" s="38" t="n">
        <x:v>-0.030587429</x:v>
      </x:c>
      <x:c r="T101" s="38" t="n">
        <x:v>0.0612391361</x:v>
      </x:c>
      <x:c r="U101" s="38" t="n">
        <x:v>0.077868095</x:v>
      </x:c>
      <x:c r="V101" s="38" t="n">
        <x:v>-0.054074183</x:v>
      </x:c>
      <x:c r="W101" s="38" t="n">
        <x:v>0.0502405934</x:v>
      </x:c>
      <x:c r="X101" s="38" t="n">
        <x:v>-0.026522865</x:v>
      </x:c>
      <x:c r="Y101" s="38" t="n">
        <x:v>0.0378434803</x:v>
      </x:c>
      <x:c r="Z101" s="38" t="n">
        <x:v>-0.0072380059</x:v>
      </x:c>
      <x:c r="AA101" s="38" t="n">
        <x:v>-0.0350469431</x:v>
      </x:c>
      <x:c r="AB101" s="38" t="n">
        <x:v>0.0541297882</x:v>
      </x:c>
      <x:c r="AC101" s="38" t="n">
        <x:v>0.2945695435</x:v>
      </x:c>
      <x:c r="AD101" s="38" t="n">
        <x:v>-0.0034813724</x:v>
      </x:c>
      <x:c r="AE101" s="38" t="n">
        <x:v>0.0504305952</x:v>
      </x:c>
      <x:c r="AF101" s="38" t="n">
        <x:v>-0.0436938243</x:v>
      </x:c>
      <x:c r="AG101" s="38" t="n">
        <x:v>0.0021759406</x:v>
      </x:c>
      <x:c r="AH101" s="38" t="n">
        <x:v>-0.0224251515</x:v>
      </x:c>
      <x:c r="AI101" s="38" t="n">
        <x:v>-0.0049609263</x:v>
      </x:c>
      <x:c r="AJ101" s="38" t="n">
        <x:v>-0.1096779348</x:v>
      </x:c>
      <x:c r="AK101" s="38" t="n">
        <x:v>0.0127202339</x:v>
      </x:c>
      <x:c r="AL101" s="38" t="n">
        <x:v>-0.0655409677</x:v>
      </x:c>
      <x:c r="AM101" s="38" t="n">
        <x:v>-0.0099836215</x:v>
      </x:c>
      <x:c r="AN101" s="38" t="n">
        <x:v>0.0162760335</x:v>
      </x:c>
      <x:c r="AO101" s="38" t="n">
        <x:v>0.000760761</x:v>
      </x:c>
      <x:c r="AP101" s="38" t="n">
        <x:v>0.016399412</x:v>
      </x:c>
      <x:c r="AQ101" s="38" t="n">
        <x:v>-0.0215612953</x:v>
      </x:c>
      <x:c r="AR101" s="38" t="n">
        <x:v>-0.0533948828</x:v>
      </x:c>
      <x:c r="AS101" s="38" t="n">
        <x:v>-0.0203440965</x:v>
      </x:c>
    </x:row>
    <x:row r="102" ht="19" customHeight="1">
      <x:c r="A102" s="29" t="str">
        <x:v>Home FX</x:v>
      </x:c>
      <x:c r="B102" s="39" t="d">
        <x:v>2021-10-11T00:00:00.000Z</x:v>
      </x:c>
      <x:c r="C102" s="38" t="n">
        <x:v>0.0687870395</x:v>
      </x:c>
      <x:c r="D102" s="38" t="n">
        <x:v>0.2056704564</x:v>
      </x:c>
      <x:c r="E102" s="38" t="n">
        <x:v>-0.0049597744</x:v>
      </x:c>
      <x:c r="F102" s="38" t="n">
        <x:v>-0.0561854685</x:v>
      </x:c>
      <x:c r="G102" s="38" t="n">
        <x:v>-0.0265407244</x:v>
      </x:c>
      <x:c r="H102" s="38" t="n">
        <x:v>-0.0284546063</x:v>
      </x:c>
      <x:c r="I102" s="38" t="n">
        <x:v>-0.0106088487</x:v>
      </x:c>
      <x:c r="J102" s="38" t="n">
        <x:v>0.098987404</x:v>
      </x:c>
      <x:c r="K102" s="38" t="n">
        <x:v>-0.0539942528</x:v>
      </x:c>
      <x:c r="L102" s="38" t="n">
        <x:v>0.1236935219</x:v>
      </x:c>
      <x:c r="M102" s="38" t="n">
        <x:v>0.1251374488</x:v>
      </x:c>
      <x:c r="N102" s="38" t="n">
        <x:v>0.0607302967</x:v>
      </x:c>
      <x:c r="O102" s="38" t="n">
        <x:v>0.027878159</x:v>
      </x:c>
      <x:c r="P102" s="38" t="n">
        <x:v>-0.0301826513</x:v>
      </x:c>
      <x:c r="Q102" s="38" t="n">
        <x:v>-0.0108041274</x:v>
      </x:c>
      <x:c r="R102" s="38" t="n">
        <x:v>0.0549079726</x:v>
      </x:c>
      <x:c r="S102" s="38" t="n">
        <x:v>0.0791798003</x:v>
      </x:c>
      <x:c r="T102" s="38" t="n">
        <x:v>0.1660939327</x:v>
      </x:c>
      <x:c r="U102" s="38" t="n">
        <x:v>-0.1924700521</x:v>
      </x:c>
      <x:c r="V102" s="38" t="n">
        <x:v>0.0216274554</x:v>
      </x:c>
      <x:c r="W102" s="38" t="n">
        <x:v>0.0435897263</x:v>
      </x:c>
      <x:c r="X102" s="38" t="n">
        <x:v>-0.0348899754</x:v>
      </x:c>
      <x:c r="Y102" s="38" t="n">
        <x:v>-0.0626263488</x:v>
      </x:c>
      <x:c r="Z102" s="38" t="n">
        <x:v>0.0219729537</x:v>
      </x:c>
      <x:c r="AA102" s="38" t="n">
        <x:v>-0.0093320417</x:v>
      </x:c>
      <x:c r="AB102" s="38" t="n">
        <x:v>-0.071780646</x:v>
      </x:c>
      <x:c r="AC102" s="38" t="n">
        <x:v>0.1712468677</x:v>
      </x:c>
      <x:c r="AD102" s="38" t="n">
        <x:v>0.0003774244</x:v>
      </x:c>
      <x:c r="AE102" s="38" t="n">
        <x:v>0.1003355908</x:v>
      </x:c>
      <x:c r="AF102" s="38" t="n">
        <x:v>0.0760409852</x:v>
      </x:c>
      <x:c r="AG102" s="38" t="n">
        <x:v>0.0116505003</x:v>
      </x:c>
      <x:c r="AH102" s="38" t="n">
        <x:v>0.0522084968</x:v>
      </x:c>
      <x:c r="AI102" s="38" t="n">
        <x:v>0.0520048506</x:v>
      </x:c>
      <x:c r="AJ102" s="38" t="n">
        <x:v>0.0226544202</x:v>
      </x:c>
      <x:c r="AK102" s="38" t="n">
        <x:v>-0.0137912217</x:v>
      </x:c>
      <x:c r="AL102" s="38" t="n">
        <x:v>0.0328517752</x:v>
      </x:c>
      <x:c r="AM102" s="38" t="n">
        <x:v>0.0097894063</x:v>
      </x:c>
      <x:c r="AN102" s="38" t="n">
        <x:v>0.0027427229</x:v>
      </x:c>
      <x:c r="AO102" s="38" t="n">
        <x:v>-0.0106389638</x:v>
      </x:c>
      <x:c r="AP102" s="38" t="n">
        <x:v>0.0292786212</x:v>
      </x:c>
      <x:c r="AQ102" s="38" t="n">
        <x:v>0.0005002688</x:v>
      </x:c>
      <x:c r="AR102" s="38" t="n">
        <x:v>-0.0144182249</x:v>
      </x:c>
      <x:c r="AS102" s="38" t="n">
        <x:v>0.0180967422</x:v>
      </x:c>
    </x:row>
    <x:row r="103" ht="19" customHeight="1">
      <x:c r="A103" s="29" t="str">
        <x:v>Home FX</x:v>
      </x:c>
      <x:c r="B103" s="39" t="d">
        <x:v>2021-11-08T00:00:00.000Z</x:v>
      </x:c>
      <x:c r="C103" s="38" t="n">
        <x:v>-0.0010540649</x:v>
      </x:c>
      <x:c r="D103" s="38" t="n">
        <x:v>-0.0804133589</x:v>
      </x:c>
      <x:c r="E103" s="38" t="n">
        <x:v>-0.0058202721</x:v>
      </x:c>
      <x:c r="F103" s="38" t="n">
        <x:v>0.002393634</x:v>
      </x:c>
      <x:c r="G103" s="38" t="n">
        <x:v>-0.0692586962</x:v>
      </x:c>
      <x:c r="H103" s="38" t="n">
        <x:v>0.0119978434</x:v>
      </x:c>
      <x:c r="I103" s="38" t="n">
        <x:v>0.0231458515</x:v>
      </x:c>
      <x:c r="J103" s="38" t="n">
        <x:v>0.1510552779</x:v>
      </x:c>
      <x:c r="K103" s="38" t="n">
        <x:v>0.1520523527</x:v>
      </x:c>
      <x:c r="L103" s="38" t="n">
        <x:v>-0.0185170523</x:v>
      </x:c>
      <x:c r="M103" s="38" t="n">
        <x:v>0.0655898571</x:v>
      </x:c>
      <x:c r="N103" s="38" t="n">
        <x:v>-0.0429619255</x:v>
      </x:c>
      <x:c r="O103" s="38" t="n">
        <x:v>-0.0128556289</x:v>
      </x:c>
      <x:c r="P103" s="38" t="n">
        <x:v>0.0614086013</x:v>
      </x:c>
      <x:c r="Q103" s="38" t="n">
        <x:v>-0.0221860475</x:v>
      </x:c>
      <x:c r="R103" s="38" t="n">
        <x:v>0.2284669581</x:v>
      </x:c>
      <x:c r="S103" s="38" t="n">
        <x:v>0.0409870379</x:v>
      </x:c>
      <x:c r="T103" s="38" t="n">
        <x:v>0.1379993906</x:v>
      </x:c>
      <x:c r="U103" s="38" t="n">
        <x:v>-0.2336489034</x:v>
      </x:c>
      <x:c r="V103" s="38" t="n">
        <x:v>-0.0298764588</x:v>
      </x:c>
      <x:c r="W103" s="38" t="n">
        <x:v>0.0572956397</x:v>
      </x:c>
      <x:c r="X103" s="38" t="n">
        <x:v>-0.0066837131</x:v>
      </x:c>
      <x:c r="Y103" s="38" t="n">
        <x:v>0.0918307548</x:v>
      </x:c>
      <x:c r="Z103" s="38" t="n">
        <x:v>0.02029564</x:v>
      </x:c>
      <x:c r="AA103" s="38" t="n">
        <x:v>0.0362852111</x:v>
      </x:c>
      <x:c r="AB103" s="38" t="n">
        <x:v>-0.0841750339</x:v>
      </x:c>
      <x:c r="AC103" s="38" t="n">
        <x:v>-0.2691397061</x:v>
      </x:c>
      <x:c r="AD103" s="38" t="n">
        <x:v>0.0144337573</x:v>
      </x:c>
      <x:c r="AE103" s="38" t="n">
        <x:v>0.1497681788</x:v>
      </x:c>
      <x:c r="AF103" s="38" t="n">
        <x:v>-0.0236605411</x:v>
      </x:c>
      <x:c r="AG103" s="38" t="n">
        <x:v>0.0123682262</x:v>
      </x:c>
      <x:c r="AH103" s="38" t="n">
        <x:v>-0.0635549309</x:v>
      </x:c>
      <x:c r="AI103" s="38" t="n">
        <x:v>0.1913259029</x:v>
      </x:c>
      <x:c r="AJ103" s="38" t="n">
        <x:v>0.0627458394</x:v>
      </x:c>
      <x:c r="AK103" s="38" t="n">
        <x:v>0.0117297264</x:v>
      </x:c>
      <x:c r="AL103" s="38" t="n">
        <x:v>-0.0405387953</x:v>
      </x:c>
      <x:c r="AM103" s="38" t="n">
        <x:v>0.0701557857</x:v>
      </x:c>
      <x:c r="AN103" s="38" t="n">
        <x:v>0.0348356929</x:v>
      </x:c>
      <x:c r="AO103" s="38" t="n">
        <x:v>0.0935856999</x:v>
      </x:c>
      <x:c r="AP103" s="38" t="n">
        <x:v>0.0424816069</x:v>
      </x:c>
      <x:c r="AQ103" s="38" t="n">
        <x:v>0.0264997524</x:v>
      </x:c>
      <x:c r="AR103" s="38" t="n">
        <x:v>0.0157123211</x:v>
      </x:c>
      <x:c r="AS103" s="38" t="n">
        <x:v>0.0043139618</x:v>
      </x:c>
    </x:row>
    <x:row r="104" ht="19" customHeight="1">
      <x:c r="A104" s="29" t="str">
        <x:v>Home FX</x:v>
      </x:c>
      <x:c r="B104" s="39" t="d">
        <x:v>2021-12-06T00:00:00.000Z</x:v>
      </x:c>
      <x:c r="C104" s="38" t="n">
        <x:v>0.0472299803</x:v>
      </x:c>
      <x:c r="D104" s="38" t="n">
        <x:v>-0.0543662251</x:v>
      </x:c>
      <x:c r="E104" s="38" t="n">
        <x:v>0.0166325122</x:v>
      </x:c>
      <x:c r="F104" s="38" t="n">
        <x:v>0.0389696662</x:v>
      </x:c>
      <x:c r="G104" s="38" t="n">
        <x:v>-0.0310566971</x:v>
      </x:c>
      <x:c r="H104" s="38" t="n">
        <x:v>-0.0553959294</x:v>
      </x:c>
      <x:c r="I104" s="38" t="n">
        <x:v>-0.0162716869</x:v>
      </x:c>
      <x:c r="J104" s="38" t="n">
        <x:v>-0.0217304544</x:v>
      </x:c>
      <x:c r="K104" s="38" t="n">
        <x:v>-0.0520294606</x:v>
      </x:c>
      <x:c r="L104" s="38" t="n">
        <x:v>-0.0456322204</x:v>
      </x:c>
      <x:c r="M104" s="38" t="n">
        <x:v>-0.0379067747</x:v>
      </x:c>
      <x:c r="N104" s="38" t="n">
        <x:v>0.042753361</x:v>
      </x:c>
      <x:c r="O104" s="38" t="n">
        <x:v>-0.0424672443</x:v>
      </x:c>
      <x:c r="P104" s="38" t="n">
        <x:v>-0.0318398946</x:v>
      </x:c>
      <x:c r="Q104" s="38" t="n">
        <x:v>-0.0790500423</x:v>
      </x:c>
      <x:c r="R104" s="38" t="n">
        <x:v>-0.2712617581</x:v>
      </x:c>
      <x:c r="S104" s="38" t="n">
        <x:v>0.0137016262</x:v>
      </x:c>
      <x:c r="T104" s="38" t="n">
        <x:v>-0.2640315014</x:v>
      </x:c>
      <x:c r="U104" s="38" t="n">
        <x:v>0.0743304005</x:v>
      </x:c>
      <x:c r="V104" s="38" t="n">
        <x:v>-0.1305261421</x:v>
      </x:c>
      <x:c r="W104" s="38" t="n">
        <x:v>-0.0769074915</x:v>
      </x:c>
      <x:c r="X104" s="38" t="n">
        <x:v>-0.0694807667</x:v>
      </x:c>
      <x:c r="Y104" s="38" t="n">
        <x:v>0.0709811082</x:v>
      </x:c>
      <x:c r="Z104" s="38" t="n">
        <x:v>-0.0252370673</x:v>
      </x:c>
      <x:c r="AA104" s="38" t="n">
        <x:v>-0.0081352335</x:v>
      </x:c>
      <x:c r="AB104" s="38" t="n">
        <x:v>-0.0408898457</x:v>
      </x:c>
      <x:c r="AC104" s="38" t="n">
        <x:v>-0.3481287047</x:v>
      </x:c>
      <x:c r="AD104" s="38" t="n">
        <x:v>0.0413129087</x:v>
      </x:c>
      <x:c r="AE104" s="38" t="n">
        <x:v>0.0703101233</x:v>
      </x:c>
      <x:c r="AF104" s="38" t="n">
        <x:v>0.0321846325</x:v>
      </x:c>
      <x:c r="AG104" s="38" t="n">
        <x:v>-0.0523328781</x:v>
      </x:c>
      <x:c r="AH104" s="38" t="n">
        <x:v>-0.0180509903</x:v>
      </x:c>
      <x:c r="AI104" s="38" t="n">
        <x:v>-0.0457164493</x:v>
      </x:c>
      <x:c r="AJ104" s="38" t="n">
        <x:v>-0.0431621826</x:v>
      </x:c>
      <x:c r="AK104" s="38" t="n">
        <x:v>-0.0186439529</x:v>
      </x:c>
      <x:c r="AL104" s="38" t="n">
        <x:v>0.0259072435</x:v>
      </x:c>
      <x:c r="AM104" s="38" t="n">
        <x:v>0.0132897597</x:v>
      </x:c>
      <x:c r="AN104" s="38" t="n">
        <x:v>-0.0031957633</x:v>
      </x:c>
      <x:c r="AO104" s="38" t="n">
        <x:v>0.0542788525</x:v>
      </x:c>
      <x:c r="AP104" s="38" t="n">
        <x:v>0.0790349789</x:v>
      </x:c>
      <x:c r="AQ104" s="38" t="n">
        <x:v>0.0013164268</x:v>
      </x:c>
      <x:c r="AR104" s="38" t="n">
        <x:v>0.0066106613</x:v>
      </x:c>
      <x:c r="AS104" s="38" t="n">
        <x:v>0.0054674069</x:v>
      </x:c>
    </x:row>
    <x:row r="105" ht="19" customHeight="1">
      <x:c r="A105" s="29" t="str">
        <x:v>Home FX</x:v>
      </x:c>
      <x:c r="B105" s="39" t="d">
        <x:v>2022-01-03T00:00:00.000Z</x:v>
      </x:c>
      <x:c r="C105" s="38" t="n">
        <x:v>0.0601118291</x:v>
      </x:c>
      <x:c r="D105" s="38" t="n">
        <x:v>-0.0543465956</x:v>
      </x:c>
      <x:c r="E105" s="38" t="n">
        <x:v>0.0554086951</x:v>
      </x:c>
      <x:c r="F105" s="38" t="n">
        <x:v>0.0305650484</x:v>
      </x:c>
      <x:c r="G105" s="38" t="n">
        <x:v>0.0234380992</x:v>
      </x:c>
      <x:c r="H105" s="38" t="n">
        <x:v>-0.0529515018</x:v>
      </x:c>
      <x:c r="I105" s="38" t="n">
        <x:v>-0.0410199522</x:v>
      </x:c>
      <x:c r="J105" s="38" t="n">
        <x:v>-0.0071548349</x:v>
      </x:c>
      <x:c r="K105" s="38" t="n">
        <x:v>-0.0140267181</x:v>
      </x:c>
      <x:c r="L105" s="38" t="n">
        <x:v>0.095154311</x:v>
      </x:c>
      <x:c r="M105" s="38" t="n">
        <x:v>0.0870465862</x:v>
      </x:c>
      <x:c r="N105" s="38" t="n">
        <x:v>-0.0192103155</x:v>
      </x:c>
      <x:c r="O105" s="38" t="n">
        <x:v>-0.0587761178</x:v>
      </x:c>
      <x:c r="P105" s="38" t="n">
        <x:v>0.0915951907</x:v>
      </x:c>
      <x:c r="Q105" s="38" t="n">
        <x:v>-0.140743652</x:v>
      </x:c>
      <x:c r="R105" s="38" t="n">
        <x:v>-0.1240651213</x:v>
      </x:c>
      <x:c r="S105" s="38" t="n">
        <x:v>-0.0003724415</x:v>
      </x:c>
      <x:c r="T105" s="38" t="n">
        <x:v>-0.1934837666</x:v>
      </x:c>
      <x:c r="U105" s="38" t="n">
        <x:v>-0.1307638951</x:v>
      </x:c>
      <x:c r="V105" s="38" t="n">
        <x:v>0.0185476394</x:v>
      </x:c>
      <x:c r="W105" s="38" t="n">
        <x:v>-0.0871672665</x:v>
      </x:c>
      <x:c r="X105" s="38" t="n">
        <x:v>0.0266018553</x:v>
      </x:c>
      <x:c r="Y105" s="38" t="n">
        <x:v>0.0711800962</x:v>
      </x:c>
      <x:c r="Z105" s="38" t="n">
        <x:v>0.0409824837</x:v>
      </x:c>
      <x:c r="AA105" s="38" t="n">
        <x:v>0.1095427284</x:v>
      </x:c>
      <x:c r="AB105" s="38" t="n">
        <x:v>-0.0944677777</x:v>
      </x:c>
      <x:c r="AC105" s="38" t="n">
        <x:v>-0.2260828108</x:v>
      </x:c>
      <x:c r="AD105" s="38" t="n">
        <x:v>0.0325263896</x:v>
      </x:c>
      <x:c r="AE105" s="38" t="n">
        <x:v>0.0927466497</x:v>
      </x:c>
      <x:c r="AF105" s="38" t="n">
        <x:v>0.0844891437</x:v>
      </x:c>
      <x:c r="AG105" s="38" t="n">
        <x:v>0.0352931501</x:v>
      </x:c>
      <x:c r="AH105" s="38" t="n">
        <x:v>0.0262239028</x:v>
      </x:c>
      <x:c r="AI105" s="38" t="n">
        <x:v>-0.0344197239</x:v>
      </x:c>
      <x:c r="AJ105" s="38" t="n">
        <x:v>0.0433644048</x:v>
      </x:c>
      <x:c r="AK105" s="38" t="n">
        <x:v>0.0426877495</x:v>
      </x:c>
      <x:c r="AL105" s="38" t="n">
        <x:v>-0.0094700257</x:v>
      </x:c>
      <x:c r="AM105" s="38" t="n">
        <x:v>-0.0617389762</x:v>
      </x:c>
      <x:c r="AN105" s="38" t="n">
        <x:v>-0.0548088322</x:v>
      </x:c>
      <x:c r="AO105" s="38" t="n">
        <x:v>-0.0293936395</x:v>
      </x:c>
      <x:c r="AP105" s="38" t="n">
        <x:v>-0.0382945978</x:v>
      </x:c>
      <x:c r="AQ105" s="38" t="n">
        <x:v>0.0493880634</x:v>
      </x:c>
      <x:c r="AR105" s="38" t="n">
        <x:v>0.0354345045</x:v>
      </x:c>
      <x:c r="AS105" s="38" t="n">
        <x:v>0.0738256486</x:v>
      </x:c>
    </x:row>
    <x:row r="106" ht="19" customHeight="1">
      <x:c r="A106" s="29" t="str">
        <x:v>Home FX</x:v>
      </x:c>
      <x:c r="B106" s="39" t="d">
        <x:v>2022-01-31T00:00:00.000Z</x:v>
      </x:c>
      <x:c r="C106" s="38" t="n">
        <x:v>-0.0284866339</x:v>
      </x:c>
      <x:c r="D106" s="38" t="n">
        <x:v>0.0500002736</x:v>
      </x:c>
      <x:c r="E106" s="38" t="n">
        <x:v>-0.013057106</x:v>
      </x:c>
      <x:c r="F106" s="38" t="n">
        <x:v>-0.0079506006</x:v>
      </x:c>
      <x:c r="G106" s="38" t="n">
        <x:v>-0.0760822416</x:v>
      </x:c>
      <x:c r="H106" s="38" t="n">
        <x:v>-0.0535348087</x:v>
      </x:c>
      <x:c r="I106" s="38" t="n">
        <x:v>-0.0221285531</x:v>
      </x:c>
      <x:c r="J106" s="38" t="n">
        <x:v>-0.0903994658</x:v>
      </x:c>
      <x:c r="K106" s="38" t="n">
        <x:v>-0.0809436009</x:v>
      </x:c>
      <x:c r="L106" s="38" t="n">
        <x:v>0.0572267116</x:v>
      </x:c>
      <x:c r="M106" s="38" t="n">
        <x:v>0.0592178107</x:v>
      </x:c>
      <x:c r="N106" s="38" t="n">
        <x:v>0.0194001044</x:v>
      </x:c>
      <x:c r="O106" s="38" t="n">
        <x:v>-0.0633757431</x:v>
      </x:c>
      <x:c r="P106" s="38" t="n">
        <x:v>-0.1726288651</x:v>
      </x:c>
      <x:c r="Q106" s="38" t="n">
        <x:v>0.0153358981</x:v>
      </x:c>
      <x:c r="R106" s="38" t="n">
        <x:v>-0.152787759</x:v>
      </x:c>
      <x:c r="S106" s="38" t="n">
        <x:v>0.0646886502</x:v>
      </x:c>
      <x:c r="T106" s="38" t="n">
        <x:v>-0.0261343589</x:v>
      </x:c>
      <x:c r="U106" s="38" t="n">
        <x:v>-0.1957075605</x:v>
      </x:c>
      <x:c r="V106" s="38" t="n">
        <x:v>-0.011005716</x:v>
      </x:c>
      <x:c r="W106" s="38" t="n">
        <x:v>-0.1996348367</x:v>
      </x:c>
      <x:c r="X106" s="38" t="n">
        <x:v>-0.0104446607</x:v>
      </x:c>
      <x:c r="Y106" s="38" t="n">
        <x:v>-0.1092207967</x:v>
      </x:c>
      <x:c r="Z106" s="38" t="n">
        <x:v>0.0179673171</x:v>
      </x:c>
      <x:c r="AA106" s="38" t="n">
        <x:v>-0.000726523</x:v>
      </x:c>
      <x:c r="AB106" s="38" t="n">
        <x:v>-0.066583748</x:v>
      </x:c>
      <x:c r="AC106" s="38" t="n">
        <x:v>-0.1228053716</x:v>
      </x:c>
      <x:c r="AD106" s="38" t="n">
        <x:v>-0.0014981198</x:v>
      </x:c>
      <x:c r="AE106" s="38" t="n">
        <x:v>-0.2183670763</x:v>
      </x:c>
      <x:c r="AF106" s="38" t="n">
        <x:v>-0.0123072399</x:v>
      </x:c>
      <x:c r="AG106" s="38" t="n">
        <x:v>-0.0309247346</x:v>
      </x:c>
      <x:c r="AH106" s="38" t="n">
        <x:v>-0.039738651</x:v>
      </x:c>
      <x:c r="AI106" s="38" t="n">
        <x:v>-0.0473943508</x:v>
      </x:c>
      <x:c r="AJ106" s="38" t="n">
        <x:v>-0.0495226261</x:v>
      </x:c>
      <x:c r="AK106" s="38" t="n">
        <x:v>-0.0634430388</x:v>
      </x:c>
      <x:c r="AL106" s="38" t="n">
        <x:v>-0.0674452679</x:v>
      </x:c>
      <x:c r="AM106" s="38" t="n">
        <x:v>-0.0188357375</x:v>
      </x:c>
      <x:c r="AN106" s="38" t="n">
        <x:v>0.0322825242</x:v>
      </x:c>
      <x:c r="AO106" s="38" t="n">
        <x:v>-0.0213137006</x:v>
      </x:c>
      <x:c r="AP106" s="38" t="n">
        <x:v>-0.064998231</x:v>
      </x:c>
      <x:c r="AQ106" s="38" t="n">
        <x:v>0.0074880422</x:v>
      </x:c>
      <x:c r="AR106" s="38" t="n">
        <x:v>-0.0096782732</x:v>
      </x:c>
      <x:c r="AS106" s="38" t="n">
        <x:v>-0.0108787697</x:v>
      </x:c>
    </x:row>
    <x:row r="107" ht="19" customHeight="1">
      <x:c r="A107" s="29" t="str">
        <x:v>Home FX</x:v>
      </x:c>
      <x:c r="B107" s="39" t="d">
        <x:v>2022-02-28T00:00:00.000Z</x:v>
      </x:c>
      <x:c r="C107" s="38" t="n">
        <x:v>0.0224245236</x:v>
      </x:c>
      <x:c r="D107" s="38" t="n">
        <x:v>0.13805118</x:v>
      </x:c>
      <x:c r="E107" s="38" t="n">
        <x:v>0.0628117341</x:v>
      </x:c>
      <x:c r="F107" s="38" t="n">
        <x:v>0.015434197</x:v>
      </x:c>
      <x:c r="G107" s="38" t="n">
        <x:v>-0.0067225739</x:v>
      </x:c>
      <x:c r="H107" s="38" t="n">
        <x:v>-0.0205705591</x:v>
      </x:c>
      <x:c r="I107" s="38" t="n">
        <x:v>-0.0578740052</x:v>
      </x:c>
      <x:c r="J107" s="38" t="n">
        <x:v>0.0037074395</x:v>
      </x:c>
      <x:c r="K107" s="38" t="n">
        <x:v>-0.064091829</x:v>
      </x:c>
      <x:c r="L107" s="38" t="n">
        <x:v>-0.0060962853</x:v>
      </x:c>
      <x:c r="M107" s="38" t="n">
        <x:v>0.1456478069</x:v>
      </x:c>
      <x:c r="N107" s="38" t="n">
        <x:v>0.184719904</x:v>
      </x:c>
      <x:c r="O107" s="38" t="n">
        <x:v>0.06915488</x:v>
      </x:c>
      <x:c r="P107" s="38" t="n">
        <x:v>-0.0220590938</x:v>
      </x:c>
      <x:c r="Q107" s="38" t="n">
        <x:v>-0.0964808884</x:v>
      </x:c>
      <x:c r="R107" s="38" t="n">
        <x:v>-0.0788427192</x:v>
      </x:c>
      <x:c r="S107" s="38" t="n">
        <x:v>-0.0071621135</x:v>
      </x:c>
      <x:c r="T107" s="38" t="n">
        <x:v>-0.0163336928</x:v>
      </x:c>
      <x:c r="U107" s="38" t="n">
        <x:v>-0.129965316</x:v>
      </x:c>
      <x:c r="V107" s="38" t="n">
        <x:v>-0.0252791552</x:v>
      </x:c>
      <x:c r="W107" s="38" t="n">
        <x:v>-0.0918731721</x:v>
      </x:c>
      <x:c r="X107" s="38" t="n">
        <x:v>-0.0321122575</x:v>
      </x:c>
      <x:c r="Y107" s="38" t="n">
        <x:v>0.0066345811</x:v>
      </x:c>
      <x:c r="Z107" s="38" t="n">
        <x:v>0.1448320076</x:v>
      </x:c>
      <x:c r="AA107" s="38" t="n">
        <x:v>-0.0127107084</x:v>
      </x:c>
      <x:c r="AB107" s="38" t="n">
        <x:v>0.0675291562</x:v>
      </x:c>
      <x:c r="AC107" s="38" t="n">
        <x:v>0.1920911207</x:v>
      </x:c>
      <x:c r="AD107" s="38" t="n">
        <x:v>-0.0295070518</x:v>
      </x:c>
      <x:c r="AE107" s="38" t="n">
        <x:v>-0.0466380039</x:v>
      </x:c>
      <x:c r="AF107" s="38" t="n">
        <x:v>-0.0184640189</x:v>
      </x:c>
      <x:c r="AG107" s="38" t="n">
        <x:v>-0.0968238273</x:v>
      </x:c>
      <x:c r="AH107" s="38" t="n">
        <x:v>0.1342513808</x:v>
      </x:c>
      <x:c r="AI107" s="38" t="n">
        <x:v>-0.0958621858</x:v>
      </x:c>
      <x:c r="AJ107" s="38" t="n">
        <x:v>0.0627037869</x:v>
      </x:c>
      <x:c r="AK107" s="38" t="n">
        <x:v>0.0633831089</x:v>
      </x:c>
      <x:c r="AL107" s="38" t="n">
        <x:v>-0.1324781575</x:v>
      </x:c>
      <x:c r="AM107" s="38" t="n">
        <x:v>-0.0379598746</x:v>
      </x:c>
      <x:c r="AN107" s="38" t="n">
        <x:v>-0.0605292783</x:v>
      </x:c>
      <x:c r="AO107" s="38" t="n">
        <x:v>0.0080149588</x:v>
      </x:c>
      <x:c r="AP107" s="38" t="n">
        <x:v>-0.075766283</x:v>
      </x:c>
      <x:c r="AQ107" s="38" t="n">
        <x:v>0.0190569597</x:v>
      </x:c>
      <x:c r="AR107" s="38" t="n">
        <x:v>-0.0045379166</x:v>
      </x:c>
      <x:c r="AS107" s="38" t="n">
        <x:v>0.0236346575</x:v>
      </x:c>
    </x:row>
    <x:row r="108" ht="19" customHeight="1">
      <x:c r="A108" s="29" t="str">
        <x:v>Home FX</x:v>
      </x:c>
      <x:c r="B108" s="39" t="d">
        <x:v>2022-03-28T00:00:00.000Z</x:v>
      </x:c>
      <x:c r="C108" s="38" t="n">
        <x:v>0.0356619829</x:v>
      </x:c>
      <x:c r="D108" s="38" t="n">
        <x:v>0.0515780875</x:v>
      </x:c>
      <x:c r="E108" s="38" t="n">
        <x:v>0.0388340375</x:v>
      </x:c>
      <x:c r="F108" s="38" t="n">
        <x:v>0.0501219304</x:v>
      </x:c>
      <x:c r="G108" s="38" t="n">
        <x:v>-0.0198636231</x:v>
      </x:c>
      <x:c r="H108" s="38" t="n">
        <x:v>0.0741770633</x:v>
      </x:c>
      <x:c r="I108" s="38" t="n">
        <x:v>0.0860314744</x:v>
      </x:c>
      <x:c r="J108" s="38" t="n">
        <x:v>0.0445277812</x:v>
      </x:c>
      <x:c r="K108" s="38" t="n">
        <x:v>-0.1466077561</x:v>
      </x:c>
      <x:c r="L108" s="38" t="n">
        <x:v>0.1213531835</x:v>
      </x:c>
      <x:c r="M108" s="38" t="n">
        <x:v>0.0663316629</x:v>
      </x:c>
      <x:c r="N108" s="38" t="n">
        <x:v>0.0413569701</x:v>
      </x:c>
      <x:c r="O108" s="38" t="n">
        <x:v>0.0785705852</x:v>
      </x:c>
      <x:c r="P108" s="38" t="n">
        <x:v>-0.0282596465</x:v>
      </x:c>
      <x:c r="Q108" s="38" t="n">
        <x:v>0.0603897148</x:v>
      </x:c>
      <x:c r="R108" s="38" t="n">
        <x:v>0.1098035317</x:v>
      </x:c>
      <x:c r="S108" s="38" t="n">
        <x:v>-0.0087761028</x:v>
      </x:c>
      <x:c r="T108" s="38" t="n">
        <x:v>0.149777015</x:v>
      </x:c>
      <x:c r="U108" s="38" t="n">
        <x:v>0.1911389255</x:v>
      </x:c>
      <x:c r="V108" s="38" t="n">
        <x:v>0.0063068232</x:v>
      </x:c>
      <x:c r="W108" s="38" t="n">
        <x:v>0.0236808475</x:v>
      </x:c>
      <x:c r="X108" s="38" t="n">
        <x:v>0.0076556915</x:v>
      </x:c>
      <x:c r="Y108" s="38" t="n">
        <x:v>-0.0537698406</x:v>
      </x:c>
      <x:c r="Z108" s="38" t="n">
        <x:v>0.085602496</x:v>
      </x:c>
      <x:c r="AA108" s="38" t="n">
        <x:v>0.0533678714</x:v>
      </x:c>
      <x:c r="AB108" s="38" t="n">
        <x:v>0.05598324</x:v>
      </x:c>
      <x:c r="AC108" s="38" t="n">
        <x:v>-0.1204923925</x:v>
      </x:c>
      <x:c r="AD108" s="38" t="n">
        <x:v>-0.0002389663</x:v>
      </x:c>
      <x:c r="AE108" s="38" t="n">
        <x:v>-0.0088529687</x:v>
      </x:c>
      <x:c r="AF108" s="38" t="n">
        <x:v>-0.0004383107</x:v>
      </x:c>
      <x:c r="AG108" s="38" t="n">
        <x:v>0.0395946858</x:v>
      </x:c>
      <x:c r="AH108" s="38" t="n">
        <x:v>-0.0543441118</x:v>
      </x:c>
      <x:c r="AI108" s="38" t="n">
        <x:v>-0.0015061374</x:v>
      </x:c>
      <x:c r="AJ108" s="38" t="n">
        <x:v>0.0796189088</x:v>
      </x:c>
      <x:c r="AK108" s="38" t="n">
        <x:v>0.086229011</x:v>
      </x:c>
      <x:c r="AL108" s="38" t="n">
        <x:v>0.0873974798</x:v>
      </x:c>
      <x:c r="AM108" s="38" t="n">
        <x:v>0.0484163103</x:v>
      </x:c>
      <x:c r="AN108" s="38" t="n">
        <x:v>0.044947917</x:v>
      </x:c>
      <x:c r="AO108" s="38" t="n">
        <x:v>0.0674779483</x:v>
      </x:c>
      <x:c r="AP108" s="38" t="n">
        <x:v>-0.0485383541</x:v>
      </x:c>
      <x:c r="AQ108" s="38" t="n">
        <x:v>0.0092003394</x:v>
      </x:c>
      <x:c r="AR108" s="38" t="n">
        <x:v>0.03715698</x:v>
      </x:c>
      <x:c r="AS108" s="38" t="n">
        <x:v>0.0581422147</x:v>
      </x:c>
    </x:row>
    <x:row r="109" ht="19" customHeight="1">
      <x:c r="A109" s="29" t="str">
        <x:v>Home FX</x:v>
      </x:c>
      <x:c r="B109" s="39" t="d">
        <x:v>2022-04-25T00:00:00.000Z</x:v>
      </x:c>
      <x:c r="C109" s="38" t="n">
        <x:v>0.0490510854</x:v>
      </x:c>
      <x:c r="D109" s="38" t="n">
        <x:v>-0.0958205455</x:v>
      </x:c>
      <x:c r="E109" s="38" t="n">
        <x:v>-0.0179920809</x:v>
      </x:c>
      <x:c r="F109" s="38" t="n">
        <x:v>-0.0078046899</x:v>
      </x:c>
      <x:c r="G109" s="38" t="n">
        <x:v>-0.1539933936</x:v>
      </x:c>
      <x:c r="H109" s="38" t="n">
        <x:v>-0.0683124293</x:v>
      </x:c>
      <x:c r="I109" s="38" t="n">
        <x:v>-0.2065094829</x:v>
      </x:c>
      <x:c r="J109" s="38" t="n">
        <x:v>-0.0492141445</x:v>
      </x:c>
      <x:c r="K109" s="38" t="n">
        <x:v>-0.0563778936</x:v>
      </x:c>
      <x:c r="L109" s="38" t="n">
        <x:v>0.0722290048</x:v>
      </x:c>
      <x:c r="M109" s="38" t="n">
        <x:v>-0.0226421546</x:v>
      </x:c>
      <x:c r="N109" s="38" t="n">
        <x:v>-0.0266454454</x:v>
      </x:c>
      <x:c r="O109" s="38" t="n">
        <x:v>-0.0916087312</x:v>
      </x:c>
      <x:c r="P109" s="38" t="n">
        <x:v>0.0694192341</x:v>
      </x:c>
      <x:c r="Q109" s="38" t="n">
        <x:v>-0.1632799733</x:v>
      </x:c>
      <x:c r="R109" s="38" t="n">
        <x:v>-0.3102748475</x:v>
      </x:c>
      <x:c r="S109" s="38" t="n">
        <x:v>-0.0671235361</x:v>
      </x:c>
      <x:c r="T109" s="38" t="n">
        <x:v>-0.270904189</x:v>
      </x:c>
      <x:c r="U109" s="38" t="n">
        <x:v>-0.2052349753</x:v>
      </x:c>
      <x:c r="V109" s="38" t="n">
        <x:v>-0.1627367521</x:v>
      </x:c>
      <x:c r="W109" s="38" t="n">
        <x:v>-0.5067569278</x:v>
      </x:c>
      <x:c r="X109" s="38" t="n">
        <x:v>-0.1326763514</x:v>
      </x:c>
      <x:c r="Y109" s="38" t="n">
        <x:v>-0.0822904494</x:v>
      </x:c>
      <x:c r="Z109" s="38" t="n">
        <x:v>-0.0960873731</x:v>
      </x:c>
      <x:c r="AA109" s="38" t="n">
        <x:v>-0.0522754715</x:v>
      </x:c>
      <x:c r="AB109" s="38" t="n">
        <x:v>0.0559698793</x:v>
      </x:c>
      <x:c r="AC109" s="38" t="n">
        <x:v>-0.2811315659</x:v>
      </x:c>
      <x:c r="AD109" s="38" t="n">
        <x:v>0.030224256</x:v>
      </x:c>
      <x:c r="AE109" s="38" t="n">
        <x:v>-0.116821815</x:v>
      </x:c>
      <x:c r="AF109" s="38" t="n">
        <x:v>-0.04175959</x:v>
      </x:c>
      <x:c r="AG109" s="38" t="n">
        <x:v>-0.1865928506</x:v>
      </x:c>
      <x:c r="AH109" s="38" t="n">
        <x:v>0.0366119184</x:v>
      </x:c>
      <x:c r="AI109" s="38" t="n">
        <x:v>-0.176813359</x:v>
      </x:c>
      <x:c r="AJ109" s="38" t="n">
        <x:v>-0.0013887561</x:v>
      </x:c>
      <x:c r="AK109" s="38" t="n">
        <x:v>-0.0559151376</x:v>
      </x:c>
      <x:c r="AL109" s="38" t="n">
        <x:v>-0.0771316683</x:v>
      </x:c>
      <x:c r="AM109" s="38" t="n">
        <x:v>-0.0818174898</x:v>
      </x:c>
      <x:c r="AN109" s="38" t="n">
        <x:v>-0.1545703782</x:v>
      </x:c>
      <x:c r="AO109" s="38" t="n">
        <x:v>-0.0583656458</x:v>
      </x:c>
      <x:c r="AP109" s="38" t="n">
        <x:v>-0.0037206238</x:v>
      </x:c>
      <x:c r="AQ109" s="38" t="n">
        <x:v>0.0205282653</x:v>
      </x:c>
      <x:c r="AR109" s="38" t="n">
        <x:v>0.0095188305</x:v>
      </x:c>
      <x:c r="AS109" s="38" t="n">
        <x:v>-0.064791605</x:v>
      </x:c>
    </x:row>
    <x:row r="110" ht="19" customHeight="1">
      <x:c r="A110" s="29" t="str">
        <x:v>Home FX</x:v>
      </x:c>
      <x:c r="B110" s="39" t="d">
        <x:v>2022-05-23T00:00:00.000Z</x:v>
      </x:c>
      <x:c r="C110" s="38" t="n">
        <x:v>0.0383401671</x:v>
      </x:c>
      <x:c r="D110" s="38" t="n">
        <x:v>0.0611709874</x:v>
      </x:c>
      <x:c r="E110" s="38" t="n">
        <x:v>0.0395619093</x:v>
      </x:c>
      <x:c r="F110" s="38" t="n">
        <x:v>0.0207589062</x:v>
      </x:c>
      <x:c r="G110" s="38" t="n">
        <x:v>-0.0159469689</x:v>
      </x:c>
      <x:c r="H110" s="38" t="n">
        <x:v>-0.0283894435</x:v>
      </x:c>
      <x:c r="I110" s="38" t="n">
        <x:v>-0.0582221923</x:v>
      </x:c>
      <x:c r="J110" s="38" t="n">
        <x:v>0.0635450526</x:v>
      </x:c>
      <x:c r="K110" s="38" t="n">
        <x:v>-0.0187182142</x:v>
      </x:c>
      <x:c r="L110" s="38" t="n">
        <x:v>0.1339561507</x:v>
      </x:c>
      <x:c r="M110" s="38" t="n">
        <x:v>-0.0056936359</x:v>
      </x:c>
      <x:c r="N110" s="38" t="n">
        <x:v>-0.0275957292</x:v>
      </x:c>
      <x:c r="O110" s="38" t="n">
        <x:v>-0.0401264401</x:v>
      </x:c>
      <x:c r="P110" s="38" t="n">
        <x:v>0.1216751832</x:v>
      </x:c>
      <x:c r="Q110" s="38" t="n">
        <x:v>-0.0420598567</x:v>
      </x:c>
      <x:c r="R110" s="38" t="n">
        <x:v>0.1899172734</x:v>
      </x:c>
      <x:c r="S110" s="38" t="n">
        <x:v>-0.0706621215</x:v>
      </x:c>
      <x:c r="T110" s="38" t="n">
        <x:v>-0.2897712613</x:v>
      </x:c>
      <x:c r="U110" s="38" t="n">
        <x:v>0.0717005826</x:v>
      </x:c>
      <x:c r="V110" s="38" t="n">
        <x:v>-0.068808381</x:v>
      </x:c>
      <x:c r="W110" s="38" t="n">
        <x:v>0.01910878</x:v>
      </x:c>
      <x:c r="X110" s="38" t="n">
        <x:v>0.0800441558</x:v>
      </x:c>
      <x:c r="Y110" s="38" t="n">
        <x:v>0.0553178082</x:v>
      </x:c>
      <x:c r="Z110" s="38" t="n">
        <x:v>-0.0446199063</x:v>
      </x:c>
      <x:c r="AA110" s="38" t="n">
        <x:v>0.08704171</x:v>
      </x:c>
      <x:c r="AB110" s="38" t="n">
        <x:v>0.0159218954</x:v>
      </x:c>
      <x:c r="AC110" s="38" t="n">
        <x:v>-0.3044063807</x:v>
      </x:c>
      <x:c r="AD110" s="38" t="n">
        <x:v>-0.0583717866</x:v>
      </x:c>
      <x:c r="AE110" s="38" t="n">
        <x:v>-0.0290927571</x:v>
      </x:c>
      <x:c r="AF110" s="38" t="n">
        <x:v>0.0185777979</x:v>
      </x:c>
      <x:c r="AG110" s="38" t="n">
        <x:v>-0.0902413266</x:v>
      </x:c>
      <x:c r="AH110" s="38" t="n">
        <x:v>0.0103061185</x:v>
      </x:c>
      <x:c r="AI110" s="38" t="n">
        <x:v>0.1363341619</x:v>
      </x:c>
      <x:c r="AJ110" s="38" t="n">
        <x:v>0.0803067923</x:v>
      </x:c>
      <x:c r="AK110" s="38" t="n">
        <x:v>-0.0000954729</x:v>
      </x:c>
      <x:c r="AL110" s="38" t="n">
        <x:v>-0.0047531079</x:v>
      </x:c>
      <x:c r="AM110" s="38" t="n">
        <x:v>-0.0100791509</x:v>
      </x:c>
      <x:c r="AN110" s="38" t="n">
        <x:v>-0.0120783418</x:v>
      </x:c>
      <x:c r="AO110" s="38" t="n">
        <x:v>-0.0928643833</x:v>
      </x:c>
      <x:c r="AP110" s="38" t="n">
        <x:v>0.0201923344</x:v>
      </x:c>
      <x:c r="AQ110" s="38" t="n">
        <x:v>0.0008258983</x:v>
      </x:c>
      <x:c r="AR110" s="38" t="n">
        <x:v>0.0075426381</x:v>
      </x:c>
      <x:c r="AS110" s="38" t="n">
        <x:v>-0.0088388854</x:v>
      </x:c>
    </x:row>
    <x:row r="111" ht="19" customHeight="1">
      <x:c r="A111" s="29" t="str">
        <x:v>Home FX</x:v>
      </x:c>
      <x:c r="B111" s="39" t="d">
        <x:v>2022-06-20T00:00:00.000Z</x:v>
      </x:c>
      <x:c r="C111" s="38" t="n">
        <x:v>-0.0848594715</x:v>
      </x:c>
      <x:c r="D111" s="38" t="n">
        <x:v>-0.2655240569</x:v>
      </x:c>
      <x:c r="E111" s="38" t="n">
        <x:v>-0.0782873401</x:v>
      </x:c>
      <x:c r="F111" s="38" t="n">
        <x:v>-0.0703720812</x:v>
      </x:c>
      <x:c r="G111" s="38" t="n">
        <x:v>-0.0862865076</x:v>
      </x:c>
      <x:c r="H111" s="38" t="n">
        <x:v>-0.0415792008</x:v>
      </x:c>
      <x:c r="I111" s="38" t="n">
        <x:v>0.0087730554</x:v>
      </x:c>
      <x:c r="J111" s="38" t="n">
        <x:v>-0.0760696721</x:v>
      </x:c>
      <x:c r="K111" s="38" t="n">
        <x:v>-0.1394355269</x:v>
      </x:c>
      <x:c r="L111" s="38" t="n">
        <x:v>-0.183807661</x:v>
      </x:c>
      <x:c r="M111" s="38" t="n">
        <x:v>-0.1073085217</x:v>
      </x:c>
      <x:c r="N111" s="38" t="n">
        <x:v>-0.121749119</x:v>
      </x:c>
      <x:c r="O111" s="38" t="n">
        <x:v>-0.0254522431</x:v>
      </x:c>
      <x:c r="P111" s="38" t="n">
        <x:v>-0.2161991813</x:v>
      </x:c>
      <x:c r="Q111" s="38" t="n">
        <x:v>0.0196881775</x:v>
      </x:c>
      <x:c r="R111" s="38" t="n">
        <x:v>-0.0445335879</x:v>
      </x:c>
      <x:c r="S111" s="38" t="n">
        <x:v>0.041893414</x:v>
      </x:c>
      <x:c r="T111" s="38" t="n">
        <x:v>-0.0988857507</x:v>
      </x:c>
      <x:c r="U111" s="38" t="n">
        <x:v>-0.0179641828</x:v>
      </x:c>
      <x:c r="V111" s="38" t="n">
        <x:v>-0.0495356602</x:v>
      </x:c>
      <x:c r="W111" s="38" t="n">
        <x:v>-0.0173917313</x:v>
      </x:c>
      <x:c r="X111" s="38" t="n">
        <x:v>-0.0848855986</x:v>
      </x:c>
      <x:c r="Y111" s="38" t="n">
        <x:v>-0.17544575</x:v>
      </x:c>
      <x:c r="Z111" s="38" t="n">
        <x:v>-0.0464570554</x:v>
      </x:c>
      <x:c r="AA111" s="38" t="n">
        <x:v>-0.0284766457</x:v>
      </x:c>
      <x:c r="AB111" s="38" t="n">
        <x:v>0.0126798923</x:v>
      </x:c>
      <x:c r="AC111" s="38" t="n">
        <x:v>-0.1595254688</x:v>
      </x:c>
      <x:c r="AD111" s="38" t="n">
        <x:v>-0.0230679475</x:v>
      </x:c>
      <x:c r="AE111" s="38" t="n">
        <x:v>-0.0978684676</x:v>
      </x:c>
      <x:c r="AF111" s="38" t="n">
        <x:v>-0.0834060619</x:v>
      </x:c>
      <x:c r="AG111" s="38" t="n">
        <x:v>0.0525711308</x:v>
      </x:c>
      <x:c r="AH111" s="38" t="n">
        <x:v>0.0033836058</x:v>
      </x:c>
      <x:c r="AI111" s="38" t="n">
        <x:v>-0.1242881071</x:v>
      </x:c>
      <x:c r="AJ111" s="38" t="n">
        <x:v>0.0050999596</x:v>
      </x:c>
      <x:c r="AK111" s="38" t="n">
        <x:v>-0.0607382247</x:v>
      </x:c>
      <x:c r="AL111" s="38" t="n">
        <x:v>-0.064188177</x:v>
      </x:c>
      <x:c r="AM111" s="38" t="n">
        <x:v>-0.0158430351</x:v>
      </x:c>
      <x:c r="AN111" s="38" t="n">
        <x:v>0.0380170615</x:v>
      </x:c>
      <x:c r="AO111" s="38" t="n">
        <x:v>0.022044139</x:v>
      </x:c>
      <x:c r="AP111" s="38" t="n">
        <x:v>-0.0617603797</x:v>
      </x:c>
      <x:c r="AQ111" s="38" t="n">
        <x:v>-0.0142963059</x:v>
      </x:c>
      <x:c r="AR111" s="38" t="n">
        <x:v>0.0051084236</x:v>
      </x:c>
      <x:c r="AS111" s="38" t="n">
        <x:v>-0.1058926903</x:v>
      </x:c>
    </x:row>
    <x:row r="112" ht="19" customHeight="1">
      <x:c r="A112" s="29" t="str">
        <x:v>Home FX</x:v>
      </x:c>
      <x:c r="B112" s="39" t="d">
        <x:v>2022-07-18T00:00:00.000Z</x:v>
      </x:c>
      <x:c r="C112" s="38" t="n">
        <x:v>-0.0131901635</x:v>
      </x:c>
      <x:c r="D112" s="38" t="n">
        <x:v>-0.1588249925</x:v>
      </x:c>
      <x:c r="E112" s="38" t="n">
        <x:v>0.0062604594</x:v>
      </x:c>
      <x:c r="F112" s="38" t="n">
        <x:v>-0.0084181809</x:v>
      </x:c>
      <x:c r="G112" s="38" t="n">
        <x:v>0.0386626868</x:v>
      </x:c>
      <x:c r="H112" s="38" t="n">
        <x:v>0.0107335097</x:v>
      </x:c>
      <x:c r="I112" s="38" t="n">
        <x:v>0.0391513456</x:v>
      </x:c>
      <x:c r="J112" s="38" t="n">
        <x:v>0.0744046282</x:v>
      </x:c>
      <x:c r="K112" s="38" t="n">
        <x:v>-0.0166444444</x:v>
      </x:c>
      <x:c r="L112" s="38" t="n">
        <x:v>0.0006791057</x:v>
      </x:c>
      <x:c r="M112" s="38" t="n">
        <x:v>0.013904065</x:v>
      </x:c>
      <x:c r="N112" s="38" t="n">
        <x:v>-0.023851457</x:v>
      </x:c>
      <x:c r="O112" s="38" t="n">
        <x:v>0.09307676</x:v>
      </x:c>
      <x:c r="P112" s="38" t="n">
        <x:v>0.002495702</x:v>
      </x:c>
      <x:c r="Q112" s="38" t="n">
        <x:v>-0.0126805514</x:v>
      </x:c>
      <x:c r="R112" s="38" t="n">
        <x:v>-0.1555728431</x:v>
      </x:c>
      <x:c r="S112" s="38" t="n">
        <x:v>-0.020895449</x:v>
      </x:c>
      <x:c r="T112" s="38" t="n">
        <x:v>-0.002880333</x:v>
      </x:c>
      <x:c r="U112" s="38" t="n">
        <x:v>0.098250232</x:v>
      </x:c>
      <x:c r="V112" s="38" t="n">
        <x:v>0.0471724316</x:v>
      </x:c>
      <x:c r="W112" s="38" t="n">
        <x:v>0.1130676014</x:v>
      </x:c>
      <x:c r="X112" s="38" t="n">
        <x:v>0.0631530348</x:v>
      </x:c>
      <x:c r="Y112" s="38" t="n">
        <x:v>0.0388863656</x:v>
      </x:c>
      <x:c r="Z112" s="38" t="n">
        <x:v>-0.1743404353</x:v>
      </x:c>
      <x:c r="AA112" s="38" t="n">
        <x:v>-0.0324830924</x:v>
      </x:c>
      <x:c r="AB112" s="38" t="n">
        <x:v>-0.0161081994</x:v>
      </x:c>
      <x:c r="AC112" s="38" t="n">
        <x:v>-0.3554317421</x:v>
      </x:c>
      <x:c r="AD112" s="38" t="n">
        <x:v>-0.002185158</x:v>
      </x:c>
      <x:c r="AE112" s="38" t="n">
        <x:v>0.0511980072</x:v>
      </x:c>
      <x:c r="AF112" s="38" t="n">
        <x:v>-0.0163489199</x:v>
      </x:c>
      <x:c r="AG112" s="38" t="n">
        <x:v>0.0871478398</x:v>
      </x:c>
      <x:c r="AH112" s="38" t="n">
        <x:v>-0.0244561036</x:v>
      </x:c>
      <x:c r="AI112" s="38" t="n">
        <x:v>0.0091350152</x:v>
      </x:c>
      <x:c r="AJ112" s="38" t="n">
        <x:v>0.0075045088</x:v>
      </x:c>
      <x:c r="AK112" s="38" t="n">
        <x:v>-0.0050032272</x:v>
      </x:c>
      <x:c r="AL112" s="38" t="n">
        <x:v>0.0378497592</x:v>
      </x:c>
      <x:c r="AM112" s="38" t="n">
        <x:v>-0.0218087994</x:v>
      </x:c>
      <x:c r="AN112" s="38" t="n">
        <x:v>-0.0700253576</x:v>
      </x:c>
      <x:c r="AO112" s="38" t="n">
        <x:v>0.0702070795</x:v>
      </x:c>
      <x:c r="AP112" s="38" t="n">
        <x:v>0.0628055894</x:v>
      </x:c>
      <x:c r="AQ112" s="38" t="n">
        <x:v>-0.0182538546</x:v>
      </x:c>
      <x:c r="AR112" s="38" t="n">
        <x:v>-0.0450324089</x:v>
      </x:c>
      <x:c r="AS112" s="38" t="n">
        <x:v>0.0212734084</x:v>
      </x:c>
    </x:row>
    <x:row r="113" ht="19" customHeight="1">
      <x:c r="A113" s="29" t="str">
        <x:v>Home FX</x:v>
      </x:c>
      <x:c r="B113" s="39" t="d">
        <x:v>2022-08-15T00:00:00.000Z</x:v>
      </x:c>
      <x:c r="C113" s="38" t="n">
        <x:v>0.0742529818</x:v>
      </x:c>
      <x:c r="D113" s="38" t="n">
        <x:v>0.2496930603</x:v>
      </x:c>
      <x:c r="E113" s="38" t="n">
        <x:v>0.0908565687</x:v>
      </x:c>
      <x:c r="F113" s="38" t="n">
        <x:v>0.0913990401</x:v>
      </x:c>
      <x:c r="G113" s="38" t="n">
        <x:v>0.1246280959</x:v>
      </x:c>
      <x:c r="H113" s="38" t="n">
        <x:v>0.1718857729</x:v>
      </x:c>
      <x:c r="I113" s="38" t="n">
        <x:v>0.0966319578</x:v>
      </x:c>
      <x:c r="J113" s="38" t="n">
        <x:v>0.1128189667</x:v>
      </x:c>
      <x:c r="K113" s="38" t="n">
        <x:v>-0.0070483971</x:v>
      </x:c>
      <x:c r="L113" s="38" t="n">
        <x:v>0.1109536276</x:v>
      </x:c>
      <x:c r="M113" s="38" t="n">
        <x:v>0.161560752</x:v>
      </x:c>
      <x:c r="N113" s="38" t="n">
        <x:v>0.0939462958</x:v>
      </x:c>
      <x:c r="O113" s="38" t="n">
        <x:v>0.1379672639</x:v>
      </x:c>
      <x:c r="P113" s="38" t="n">
        <x:v>0.0075458758</x:v>
      </x:c>
      <x:c r="Q113" s="38" t="n">
        <x:v>0.0353554144</x:v>
      </x:c>
      <x:c r="R113" s="38" t="n">
        <x:v>0.0812382438</x:v>
      </x:c>
      <x:c r="S113" s="38" t="n">
        <x:v>-0.0094323097</x:v>
      </x:c>
      <x:c r="T113" s="38" t="n">
        <x:v>0.2249748749</x:v>
      </x:c>
      <x:c r="U113" s="38" t="n">
        <x:v>-0.0896171636</x:v>
      </x:c>
      <x:c r="V113" s="38" t="n">
        <x:v>0.1963138403</x:v>
      </x:c>
      <x:c r="W113" s="38" t="n">
        <x:v>0.0714708303</x:v>
      </x:c>
      <x:c r="X113" s="38" t="n">
        <x:v>-0.076798552</x:v>
      </x:c>
      <x:c r="Y113" s="38" t="n">
        <x:v>-0.0101898096</x:v>
      </x:c>
      <x:c r="Z113" s="38" t="n">
        <x:v>-0.132060687</x:v>
      </x:c>
      <x:c r="AA113" s="38" t="n">
        <x:v>0.1087705963</x:v>
      </x:c>
      <x:c r="AB113" s="38" t="n">
        <x:v>-0.0200576582</x:v>
      </x:c>
      <x:c r="AC113" s="38" t="n">
        <x:v>0.0710052664</x:v>
      </x:c>
      <x:c r="AD113" s="38" t="n">
        <x:v>0.0364765951</x:v>
      </x:c>
      <x:c r="AE113" s="38" t="n">
        <x:v>0.1781920245</x:v>
      </x:c>
      <x:c r="AF113" s="38" t="n">
        <x:v>0.0606078786</x:v>
      </x:c>
      <x:c r="AG113" s="38" t="n">
        <x:v>0.0235905597</x:v>
      </x:c>
      <x:c r="AH113" s="38" t="n">
        <x:v>0.0959683126</x:v>
      </x:c>
      <x:c r="AI113" s="38" t="n">
        <x:v>0.0679063753</x:v>
      </x:c>
      <x:c r="AJ113" s="38" t="n">
        <x:v>-0.0120120313</x:v>
      </x:c>
      <x:c r="AK113" s="38" t="n">
        <x:v>-0.0318451265</x:v>
      </x:c>
      <x:c r="AL113" s="38" t="n">
        <x:v>-0.0189584492</x:v>
      </x:c>
      <x:c r="AM113" s="38" t="n">
        <x:v>0.0768300207</x:v>
      </x:c>
      <x:c r="AN113" s="38" t="n">
        <x:v>0.0658439067</x:v>
      </x:c>
      <x:c r="AO113" s="38" t="n">
        <x:v>0.037787673</x:v>
      </x:c>
      <x:c r="AP113" s="38" t="n">
        <x:v>0.037333482</x:v>
      </x:c>
      <x:c r="AQ113" s="38" t="n">
        <x:v>0.0449498171</x:v>
      </x:c>
      <x:c r="AR113" s="38" t="n">
        <x:v>-0.0130957661</x:v>
      </x:c>
      <x:c r="AS113" s="38" t="n">
        <x:v>0.0309698576</x:v>
      </x:c>
    </x:row>
    <x:row r="114" ht="19" customHeight="1">
      <x:c r="A114" s="29" t="str">
        <x:v>Home FX</x:v>
      </x:c>
      <x:c r="B114" s="39" t="d">
        <x:v>2022-09-12T00:00:00.000Z</x:v>
      </x:c>
      <x:c r="C114" s="38" t="n">
        <x:v>0.0019152294</x:v>
      </x:c>
      <x:c r="D114" s="38" t="n">
        <x:v>0.0572256685</x:v>
      </x:c>
      <x:c r="E114" s="38" t="n">
        <x:v>-0.0360067598</x:v>
      </x:c>
      <x:c r="F114" s="38" t="n">
        <x:v>-0.0424178539</x:v>
      </x:c>
      <x:c r="G114" s="38" t="n">
        <x:v>-0.0840879194</x:v>
      </x:c>
      <x:c r="H114" s="38" t="n">
        <x:v>0.0102171644</x:v>
      </x:c>
      <x:c r="I114" s="38" t="n">
        <x:v>-0.0907209243</x:v>
      </x:c>
      <x:c r="J114" s="38" t="n">
        <x:v>-0.0414480622</x:v>
      </x:c>
      <x:c r="K114" s="38" t="n">
        <x:v>-0.2102296417</x:v>
      </x:c>
      <x:c r="L114" s="38" t="n">
        <x:v>-0.1020944503</x:v>
      </x:c>
      <x:c r="M114" s="38" t="n">
        <x:v>-0.0392156036</x:v>
      </x:c>
      <x:c r="N114" s="38" t="n">
        <x:v>-0.0397634972</x:v>
      </x:c>
      <x:c r="O114" s="38" t="n">
        <x:v>-0.0727527644</x:v>
      </x:c>
      <x:c r="P114" s="38" t="n">
        <x:v>-0.1996660929</x:v>
      </x:c>
      <x:c r="Q114" s="38" t="n">
        <x:v>0.1102853052</x:v>
      </x:c>
      <x:c r="R114" s="38" t="n">
        <x:v>-0.0343968714</x:v>
      </x:c>
      <x:c r="S114" s="38" t="n">
        <x:v>-0.0390602443</x:v>
      </x:c>
      <x:c r="T114" s="38" t="n">
        <x:v>-0.1219115899</x:v>
      </x:c>
      <x:c r="U114" s="38" t="n">
        <x:v>-0.047543882</x:v>
      </x:c>
      <x:c r="V114" s="38" t="n">
        <x:v>-0.0801572258</x:v>
      </x:c>
      <x:c r="W114" s="38" t="n">
        <x:v>-0.0034535204</x:v>
      </x:c>
      <x:c r="X114" s="38" t="n">
        <x:v>-0.0918093319</x:v>
      </x:c>
      <x:c r="Y114" s="38" t="n">
        <x:v>-0.1092113173</x:v>
      </x:c>
      <x:c r="Z114" s="38" t="n">
        <x:v>0.0140399814</x:v>
      </x:c>
      <x:c r="AA114" s="38" t="n">
        <x:v>-0.0165619379</x:v>
      </x:c>
      <x:c r="AB114" s="38" t="n">
        <x:v>0.0068379943</x:v>
      </x:c>
      <x:c r="AC114" s="38" t="n">
        <x:v>-0.1218798666</x:v>
      </x:c>
      <x:c r="AD114" s="38" t="n">
        <x:v>-0.0641892976</x:v>
      </x:c>
      <x:c r="AE114" s="38" t="n">
        <x:v>-0.0612039588</x:v>
      </x:c>
      <x:c r="AF114" s="38" t="n">
        <x:v>-0.0969026471</x:v>
      </x:c>
      <x:c r="AG114" s="38" t="n">
        <x:v>-0.0979821975</x:v>
      </x:c>
      <x:c r="AH114" s="38" t="n">
        <x:v>-0.0076769632</x:v>
      </x:c>
      <x:c r="AI114" s="38" t="n">
        <x:v>-0.1826811343</x:v>
      </x:c>
      <x:c r="AJ114" s="38" t="n">
        <x:v>-0.0354659026</x:v>
      </x:c>
      <x:c r="AK114" s="38" t="n">
        <x:v>-0.0654195087</x:v>
      </x:c>
      <x:c r="AL114" s="38" t="n">
        <x:v>-0.0854252039</x:v>
      </x:c>
      <x:c r="AM114" s="38" t="n">
        <x:v>-0.1261303913</x:v>
      </x:c>
      <x:c r="AN114" s="38" t="n">
        <x:v>-0.1058473014</x:v>
      </x:c>
      <x:c r="AO114" s="38" t="n">
        <x:v>-0.0768686231</x:v>
      </x:c>
      <x:c r="AP114" s="38" t="n">
        <x:v>-0.1175145873</x:v>
      </x:c>
      <x:c r="AQ114" s="38" t="n">
        <x:v>-0.0670403054</x:v>
      </x:c>
      <x:c r="AR114" s="38" t="n">
        <x:v>-0.0027871438</x:v>
      </x:c>
      <x:c r="AS114" s="38" t="n">
        <x:v>-0.0634159547</x:v>
      </x:c>
    </x:row>
    <x:row r="115" ht="19" customHeight="1">
      <x:c r="A115" s="29" t="str">
        <x:v>Home FX</x:v>
      </x:c>
      <x:c r="B115" s="39" t="d">
        <x:v>2022-10-10T00:00:00.000Z</x:v>
      </x:c>
      <x:c r="C115" s="38" t="n">
        <x:v>-0.1306603502</x:v>
      </x:c>
      <x:c r="D115" s="38" t="n">
        <x:v>0.0753943458</x:v>
      </x:c>
      <x:c r="E115" s="38" t="n">
        <x:v>-0.1503095364</x:v>
      </x:c>
      <x:c r="F115" s="38" t="n">
        <x:v>-0.1172729529</x:v>
      </x:c>
      <x:c r="G115" s="38" t="n">
        <x:v>-0.1115981832</x:v>
      </x:c>
      <x:c r="H115" s="38" t="n">
        <x:v>-0.0947485742</x:v>
      </x:c>
      <x:c r="I115" s="38" t="n">
        <x:v>-0.1183227521</x:v>
      </x:c>
      <x:c r="J115" s="38" t="n">
        <x:v>0.012451818</x:v>
      </x:c>
      <x:c r="K115" s="38" t="n">
        <x:v>-0.1593605365</x:v>
      </x:c>
      <x:c r="L115" s="38" t="n">
        <x:v>0.0723785</x:v>
      </x:c>
      <x:c r="M115" s="38" t="n">
        <x:v>-0.0045780563</x:v>
      </x:c>
      <x:c r="N115" s="38" t="n">
        <x:v>0.0052284603</x:v>
      </x:c>
      <x:c r="O115" s="38" t="n">
        <x:v>-0.0129896153</x:v>
      </x:c>
      <x:c r="P115" s="38" t="n">
        <x:v>-0.0808144503</x:v>
      </x:c>
      <x:c r="Q115" s="38" t="n">
        <x:v>0.0085207584</x:v>
      </x:c>
      <x:c r="R115" s="38" t="n">
        <x:v>-0.1756939261</x:v>
      </x:c>
      <x:c r="S115" s="38" t="n">
        <x:v>-0.0889964193</x:v>
      </x:c>
      <x:c r="T115" s="38" t="n">
        <x:v>-0.2079235712</x:v>
      </x:c>
      <x:c r="U115" s="38" t="n">
        <x:v>-0.0225271103</x:v>
      </x:c>
      <x:c r="V115" s="38" t="n">
        <x:v>0.0076399796</x:v>
      </x:c>
      <x:c r="W115" s="38" t="n">
        <x:v>-0.0352710438</x:v>
      </x:c>
      <x:c r="X115" s="38" t="n">
        <x:v>-0.106237627</x:v>
      </x:c>
      <x:c r="Y115" s="38" t="n">
        <x:v>-0.0002905703</x:v>
      </x:c>
      <x:c r="Z115" s="38" t="n">
        <x:v>-0.0575830054</x:v>
      </x:c>
      <x:c r="AA115" s="38" t="n">
        <x:v>-0.0605353144</x:v>
      </x:c>
      <x:c r="AB115" s="38" t="n">
        <x:v>-0.1186991569</x:v>
      </x:c>
      <x:c r="AC115" s="38" t="n">
        <x:v>-0.0528361746</x:v>
      </x:c>
      <x:c r="AD115" s="38" t="n">
        <x:v>-0.0821007163</x:v>
      </x:c>
      <x:c r="AE115" s="38" t="n">
        <x:v>-0.1900049474</x:v>
      </x:c>
      <x:c r="AF115" s="38" t="n">
        <x:v>-0.029992993</x:v>
      </x:c>
      <x:c r="AG115" s="38" t="n">
        <x:v>-0.065752016</x:v>
      </x:c>
      <x:c r="AH115" s="38" t="n">
        <x:v>-0.0321421834</x:v>
      </x:c>
      <x:c r="AI115" s="38" t="n">
        <x:v>-0.256253893</x:v>
      </x:c>
      <x:c r="AJ115" s="38" t="n">
        <x:v>0.0575375711</x:v>
      </x:c>
      <x:c r="AK115" s="38" t="n">
        <x:v>-0.1884699308</x:v>
      </x:c>
      <x:c r="AL115" s="38" t="n">
        <x:v>-0.0411929832</x:v>
      </x:c>
      <x:c r="AM115" s="38" t="n">
        <x:v>-0.0559720634</x:v>
      </x:c>
      <x:c r="AN115" s="38" t="n">
        <x:v>-0.0512445785</x:v>
      </x:c>
      <x:c r="AO115" s="38" t="n">
        <x:v>-0.0845550158</x:v>
      </x:c>
      <x:c r="AP115" s="38" t="n">
        <x:v>0.0013627081</x:v>
      </x:c>
      <x:c r="AQ115" s="38" t="n">
        <x:v>-0.0652038038</x:v>
      </x:c>
      <x:c r="AR115" s="38" t="n">
        <x:v>-0.0154770078</x:v>
      </x:c>
      <x:c r="AS115" s="38" t="n">
        <x:v>-0.0063974058</x:v>
      </x:c>
    </x:row>
    <x:row r="116" ht="19" customHeight="1">
      <x:c r="A116" s="29" t="str">
        <x:v>Home FX</x:v>
      </x:c>
      <x:c r="B116" s="39" t="d">
        <x:v>2022-11-07T00:00:00.000Z</x:v>
      </x:c>
      <x:c r="C116" s="38" t="n">
        <x:v>0.0974957015</x:v>
      </x:c>
      <x:c r="D116" s="38" t="n">
        <x:v>0.1405978721</x:v>
      </x:c>
      <x:c r="E116" s="38" t="n">
        <x:v>0.0695869032</x:v>
      </x:c>
      <x:c r="F116" s="38" t="n">
        <x:v>0.0920914866</x:v>
      </x:c>
      <x:c r="G116" s="38" t="n">
        <x:v>0.0049062155</x:v>
      </x:c>
      <x:c r="H116" s="38" t="n">
        <x:v>-0.0011341843</x:v>
      </x:c>
      <x:c r="I116" s="38" t="n">
        <x:v>-0.0488465039</x:v>
      </x:c>
      <x:c r="J116" s="38" t="n">
        <x:v>0.1512905655</x:v>
      </x:c>
      <x:c r="K116" s="38" t="n">
        <x:v>-0.0795803831</x:v>
      </x:c>
      <x:c r="L116" s="38" t="n">
        <x:v>0.1330332475</x:v>
      </x:c>
      <x:c r="M116" s="38" t="n">
        <x:v>0.0395092702</x:v>
      </x:c>
      <x:c r="N116" s="38" t="n">
        <x:v>-0.0563130948</x:v>
      </x:c>
      <x:c r="O116" s="38" t="n">
        <x:v>0.103518113</x:v>
      </x:c>
      <x:c r="P116" s="38" t="n">
        <x:v>0.1365423704</x:v>
      </x:c>
      <x:c r="Q116" s="38" t="n">
        <x:v>0.1203018782</x:v>
      </x:c>
      <x:c r="R116" s="38" t="n">
        <x:v>-0.0122181643</x:v>
      </x:c>
      <x:c r="S116" s="38" t="n">
        <x:v>0.0116553538</x:v>
      </x:c>
      <x:c r="T116" s="38" t="n">
        <x:v>0.1340378224</x:v>
      </x:c>
      <x:c r="U116" s="38" t="n">
        <x:v>0.2033319096</x:v>
      </x:c>
      <x:c r="V116" s="38" t="n">
        <x:v>0.3537752728</x:v>
      </x:c>
      <x:c r="W116" s="38" t="n">
        <x:v>0.1927559761</x:v>
      </x:c>
      <x:c r="X116" s="38" t="n">
        <x:v>0.1029851042</x:v>
      </x:c>
      <x:c r="Y116" s="38" t="n">
        <x:v>0.1414996616</x:v>
      </x:c>
      <x:c r="Z116" s="38" t="n">
        <x:v>0.1102896308</x:v>
      </x:c>
      <x:c r="AA116" s="38" t="n">
        <x:v>0.0709310136</x:v>
      </x:c>
      <x:c r="AB116" s="38" t="n">
        <x:v>-0.0163542529</x:v>
      </x:c>
      <x:c r="AC116" s="38" t="n">
        <x:v>-0.0145993255</x:v>
      </x:c>
      <x:c r="AD116" s="38" t="n">
        <x:v>0.1051261557</x:v>
      </x:c>
      <x:c r="AE116" s="38" t="n">
        <x:v>0.180204898</x:v>
      </x:c>
      <x:c r="AF116" s="38" t="n">
        <x:v>0.1612563005</x:v>
      </x:c>
      <x:c r="AG116" s="38" t="n">
        <x:v>0.2385595048</x:v>
      </x:c>
      <x:c r="AH116" s="38" t="n">
        <x:v>0.0162405149</x:v>
      </x:c>
      <x:c r="AI116" s="38" t="n">
        <x:v>0.2137225465</x:v>
      </x:c>
      <x:c r="AJ116" s="38" t="n">
        <x:v>0.0507821838</x:v>
      </x:c>
      <x:c r="AK116" s="38" t="n">
        <x:v>0.1768918334</x:v>
      </x:c>
      <x:c r="AL116" s="38" t="n">
        <x:v>0.020227436</x:v>
      </x:c>
      <x:c r="AM116" s="38" t="n">
        <x:v>0.0647649788</x:v>
      </x:c>
      <x:c r="AN116" s="38" t="n">
        <x:v>-0.0012902486</x:v>
      </x:c>
      <x:c r="AO116" s="38" t="n">
        <x:v>0.1056980175</x:v>
      </x:c>
      <x:c r="AP116" s="38" t="n">
        <x:v>0.1082461682</x:v>
      </x:c>
      <x:c r="AQ116" s="38" t="n">
        <x:v>0.0905780524</x:v>
      </x:c>
      <x:c r="AR116" s="38" t="n">
        <x:v>0.0238275616</x:v>
      </x:c>
      <x:c r="AS116" s="38" t="n">
        <x:v>0.1057410332</x:v>
      </x:c>
    </x:row>
    <x:row r="117" ht="19" customHeight="1">
      <x:c r="A117" s="29" t="str">
        <x:v>Home FX</x:v>
      </x:c>
      <x:c r="B117" s="39" t="d">
        <x:v>2022-12-05T00:00:00.000Z</x:v>
      </x:c>
      <x:c r="C117" s="38" t="n">
        <x:v>-0.008074913</x:v>
      </x:c>
      <x:c r="D117" s="38" t="n">
        <x:v>-0.1622043001</x:v>
      </x:c>
      <x:c r="E117" s="38" t="n">
        <x:v>0.0595818023</x:v>
      </x:c>
      <x:c r="F117" s="38" t="n">
        <x:v>0.0461866755</x:v>
      </x:c>
      <x:c r="G117" s="38" t="n">
        <x:v>-0.0145661536</x:v>
      </x:c>
      <x:c r="H117" s="38" t="n">
        <x:v>0.0110526267</x:v>
      </x:c>
      <x:c r="I117" s="38" t="n">
        <x:v>-0.1038634947</x:v>
      </x:c>
      <x:c r="J117" s="38" t="n">
        <x:v>-0.0055615945</x:v>
      </x:c>
      <x:c r="K117" s="38" t="n">
        <x:v>-0.1325619985</x:v>
      </x:c>
      <x:c r="L117" s="38" t="n">
        <x:v>-0.1251391251</x:v>
      </x:c>
      <x:c r="M117" s="38" t="n">
        <x:v>-0.0311416748</x:v>
      </x:c>
      <x:c r="N117" s="38" t="n">
        <x:v>0.0025793442</x:v>
      </x:c>
      <x:c r="O117" s="38" t="n">
        <x:v>0.0179858502</x:v>
      </x:c>
      <x:c r="P117" s="38" t="n">
        <x:v>-0.0902162879</x:v>
      </x:c>
      <x:c r="Q117" s="38" t="n">
        <x:v>-0.1225497755</x:v>
      </x:c>
      <x:c r="R117" s="38" t="n">
        <x:v>-0.0988238014</x:v>
      </x:c>
      <x:c r="S117" s="38" t="n">
        <x:v>0.0266347514</x:v>
      </x:c>
      <x:c r="T117" s="38" t="n">
        <x:v>-0.0872764034</x:v>
      </x:c>
      <x:c r="U117" s="38" t="n">
        <x:v>0.0297071726</x:v>
      </x:c>
      <x:c r="V117" s="38" t="n">
        <x:v>-0.0686602565</x:v>
      </x:c>
      <x:c r="W117" s="38" t="n">
        <x:v>0.0825095211</x:v>
      </x:c>
      <x:c r="X117" s="38" t="n">
        <x:v>0.0315658706</x:v>
      </x:c>
      <x:c r="Y117" s="38" t="n">
        <x:v>-0.1098631848</x:v>
      </x:c>
      <x:c r="Z117" s="38" t="n">
        <x:v>0.0075276819</x:v>
      </x:c>
      <x:c r="AA117" s="38" t="n">
        <x:v>0.0207472388</x:v>
      </x:c>
      <x:c r="AB117" s="38" t="n">
        <x:v>0.0760277247</x:v>
      </x:c>
      <x:c r="AC117" s="38" t="n">
        <x:v>-0.2334833894</x:v>
      </x:c>
      <x:c r="AD117" s="38" t="n">
        <x:v>0.0574087368</x:v>
      </x:c>
      <x:c r="AE117" s="38" t="n">
        <x:v>-0.0715891936</x:v>
      </x:c>
      <x:c r="AF117" s="38" t="n">
        <x:v>0.046060614</x:v>
      </x:c>
      <x:c r="AG117" s="38" t="n">
        <x:v>0.0096662252</x:v>
      </x:c>
      <x:c r="AH117" s="38" t="n">
        <x:v>0.0256533428</x:v>
      </x:c>
      <x:c r="AI117" s="38" t="n">
        <x:v>-0.0451550527</x:v>
      </x:c>
      <x:c r="AJ117" s="38" t="n">
        <x:v>0.0228553477</x:v>
      </x:c>
      <x:c r="AK117" s="38" t="n">
        <x:v>-0.0522519006</x:v>
      </x:c>
      <x:c r="AL117" s="38" t="n">
        <x:v>0.001453515</x:v>
      </x:c>
      <x:c r="AM117" s="38" t="n">
        <x:v>-0.0034076513</x:v>
      </x:c>
      <x:c r="AN117" s="38" t="n">
        <x:v>-0.0318512709</x:v>
      </x:c>
      <x:c r="AO117" s="38" t="n">
        <x:v>-0.0547302577</x:v>
      </x:c>
      <x:c r="AP117" s="38" t="n">
        <x:v>0.0197547864</x:v>
      </x:c>
      <x:c r="AQ117" s="38" t="n">
        <x:v>0.0305680062</x:v>
      </x:c>
      <x:c r="AR117" s="38" t="n">
        <x:v>0.0370888951</x:v>
      </x:c>
      <x:c r="AS117" s="38" t="n">
        <x:v>-0.0090990073</x:v>
      </x:c>
    </x:row>
    <x:row r="118" ht="19" customHeight="1">
      <x:c r="A118" s="29" t="str">
        <x:v>Home FX</x:v>
      </x:c>
      <x:c r="B118" s="39" t="d">
        <x:v>2023-01-02T00:00:00.000Z</x:v>
      </x:c>
      <x:c r="C118" s="38" t="n">
        <x:v>-0.0428493621</x:v>
      </x:c>
      <x:c r="D118" s="38" t="n">
        <x:v>0.1403697832</x:v>
      </x:c>
      <x:c r="E118" s="38" t="n">
        <x:v>-0.0004422519</x:v>
      </x:c>
      <x:c r="F118" s="38" t="n">
        <x:v>-0.0699154355</x:v>
      </x:c>
      <x:c r="G118" s="38" t="n">
        <x:v>0.0049223871</x:v>
      </x:c>
      <x:c r="H118" s="38" t="n">
        <x:v>-0.072458978</x:v>
      </x:c>
      <x:c r="I118" s="38" t="n">
        <x:v>-0.029341167</x:v>
      </x:c>
      <x:c r="J118" s="38" t="n">
        <x:v>-0.0500576397</x:v>
      </x:c>
      <x:c r="K118" s="38" t="n">
        <x:v>-0.0562294453</x:v>
      </x:c>
      <x:c r="L118" s="38" t="n">
        <x:v>0.0910907245</x:v>
      </x:c>
      <x:c r="M118" s="38" t="n">
        <x:v>-0.1335158522</x:v>
      </x:c>
      <x:c r="N118" s="38" t="n">
        <x:v>-0.0011185183</x:v>
      </x:c>
      <x:c r="O118" s="38" t="n">
        <x:v>-0.1134548415</x:v>
      </x:c>
      <x:c r="P118" s="38" t="n">
        <x:v>0.0342082415</x:v>
      </x:c>
      <x:c r="Q118" s="38" t="n">
        <x:v>0.0504864828</x:v>
      </x:c>
      <x:c r="R118" s="38" t="n">
        <x:v>-0.1613597291</x:v>
      </x:c>
      <x:c r="S118" s="38" t="n">
        <x:v>0.0044130093</x:v>
      </x:c>
      <x:c r="T118" s="38" t="n">
        <x:v>-0.1652196355</x:v>
      </x:c>
      <x:c r="U118" s="38" t="n">
        <x:v>0.0143199381</x:v>
      </x:c>
      <x:c r="V118" s="38" t="n">
        <x:v>0.0115164039</x:v>
      </x:c>
      <x:c r="W118" s="38" t="n">
        <x:v>-0.011981557</x:v>
      </x:c>
      <x:c r="X118" s="38" t="n">
        <x:v>0.066577832</x:v>
      </x:c>
      <x:c r="Y118" s="38" t="n">
        <x:v>0.0310011392</x:v>
      </x:c>
      <x:c r="Z118" s="38" t="n">
        <x:v>0.1085260294</x:v>
      </x:c>
      <x:c r="AA118" s="38" t="n">
        <x:v>0.0344805031</x:v>
      </x:c>
      <x:c r="AB118" s="38" t="n">
        <x:v>0.1260349815</x:v>
      </x:c>
      <x:c r="AC118" s="38" t="n">
        <x:v>-0.2271316117</x:v>
      </x:c>
      <x:c r="AD118" s="38" t="n">
        <x:v>0.0168030319</x:v>
      </x:c>
      <x:c r="AE118" s="38" t="n">
        <x:v>-0.0397753274</x:v>
      </x:c>
      <x:c r="AF118" s="38" t="n">
        <x:v>0.0555792507</x:v>
      </x:c>
      <x:c r="AG118" s="38" t="n">
        <x:v>0.1458901365</x:v>
      </x:c>
      <x:c r="AH118" s="38" t="n">
        <x:v>-0.0119729032</x:v>
      </x:c>
      <x:c r="AI118" s="38" t="n">
        <x:v>-0.05966318</x:v>
      </x:c>
      <x:c r="AJ118" s="38" t="n">
        <x:v>0.0045992838</x:v>
      </x:c>
      <x:c r="AK118" s="38" t="n">
        <x:v>0.0389217542</x:v>
      </x:c>
      <x:c r="AL118" s="38" t="n">
        <x:v>-0.0318224706</x:v>
      </x:c>
      <x:c r="AM118" s="38" t="n">
        <x:v>-0.0744259163</x:v>
      </x:c>
      <x:c r="AN118" s="38" t="n">
        <x:v>-0.0520419911</x:v>
      </x:c>
      <x:c r="AO118" s="38" t="n">
        <x:v>-0.0002651079</x:v>
      </x:c>
      <x:c r="AP118" s="38" t="n">
        <x:v>-0.0078944614</x:v>
      </x:c>
      <x:c r="AQ118" s="38" t="n">
        <x:v>0.0035081958</x:v>
      </x:c>
      <x:c r="AR118" s="38" t="n">
        <x:v>0.0216317212</x:v>
      </x:c>
      <x:c r="AS118" s="38" t="n">
        <x:v>0.0336011224</x:v>
      </x:c>
    </x:row>
    <x:row r="119" ht="19" customHeight="1">
      <x:c r="A119" s="29" t="str">
        <x:v>Home FX</x:v>
      </x:c>
      <x:c r="B119" s="39" t="d">
        <x:v>2023-01-30T00:00:00.000Z</x:v>
      </x:c>
      <x:c r="C119" s="38" t="n">
        <x:v>0.0141157674</x:v>
      </x:c>
      <x:c r="D119" s="38" t="n">
        <x:v>0.0084717766</x:v>
      </x:c>
      <x:c r="E119" s="38" t="n">
        <x:v>-0.0405804193</x:v>
      </x:c>
      <x:c r="F119" s="38" t="n">
        <x:v>0.0032103041</x:v>
      </x:c>
      <x:c r="G119" s="38" t="n">
        <x:v>0.1424002974</x:v>
      </x:c>
      <x:c r="H119" s="38" t="n">
        <x:v>0.1632410791</x:v>
      </x:c>
      <x:c r="I119" s="38" t="n">
        <x:v>0.1586430268</x:v>
      </x:c>
      <x:c r="J119" s="38" t="n">
        <x:v>0.0628847996</x:v>
      </x:c>
      <x:c r="K119" s="38" t="n">
        <x:v>0.1254013855</x:v>
      </x:c>
      <x:c r="L119" s="38" t="n">
        <x:v>0.0278509021</x:v>
      </x:c>
      <x:c r="M119" s="38" t="n">
        <x:v>0.0154521587</x:v>
      </x:c>
      <x:c r="N119" s="38" t="n">
        <x:v>0.0281014913</x:v>
      </x:c>
      <x:c r="O119" s="38" t="n">
        <x:v>0.0345286699</x:v>
      </x:c>
      <x:c r="P119" s="38" t="n">
        <x:v>0.1311659092</x:v>
      </x:c>
      <x:c r="Q119" s="38" t="n">
        <x:v>-0.0957356763</x:v>
      </x:c>
      <x:c r="R119" s="38" t="n">
        <x:v>0.2101214239</x:v>
      </x:c>
      <x:c r="S119" s="38" t="n">
        <x:v>0.00718974</x:v>
      </x:c>
      <x:c r="T119" s="38" t="n">
        <x:v>0.3449577617</x:v>
      </x:c>
      <x:c r="U119" s="38" t="n">
        <x:v>-0.0347741542</x:v>
      </x:c>
      <x:c r="V119" s="38" t="n">
        <x:v>0.1282674433</x:v>
      </x:c>
      <x:c r="W119" s="38" t="n">
        <x:v>0.128176788</x:v>
      </x:c>
      <x:c r="X119" s="38" t="n">
        <x:v>0.0462705539</x:v>
      </x:c>
      <x:c r="Y119" s="38" t="n">
        <x:v>0.082007232</x:v>
      </x:c>
      <x:c r="Z119" s="38" t="n">
        <x:v>-0.0479719661</x:v>
      </x:c>
      <x:c r="AA119" s="38" t="n">
        <x:v>0.0108659238</x:v>
      </x:c>
      <x:c r="AB119" s="38" t="n">
        <x:v>-0.1160977731</x:v>
      </x:c>
      <x:c r="AC119" s="38" t="n">
        <x:v>0.4534489463</x:v>
      </x:c>
      <x:c r="AD119" s="38" t="n">
        <x:v>-0.060661845</x:v>
      </x:c>
      <x:c r="AE119" s="38" t="n">
        <x:v>0.0436184841</x:v>
      </x:c>
      <x:c r="AF119" s="38" t="n">
        <x:v>-0.0403979909</x:v>
      </x:c>
      <x:c r="AG119" s="38" t="n">
        <x:v>-0.0288898422</x:v>
      </x:c>
      <x:c r="AH119" s="38" t="n">
        <x:v>-0.0509080016</x:v>
      </x:c>
      <x:c r="AI119" s="38" t="n">
        <x:v>0.2572622484</x:v>
      </x:c>
      <x:c r="AJ119" s="38" t="n">
        <x:v>-0.0588763704</x:v>
      </x:c>
      <x:c r="AK119" s="38" t="n">
        <x:v>0.0718743552</x:v>
      </x:c>
      <x:c r="AL119" s="38" t="n">
        <x:v>-0.0258661707</x:v>
      </x:c>
      <x:c r="AM119" s="38" t="n">
        <x:v>0.1199369739</x:v>
      </x:c>
      <x:c r="AN119" s="38" t="n">
        <x:v>0.1576241958</x:v>
      </x:c>
      <x:c r="AO119" s="38" t="n">
        <x:v>0.0569442928</x:v>
      </x:c>
      <x:c r="AP119" s="38" t="n">
        <x:v>0.0372777338</x:v>
      </x:c>
      <x:c r="AQ119" s="38" t="n">
        <x:v>-0.0501793682</x:v>
      </x:c>
      <x:c r="AR119" s="38" t="n">
        <x:v>-0.0785858995</x:v>
      </x:c>
      <x:c r="AS119" s="38" t="n">
        <x:v>-0.0281080871</x:v>
      </x:c>
    </x:row>
    <x:row r="120" ht="19" customHeight="1">
      <x:c r="A120" s="29" t="str">
        <x:v>Home FX</x:v>
      </x:c>
      <x:c r="B120" s="39" t="d">
        <x:v>2023-02-27T00:00:00.000Z</x:v>
      </x:c>
      <x:c r="C120" s="38" t="n">
        <x:v>-0.0583104627</x:v>
      </x:c>
      <x:c r="D120" s="38" t="n">
        <x:v>0.1518803734</x:v>
      </x:c>
      <x:c r="E120" s="38" t="n">
        <x:v>-0.0211715533</x:v>
      </x:c>
      <x:c r="F120" s="38" t="n">
        <x:v>-0.0158591796</x:v>
      </x:c>
      <x:c r="G120" s="38" t="n">
        <x:v>-0.0793878825</x:v>
      </x:c>
      <x:c r="H120" s="38" t="n">
        <x:v>-0.1004326718</x:v>
      </x:c>
      <x:c r="I120" s="38" t="n">
        <x:v>-0.0752397232</x:v>
      </x:c>
      <x:c r="J120" s="38" t="n">
        <x:v>0.1851235501</x:v>
      </x:c>
      <x:c r="K120" s="38" t="n">
        <x:v>-0.0737645298</x:v>
      </x:c>
      <x:c r="L120" s="38" t="n">
        <x:v>0.0671614159</x:v>
      </x:c>
      <x:c r="M120" s="38" t="n">
        <x:v>0.0064007732</x:v>
      </x:c>
      <x:c r="N120" s="38" t="n">
        <x:v>0.0115472278</x:v>
      </x:c>
      <x:c r="O120" s="38" t="n">
        <x:v>0.0086188342</x:v>
      </x:c>
      <x:c r="P120" s="38" t="n">
        <x:v>-0.1001071954</x:v>
      </x:c>
      <x:c r="Q120" s="38" t="n">
        <x:v>-0.0155605624</x:v>
      </x:c>
      <x:c r="R120" s="38" t="n">
        <x:v>0.1133151227</x:v>
      </x:c>
      <x:c r="S120" s="38" t="n">
        <x:v>0.0424281898</x:v>
      </x:c>
      <x:c r="T120" s="38" t="n">
        <x:v>0.0312059947</x:v>
      </x:c>
      <x:c r="U120" s="38" t="n">
        <x:v>-0.1672725878</x:v>
      </x:c>
      <x:c r="V120" s="38" t="n">
        <x:v>0.0954586485</x:v>
      </x:c>
      <x:c r="W120" s="38" t="n">
        <x:v>-0.1310269881</x:v>
      </x:c>
      <x:c r="X120" s="38" t="n">
        <x:v>-0.0623578325</x:v>
      </x:c>
      <x:c r="Y120" s="38" t="n">
        <x:v>-0.0830169943</x:v>
      </x:c>
      <x:c r="Z120" s="38" t="n">
        <x:v>-0.095752759</x:v>
      </x:c>
      <x:c r="AA120" s="38" t="n">
        <x:v>0.0578945909</x:v>
      </x:c>
      <x:c r="AB120" s="38" t="n">
        <x:v>-0.0280056765</x:v>
      </x:c>
      <x:c r="AC120" s="38" t="n">
        <x:v>-0.1410736351</x:v>
      </x:c>
      <x:c r="AD120" s="38" t="n">
        <x:v>-0.0102812055</x:v>
      </x:c>
      <x:c r="AE120" s="38" t="n">
        <x:v>0.0436694144</x:v>
      </x:c>
      <x:c r="AF120" s="38" t="n">
        <x:v>-0.0583578078</x:v>
      </x:c>
      <x:c r="AG120" s="38" t="n">
        <x:v>0.0379558096</x:v>
      </x:c>
      <x:c r="AH120" s="38" t="n">
        <x:v>0.0111167139</x:v>
      </x:c>
      <x:c r="AI120" s="38" t="n">
        <x:v>-0.0478959449</x:v>
      </x:c>
      <x:c r="AJ120" s="38" t="n">
        <x:v>-0.0523376592</x:v>
      </x:c>
      <x:c r="AK120" s="38" t="n">
        <x:v>0.0012574745</x:v>
      </x:c>
      <x:c r="AL120" s="38" t="n">
        <x:v>-0.0068478551</x:v>
      </x:c>
      <x:c r="AM120" s="38" t="n">
        <x:v>-0.0082659385</x:v>
      </x:c>
      <x:c r="AN120" s="38" t="n">
        <x:v>-0.0986094643</x:v>
      </x:c>
      <x:c r="AO120" s="38" t="n">
        <x:v>-0.0701745562</x:v>
      </x:c>
      <x:c r="AP120" s="38" t="n">
        <x:v>-0.0922229563</x:v>
      </x:c>
      <x:c r="AQ120" s="38" t="n">
        <x:v>-0.0057426098</x:v>
      </x:c>
      <x:c r="AR120" s="38" t="n">
        <x:v>-0.052097674</x:v>
      </x:c>
      <x:c r="AS120" s="38" t="n">
        <x:v>0.0111432919</x:v>
      </x:c>
    </x:row>
    <x:row r="121" ht="19" customHeight="1">
      <x:c r="A121" s="29" t="str">
        <x:v>Home FX</x:v>
      </x:c>
      <x:c r="B121" s="39" t="d">
        <x:v>2023-03-27T00:00:00.000Z</x:v>
      </x:c>
      <x:c r="C121" s="38" t="n">
        <x:v>0.1087523028</x:v>
      </x:c>
      <x:c r="D121" s="38" t="n">
        <x:v>-0.0128625951</x:v>
      </x:c>
      <x:c r="E121" s="38" t="n">
        <x:v>0.0187931575</x:v>
      </x:c>
      <x:c r="F121" s="38" t="n">
        <x:v>0.0223480891</x:v>
      </x:c>
      <x:c r="G121" s="38" t="n">
        <x:v>-0.0089381844</x:v>
      </x:c>
      <x:c r="H121" s="38" t="n">
        <x:v>0.1098812873</x:v>
      </x:c>
      <x:c r="I121" s="38" t="n">
        <x:v>0.0754462628</x:v>
      </x:c>
      <x:c r="J121" s="38" t="n">
        <x:v>-0.0294203407</x:v>
      </x:c>
      <x:c r="K121" s="38" t="n">
        <x:v>-0.0532455383</x:v>
      </x:c>
      <x:c r="L121" s="38" t="n">
        <x:v>-0.0099596727</x:v>
      </x:c>
      <x:c r="M121" s="38" t="n">
        <x:v>-0.153852395</x:v>
      </x:c>
      <x:c r="N121" s="38" t="n">
        <x:v>-0.0950857599</x:v>
      </x:c>
      <x:c r="O121" s="38" t="n">
        <x:v>-0.0381233155</x:v>
      </x:c>
      <x:c r="P121" s="38" t="n">
        <x:v>-0.0214886809</x:v>
      </x:c>
      <x:c r="Q121" s="38" t="n">
        <x:v>-0.0786642565</x:v>
      </x:c>
      <x:c r="R121" s="38" t="n">
        <x:v>0.0934014754</x:v>
      </x:c>
      <x:c r="S121" s="38" t="n">
        <x:v>0.0348524946</x:v>
      </x:c>
      <x:c r="T121" s="38" t="n">
        <x:v>0.0011561801</x:v>
      </x:c>
      <x:c r="U121" s="38" t="n">
        <x:v>0.062321518</x:v>
      </x:c>
      <x:c r="V121" s="38" t="n">
        <x:v>0.0155824073</x:v>
      </x:c>
      <x:c r="W121" s="38" t="n">
        <x:v>0.0817461688</x:v>
      </x:c>
      <x:c r="X121" s="38" t="n">
        <x:v>0.0161191991</x:v>
      </x:c>
      <x:c r="Y121" s="38" t="n">
        <x:v>0.0541564334</x:v>
      </x:c>
      <x:c r="Z121" s="38" t="n">
        <x:v>0.0905811104</x:v>
      </x:c>
      <x:c r="AA121" s="38" t="n">
        <x:v>-0.0156731066</x:v>
      </x:c>
      <x:c r="AB121" s="38" t="n">
        <x:v>-0.0730031815</x:v>
      </x:c>
      <x:c r="AC121" s="38" t="n">
        <x:v>-0.150711214</x:v>
      </x:c>
      <x:c r="AD121" s="38" t="n">
        <x:v>0.0476083759</x:v>
      </x:c>
      <x:c r="AE121" s="38" t="n">
        <x:v>-0.03329613</x:v>
      </x:c>
      <x:c r="AF121" s="38" t="n">
        <x:v>0.0448168153</x:v>
      </x:c>
      <x:c r="AG121" s="38" t="n">
        <x:v>-0.0111651082</x:v>
      </x:c>
      <x:c r="AH121" s="38" t="n">
        <x:v>-0.0480644906</x:v>
      </x:c>
      <x:c r="AI121" s="38" t="n">
        <x:v>0.164061809</x:v>
      </x:c>
      <x:c r="AJ121" s="38" t="n">
        <x:v>0.0672839894</x:v>
      </x:c>
      <x:c r="AK121" s="38" t="n">
        <x:v>-0.043870769</x:v>
      </x:c>
      <x:c r="AL121" s="38" t="n">
        <x:v>-0.0080950907</x:v>
      </x:c>
      <x:c r="AM121" s="38" t="n">
        <x:v>0.1082944253</x:v>
      </x:c>
      <x:c r="AN121" s="38" t="n">
        <x:v>0.0910401426</x:v>
      </x:c>
      <x:c r="AO121" s="38" t="n">
        <x:v>0.0396002399</x:v>
      </x:c>
      <x:c r="AP121" s="38" t="n">
        <x:v>-0.0035667415</x:v>
      </x:c>
      <x:c r="AQ121" s="38" t="n">
        <x:v>0.044788446</x:v>
      </x:c>
      <x:c r="AR121" s="38" t="n">
        <x:v>0.0056485515</x:v>
      </x:c>
      <x:c r="AS121" s="38" t="n">
        <x:v>-0.0105513522</x:v>
      </x:c>
    </x:row>
    <x:row r="122" ht="19" customHeight="1">
      <x:c r="A122" s="29" t="str">
        <x:v>Home FX</x:v>
      </x:c>
      <x:c r="B122" s="39" t="d">
        <x:v>2023-04-24T00:00:00.000Z</x:v>
      </x:c>
      <x:c r="C122" s="38" t="n">
        <x:v>-0.0052842367</x:v>
      </x:c>
      <x:c r="D122" s="38" t="n">
        <x:v>0.0145980565</x:v>
      </x:c>
      <x:c r="E122" s="38" t="n">
        <x:v>0.0140845652</x:v>
      </x:c>
      <x:c r="F122" s="38" t="n">
        <x:v>-0.0013425586</x:v>
      </x:c>
      <x:c r="G122" s="38" t="n">
        <x:v>0.0211294756</x:v>
      </x:c>
      <x:c r="H122" s="38" t="n">
        <x:v>0.1724285763</x:v>
      </x:c>
      <x:c r="I122" s="38" t="n">
        <x:v>0.0186932054</x:v>
      </x:c>
      <x:c r="J122" s="38" t="n">
        <x:v>0.0215841226</x:v>
      </x:c>
      <x:c r="K122" s="38" t="n">
        <x:v>-0.1417051098</x:v>
      </x:c>
      <x:c r="L122" s="38" t="n">
        <x:v>-0.1776828697</x:v>
      </x:c>
      <x:c r="M122" s="38" t="n">
        <x:v>-0.0114102575</x:v>
      </x:c>
      <x:c r="N122" s="38" t="n">
        <x:v>-0.0812212533</x:v>
      </x:c>
      <x:c r="O122" s="38" t="n">
        <x:v>-0.2027724989</x:v>
      </x:c>
      <x:c r="P122" s="38" t="n">
        <x:v>-0.0809691053</x:v>
      </x:c>
      <x:c r="Q122" s="38" t="n">
        <x:v>-0.4070536583</x:v>
      </x:c>
      <x:c r="R122" s="38" t="n">
        <x:v>-0.1956855225</x:v>
      </x:c>
      <x:c r="S122" s="38" t="n">
        <x:v>-0.0275325438</x:v>
      </x:c>
      <x:c r="T122" s="38" t="n">
        <x:v>-0.2442514494</x:v>
      </x:c>
      <x:c r="U122" s="38" t="n">
        <x:v>-0.1306950799</x:v>
      </x:c>
      <x:c r="V122" s="38" t="n">
        <x:v>-0.0586644529</x:v>
      </x:c>
      <x:c r="W122" s="38" t="n">
        <x:v>-0.0415968782</x:v>
      </x:c>
      <x:c r="X122" s="38" t="n">
        <x:v>0.0858054831</x:v>
      </x:c>
      <x:c r="Y122" s="38" t="n">
        <x:v>0.0600782132</x:v>
      </x:c>
      <x:c r="Z122" s="38" t="n">
        <x:v>-0.0303536517</x:v>
      </x:c>
      <x:c r="AA122" s="38" t="n">
        <x:v>-0.0424322779</x:v>
      </x:c>
      <x:c r="AB122" s="38" t="n">
        <x:v>0.0045274206</x:v>
      </x:c>
      <x:c r="AC122" s="38" t="n">
        <x:v>-0.1208512024</x:v>
      </x:c>
      <x:c r="AD122" s="38" t="n">
        <x:v>0.0511823332</x:v>
      </x:c>
      <x:c r="AE122" s="38" t="n">
        <x:v>-0.0419345557</x:v>
      </x:c>
      <x:c r="AF122" s="38" t="n">
        <x:v>-0.0962348236</x:v>
      </x:c>
      <x:c r="AG122" s="38" t="n">
        <x:v>-0.02434802</x:v>
      </x:c>
      <x:c r="AH122" s="38" t="n">
        <x:v>-0.023693623</x:v>
      </x:c>
      <x:c r="AI122" s="38" t="n">
        <x:v>-0.0833526726</x:v>
      </x:c>
      <x:c r="AJ122" s="38" t="n">
        <x:v>0.1283523997</x:v>
      </x:c>
      <x:c r="AK122" s="38" t="n">
        <x:v>0.0902109146</x:v>
      </x:c>
      <x:c r="AL122" s="38" t="n">
        <x:v>-0.1617721951</x:v>
      </x:c>
      <x:c r="AM122" s="38" t="n">
        <x:v>0.0575281862</x:v>
      </x:c>
      <x:c r="AN122" s="38" t="n">
        <x:v>0.0308989861</x:v>
      </x:c>
      <x:c r="AO122" s="38" t="n">
        <x:v>0.0114699919</x:v>
      </x:c>
      <x:c r="AP122" s="38" t="n">
        <x:v>0.0164375354</x:v>
      </x:c>
      <x:c r="AQ122" s="38" t="n">
        <x:v>0.0303535535</x:v>
      </x:c>
      <x:c r="AR122" s="38" t="n">
        <x:v>0.0493248678</x:v>
      </x:c>
      <x:c r="AS122" s="38" t="n">
        <x:v>0.0560827406</x:v>
      </x:c>
    </x:row>
    <x:row r="123" ht="19" customHeight="1">
      <x:c r="A123" s="29" t="str">
        <x:v>Home FX</x:v>
      </x:c>
      <x:c r="B123" s="39" t="d">
        <x:v>2023-05-22T00:00:00.000Z</x:v>
      </x:c>
      <x:c r="C123" s="38" t="n">
        <x:v>0.0223760295</x:v>
      </x:c>
      <x:c r="D123" s="38" t="n">
        <x:v>-0.0255604221</x:v>
      </x:c>
      <x:c r="E123" s="38" t="n">
        <x:v>-0.0985028851</x:v>
      </x:c>
      <x:c r="F123" s="38" t="n">
        <x:v>-0.0874661677</x:v>
      </x:c>
      <x:c r="G123" s="38" t="n">
        <x:v>-0.1367059429</x:v>
      </x:c>
      <x:c r="H123" s="38" t="n">
        <x:v>0.0015050334</x:v>
      </x:c>
      <x:c r="I123" s="38" t="n">
        <x:v>0.1192418532</x:v>
      </x:c>
      <x:c r="J123" s="38" t="n">
        <x:v>0.0043366861</x:v>
      </x:c>
      <x:c r="K123" s="38" t="n">
        <x:v>0.0450525023</x:v>
      </x:c>
      <x:c r="L123" s="38" t="n">
        <x:v>0.001620375</x:v>
      </x:c>
      <x:c r="M123" s="38" t="n">
        <x:v>-0.113673868</x:v>
      </x:c>
      <x:c r="N123" s="38" t="n">
        <x:v>-0.2134431307</x:v>
      </x:c>
      <x:c r="O123" s="38" t="n">
        <x:v>-0.0058764123</x:v>
      </x:c>
      <x:c r="P123" s="38" t="n">
        <x:v>0.130429764</x:v>
      </x:c>
      <x:c r="Q123" s="38" t="n">
        <x:v>0.2362699922</x:v>
      </x:c>
      <x:c r="R123" s="38" t="n">
        <x:v>0.1211574848</x:v>
      </x:c>
      <x:c r="S123" s="38" t="n">
        <x:v>-0.0460086247</x:v>
      </x:c>
      <x:c r="T123" s="38" t="n">
        <x:v>0.2399614823</x:v>
      </x:c>
      <x:c r="U123" s="38" t="n">
        <x:v>-0.0470265916</x:v>
      </x:c>
      <x:c r="V123" s="38" t="n">
        <x:v>-0.0712126287</x:v>
      </x:c>
      <x:c r="W123" s="38" t="n">
        <x:v>0.1267239856</x:v>
      </x:c>
      <x:c r="X123" s="38" t="n">
        <x:v>-0.0428355492</x:v>
      </x:c>
      <x:c r="Y123" s="38" t="n">
        <x:v>0.1269872557</x:v>
      </x:c>
      <x:c r="Z123" s="38" t="n">
        <x:v>-0.1400492597</x:v>
      </x:c>
      <x:c r="AA123" s="38" t="n">
        <x:v>-0.0547247196</x:v>
      </x:c>
      <x:c r="AB123" s="38" t="n">
        <x:v>0.0359276661</x:v>
      </x:c>
      <x:c r="AC123" s="38" t="n">
        <x:v>0.5329273462</x:v>
      </x:c>
      <x:c r="AD123" s="38" t="n">
        <x:v>-0.0666881282</x:v>
      </x:c>
      <x:c r="AE123" s="38" t="n">
        <x:v>0.0160509448</x:v>
      </x:c>
      <x:c r="AF123" s="38" t="n">
        <x:v>0.0630296166</x:v>
      </x:c>
      <x:c r="AG123" s="38" t="n">
        <x:v>-0.0140619123</x:v>
      </x:c>
      <x:c r="AH123" s="38" t="n">
        <x:v>0.0039569056</x:v>
      </x:c>
      <x:c r="AI123" s="38" t="n">
        <x:v>0.3221143807</x:v>
      </x:c>
      <x:c r="AJ123" s="38" t="n">
        <x:v>0.0691459222</x:v>
      </x:c>
      <x:c r="AK123" s="38" t="n">
        <x:v>-0.0610791805</x:v>
      </x:c>
      <x:c r="AL123" s="38" t="n">
        <x:v>-0.0433117562</x:v>
      </x:c>
      <x:c r="AM123" s="38" t="n">
        <x:v>0.0753916827</x:v>
      </x:c>
      <x:c r="AN123" s="38" t="n">
        <x:v>0.1366615706</x:v>
      </x:c>
      <x:c r="AO123" s="38" t="n">
        <x:v>0.0092334913</x:v>
      </x:c>
      <x:c r="AP123" s="38" t="n">
        <x:v>-0.0238066404</x:v>
      </x:c>
      <x:c r="AQ123" s="38" t="n">
        <x:v>-0.0573034521</x:v>
      </x:c>
      <x:c r="AR123" s="38" t="n">
        <x:v>-0.0469887474</x:v>
      </x:c>
      <x:c r="AS123" s="38" t="n">
        <x:v>-0.0224381407</x:v>
      </x:c>
    </x:row>
    <x:row r="124" ht="19" customHeight="1">
      <x:c r="A124" s="29" t="str">
        <x:v>Home FX</x:v>
      </x:c>
      <x:c r="B124" s="39" t="d">
        <x:v>2023-06-19T00:00:00.000Z</x:v>
      </x:c>
      <x:c r="C124" s="38" t="n">
        <x:v>0.0319696127</x:v>
      </x:c>
      <x:c r="D124" s="38" t="n">
        <x:v>0.0515167641</x:v>
      </x:c>
      <x:c r="E124" s="38" t="n">
        <x:v>0.0139018257</x:v>
      </x:c>
      <x:c r="F124" s="38" t="n">
        <x:v>0.0031616787</x:v>
      </x:c>
      <x:c r="G124" s="38" t="n">
        <x:v>-0.0020014858</x:v>
      </x:c>
      <x:c r="H124" s="38" t="n">
        <x:v>-0.0123461876</x:v>
      </x:c>
      <x:c r="I124" s="38" t="n">
        <x:v>0.0687115817</x:v>
      </x:c>
      <x:c r="J124" s="38" t="n">
        <x:v>0.063262946</x:v>
      </x:c>
      <x:c r="K124" s="38" t="n">
        <x:v>-0.0643669712</x:v>
      </x:c>
      <x:c r="L124" s="38" t="n">
        <x:v>-0.0208004034</x:v>
      </x:c>
      <x:c r="M124" s="38" t="n">
        <x:v>0.107502062</x:v>
      </x:c>
      <x:c r="N124" s="38" t="n">
        <x:v>-0.0022273104</x:v>
      </x:c>
      <x:c r="O124" s="38" t="n">
        <x:v>0.0407202001</x:v>
      </x:c>
      <x:c r="P124" s="38" t="n">
        <x:v>-0.0443228933</x:v>
      </x:c>
      <x:c r="Q124" s="38" t="n">
        <x:v>-0.0381778168</x:v>
      </x:c>
      <x:c r="R124" s="38" t="n">
        <x:v>0.0652666924</x:v>
      </x:c>
      <x:c r="S124" s="38" t="n">
        <x:v>0.0315429805</x:v>
      </x:c>
      <x:c r="T124" s="38" t="n">
        <x:v>0.0338686181</x:v>
      </x:c>
      <x:c r="U124" s="38" t="n">
        <x:v>-0.0587824804</x:v>
      </x:c>
      <x:c r="V124" s="38" t="n">
        <x:v>-0.0302233673</x:v>
      </x:c>
      <x:c r="W124" s="38" t="n">
        <x:v>0.1045744182</x:v>
      </x:c>
      <x:c r="X124" s="38" t="n">
        <x:v>0.0142448244</x:v>
      </x:c>
      <x:c r="Y124" s="38" t="n">
        <x:v>-0.1156040149</x:v>
      </x:c>
      <x:c r="Z124" s="38" t="n">
        <x:v>0.0295743508</x:v>
      </x:c>
      <x:c r="AA124" s="38" t="n">
        <x:v>0.0304420647</x:v>
      </x:c>
      <x:c r="AB124" s="38" t="n">
        <x:v>-0.0180402361</x:v>
      </x:c>
      <x:c r="AC124" s="38" t="n">
        <x:v>0.1779375037</x:v>
      </x:c>
      <x:c r="AD124" s="38" t="n">
        <x:v>0.0193492643</x:v>
      </x:c>
      <x:c r="AE124" s="38" t="n">
        <x:v>0.1375974811</x:v>
      </x:c>
      <x:c r="AF124" s="38" t="n">
        <x:v>0.0755739609</x:v>
      </x:c>
      <x:c r="AG124" s="38" t="n">
        <x:v>0.0080858154</x:v>
      </x:c>
      <x:c r="AH124" s="38" t="n">
        <x:v>0.0696472783</x:v>
      </x:c>
      <x:c r="AI124" s="38" t="n">
        <x:v>-0.1336450917</x:v>
      </x:c>
      <x:c r="AJ124" s="38" t="n">
        <x:v>0.0694510003</x:v>
      </x:c>
      <x:c r="AK124" s="38" t="n">
        <x:v>0.0339857744</x:v>
      </x:c>
      <x:c r="AL124" s="38" t="n">
        <x:v>-0.0334874876</x:v>
      </x:c>
      <x:c r="AM124" s="38" t="n">
        <x:v>0.0059252728</x:v>
      </x:c>
      <x:c r="AN124" s="38" t="n">
        <x:v>-0.017080278</x:v>
      </x:c>
      <x:c r="AO124" s="38" t="n">
        <x:v>0.0309440454</x:v>
      </x:c>
      <x:c r="AP124" s="38" t="n">
        <x:v>0.031643311</x:v>
      </x:c>
      <x:c r="AQ124" s="38" t="n">
        <x:v>0.0214291626</x:v>
      </x:c>
      <x:c r="AR124" s="38" t="n">
        <x:v>0.064686915</x:v>
      </x:c>
      <x:c r="AS124" s="38" t="n">
        <x:v>0.0415118732</x:v>
      </x:c>
    </x:row>
    <x:row r="125" ht="19" customHeight="1">
      <x:c r="A125" s="29" t="str">
        <x:v>Home FX</x:v>
      </x:c>
      <x:c r="B125" s="39" t="d">
        <x:v>2023-07-17T00:00:00.000Z</x:v>
      </x:c>
      <x:c r="C125" s="38" t="n">
        <x:v>0.1150583633</x:v>
      </x:c>
      <x:c r="D125" s="38" t="n">
        <x:v>0.0722755637</x:v>
      </x:c>
      <x:c r="E125" s="38" t="n">
        <x:v>0.0488214656</x:v>
      </x:c>
      <x:c r="F125" s="38" t="n">
        <x:v>0.0643024879</x:v>
      </x:c>
      <x:c r="G125" s="38" t="n">
        <x:v>-0.009891218</x:v>
      </x:c>
      <x:c r="H125" s="38" t="n">
        <x:v>0.0251078344</x:v>
      </x:c>
      <x:c r="I125" s="38" t="n">
        <x:v>0.0048686894</x:v>
      </x:c>
      <x:c r="J125" s="38" t="n">
        <x:v>0.0244434022</x:v>
      </x:c>
      <x:c r="K125" s="38" t="n">
        <x:v>-0.1145762127</x:v>
      </x:c>
      <x:c r="L125" s="38" t="n">
        <x:v>0.0941049488</x:v>
      </x:c>
      <x:c r="M125" s="38" t="n">
        <x:v>0.1069352034</x:v>
      </x:c>
      <x:c r="N125" s="38" t="n">
        <x:v>0.0809309645</x:v>
      </x:c>
      <x:c r="O125" s="38" t="n">
        <x:v>0.0155510457</x:v>
      </x:c>
      <x:c r="P125" s="38" t="n">
        <x:v>0.0108873784</x:v>
      </x:c>
      <x:c r="Q125" s="38" t="n">
        <x:v>-0.0143405946</x:v>
      </x:c>
      <x:c r="R125" s="38" t="n">
        <x:v>0.2196732056</x:v>
      </x:c>
      <x:c r="S125" s="38" t="n">
        <x:v>0.0385655908</x:v>
      </x:c>
      <x:c r="T125" s="38" t="n">
        <x:v>0.0458233006</x:v>
      </x:c>
      <x:c r="U125" s="38" t="n">
        <x:v>0.0610342049</x:v>
      </x:c>
      <x:c r="V125" s="38" t="n">
        <x:v>-0.0447344453</x:v>
      </x:c>
      <x:c r="W125" s="38" t="n">
        <x:v>0.0077015214</x:v>
      </x:c>
      <x:c r="X125" s="38" t="n">
        <x:v>0.0702114629</x:v>
      </x:c>
      <x:c r="Y125" s="38" t="n">
        <x:v>0.0070969463</x:v>
      </x:c>
      <x:c r="Z125" s="38" t="n">
        <x:v>0.0362315893</x:v>
      </x:c>
      <x:c r="AA125" s="38" t="n">
        <x:v>-0.0607133112</x:v>
      </x:c>
      <x:c r="AB125" s="38" t="n">
        <x:v>0</x:v>
      </x:c>
      <x:c r="AC125" s="38" t="n">
        <x:v>0.5530346283</x:v>
      </x:c>
      <x:c r="AD125" s="38" t="n">
        <x:v>0.033869385</x:v>
      </x:c>
      <x:c r="AE125" s="38" t="n">
        <x:v>-0.0060679585</x:v>
      </x:c>
      <x:c r="AF125" s="38" t="n">
        <x:v>0.0412886165</x:v>
      </x:c>
      <x:c r="AG125" s="38" t="n">
        <x:v>0.0288649171</x:v>
      </x:c>
      <x:c r="AH125" s="38" t="n">
        <x:v>0.0614047364</x:v>
      </x:c>
      <x:c r="AI125" s="38" t="n">
        <x:v>0.0080168668</x:v>
      </x:c>
      <x:c r="AJ125" s="38" t="n">
        <x:v>0.006548604</x:v>
      </x:c>
      <x:c r="AK125" s="38" t="n">
        <x:v>0.0716871195</x:v>
      </x:c>
      <x:c r="AL125" s="38" t="n">
        <x:v>-0.0336937592</x:v>
      </x:c>
      <x:c r="AM125" s="38" t="n">
        <x:v>0.0242934678</x:v>
      </x:c>
      <x:c r="AN125" s="38" t="n">
        <x:v>-0.0180397694</x:v>
      </x:c>
      <x:c r="AO125" s="38" t="n">
        <x:v>0.0582085869</x:v>
      </x:c>
      <x:c r="AP125" s="38" t="n">
        <x:v>0.0596529712</x:v>
      </x:c>
      <x:c r="AQ125" s="38" t="n">
        <x:v>0.0188999559</x:v>
      </x:c>
      <x:c r="AR125" s="38" t="n">
        <x:v>0.0264440294</x:v>
      </x:c>
      <x:c r="AS125" s="38" t="n">
        <x:v>0.0290853544</x:v>
      </x:c>
    </x:row>
    <x:row r="126" ht="19" customHeight="1">
      <x:c r="A126" s="29" t="str">
        <x:v>Home FX</x:v>
      </x:c>
      <x:c r="B126" s="39" t="d">
        <x:v>2023-08-14T00:00:00.000Z</x:v>
      </x:c>
      <x:c r="C126" s="38" t="n">
        <x:v>0.0492525035</x:v>
      </x:c>
      <x:c r="D126" s="38" t="n">
        <x:v>-0.076963534</x:v>
      </x:c>
      <x:c r="E126" s="38" t="n">
        <x:v>-0.0922336275</x:v>
      </x:c>
      <x:c r="F126" s="38" t="n">
        <x:v>-0.069977315</x:v>
      </x:c>
      <x:c r="G126" s="38" t="n">
        <x:v>-0.0134674834</x:v>
      </x:c>
      <x:c r="H126" s="38" t="n">
        <x:v>-0.1210249256</x:v>
      </x:c>
      <x:c r="I126" s="38" t="n">
        <x:v>0.0233814883</x:v>
      </x:c>
      <x:c r="J126" s="38" t="n">
        <x:v>0.0679949677</x:v>
      </x:c>
      <x:c r="K126" s="38" t="n">
        <x:v>0.1036808547</x:v>
      </x:c>
      <x:c r="L126" s="38" t="n">
        <x:v>0.0865309999</x:v>
      </x:c>
      <x:c r="M126" s="38" t="n">
        <x:v>0.0049175995</x:v>
      </x:c>
      <x:c r="N126" s="38" t="n">
        <x:v>-0.0171302346</x:v>
      </x:c>
      <x:c r="O126" s="38" t="n">
        <x:v>-0.0352722049</x:v>
      </x:c>
      <x:c r="P126" s="38" t="n">
        <x:v>0.03527016</x:v>
      </x:c>
      <x:c r="Q126" s="38" t="n">
        <x:v>0.0197063238</x:v>
      </x:c>
      <x:c r="R126" s="38" t="n">
        <x:v>-0.3812178285</x:v>
      </x:c>
      <x:c r="S126" s="38" t="n">
        <x:v>0.0704041061</x:v>
      </x:c>
      <x:c r="T126" s="38" t="n">
        <x:v>-0.1156826737</x:v>
      </x:c>
      <x:c r="U126" s="38" t="n">
        <x:v>-0.2087527565</x:v>
      </x:c>
      <x:c r="V126" s="38" t="n">
        <x:v>0.1013742428</x:v>
      </x:c>
      <x:c r="W126" s="38" t="n">
        <x:v>-0.0527771445</x:v>
      </x:c>
      <x:c r="X126" s="38" t="n">
        <x:v>0.0618969328</x:v>
      </x:c>
      <x:c r="Y126" s="38" t="n">
        <x:v>-0.0304664369</x:v>
      </x:c>
      <x:c r="Z126" s="38" t="n">
        <x:v>-0.1177667518</x:v>
      </x:c>
      <x:c r="AA126" s="38" t="n">
        <x:v>0.0706156664</x:v>
      </x:c>
      <x:c r="AB126" s="38" t="n">
        <x:v>0.013950834</x:v>
      </x:c>
      <x:c r="AC126" s="38" t="n">
        <x:v>-0.5003439773</x:v>
      </x:c>
      <x:c r="AD126" s="38" t="n">
        <x:v>-0.0024404009</x:v>
      </x:c>
      <x:c r="AE126" s="38" t="n">
        <x:v>-0.1353635392</x:v>
      </x:c>
      <x:c r="AF126" s="38" t="n">
        <x:v>-0.01450464</x:v>
      </x:c>
      <x:c r="AG126" s="38" t="n">
        <x:v>0.0647568326</x:v>
      </x:c>
      <x:c r="AH126" s="38" t="n">
        <x:v>-0.0514152003</x:v>
      </x:c>
      <x:c r="AI126" s="38" t="n">
        <x:v>-0.0485861316</x:v>
      </x:c>
      <x:c r="AJ126" s="38" t="n">
        <x:v>0.1623552937</x:v>
      </x:c>
      <x:c r="AK126" s="38" t="n">
        <x:v>-0.0060312299</x:v>
      </x:c>
      <x:c r="AL126" s="38" t="n">
        <x:v>-0.0335933082</x:v>
      </x:c>
      <x:c r="AM126" s="38" t="n">
        <x:v>-0.0770204501</x:v>
      </x:c>
      <x:c r="AN126" s="38" t="n">
        <x:v>0.0574747659</x:v>
      </x:c>
      <x:c r="AO126" s="38" t="n">
        <x:v>-0.0223921846</x:v>
      </x:c>
      <x:c r="AP126" s="38" t="n">
        <x:v>0.0203568993</x:v>
      </x:c>
      <x:c r="AQ126" s="38" t="n">
        <x:v>-0.0230800677</x:v>
      </x:c>
      <x:c r="AR126" s="38" t="n">
        <x:v>0.0128280667</x:v>
      </x:c>
      <x:c r="AS126" s="38" t="n">
        <x:v>0.0186114716</x:v>
      </x:c>
    </x:row>
    <x:row r="127" ht="19" customHeight="1">
      <x:c r="A127" s="29" t="str">
        <x:v>Home FX</x:v>
      </x:c>
      <x:c r="B127" s="39" t="d">
        <x:v>2023-09-11T00:00:00.000Z</x:v>
      </x:c>
      <x:c r="C127" s="38" t="n">
        <x:v>0.0942598953</x:v>
      </x:c>
      <x:c r="D127" s="38" t="n">
        <x:v>0.043343493</x:v>
      </x:c>
      <x:c r="E127" s="38" t="n">
        <x:v>0.0124303381</x:v>
      </x:c>
      <x:c r="F127" s="38" t="n">
        <x:v>0.0281812804</x:v>
      </x:c>
      <x:c r="G127" s="38" t="n">
        <x:v>-0.0042938108</x:v>
      </x:c>
      <x:c r="H127" s="38" t="n">
        <x:v>0.0326209473</x:v>
      </x:c>
      <x:c r="I127" s="38" t="n">
        <x:v>0.0508069286</x:v>
      </x:c>
      <x:c r="J127" s="38" t="n">
        <x:v>0.0583175997</x:v>
      </x:c>
      <x:c r="K127" s="38" t="n">
        <x:v>-0.0437355093</x:v>
      </x:c>
      <x:c r="L127" s="38" t="n">
        <x:v>0.0706419067</x:v>
      </x:c>
      <x:c r="M127" s="38" t="n">
        <x:v>0.0366908026</x:v>
      </x:c>
      <x:c r="N127" s="38" t="n">
        <x:v>0.0444957083</x:v>
      </x:c>
      <x:c r="O127" s="38" t="n">
        <x:v>-0.0650715278</x:v>
      </x:c>
      <x:c r="P127" s="38" t="n">
        <x:v>0.089842423</x:v>
      </x:c>
      <x:c r="Q127" s="38" t="n">
        <x:v>0.1277512468</x:v>
      </x:c>
      <x:c r="R127" s="38" t="n">
        <x:v>-0.2875449088</x:v>
      </x:c>
      <x:c r="S127" s="38" t="n">
        <x:v>0.0198381486</x:v>
      </x:c>
      <x:c r="T127" s="38" t="n">
        <x:v>0.0602052573</x:v>
      </x:c>
      <x:c r="U127" s="38" t="n">
        <x:v>0.116418545</x:v>
      </x:c>
      <x:c r="V127" s="38" t="n">
        <x:v>0.029150962</x:v>
      </x:c>
      <x:c r="W127" s="38" t="n">
        <x:v>-0.018357066</x:v>
      </x:c>
      <x:c r="X127" s="38" t="n">
        <x:v>-0.0089365822</x:v>
      </x:c>
      <x:c r="Y127" s="38" t="n">
        <x:v>0.0914166148</x:v>
      </x:c>
      <x:c r="Z127" s="38" t="n">
        <x:v>0.0626210874</x:v>
      </x:c>
      <x:c r="AA127" s="38" t="n">
        <x:v>0.034197248</x:v>
      </x:c>
      <x:c r="AB127" s="38" t="n">
        <x:v>-0.0094096014</x:v>
      </x:c>
      <x:c r="AC127" s="38" t="n">
        <x:v>-0.076972317</x:v>
      </x:c>
      <x:c r="AD127" s="38" t="n">
        <x:v>0.0058910193</x:v>
      </x:c>
      <x:c r="AE127" s="38" t="n">
        <x:v>0.0512916356</x:v>
      </x:c>
      <x:c r="AF127" s="38" t="n">
        <x:v>0.0108158397</x:v>
      </x:c>
      <x:c r="AG127" s="38" t="n">
        <x:v>-0.0827103554</x:v>
      </x:c>
      <x:c r="AH127" s="38" t="n">
        <x:v>-0.0295584818</x:v>
      </x:c>
      <x:c r="AI127" s="38" t="n">
        <x:v>-0.0370971113</x:v>
      </x:c>
      <x:c r="AJ127" s="38" t="n">
        <x:v>0.050505083</x:v>
      </x:c>
      <x:c r="AK127" s="38" t="n">
        <x:v>0.0371163216</x:v>
      </x:c>
      <x:c r="AL127" s="38" t="n">
        <x:v>0.0195218934</x:v>
      </x:c>
      <x:c r="AM127" s="38" t="n">
        <x:v>0.0411891841</x:v>
      </x:c>
      <x:c r="AN127" s="38" t="n">
        <x:v>0.0727797891</x:v>
      </x:c>
      <x:c r="AO127" s="38" t="n">
        <x:v>0.0219301287</x:v>
      </x:c>
      <x:c r="AP127" s="38" t="n">
        <x:v>-0.0116682049</x:v>
      </x:c>
      <x:c r="AQ127" s="38" t="n">
        <x:v>-0.0414261842</x:v>
      </x:c>
      <x:c r="AR127" s="38" t="n">
        <x:v>-0.0570945169</x:v>
      </x:c>
      <x:c r="AS127" s="38" t="n">
        <x:v>0.0411724834</x:v>
      </x:c>
    </x:row>
    <x:row r="128" ht="19" customHeight="1">
      <x:c r="A128" s="29" t="str">
        <x:v>Home FX</x:v>
      </x:c>
      <x:c r="B128" s="39" t="d">
        <x:v>2023-10-09T00:00:00.000Z</x:v>
      </x:c>
      <x:c r="C128" s="38" t="n">
        <x:v>-0.0326184849</x:v>
      </x:c>
      <x:c r="D128" s="38" t="n">
        <x:v>0.1011123187</x:v>
      </x:c>
      <x:c r="E128" s="38" t="n">
        <x:v>-0.0708998808</x:v>
      </x:c>
      <x:c r="F128" s="38" t="n">
        <x:v>-0.0496828386</x:v>
      </x:c>
      <x:c r="G128" s="38" t="n">
        <x:v>-0.0142299478</x:v>
      </x:c>
      <x:c r="H128" s="38" t="n">
        <x:v>-0.0697565011</x:v>
      </x:c>
      <x:c r="I128" s="38" t="n">
        <x:v>-0.0771676747</x:v>
      </x:c>
      <x:c r="J128" s="38" t="n">
        <x:v>-0.1639957788</x:v>
      </x:c>
      <x:c r="K128" s="38" t="n">
        <x:v>0.0522850664</x:v>
      </x:c>
      <x:c r="L128" s="38" t="n">
        <x:v>-0.1286773126</x:v>
      </x:c>
      <x:c r="M128" s="38" t="n">
        <x:v>0.0289036437</x:v>
      </x:c>
      <x:c r="N128" s="38" t="n">
        <x:v>-0.0567512486</x:v>
      </x:c>
      <x:c r="O128" s="38" t="n">
        <x:v>-0.0275846409</x:v>
      </x:c>
      <x:c r="P128" s="38" t="n">
        <x:v>0.0462387485</x:v>
      </x:c>
      <x:c r="Q128" s="38" t="n">
        <x:v>-0.0908863379</x:v>
      </x:c>
      <x:c r="R128" s="38" t="n">
        <x:v>-0.057420648</x:v>
      </x:c>
      <x:c r="S128" s="38" t="n">
        <x:v>0.0579510634</x:v>
      </x:c>
      <x:c r="T128" s="38" t="n">
        <x:v>-0.0253841025</x:v>
      </x:c>
      <x:c r="U128" s="38" t="n">
        <x:v>-0.1507213991</x:v>
      </x:c>
      <x:c r="V128" s="38" t="n">
        <x:v>0.0429949253</x:v>
      </x:c>
      <x:c r="W128" s="38" t="n">
        <x:v>-0.1078818936</x:v>
      </x:c>
      <x:c r="X128" s="38" t="n">
        <x:v>-0.0273140221</x:v>
      </x:c>
      <x:c r="Y128" s="38" t="n">
        <x:v>-0.0078312335</x:v>
      </x:c>
      <x:c r="Z128" s="38" t="n">
        <x:v>-0.0221838679</x:v>
      </x:c>
      <x:c r="AA128" s="38" t="n">
        <x:v>0.1093214261</x:v>
      </x:c>
      <x:c r="AB128" s="38" t="n">
        <x:v>-0.00480661</x:v>
      </x:c>
      <x:c r="AC128" s="38" t="n">
        <x:v>-0.0869756367</x:v>
      </x:c>
      <x:c r="AD128" s="38" t="n">
        <x:v>-0.057906758</x:v>
      </x:c>
      <x:c r="AE128" s="38" t="n">
        <x:v>-0.064425687</x:v>
      </x:c>
      <x:c r="AF128" s="38" t="n">
        <x:v>-0.0345750715</x:v>
      </x:c>
      <x:c r="AG128" s="38" t="n">
        <x:v>-0.1161817684</x:v>
      </x:c>
      <x:c r="AH128" s="38" t="n">
        <x:v>0.0593803543</x:v>
      </x:c>
      <x:c r="AI128" s="38" t="n">
        <x:v>0.0342623804</x:v>
      </x:c>
      <x:c r="AJ128" s="38" t="n">
        <x:v>0.0556638512</x:v>
      </x:c>
      <x:c r="AK128" s="38" t="n">
        <x:v>0.0090455279</x:v>
      </x:c>
      <x:c r="AL128" s="38" t="n">
        <x:v>-0.1233661523</x:v>
      </x:c>
      <x:c r="AM128" s="38" t="n">
        <x:v>-0.0074396328</x:v>
      </x:c>
      <x:c r="AN128" s="38" t="n">
        <x:v>-0.0002862273</x:v>
      </x:c>
      <x:c r="AO128" s="38" t="n">
        <x:v>0.0183433833</x:v>
      </x:c>
      <x:c r="AP128" s="38" t="n">
        <x:v>-0.0945659267</x:v>
      </x:c>
      <x:c r="AQ128" s="38" t="n">
        <x:v>-0.0896385268</x:v>
      </x:c>
      <x:c r="AR128" s="38" t="n">
        <x:v>-0.0284123986</x:v>
      </x:c>
      <x:c r="AS128" s="38" t="n">
        <x:v>-0.0628074259</x:v>
      </x:c>
    </x:row>
    <x:row r="129" ht="19" customHeight="1">
      <x:c r="A129" s="29" t="str">
        <x:v>Home FX</x:v>
      </x:c>
      <x:c r="B129" s="39" t="d">
        <x:v>2023-11-06T00:00:00.000Z</x:v>
      </x:c>
      <x:c r="C129" s="38" t="n">
        <x:v>0.0856909679</x:v>
      </x:c>
      <x:c r="D129" s="38" t="n">
        <x:v>-0.1864083294</x:v>
      </x:c>
      <x:c r="E129" s="38" t="n">
        <x:v>0.0536164057</x:v>
      </x:c>
      <x:c r="F129" s="38" t="n">
        <x:v>0.0320864805</x:v>
      </x:c>
      <x:c r="G129" s="38" t="n">
        <x:v>0.0452847104</x:v>
      </x:c>
      <x:c r="H129" s="38" t="n">
        <x:v>0.1737053401</x:v>
      </x:c>
      <x:c r="I129" s="38" t="n">
        <x:v>0.1005229834</x:v>
      </x:c>
      <x:c r="J129" s="38" t="n">
        <x:v>0.1663243193</x:v>
      </x:c>
      <x:c r="K129" s="38" t="n">
        <x:v>-0.0179945271</x:v>
      </x:c>
      <x:c r="L129" s="38" t="n">
        <x:v>-0.0270965872</x:v>
      </x:c>
      <x:c r="M129" s="38" t="n">
        <x:v>-0.0610191961</x:v>
      </x:c>
      <x:c r="N129" s="38" t="n">
        <x:v>-0.1146331655</x:v>
      </x:c>
      <x:c r="O129" s="38" t="n">
        <x:v>0.101418101</x:v>
      </x:c>
      <x:c r="P129" s="38" t="n">
        <x:v>-0.015387983</x:v>
      </x:c>
      <x:c r="Q129" s="38" t="n">
        <x:v>-0.0591629338</x:v>
      </x:c>
      <x:c r="R129" s="38" t="n">
        <x:v>0.0936708238</x:v>
      </x:c>
      <x:c r="S129" s="38" t="n">
        <x:v>-0.0103690052</x:v>
      </x:c>
      <x:c r="T129" s="38" t="n">
        <x:v>0.0308146613</x:v>
      </x:c>
      <x:c r="U129" s="38" t="n">
        <x:v>-0.3377651946</x:v>
      </x:c>
      <x:c r="V129" s="38" t="n">
        <x:v>0.0115479268</x:v>
      </x:c>
      <x:c r="W129" s="38" t="n">
        <x:v>0.2283542972</x:v>
      </x:c>
      <x:c r="X129" s="38" t="n">
        <x:v>-0.044200441</x:v>
      </x:c>
      <x:c r="Y129" s="38" t="n">
        <x:v>0.0848675662</x:v>
      </x:c>
      <x:c r="Z129" s="38" t="n">
        <x:v>-0.1418602926</x:v>
      </x:c>
      <x:c r="AA129" s="38" t="n">
        <x:v>0.0343989553</x:v>
      </x:c>
      <x:c r="AB129" s="38" t="n">
        <x:v>-0.1303292213</x:v>
      </x:c>
      <x:c r="AC129" s="38" t="n">
        <x:v>-0.2615147224</x:v>
      </x:c>
      <x:c r="AD129" s="38" t="n">
        <x:v>0.0515296508</x:v>
      </x:c>
      <x:c r="AE129" s="38" t="n">
        <x:v>-0.1644773465</x:v>
      </x:c>
      <x:c r="AF129" s="38" t="n">
        <x:v>-0.0319626099</x:v>
      </x:c>
      <x:c r="AG129" s="38" t="n">
        <x:v>0.0613655449</x:v>
      </x:c>
      <x:c r="AH129" s="38" t="n">
        <x:v>0.0223607943</x:v>
      </x:c>
      <x:c r="AI129" s="38" t="n">
        <x:v>0.1204806711</x:v>
      </x:c>
      <x:c r="AJ129" s="38" t="n">
        <x:v>-0.0189819033</x:v>
      </x:c>
      <x:c r="AK129" s="38" t="n">
        <x:v>0.0096704075</x:v>
      </x:c>
      <x:c r="AL129" s="38" t="n">
        <x:v>-0.0203801013</x:v>
      </x:c>
      <x:c r="AM129" s="38" t="n">
        <x:v>0.1200472748</x:v>
      </x:c>
      <x:c r="AN129" s="38" t="n">
        <x:v>-0.0352341776</x:v>
      </x:c>
      <x:c r="AO129" s="38" t="n">
        <x:v>0.0197451655</x:v>
      </x:c>
      <x:c r="AP129" s="38" t="n">
        <x:v>-0.0011274576</x:v>
      </x:c>
      <x:c r="AQ129" s="38" t="n">
        <x:v>0.0696961974</x:v>
      </x:c>
      <x:c r="AR129" s="38" t="n">
        <x:v>-0.0629624557</x:v>
      </x:c>
      <x:c r="AS129" s="38" t="n">
        <x:v>0.0156779105</x:v>
      </x:c>
    </x:row>
    <x:row r="130" ht="19" customHeight="1">
      <x:c r="A130" s="29" t="str">
        <x:v>Home FX</x:v>
      </x:c>
      <x:c r="B130" s="39" t="d">
        <x:v>2023-12-04T00:00:00.000Z</x:v>
      </x:c>
      <x:c r="C130" s="38" t="n">
        <x:v>0.070224845</x:v>
      </x:c>
      <x:c r="D130" s="38" t="n">
        <x:v>0.0914824203</x:v>
      </x:c>
      <x:c r="E130" s="38" t="n">
        <x:v>0.024933994</x:v>
      </x:c>
      <x:c r="F130" s="38" t="n">
        <x:v>0.0668856684</x:v>
      </x:c>
      <x:c r="G130" s="38" t="n">
        <x:v>0.0541074118</x:v>
      </x:c>
      <x:c r="H130" s="38" t="n">
        <x:v>0.0567227253</x:v>
      </x:c>
      <x:c r="I130" s="38" t="n">
        <x:v>0.0268259675</x:v>
      </x:c>
      <x:c r="J130" s="38" t="n">
        <x:v>0.034792373</x:v>
      </x:c>
      <x:c r="K130" s="38" t="n">
        <x:v>0.003035553</x:v>
      </x:c>
      <x:c r="L130" s="38" t="n">
        <x:v>0.0087493159</x:v>
      </x:c>
      <x:c r="M130" s="38" t="n">
        <x:v>-0.0334029035</x:v>
      </x:c>
      <x:c r="N130" s="38" t="n">
        <x:v>-0.0168571882</x:v>
      </x:c>
      <x:c r="O130" s="38" t="n">
        <x:v>-0.0169317414</x:v>
      </x:c>
      <x:c r="P130" s="38" t="n">
        <x:v>0.0622990134</x:v>
      </x:c>
      <x:c r="Q130" s="38" t="n">
        <x:v>0.1618582003</x:v>
      </x:c>
      <x:c r="R130" s="38" t="n">
        <x:v>0.2110629806</x:v>
      </x:c>
      <x:c r="S130" s="38" t="n">
        <x:v>-0.0206907894</x:v>
      </x:c>
      <x:c r="T130" s="38" t="n">
        <x:v>0.2084113561</x:v>
      </x:c>
      <x:c r="U130" s="38" t="n">
        <x:v>0.1383220499</x:v>
      </x:c>
      <x:c r="V130" s="38" t="n">
        <x:v>0.0821189608</x:v>
      </x:c>
      <x:c r="W130" s="38" t="n">
        <x:v>0.0146331005</x:v>
      </x:c>
      <x:c r="X130" s="38" t="n">
        <x:v>0.0045732543</x:v>
      </x:c>
      <x:c r="Y130" s="38" t="n">
        <x:v>-0.005380956</x:v>
      </x:c>
      <x:c r="Z130" s="38" t="n">
        <x:v>0.1448778465</x:v>
      </x:c>
      <x:c r="AA130" s="38" t="n">
        <x:v>0.0049049774</x:v>
      </x:c>
      <x:c r="AB130" s="38" t="n">
        <x:v>0.0112340478</x:v>
      </x:c>
      <x:c r="AC130" s="38" t="n">
        <x:v>0.5767480157</x:v>
      </x:c>
      <x:c r="AD130" s="38" t="n">
        <x:v>-0.0426906692</x:v>
      </x:c>
      <x:c r="AE130" s="38" t="n">
        <x:v>0.1115375963</x:v>
      </x:c>
      <x:c r="AF130" s="38" t="n">
        <x:v>0.0163381312</x:v>
      </x:c>
      <x:c r="AG130" s="38" t="n">
        <x:v>0.2210246543</x:v>
      </x:c>
      <x:c r="AH130" s="38" t="n">
        <x:v>0.0774630249</x:v>
      </x:c>
      <x:c r="AI130" s="38" t="n">
        <x:v>0.0844433954</x:v>
      </x:c>
      <x:c r="AJ130" s="38" t="n">
        <x:v>0.0024410136</x:v>
      </x:c>
      <x:c r="AK130" s="38" t="n">
        <x:v>0.0274552923</x:v>
      </x:c>
      <x:c r="AL130" s="38" t="n">
        <x:v>-0.1138822168</x:v>
      </x:c>
      <x:c r="AM130" s="38" t="n">
        <x:v>0.0144455233</x:v>
      </x:c>
      <x:c r="AN130" s="38" t="n">
        <x:v>0.0181374178</x:v>
      </x:c>
      <x:c r="AO130" s="38" t="n">
        <x:v>0.057313608</x:v>
      </x:c>
      <x:c r="AP130" s="38" t="n">
        <x:v>0.1210049706</x:v>
      </x:c>
      <x:c r="AQ130" s="38" t="n">
        <x:v>0.0411596164</x:v>
      </x:c>
      <x:c r="AR130" s="38" t="n">
        <x:v>0.0561343948</x:v>
      </x:c>
      <x:c r="AS130" s="38" t="n">
        <x:v>0.0072419525</x:v>
      </x:c>
    </x:row>
    <x:row r="131" ht="19" customHeight="1">
      <x:c r="A131" s="29" t="str">
        <x:v>Home FX</x:v>
      </x:c>
      <x:c r="B131" s="39" t="d">
        <x:v>2024-01-01T00:00:00.000Z</x:v>
      </x:c>
      <x:c r="C131" s="38" t="n">
        <x:v>0.0500542537</x:v>
      </x:c>
      <x:c r="D131" s="38" t="n">
        <x:v>-0.0586160765</x:v>
      </x:c>
      <x:c r="E131" s="38" t="n">
        <x:v>0.0555089208</x:v>
      </x:c>
      <x:c r="F131" s="38" t="n">
        <x:v>0.0192192332</x:v>
      </x:c>
      <x:c r="G131" s="38" t="n">
        <x:v>-0.0214334245</x:v>
      </x:c>
      <x:c r="H131" s="38" t="n">
        <x:v>-0.0138772159</x:v>
      </x:c>
      <x:c r="I131" s="38" t="n">
        <x:v>-0.0152766615</x:v>
      </x:c>
      <x:c r="J131" s="38" t="n">
        <x:v>0.0098888076</x:v>
      </x:c>
      <x:c r="K131" s="38" t="n">
        <x:v>-0.0733330609</x:v>
      </x:c>
      <x:c r="L131" s="38" t="n">
        <x:v>0.051008153</x:v>
      </x:c>
      <x:c r="M131" s="38" t="n">
        <x:v>0.0595779647</x:v>
      </x:c>
      <x:c r="N131" s="38" t="n">
        <x:v>-0.0117519926</x:v>
      </x:c>
      <x:c r="O131" s="38" t="n">
        <x:v>0.1007821487</x:v>
      </x:c>
      <x:c r="P131" s="38" t="n">
        <x:v>0.045879326</x:v>
      </x:c>
      <x:c r="Q131" s="38" t="n">
        <x:v>0.1674466485</x:v>
      </x:c>
      <x:c r="R131" s="38" t="n">
        <x:v>0.1327055378</x:v>
      </x:c>
      <x:c r="S131" s="38" t="n">
        <x:v>-0.0366974994</x:v>
      </x:c>
      <x:c r="T131" s="38" t="n">
        <x:v>-0.0165349462</x:v>
      </x:c>
      <x:c r="U131" s="38" t="n">
        <x:v>0.3328408895</x:v>
      </x:c>
      <x:c r="V131" s="38" t="n">
        <x:v>0.0334159889</x:v>
      </x:c>
      <x:c r="W131" s="38" t="n">
        <x:v>0.0448776528</x:v>
      </x:c>
      <x:c r="X131" s="38" t="n">
        <x:v>0.0294475337</x:v>
      </x:c>
      <x:c r="Y131" s="38" t="n">
        <x:v>0.1113915724</x:v>
      </x:c>
      <x:c r="Z131" s="38" t="n">
        <x:v>0.0325391108</x:v>
      </x:c>
      <x:c r="AA131" s="38" t="n">
        <x:v>0.0097517463</x:v>
      </x:c>
      <x:c r="AB131" s="38" t="n">
        <x:v>-0.1074087647</x:v>
      </x:c>
      <x:c r="AC131" s="38" t="n">
        <x:v>-0.1076676749</x:v>
      </x:c>
      <x:c r="AD131" s="38" t="n">
        <x:v>0.015912244</x:v>
      </x:c>
      <x:c r="AE131" s="38" t="n">
        <x:v>0.0753922783</x:v>
      </x:c>
      <x:c r="AF131" s="38" t="n">
        <x:v>0.0663978833</x:v>
      </x:c>
      <x:c r="AG131" s="38" t="n">
        <x:v>0.0178626292</x:v>
      </x:c>
      <x:c r="AH131" s="38" t="n">
        <x:v>0.0230392192</x:v>
      </x:c>
      <x:c r="AI131" s="38" t="n">
        <x:v>0.0740919731</x:v>
      </x:c>
      <x:c r="AJ131" s="38" t="n">
        <x:v>0.0345602786</x:v>
      </x:c>
      <x:c r="AK131" s="38" t="n">
        <x:v>0.0093091659</x:v>
      </x:c>
      <x:c r="AL131" s="38" t="n">
        <x:v>0.0564098101</x:v>
      </x:c>
      <x:c r="AM131" s="38" t="n">
        <x:v>-0.0179110895</x:v>
      </x:c>
      <x:c r="AN131" s="38" t="n">
        <x:v>0.0056056714</x:v>
      </x:c>
      <x:c r="AO131" s="38" t="n">
        <x:v>0.0963116802</x:v>
      </x:c>
      <x:c r="AP131" s="38" t="n">
        <x:v>0.0504684391</x:v>
      </x:c>
      <x:c r="AQ131" s="38" t="n">
        <x:v>0.0183794135</x:v>
      </x:c>
      <x:c r="AR131" s="38" t="n">
        <x:v>0.0436164418</x:v>
      </x:c>
      <x:c r="AS131" s="38" t="n">
        <x:v>0.0357026766</x:v>
      </x:c>
    </x:row>
    <x:row r="132" ht="19" customHeight="1">
      <x:c r="A132" s="29" t="str">
        <x:v>Home FX</x:v>
      </x:c>
      <x:c r="B132" s="39" t="d">
        <x:v>2024-01-29T00:00:00.000Z</x:v>
      </x:c>
      <x:c r="C132" s="38" t="n">
        <x:v>0.1493598033</x:v>
      </x:c>
      <x:c r="D132" s="38" t="n">
        <x:v>0.047545952</x:v>
      </x:c>
      <x:c r="E132" s="38" t="n">
        <x:v>-0.0695704987</x:v>
      </x:c>
      <x:c r="F132" s="38" t="n">
        <x:v>-0.0340705619</x:v>
      </x:c>
      <x:c r="G132" s="38" t="n">
        <x:v>0.0689401822</x:v>
      </x:c>
      <x:c r="H132" s="38" t="n">
        <x:v>0.1195123765</x:v>
      </x:c>
      <x:c r="I132" s="38" t="n">
        <x:v>0.1747170598</x:v>
      </x:c>
      <x:c r="J132" s="38" t="n">
        <x:v>0.1727592495</x:v>
      </x:c>
      <x:c r="K132" s="38" t="n">
        <x:v>0.0828192856</x:v>
      </x:c>
      <x:c r="L132" s="38" t="n">
        <x:v>0.076878274</x:v>
      </x:c>
      <x:c r="M132" s="38" t="n">
        <x:v>-0.0609674662</x:v>
      </x:c>
      <x:c r="N132" s="38" t="n">
        <x:v>-0.0847366426</x:v>
      </x:c>
      <x:c r="O132" s="38" t="n">
        <x:v>-0.0102151968</x:v>
      </x:c>
      <x:c r="P132" s="38" t="n">
        <x:v>0.1561784271</x:v>
      </x:c>
      <x:c r="Q132" s="38" t="n">
        <x:v>0.0781732764</x:v>
      </x:c>
      <x:c r="R132" s="38" t="n">
        <x:v>0.0117049793</x:v>
      </x:c>
      <x:c r="S132" s="38" t="n">
        <x:v>0.0377336791</x:v>
      </x:c>
      <x:c r="T132" s="38" t="n">
        <x:v>0.0834100349</x:v>
      </x:c>
      <x:c r="U132" s="38" t="n">
        <x:v>-0.1359850821</x:v>
      </x:c>
      <x:c r="V132" s="38" t="n">
        <x:v>0.053047538</x:v>
      </x:c>
      <x:c r="W132" s="38" t="n">
        <x:v>0.1818438844</x:v>
      </x:c>
      <x:c r="X132" s="38" t="n">
        <x:v>0.0483905239</x:v>
      </x:c>
      <x:c r="Y132" s="38" t="n">
        <x:v>0.0370914546</x:v>
      </x:c>
      <x:c r="Z132" s="38" t="n">
        <x:v>-0.1653516673</x:v>
      </x:c>
      <x:c r="AA132" s="38" t="n">
        <x:v>0.1142191277</x:v>
      </x:c>
      <x:c r="AB132" s="38" t="n">
        <x:v>-0.0063997834</x:v>
      </x:c>
      <x:c r="AC132" s="38" t="n">
        <x:v>-0.0170336255</x:v>
      </x:c>
      <x:c r="AD132" s="38" t="n">
        <x:v>0.0792193342</x:v>
      </x:c>
      <x:c r="AE132" s="38" t="n">
        <x:v>0.0251446143</x:v>
      </x:c>
      <x:c r="AF132" s="38" t="n">
        <x:v>-0.1124698408</x:v>
      </x:c>
      <x:c r="AG132" s="38" t="n">
        <x:v>-0.1802294067</x:v>
      </x:c>
      <x:c r="AH132" s="38" t="n">
        <x:v>0.0638957211</x:v>
      </x:c>
      <x:c r="AI132" s="38" t="n">
        <x:v>0.2583539626</x:v>
      </x:c>
      <x:c r="AJ132" s="38" t="n">
        <x:v>0.0794396391</x:v>
      </x:c>
      <x:c r="AK132" s="38" t="n">
        <x:v>-0.0069547531</x:v>
      </x:c>
      <x:c r="AL132" s="38" t="n">
        <x:v>0.0290113156</x:v>
      </x:c>
      <x:c r="AM132" s="38" t="n">
        <x:v>0.1161909925</x:v>
      </x:c>
      <x:c r="AN132" s="38" t="n">
        <x:v>0.0497440726</x:v>
      </x:c>
      <x:c r="AO132" s="38" t="n">
        <x:v>0.083015994</x:v>
      </x:c>
      <x:c r="AP132" s="38" t="n">
        <x:v>0.0424559912</x:v>
      </x:c>
      <x:c r="AQ132" s="38" t="n">
        <x:v>0.0150535744</x:v>
      </x:c>
      <x:c r="AR132" s="38" t="n">
        <x:v>-0.0295901973</x:v>
      </x:c>
      <x:c r="AS132" s="38" t="n">
        <x:v>0.0692158813</x:v>
      </x:c>
    </x:row>
    <x:row r="133" ht="19" customHeight="1">
      <x:c r="A133" s="29" t="str">
        <x:v>Home FX</x:v>
      </x:c>
      <x:c r="B133" s="39" t="d">
        <x:v>2024-02-26T00:00:00.000Z</x:v>
      </x:c>
      <x:c r="C133" s="38" t="n">
        <x:v>0.2126232411</x:v>
      </x:c>
      <x:c r="D133" s="38" t="n">
        <x:v>0.1247413643</x:v>
      </x:c>
      <x:c r="E133" s="38" t="n">
        <x:v>0.0941091895</x:v>
      </x:c>
      <x:c r="F133" s="38" t="n">
        <x:v>0.010878826</x:v>
      </x:c>
      <x:c r="G133" s="38" t="n">
        <x:v>0.1497751613</x:v>
      </x:c>
      <x:c r="H133" s="38" t="n">
        <x:v>0.0842842725</x:v>
      </x:c>
      <x:c r="I133" s="38" t="n">
        <x:v>0.038634607</x:v>
      </x:c>
      <x:c r="J133" s="38" t="n">
        <x:v>0.323898729</x:v>
      </x:c>
      <x:c r="K133" s="38" t="n">
        <x:v>0.0649948668</x:v>
      </x:c>
      <x:c r="L133" s="38" t="n">
        <x:v>0.0407493017</x:v>
      </x:c>
      <x:c r="M133" s="38" t="n">
        <x:v>0.0862345196</x:v>
      </x:c>
      <x:c r="N133" s="38" t="n">
        <x:v>0.0285352517</x:v>
      </x:c>
      <x:c r="O133" s="38" t="n">
        <x:v>-0.0907818911</x:v>
      </x:c>
      <x:c r="P133" s="38" t="n">
        <x:v>0.105855349</x:v>
      </x:c>
      <x:c r="Q133" s="38" t="n">
        <x:v>0.0773541723</x:v>
      </x:c>
      <x:c r="R133" s="38" t="n">
        <x:v>0.0757164763</x:v>
      </x:c>
      <x:c r="S133" s="38" t="n">
        <x:v>0.0627438087</x:v>
      </x:c>
      <x:c r="T133" s="38" t="n">
        <x:v>0.2001419728</x:v>
      </x:c>
      <x:c r="U133" s="38" t="n">
        <x:v>-0.0267314408</x:v>
      </x:c>
      <x:c r="V133" s="38" t="n">
        <x:v>0.2121625224</x:v>
      </x:c>
      <x:c r="W133" s="38" t="n">
        <x:v>0.0975274728</x:v>
      </x:c>
      <x:c r="X133" s="38" t="n">
        <x:v>-0.0549757039</x:v>
      </x:c>
      <x:c r="Y133" s="38" t="n">
        <x:v>0.1007710592</x:v>
      </x:c>
      <x:c r="Z133" s="38" t="n">
        <x:v>-0.078565411</x:v>
      </x:c>
      <x:c r="AA133" s="38" t="n">
        <x:v>0.0408758442</x:v>
      </x:c>
      <x:c r="AB133" s="38" t="n">
        <x:v>0.0320614389</x:v>
      </x:c>
      <x:c r="AC133" s="38" t="n">
        <x:v>-0.2289268521</x:v>
      </x:c>
      <x:c r="AD133" s="38" t="n">
        <x:v>0.0050585847</x:v>
      </x:c>
      <x:c r="AE133" s="38" t="n">
        <x:v>0.0546775343</x:v>
      </x:c>
      <x:c r="AF133" s="38" t="n">
        <x:v>0.010217095</x:v>
      </x:c>
      <x:c r="AG133" s="38" t="n">
        <x:v>-0.0483423088</x:v>
      </x:c>
      <x:c r="AH133" s="38" t="n">
        <x:v>0.0949253071</x:v>
      </x:c>
      <x:c r="AI133" s="38" t="n">
        <x:v>0.1387607775</x:v>
      </x:c>
      <x:c r="AJ133" s="38" t="n">
        <x:v>0.168753042</x:v>
      </x:c>
      <x:c r="AK133" s="38" t="n">
        <x:v>0.0627953708</x:v>
      </x:c>
      <x:c r="AL133" s="38" t="n">
        <x:v>-0.0163750775</x:v>
      </x:c>
      <x:c r="AM133" s="38" t="n">
        <x:v>0.0128696385</x:v>
      </x:c>
      <x:c r="AN133" s="38" t="n">
        <x:v>-0.0395497159</x:v>
      </x:c>
      <x:c r="AO133" s="38" t="n">
        <x:v>0.0577932485</x:v>
      </x:c>
      <x:c r="AP133" s="38" t="n">
        <x:v>0.0774536267</x:v>
      </x:c>
      <x:c r="AQ133" s="38" t="n">
        <x:v>-0.0177447593</x:v>
      </x:c>
      <x:c r="AR133" s="38" t="n">
        <x:v>0.0444488204</x:v>
      </x:c>
      <x:c r="AS133" s="38" t="n">
        <x:v>0.0432605499</x:v>
      </x:c>
    </x:row>
    <x:row r="134" ht="19" customHeight="1">
      <x:c r="A134" s="29" t="str">
        <x:v>Home FX</x:v>
      </x:c>
      <x:c r="B134" s="39" t="d">
        <x:v>2024-03-25T00:00:00.000Z</x:v>
      </x:c>
      <x:c r="C134" s="38" t="n">
        <x:v>0.2660690986</x:v>
      </x:c>
      <x:c r="D134" s="38" t="n">
        <x:v>0.0662084572</x:v>
      </x:c>
      <x:c r="E134" s="38" t="n">
        <x:v>0.0138807898</x:v>
      </x:c>
      <x:c r="F134" s="38" t="n">
        <x:v>0.0540811076</x:v>
      </x:c>
      <x:c r="G134" s="38" t="n">
        <x:v>0.0951137921</x:v>
      </x:c>
      <x:c r="H134" s="38" t="n">
        <x:v>0.0833895269</x:v>
      </x:c>
      <x:c r="I134" s="38" t="n">
        <x:v>0.0128868705</x:v>
      </x:c>
      <x:c r="J134" s="38" t="n">
        <x:v>0.0119544127</x:v>
      </x:c>
      <x:c r="K134" s="38" t="n">
        <x:v>-0.0716655599</x:v>
      </x:c>
      <x:c r="L134" s="38" t="n">
        <x:v>0.1872518943</x:v>
      </x:c>
      <x:c r="M134" s="38" t="n">
        <x:v>0.0091668954</x:v>
      </x:c>
      <x:c r="N134" s="38" t="n">
        <x:v>0.0546758909</x:v>
      </x:c>
      <x:c r="O134" s="38" t="n">
        <x:v>-0.0255134646</x:v>
      </x:c>
      <x:c r="P134" s="38" t="n">
        <x:v>0.063617344</x:v>
      </x:c>
      <x:c r="Q134" s="38" t="n">
        <x:v>-0.0155213646</x:v>
      </x:c>
      <x:c r="R134" s="38" t="n">
        <x:v>-0.0061462317</x:v>
      </x:c>
      <x:c r="S134" s="38" t="n">
        <x:v>-0.0136878189</x:v>
      </x:c>
      <x:c r="T134" s="38" t="n">
        <x:v>-0.0336029149</x:v>
      </x:c>
      <x:c r="U134" s="38" t="n">
        <x:v>0.1221613692</x:v>
      </x:c>
      <x:c r="V134" s="38" t="n">
        <x:v>-0.0046736926</x:v>
      </x:c>
      <x:c r="W134" s="38" t="n">
        <x:v>-0.0209471941</x:v>
      </x:c>
      <x:c r="X134" s="38" t="n">
        <x:v>0.0136591512</x:v>
      </x:c>
      <x:c r="Y134" s="38" t="n">
        <x:v>0.2302692484</x:v>
      </x:c>
      <x:c r="Z134" s="38" t="n">
        <x:v>0.131642665</x:v>
      </x:c>
      <x:c r="AA134" s="38" t="n">
        <x:v>0.1030258522</x:v>
      </x:c>
      <x:c r="AB134" s="38" t="n">
        <x:v>0.0561494855</x:v>
      </x:c>
      <x:c r="AC134" s="38" t="n">
        <x:v>0.0229190178</x:v>
      </x:c>
      <x:c r="AD134" s="38" t="n">
        <x:v>0.0226543714</x:v>
      </x:c>
      <x:c r="AE134" s="38" t="n">
        <x:v>0.0690379267</x:v>
      </x:c>
      <x:c r="AF134" s="38" t="n">
        <x:v>0.1474532937</x:v>
      </x:c>
      <x:c r="AG134" s="38" t="n">
        <x:v>-0.0381663174</x:v>
      </x:c>
      <x:c r="AH134" s="38" t="n">
        <x:v>-0.0036273133</x:v>
      </x:c>
      <x:c r="AI134" s="38" t="n">
        <x:v>-0.1238254811</x:v>
      </x:c>
      <x:c r="AJ134" s="38" t="n">
        <x:v>-0.0057047625</x:v>
      </x:c>
      <x:c r="AK134" s="38" t="n">
        <x:v>0.0082745514</x:v>
      </x:c>
      <x:c r="AL134" s="38" t="n">
        <x:v>-0.0219258021</x:v>
      </x:c>
      <x:c r="AM134" s="38" t="n">
        <x:v>0.013355194</x:v>
      </x:c>
      <x:c r="AN134" s="38" t="n">
        <x:v>0.1024935222</x:v>
      </x:c>
      <x:c r="AO134" s="38" t="n">
        <x:v>-0.0242668657</x:v>
      </x:c>
      <x:c r="AP134" s="38" t="n">
        <x:v>0.0040111787</x:v>
      </x:c>
      <x:c r="AQ134" s="38" t="n">
        <x:v>0.0377681372</x:v>
      </x:c>
      <x:c r="AR134" s="38" t="n">
        <x:v>-0.0262506287</x:v>
      </x:c>
      <x:c r="AS134" s="38" t="n">
        <x:v>0.034667994</x:v>
      </x:c>
    </x:row>
    <x:row r="135" ht="19" customHeight="1">
      <x:c r="A135" s="29" t="str">
        <x:v>Home FX</x:v>
      </x:c>
      <x:c r="B135" s="39" t="d">
        <x:v>2024-04-22T00:00:00.000Z</x:v>
      </x:c>
      <x:c r="C135" s="38" t="n">
        <x:v>0.0464974329</x:v>
      </x:c>
      <x:c r="D135" s="38" t="n">
        <x:v>0.0108909073</x:v>
      </x:c>
      <x:c r="E135" s="38" t="n">
        <x:v>-0.0106364089</x:v>
      </x:c>
      <x:c r="F135" s="38" t="n">
        <x:v>0.0083854272</x:v>
      </x:c>
      <x:c r="G135" s="38" t="n">
        <x:v>-0.0889315117</x:v>
      </x:c>
      <x:c r="H135" s="38" t="n">
        <x:v>0.0998416355</x:v>
      </x:c>
      <x:c r="I135" s="38" t="n">
        <x:v>-0.0045807693</x:v>
      </x:c>
      <x:c r="J135" s="38" t="n">
        <x:v>-0.0550176325</x:v>
      </x:c>
      <x:c r="K135" s="38" t="n">
        <x:v>-0.0904730568</x:v>
      </x:c>
      <x:c r="L135" s="38" t="n">
        <x:v>-0.0315346227</x:v>
      </x:c>
      <x:c r="M135" s="38" t="n">
        <x:v>-0.0426811382</x:v>
      </x:c>
      <x:c r="N135" s="38" t="n">
        <x:v>-0.0288225298</x:v>
      </x:c>
      <x:c r="O135" s="38" t="n">
        <x:v>-0.0131729999</x:v>
      </x:c>
      <x:c r="P135" s="38" t="n">
        <x:v>0.048502243</x:v>
      </x:c>
      <x:c r="Q135" s="38" t="n">
        <x:v>-0.1187700071</x:v>
      </x:c>
      <x:c r="R135" s="38" t="n">
        <x:v>-0.1415451613</x:v>
      </x:c>
      <x:c r="S135" s="38" t="n">
        <x:v>-0.0221452522</x:v>
      </x:c>
      <x:c r="T135" s="38" t="n">
        <x:v>-0.103615242</x:v>
      </x:c>
      <x:c r="U135" s="38" t="n">
        <x:v>0.0142613148</x:v>
      </x:c>
      <x:c r="V135" s="38" t="n">
        <x:v>-0.0162447513</x:v>
      </x:c>
      <x:c r="W135" s="38" t="n">
        <x:v>-0.0856439151</x:v>
      </x:c>
      <x:c r="X135" s="38" t="n">
        <x:v>-0.1187677588</x:v>
      </x:c>
      <x:c r="Y135" s="38" t="n">
        <x:v>-0.0284376356</x:v>
      </x:c>
      <x:c r="Z135" s="38" t="n">
        <x:v>0.1907658647</x:v>
      </x:c>
      <x:c r="AA135" s="38" t="n">
        <x:v>0.0068455064</x:v>
      </x:c>
      <x:c r="AB135" s="38" t="n">
        <x:v>0.7703346173</x:v>
      </x:c>
      <x:c r="AC135" s="38" t="n">
        <x:v>-0.1480433739</x:v>
      </x:c>
      <x:c r="AD135" s="38" t="n">
        <x:v>0.0005445917</x:v>
      </x:c>
      <x:c r="AE135" s="38" t="n">
        <x:v>-0.0407873906</x:v>
      </x:c>
      <x:c r="AF135" s="38" t="n">
        <x:v>-0.0348193352</x:v>
      </x:c>
      <x:c r="AG135" s="38" t="n">
        <x:v>-0.1554971395</x:v>
      </x:c>
      <x:c r="AH135" s="38" t="n">
        <x:v>-0.0553601665</x:v>
      </x:c>
      <x:c r="AI135" s="38" t="n">
        <x:v>-0.1485071315</x:v>
      </x:c>
      <x:c r="AJ135" s="38" t="n">
        <x:v>-0.0638290467</x:v>
      </x:c>
      <x:c r="AK135" s="38" t="n">
        <x:v>0.0103996709</x:v>
      </x:c>
      <x:c r="AL135" s="38" t="n">
        <x:v>0.0324361188</x:v>
      </x:c>
      <x:c r="AM135" s="38" t="n">
        <x:v>-0.0377833523</x:v>
      </x:c>
      <x:c r="AN135" s="38" t="n">
        <x:v>0.1414578645</x:v>
      </x:c>
      <x:c r="AO135" s="38" t="n">
        <x:v>-0.0033811469</x:v>
      </x:c>
      <x:c r="AP135" s="38" t="n">
        <x:v>-0.1466802957</x:v>
      </x:c>
      <x:c r="AQ135" s="38" t="n">
        <x:v>0.0098852966</x:v>
      </x:c>
      <x:c r="AR135" s="38" t="n">
        <x:v>-0.0859588803</x:v>
      </x:c>
      <x:c r="AS135" s="38" t="n">
        <x:v>-0.0485941136</x:v>
      </x:c>
    </x:row>
    <x:row r="136" ht="19" customHeight="1">
      <x:c r="A136" s="29" t="str">
        <x:v>Home FX</x:v>
      </x:c>
      <x:c r="B136" s="39" t="d">
        <x:v>2024-05-20T00:00:00.000Z</x:v>
      </x:c>
      <x:c r="C136" s="38" t="n">
        <x:v>0.3736769925</x:v>
      </x:c>
      <x:c r="D136" s="38" t="n">
        <x:v>-0.0061003136</x:v>
      </x:c>
      <x:c r="E136" s="38" t="n">
        <x:v>0.0576081839</x:v>
      </x:c>
      <x:c r="F136" s="38" t="n">
        <x:v>0.038660798</x:v>
      </x:c>
      <x:c r="G136" s="38" t="n">
        <x:v>-0.1126479602</x:v>
      </x:c>
      <x:c r="H136" s="38" t="n">
        <x:v>-0.0122693343</x:v>
      </x:c>
      <x:c r="I136" s="38" t="n">
        <x:v>0.0069004483</x:v>
      </x:c>
      <x:c r="J136" s="38" t="n">
        <x:v>0.138840749</x:v>
      </x:c>
      <x:c r="K136" s="38" t="n">
        <x:v>0.0129535031</x:v>
      </x:c>
      <x:c r="L136" s="38" t="n">
        <x:v>-0.0226628078</x:v>
      </x:c>
      <x:c r="M136" s="38" t="n">
        <x:v>-0.0273578483</x:v>
      </x:c>
      <x:c r="N136" s="38" t="n">
        <x:v>0.102903509</x:v>
      </x:c>
      <x:c r="O136" s="38" t="n">
        <x:v>-0.018429839</x:v>
      </x:c>
      <x:c r="P136" s="38" t="n">
        <x:v>0.0519501237</x:v>
      </x:c>
      <x:c r="Q136" s="38" t="n">
        <x:v>-0.0668049854</x:v>
      </x:c>
      <x:c r="R136" s="38" t="n">
        <x:v>0.0846565247</x:v>
      </x:c>
      <x:c r="S136" s="38" t="n">
        <x:v>0.0205671709</x:v>
      </x:c>
      <x:c r="T136" s="38" t="n">
        <x:v>-0.1879557511</x:v>
      </x:c>
      <x:c r="U136" s="38" t="n">
        <x:v>0.477316092</x:v>
      </x:c>
      <x:c r="V136" s="38" t="n">
        <x:v>-0.0837873488</x:v>
      </x:c>
      <x:c r="W136" s="38" t="n">
        <x:v>0.1560556047</x:v>
      </x:c>
      <x:c r="X136" s="38" t="n">
        <x:v>-0.0008560548</x:v>
      </x:c>
      <x:c r="Y136" s="38" t="n">
        <x:v>0.1321071794</x:v>
      </x:c>
      <x:c r="Z136" s="38" t="n">
        <x:v>-0.0194842118</x:v>
      </x:c>
      <x:c r="AA136" s="38" t="n">
        <x:v>-0.0220102734</x:v>
      </x:c>
      <x:c r="AB136" s="38" t="n">
        <x:v>-0.0600029241</x:v>
      </x:c>
      <x:c r="AC136" s="38" t="n">
        <x:v>-0.0051712307</x:v>
      </x:c>
      <x:c r="AD136" s="38" t="n">
        <x:v>0.0272210292</x:v>
      </x:c>
      <x:c r="AE136" s="38" t="n">
        <x:v>-0.042294986</x:v>
      </x:c>
      <x:c r="AF136" s="38" t="n">
        <x:v>0.0767250558</x:v>
      </x:c>
      <x:c r="AG136" s="38" t="n">
        <x:v>0.0470151123</x:v>
      </x:c>
      <x:c r="AH136" s="38" t="n">
        <x:v>-0.0857700076</x:v>
      </x:c>
      <x:c r="AI136" s="38" t="n">
        <x:v>0.0609172445</x:v>
      </x:c>
      <x:c r="AJ136" s="38" t="n">
        <x:v>0.1075201435</x:v>
      </x:c>
      <x:c r="AK136" s="38" t="n">
        <x:v>0.0804302776</x:v>
      </x:c>
      <x:c r="AL136" s="38" t="n">
        <x:v>0.0351248575</x:v>
      </x:c>
      <x:c r="AM136" s="38" t="n">
        <x:v>0.0647182623</x:v>
      </x:c>
      <x:c r="AN136" s="38" t="n">
        <x:v>0.0192830449</x:v>
      </x:c>
      <x:c r="AO136" s="38" t="n">
        <x:v>0.1152906041</x:v>
      </x:c>
      <x:c r="AP136" s="38" t="n">
        <x:v>-0.0333022724</x:v>
      </x:c>
      <x:c r="AQ136" s="38" t="n">
        <x:v>0.0046238844</x:v>
      </x:c>
      <x:c r="AR136" s="38" t="n">
        <x:v>0.0150899549</x:v>
      </x:c>
      <x:c r="AS136" s="38" t="n">
        <x:v>0.0144351903</x:v>
      </x:c>
    </x:row>
    <x:row r="137" ht="19" customHeight="1">
      <x:c r="A137" s="29" t="str">
        <x:v>Home FX</x:v>
      </x:c>
      <x:c r="B137" s="39" t="d">
        <x:v>2024-06-17T00:00:00.000Z</x:v>
      </x:c>
      <x:c r="C137" s="38" t="n">
        <x:v>-0.1774972405</x:v>
      </x:c>
      <x:c r="D137" s="38" t="n">
        <x:v>-0.0693929616</x:v>
      </x:c>
      <x:c r="E137" s="38" t="n">
        <x:v>-0.0243458011</x:v>
      </x:c>
      <x:c r="F137" s="38" t="n">
        <x:v>-0.0345786786</x:v>
      </x:c>
      <x:c r="G137" s="38" t="n">
        <x:v>0.0055788157</x:v>
      </x:c>
      <x:c r="H137" s="38" t="n">
        <x:v>0.0206489598</x:v>
      </x:c>
      <x:c r="I137" s="38" t="n">
        <x:v>0.0502786594</x:v>
      </x:c>
      <x:c r="J137" s="38" t="n">
        <x:v>-0.0881848248</x:v>
      </x:c>
      <x:c r="K137" s="38" t="n">
        <x:v>0.0769968043</x:v>
      </x:c>
      <x:c r="L137" s="38" t="n">
        <x:v>-0.0795153878</x:v>
      </x:c>
      <x:c r="M137" s="38" t="n">
        <x:v>-0.0652171628</x:v>
      </x:c>
      <x:c r="N137" s="38" t="n">
        <x:v>-0.1424174035</x:v>
      </x:c>
      <x:c r="O137" s="38" t="n">
        <x:v>0.0013699584</x:v>
      </x:c>
      <x:c r="P137" s="38" t="n">
        <x:v>0.014229149</x:v>
      </x:c>
      <x:c r="Q137" s="38" t="n">
        <x:v>-0.021096405</x:v>
      </x:c>
      <x:c r="R137" s="38" t="n">
        <x:v>-0.0742634169</x:v>
      </x:c>
      <x:c r="S137" s="38" t="n">
        <x:v>-0.1051349246</x:v>
      </x:c>
      <x:c r="T137" s="38" t="n">
        <x:v>0.0550264692</x:v>
      </x:c>
      <x:c r="U137" s="38" t="n">
        <x:v>-0.2480755174</x:v>
      </x:c>
      <x:c r="V137" s="38" t="n">
        <x:v>0.0213603593</x:v>
      </x:c>
      <x:c r="W137" s="38" t="n">
        <x:v>0.065943326</x:v>
      </x:c>
      <x:c r="X137" s="38" t="n">
        <x:v>-0.0017387066</x:v>
      </x:c>
      <x:c r="Y137" s="38" t="n">
        <x:v>0.0834131341</x:v>
      </x:c>
      <x:c r="Z137" s="38" t="n">
        <x:v>0.0140982018</x:v>
      </x:c>
      <x:c r="AA137" s="38" t="n">
        <x:v>0.0285280319</x:v>
      </x:c>
      <x:c r="AB137" s="38" t="n">
        <x:v>0.0356350302</x:v>
      </x:c>
      <x:c r="AC137" s="38" t="n">
        <x:v>-0.084870529</x:v>
      </x:c>
      <x:c r="AD137" s="38" t="n">
        <x:v>0.0196033496</x:v>
      </x:c>
      <x:c r="AE137" s="38" t="n">
        <x:v>-0.0297598191</x:v>
      </x:c>
      <x:c r="AF137" s="38" t="n">
        <x:v>0.1493465005</x:v>
      </x:c>
      <x:c r="AG137" s="38" t="n">
        <x:v>0.0129686511</x:v>
      </x:c>
      <x:c r="AH137" s="38" t="n">
        <x:v>-0.0264237956</x:v>
      </x:c>
      <x:c r="AI137" s="38" t="n">
        <x:v>-0.0349534401</x:v>
      </x:c>
      <x:c r="AJ137" s="38" t="n">
        <x:v>0.1009525119</x:v>
      </x:c>
      <x:c r="AK137" s="38" t="n">
        <x:v>0.0159272682</x:v>
      </x:c>
      <x:c r="AL137" s="38" t="n">
        <x:v>-0.0623089048</x:v>
      </x:c>
      <x:c r="AM137" s="38" t="n">
        <x:v>0.0497722173</x:v>
      </x:c>
      <x:c r="AN137" s="38" t="n">
        <x:v>0.0304842865</x:v>
      </x:c>
      <x:c r="AO137" s="38" t="n">
        <x:v>0.0519414086</x:v>
      </x:c>
      <x:c r="AP137" s="38" t="n">
        <x:v>0.1084277952</x:v>
      </x:c>
      <x:c r="AQ137" s="38" t="n">
        <x:v>0.0223992991</x:v>
      </x:c>
      <x:c r="AR137" s="38" t="n">
        <x:v>0.0134342839</x:v>
      </x:c>
      <x:c r="AS137" s="38" t="n">
        <x:v>0.0060369965</x:v>
      </x:c>
    </x:row>
    <x:row r="138" ht="19" customHeight="1">
      <x:c r="A138" s="29" t="str">
        <x:v>Home FX</x:v>
      </x:c>
      <x:c r="B138" s="39" t="d">
        <x:v>2024-07-15T00:00:00.000Z</x:v>
      </x:c>
      <x:c r="C138" s="38" t="n">
        <x:v>-0.1441872539</x:v>
      </x:c>
      <x:c r="D138" s="38" t="n">
        <x:v>0.1024230562</x:v>
      </x:c>
      <x:c r="E138" s="38" t="n">
        <x:v>0.0765317938</x:v>
      </x:c>
      <x:c r="F138" s="38" t="n">
        <x:v>0.0488808641</x:v>
      </x:c>
      <x:c r="G138" s="38" t="n">
        <x:v>-0.0694653429</x:v>
      </x:c>
      <x:c r="H138" s="38" t="n">
        <x:v>-0.2056739785</x:v>
      </x:c>
      <x:c r="I138" s="38" t="n">
        <x:v>-0.0361872894</x:v>
      </x:c>
      <x:c r="J138" s="38" t="n">
        <x:v>-0.0438836679</x:v>
      </x:c>
      <x:c r="K138" s="38" t="n">
        <x:v>-0.0854192817</x:v>
      </x:c>
      <x:c r="L138" s="38" t="n">
        <x:v>-0.0142544013</x:v>
      </x:c>
      <x:c r="M138" s="38" t="n">
        <x:v>-0.021409393</x:v>
      </x:c>
      <x:c r="N138" s="38" t="n">
        <x:v>-0.0275970448</x:v>
      </x:c>
      <x:c r="O138" s="38" t="n">
        <x:v>0.048250689</x:v>
      </x:c>
      <x:c r="P138" s="38" t="n">
        <x:v>-0.0925589752</x:v>
      </x:c>
      <x:c r="Q138" s="38" t="n">
        <x:v>0.0376978739</x:v>
      </x:c>
      <x:c r="R138" s="38" t="n">
        <x:v>-0.0353072348</x:v>
      </x:c>
      <x:c r="S138" s="38" t="n">
        <x:v>0.0308270724</x:v>
      </x:c>
      <x:c r="T138" s="38" t="n">
        <x:v>0.0104072234</x:v>
      </x:c>
      <x:c r="U138" s="38" t="n">
        <x:v>-0.1091090521</x:v>
      </x:c>
      <x:c r="V138" s="38" t="n">
        <x:v>0.0653274714</x:v>
      </x:c>
      <x:c r="W138" s="38" t="n">
        <x:v>-0.0905931387</x:v>
      </x:c>
      <x:c r="X138" s="38" t="n">
        <x:v>0.0553387752</x:v>
      </x:c>
      <x:c r="Y138" s="38" t="n">
        <x:v>-0.2252238926</x:v>
      </x:c>
      <x:c r="Z138" s="38" t="n">
        <x:v>0.1203151329</x:v>
      </x:c>
      <x:c r="AA138" s="38" t="n">
        <x:v>0.0542114729</x:v>
      </x:c>
      <x:c r="AB138" s="38" t="n">
        <x:v>-0.0700290779</x:v>
      </x:c>
      <x:c r="AC138" s="38" t="n">
        <x:v>0.2830942807</x:v>
      </x:c>
      <x:c r="AD138" s="38" t="n">
        <x:v>0.0047669604</x:v>
      </x:c>
      <x:c r="AE138" s="38" t="n">
        <x:v>0.1880378843</x:v>
      </x:c>
      <x:c r="AF138" s="38" t="n">
        <x:v>-0.0240579117</x:v>
      </x:c>
      <x:c r="AG138" s="38" t="n">
        <x:v>0.0197620221</x:v>
      </x:c>
      <x:c r="AH138" s="38" t="n">
        <x:v>0.0641244756</x:v>
      </x:c>
      <x:c r="AI138" s="38" t="n">
        <x:v>-0.069851317</x:v>
      </x:c>
      <x:c r="AJ138" s="38" t="n">
        <x:v>-0.0343325686</x:v>
      </x:c>
      <x:c r="AK138" s="38" t="n">
        <x:v>0.0549455621</x:v>
      </x:c>
      <x:c r="AL138" s="38" t="n">
        <x:v>-0.0344300396</x:v>
      </x:c>
      <x:c r="AM138" s="38" t="n">
        <x:v>-0.0323391886</x:v>
      </x:c>
      <x:c r="AN138" s="38" t="n">
        <x:v>-0.0124806611</x:v>
      </x:c>
      <x:c r="AO138" s="38" t="n">
        <x:v>-0.0136638752</x:v>
      </x:c>
      <x:c r="AP138" s="38" t="n">
        <x:v>0.023795895</x:v>
      </x:c>
      <x:c r="AQ138" s="38" t="n">
        <x:v>0.0445483571</x:v>
      </x:c>
      <x:c r="AR138" s="38" t="n">
        <x:v>0.0443157468</x:v>
      </x:c>
      <x:c r="AS138" s="38" t="n">
        <x:v>0.066658206</x:v>
      </x:c>
    </x:row>
    <x:row r="139" ht="19" customHeight="1">
      <x:c r="A139" s="29" t="str">
        <x:v>Home FX</x:v>
      </x:c>
      <x:c r="B139" s="39" t="d">
        <x:v>2024-08-12T00:00:00.000Z</x:v>
      </x:c>
      <x:c r="C139" s="38" t="n">
        <x:v>0.0424356674</x:v>
      </x:c>
      <x:c r="D139" s="38" t="n">
        <x:v>0.0047834524</x:v>
      </x:c>
      <x:c r="E139" s="38" t="n">
        <x:v>0.0562501133</x:v>
      </x:c>
      <x:c r="F139" s="38" t="n">
        <x:v>0.082778378</x:v>
      </x:c>
      <x:c r="G139" s="38" t="n">
        <x:v>-0.0799297605</x:v>
      </x:c>
      <x:c r="H139" s="38" t="n">
        <x:v>-0.0231720791</x:v>
      </x:c>
      <x:c r="I139" s="38" t="n">
        <x:v>-0.0386911931</x:v>
      </x:c>
      <x:c r="J139" s="38" t="n">
        <x:v>0.0964291007</x:v>
      </x:c>
      <x:c r="K139" s="38" t="n">
        <x:v>-0.1476235641</x:v>
      </x:c>
      <x:c r="L139" s="38" t="n">
        <x:v>0.0190924039</x:v>
      </x:c>
      <x:c r="M139" s="38" t="n">
        <x:v>0.1460713242</x:v>
      </x:c>
      <x:c r="N139" s="38" t="n">
        <x:v>-0.0891580291</x:v>
      </x:c>
      <x:c r="O139" s="38" t="n">
        <x:v>0.0237722918</x:v>
      </x:c>
      <x:c r="P139" s="38" t="n">
        <x:v>-0.0990091212</x:v>
      </x:c>
      <x:c r="Q139" s="38" t="n">
        <x:v>0.0080212651</x:v>
      </x:c>
      <x:c r="R139" s="38" t="n">
        <x:v>0.1545405061</x:v>
      </x:c>
      <x:c r="S139" s="38" t="n">
        <x:v>0.0452180847</x:v>
      </x:c>
      <x:c r="T139" s="38" t="n">
        <x:v>0.053039465</x:v>
      </x:c>
      <x:c r="U139" s="38" t="n">
        <x:v>-0.3820943538</x:v>
      </x:c>
      <x:c r="V139" s="38" t="n">
        <x:v>0.2202334351</x:v>
      </x:c>
      <x:c r="W139" s="38" t="n">
        <x:v>0.0715412309</x:v>
      </x:c>
      <x:c r="X139" s="38" t="n">
        <x:v>-0.0132498801</x:v>
      </x:c>
      <x:c r="Y139" s="38" t="n">
        <x:v>-0.0647821626</x:v>
      </x:c>
      <x:c r="Z139" s="38" t="n">
        <x:v>0.0758343427</x:v>
      </x:c>
      <x:c r="AA139" s="38" t="n">
        <x:v>0.0833961913</x:v>
      </x:c>
      <x:c r="AB139" s="38" t="n">
        <x:v>-0.1252097225</x:v>
      </x:c>
      <x:c r="AC139" s="38" t="n">
        <x:v>0.3226516972</x:v>
      </x:c>
      <x:c r="AD139" s="38" t="n">
        <x:v>-0.0004784203</x:v>
      </x:c>
      <x:c r="AE139" s="38" t="n">
        <x:v>-0.3097397541</x:v>
      </x:c>
      <x:c r="AF139" s="38" t="n">
        <x:v>-0.1062110854</x:v>
      </x:c>
      <x:c r="AG139" s="38" t="n">
        <x:v>0.0020425906</x:v>
      </x:c>
      <x:c r="AH139" s="38" t="n">
        <x:v>0.0307405952</x:v>
      </x:c>
      <x:c r="AI139" s="38" t="n">
        <x:v>-0.0230999894</x:v>
      </x:c>
      <x:c r="AJ139" s="38" t="n">
        <x:v>0.0850387321</x:v>
      </x:c>
      <x:c r="AK139" s="38" t="n">
        <x:v>0.0940892737</x:v>
      </x:c>
      <x:c r="AL139" s="38" t="n">
        <x:v>0.1030745134</x:v>
      </x:c>
      <x:c r="AM139" s="38" t="n">
        <x:v>-0.0479557355</x:v>
      </x:c>
      <x:c r="AN139" s="38" t="n">
        <x:v>-0.0991358257</x:v>
      </x:c>
      <x:c r="AO139" s="38" t="n">
        <x:v>0.0452486747</x:v>
      </x:c>
      <x:c r="AP139" s="38" t="n">
        <x:v>-0.0041138645</x:v>
      </x:c>
      <x:c r="AQ139" s="38" t="n">
        <x:v>0.0664293378</x:v>
      </x:c>
      <x:c r="AR139" s="38" t="n">
        <x:v>0.0343560634</x:v>
      </x:c>
      <x:c r="AS139" s="38" t="n">
        <x:v>0.0262233043</x:v>
      </x:c>
    </x:row>
    <x:row r="140" ht="19" customHeight="1">
      <x:c r="A140" s="29" t="str">
        <x:v>Home FX</x:v>
      </x:c>
      <x:c r="B140" s="39" t="d">
        <x:v>2024-09-09T00:00:00.000Z</x:v>
      </x:c>
      <x:c r="C140" s="38" t="n">
        <x:v>0.0875815923</x:v>
      </x:c>
      <x:c r="D140" s="38" t="n">
        <x:v>-0.0893763772</x:v>
      </x:c>
      <x:c r="E140" s="38" t="n">
        <x:v>0.0837391279</x:v>
      </x:c>
      <x:c r="F140" s="38" t="n">
        <x:v>0.0903451188</x:v>
      </x:c>
      <x:c r="G140" s="38" t="n">
        <x:v>0.0161823844</x:v>
      </x:c>
      <x:c r="H140" s="38" t="n">
        <x:v>0.0782893926</x:v>
      </x:c>
      <x:c r="I140" s="38" t="n">
        <x:v>0.0604062481</x:v>
      </x:c>
      <x:c r="J140" s="38" t="n">
        <x:v>0.0587034623</x:v>
      </x:c>
      <x:c r="K140" s="38" t="n">
        <x:v>-0.1099956985</x:v>
      </x:c>
      <x:c r="L140" s="38" t="n">
        <x:v>-0.1276557691</x:v>
      </x:c>
      <x:c r="M140" s="38" t="n">
        <x:v>-0.0264655831</x:v>
      </x:c>
      <x:c r="N140" s="38" t="n">
        <x:v>-0.0409955668</x:v>
      </x:c>
      <x:c r="O140" s="38" t="n">
        <x:v>-0.0077088614</x:v>
      </x:c>
      <x:c r="P140" s="38" t="n">
        <x:v>0.0174982956</x:v>
      </x:c>
      <x:c r="Q140" s="38" t="n">
        <x:v>-0.1916339739</x:v>
      </x:c>
      <x:c r="R140" s="38" t="n">
        <x:v>0.083145805</x:v>
      </x:c>
      <x:c r="S140" s="38" t="n">
        <x:v>0.0560177484</x:v>
      </x:c>
      <x:c r="T140" s="38" t="n">
        <x:v>-0.0548291088</x:v>
      </x:c>
      <x:c r="U140" s="38" t="n">
        <x:v>-0.2799188064</x:v>
      </x:c>
      <x:c r="V140" s="38" t="n">
        <x:v>0.0182977615</x:v>
      </x:c>
      <x:c r="W140" s="38" t="n">
        <x:v>0.0390425571</x:v>
      </x:c>
      <x:c r="X140" s="38" t="n">
        <x:v>-0.0020584718</x:v>
      </x:c>
      <x:c r="Y140" s="38" t="n">
        <x:v>-0.1964659928</x:v>
      </x:c>
      <x:c r="Z140" s="38" t="n">
        <x:v>0.0840986319</x:v>
      </x:c>
      <x:c r="AA140" s="38" t="n">
        <x:v>0.0928319164</x:v>
      </x:c>
      <x:c r="AB140" s="38" t="n">
        <x:v>0.311968602</x:v>
      </x:c>
      <x:c r="AC140" s="38" t="n">
        <x:v>0.037957721</x:v>
      </x:c>
      <x:c r="AD140" s="38" t="n">
        <x:v>0.0421489722</x:v>
      </x:c>
      <x:c r="AE140" s="38" t="n">
        <x:v>0.0197689307</x:v>
      </x:c>
      <x:c r="AF140" s="38" t="n">
        <x:v>-0.0988588814</x:v>
      </x:c>
      <x:c r="AG140" s="38" t="n">
        <x:v>-0.1607932915</x:v>
      </x:c>
      <x:c r="AH140" s="38" t="n">
        <x:v>-0.0341080449</x:v>
      </x:c>
      <x:c r="AI140" s="38" t="n">
        <x:v>0.0290209355</x:v>
      </x:c>
      <x:c r="AJ140" s="38" t="n">
        <x:v>0.0020056816</x:v>
      </x:c>
      <x:c r="AK140" s="38" t="n">
        <x:v>0.1312096277</x:v>
      </x:c>
      <x:c r="AL140" s="38" t="n">
        <x:v>0.0254793222</x:v>
      </x:c>
      <x:c r="AM140" s="38" t="n">
        <x:v>0.0332377336</x:v>
      </x:c>
      <x:c r="AN140" s="38" t="n">
        <x:v>-0.0384251106</x:v>
      </x:c>
      <x:c r="AO140" s="38" t="n">
        <x:v>0.059191121</x:v>
      </x:c>
      <x:c r="AP140" s="38" t="n">
        <x:v>0.0633179919</x:v>
      </x:c>
      <x:c r="AQ140" s="38" t="n">
        <x:v>0.0448874711</x:v>
      </x:c>
      <x:c r="AR140" s="38" t="n">
        <x:v>0.0527353193</x:v>
      </x:c>
      <x:c r="AS140" s="38" t="n">
        <x:v>0.0080904611</x:v>
      </x:c>
    </x:row>
    <x:row r="141" ht="19" customHeight="1">
      <x:c r="A141" s="29" t="str">
        <x:v>Home FX</x:v>
      </x:c>
      <x:c r="B141" s="39" t="d">
        <x:v>2024-10-07T00:00:00.000Z</x:v>
      </x:c>
      <x:c r="C141" s="38" t="n">
        <x:v>0.4532663342</x:v>
      </x:c>
      <x:c r="D141" s="38" t="n">
        <x:v>0.0127385703</x:v>
      </x:c>
      <x:c r="E141" s="38" t="n">
        <x:v>-0.069079886</x:v>
      </x:c>
      <x:c r="F141" s="38" t="n">
        <x:v>0.0325275596</x:v>
      </x:c>
      <x:c r="G141" s="38" t="n">
        <x:v>0.0457800302</x:v>
      </x:c>
      <x:c r="H141" s="38" t="n">
        <x:v>0.0520622051</x:v>
      </x:c>
      <x:c r="I141" s="38" t="n">
        <x:v>0.01465991</x:v>
      </x:c>
      <x:c r="J141" s="38" t="n">
        <x:v>0.2107092553</x:v>
      </x:c>
      <x:c r="K141" s="38" t="n">
        <x:v>0.0697168665</x:v>
      </x:c>
      <x:c r="L141" s="38" t="n">
        <x:v>0.0689989253</x:v>
      </x:c>
      <x:c r="M141" s="38" t="n">
        <x:v>0.1225899876</x:v>
      </x:c>
      <x:c r="N141" s="38" t="n">
        <x:v>0.0699735168</x:v>
      </x:c>
      <x:c r="O141" s="38" t="n">
        <x:v>0.0166493824</x:v>
      </x:c>
      <x:c r="P141" s="38" t="n">
        <x:v>-0.002544963</x:v>
      </x:c>
      <x:c r="Q141" s="38" t="n">
        <x:v>0.0928271443</x:v>
      </x:c>
      <x:c r="R141" s="38" t="n">
        <x:v>0.101755655</x:v>
      </x:c>
      <x:c r="S141" s="38" t="n">
        <x:v>0.0254601056</x:v>
      </x:c>
      <x:c r="T141" s="38" t="n">
        <x:v>0.2047241152</x:v>
      </x:c>
      <x:c r="U141" s="38" t="n">
        <x:v>-0.1867663018</x:v>
      </x:c>
      <x:c r="V141" s="38" t="n">
        <x:v>0.1607553618</x:v>
      </x:c>
      <x:c r="W141" s="38" t="n">
        <x:v>0.0427960956</x:v>
      </x:c>
      <x:c r="X141" s="38" t="n">
        <x:v>0.0587851142</x:v>
      </x:c>
      <x:c r="Y141" s="38" t="n">
        <x:v>0.1888274378</x:v>
      </x:c>
      <x:c r="Z141" s="38" t="n">
        <x:v>0.0128988831</x:v>
      </x:c>
      <x:c r="AA141" s="38" t="n">
        <x:v>-0.005884793</x:v>
      </x:c>
      <x:c r="AB141" s="38" t="n">
        <x:v>0.0533283537</x:v>
      </x:c>
      <x:c r="AC141" s="38" t="n">
        <x:v>0.2505361613</x:v>
      </x:c>
      <x:c r="AD141" s="38" t="n">
        <x:v>-0.0204555989</x:v>
      </x:c>
      <x:c r="AE141" s="38" t="n">
        <x:v>0.0033089085</x:v>
      </x:c>
      <x:c r="AF141" s="38" t="n">
        <x:v>0.2288314718</x:v>
      </x:c>
      <x:c r="AG141" s="38" t="n">
        <x:v>-0.0441187776</x:v>
      </x:c>
      <x:c r="AH141" s="38" t="n">
        <x:v>-0.0097909316</x:v>
      </x:c>
      <x:c r="AI141" s="38" t="n">
        <x:v>0.1149870359</x:v>
      </x:c>
      <x:c r="AJ141" s="38" t="n">
        <x:v>0.0106247272</x:v>
      </x:c>
      <x:c r="AK141" s="38" t="n">
        <x:v>-0.0423350847</x:v>
      </x:c>
      <x:c r="AL141" s="38" t="n">
        <x:v>0.0318295051</x:v>
      </x:c>
      <x:c r="AM141" s="38" t="n">
        <x:v>-0.0397911846</x:v>
      </x:c>
      <x:c r="AN141" s="38" t="n">
        <x:v>0.042563358</x:v>
      </x:c>
      <x:c r="AO141" s="38" t="n">
        <x:v>-0.035284921</x:v>
      </x:c>
      <x:c r="AP141" s="38" t="n">
        <x:v>0.0952045258</x:v>
      </x:c>
      <x:c r="AQ141" s="38" t="n">
        <x:v>-0.030821026</x:v>
      </x:c>
      <x:c r="AR141" s="38" t="n">
        <x:v>-0.0293216618</x:v>
      </x:c>
      <x:c r="AS141" s="38" t="n">
        <x:v>0.0327761941</x:v>
      </x:c>
    </x:row>
    <x:row r="142" ht="19" customHeight="1">
      <x:c r="A142" s="29" t="str">
        <x:v>Home FX</x:v>
      </x:c>
      <x:c r="B142" s="39" t="d">
        <x:v>2024-11-04T00:00:00.000Z</x:v>
      </x:c>
      <x:c r="C142" s="38" t="n">
        <x:v>0.1490706633</x:v>
      </x:c>
      <x:c r="D142" s="38" t="n">
        <x:v>-0.0724849474</x:v>
      </x:c>
      <x:c r="E142" s="38" t="n">
        <x:v>-0.0111455082</x:v>
      </x:c>
      <x:c r="F142" s="38" t="n">
        <x:v>0.1573032157</x:v>
      </x:c>
      <x:c r="G142" s="38" t="n">
        <x:v>0.0606442126</x:v>
      </x:c>
      <x:c r="H142" s="38" t="n">
        <x:v>0.0032622146</x:v>
      </x:c>
      <x:c r="I142" s="38" t="n">
        <x:v>0.1168804394</x:v>
      </x:c>
      <x:c r="J142" s="38" t="n">
        <x:v>0.1266926021</x:v>
      </x:c>
      <x:c r="K142" s="38" t="n">
        <x:v>-0.031550262</x:v>
      </x:c>
      <x:c r="L142" s="38" t="n">
        <x:v>-0.0484996258</x:v>
      </x:c>
      <x:c r="M142" s="38" t="n">
        <x:v>-0.0572578386</x:v>
      </x:c>
      <x:c r="N142" s="38" t="n">
        <x:v>0.0183724332</x:v>
      </x:c>
      <x:c r="O142" s="38" t="n">
        <x:v>0.0409640637</x:v>
      </x:c>
      <x:c r="P142" s="38" t="n">
        <x:v>0.0842621001</x:v>
      </x:c>
      <x:c r="Q142" s="38" t="n">
        <x:v>-0.0350743083</x:v>
      </x:c>
      <x:c r="R142" s="38" t="n">
        <x:v>-0.1588063417</x:v>
      </x:c>
      <x:c r="S142" s="38" t="n">
        <x:v>0.021091818</x:v>
      </x:c>
      <x:c r="T142" s="38" t="n">
        <x:v>-0.0287834534</x:v>
      </x:c>
      <x:c r="U142" s="38" t="n">
        <x:v>-0.2621267668</x:v>
      </x:c>
      <x:c r="V142" s="38" t="n">
        <x:v>0.3914608248</x:v>
      </x:c>
      <x:c r="W142" s="38" t="n">
        <x:v>0.1140842444</x:v>
      </x:c>
      <x:c r="X142" s="38" t="n">
        <x:v>0.0745386502</x:v>
      </x:c>
      <x:c r="Y142" s="38" t="n">
        <x:v>0.0545130426</x:v>
      </x:c>
      <x:c r="Z142" s="38" t="n">
        <x:v>-0.2238886542</x:v>
      </x:c>
      <x:c r="AA142" s="38" t="n">
        <x:v>0.0345130241</x:v>
      </x:c>
      <x:c r="AB142" s="38" t="n">
        <x:v>0.0290742273</x:v>
      </x:c>
      <x:c r="AC142" s="38" t="n">
        <x:v>0.6512574116</x:v>
      </x:c>
      <x:c r="AD142" s="38" t="n">
        <x:v>-0.0168732248</x:v>
      </x:c>
      <x:c r="AE142" s="38" t="n">
        <x:v>0.0437644624</x:v>
      </x:c>
      <x:c r="AF142" s="38" t="n">
        <x:v>0.0768461422</x:v>
      </x:c>
      <x:c r="AG142" s="38" t="n">
        <x:v>0.0052216442</x:v>
      </x:c>
      <x:c r="AH142" s="38" t="n">
        <x:v>-0.2955311892</x:v>
      </x:c>
      <x:c r="AI142" s="38" t="n">
        <x:v>-0.1513975276</x:v>
      </x:c>
      <x:c r="AJ142" s="38" t="n">
        <x:v>-0.1366488016</x:v>
      </x:c>
      <x:c r="AK142" s="38" t="n">
        <x:v>0.118485499</x:v>
      </x:c>
      <x:c r="AL142" s="38" t="n">
        <x:v>0.0509584228</x:v>
      </x:c>
      <x:c r="AM142" s="38" t="n">
        <x:v>0.0177578671</x:v>
      </x:c>
      <x:c r="AN142" s="38" t="n">
        <x:v>0.1060047048</x:v>
      </x:c>
      <x:c r="AO142" s="38" t="n">
        <x:v>0.0731768811</x:v>
      </x:c>
      <x:c r="AP142" s="38" t="n">
        <x:v>-0.0175709363</x:v>
      </x:c>
      <x:c r="AQ142" s="38" t="n">
        <x:v>-0.1014241351</x:v>
      </x:c>
      <x:c r="AR142" s="38" t="n">
        <x:v>-0.0452687556</x:v>
      </x:c>
      <x:c r="AS142" s="38" t="n">
        <x:v>0.0082974137</x:v>
      </x:c>
    </x:row>
    <x:row r="143" ht="19" customHeight="1">
      <x:c r="A143" s="29" t="str">
        <x:v>Home FX</x:v>
      </x:c>
      <x:c r="B143" s="39" t="d">
        <x:v>2024-12-02T00:00:00.000Z</x:v>
      </x:c>
      <x:c r="C143" s="38" t="n">
        <x:v>0.145643113</x:v>
      </x:c>
      <x:c r="D143" s="38" t="n">
        <x:v>0.14748253</x:v>
      </x:c>
      <x:c r="E143" s="38" t="n">
        <x:v>-0.0069486324</x:v>
      </x:c>
      <x:c r="F143" s="38" t="n">
        <x:v>0.0306564655</x:v>
      </x:c>
      <x:c r="G143" s="38" t="n">
        <x:v>0.199826129</x:v>
      </x:c>
      <x:c r="H143" s="38" t="n">
        <x:v>0.1289860156</x:v>
      </x:c>
      <x:c r="I143" s="38" t="n">
        <x:v>0.105266508</x:v>
      </x:c>
      <x:c r="J143" s="38" t="n">
        <x:v>0.0894795271</x:v>
      </x:c>
      <x:c r="K143" s="38" t="n">
        <x:v>-0.0626820812</x:v>
      </x:c>
      <x:c r="L143" s="38" t="n">
        <x:v>-0.0376396998</x:v>
      </x:c>
      <x:c r="M143" s="38" t="n">
        <x:v>0.0738556799</x:v>
      </x:c>
      <x:c r="N143" s="38" t="n">
        <x:v>0.0040867037</x:v>
      </x:c>
      <x:c r="O143" s="38" t="n">
        <x:v>0.0352941855</x:v>
      </x:c>
      <x:c r="P143" s="38" t="n">
        <x:v>0.0252083045</x:v>
      </x:c>
      <x:c r="Q143" s="38" t="n">
        <x:v>0.0850276512</x:v>
      </x:c>
      <x:c r="R143" s="38" t="n">
        <x:v>0.0515677147</x:v>
      </x:c>
      <x:c r="S143" s="38" t="n">
        <x:v>0.0716797275</x:v>
      </x:c>
      <x:c r="T143" s="38" t="n">
        <x:v>0.2591987038</x:v>
      </x:c>
      <x:c r="U143" s="38" t="n">
        <x:v>-0.0636173406</x:v>
      </x:c>
      <x:c r="V143" s="38" t="n">
        <x:v>0.1592403213</x:v>
      </x:c>
      <x:c r="W143" s="38" t="n">
        <x:v>0.196588571</x:v>
      </x:c>
      <x:c r="X143" s="38" t="n">
        <x:v>-0.021203712</x:v>
      </x:c>
      <x:c r="Y143" s="38" t="n">
        <x:v>-0.1224195885</x:v>
      </x:c>
      <x:c r="Z143" s="38" t="n">
        <x:v>-0.1036705042</x:v>
      </x:c>
      <x:c r="AA143" s="38" t="n">
        <x:v>-0.0327586547</x:v>
      </x:c>
      <x:c r="AB143" s="38" t="n">
        <x:v>-0.2792153847</x:v>
      </x:c>
      <x:c r="AC143" s="38" t="n">
        <x:v>-0.0589827864</x:v>
      </x:c>
      <x:c r="AD143" s="38" t="n">
        <x:v>0.0434573879</x:v>
      </x:c>
      <x:c r="AE143" s="38" t="n">
        <x:v>-0.0520229978</x:v>
      </x:c>
      <x:c r="AF143" s="38" t="n">
        <x:v>0.1009314758</x:v>
      </x:c>
      <x:c r="AG143" s="38" t="n">
        <x:v>0.0178825154</x:v>
      </x:c>
      <x:c r="AH143" s="38" t="n">
        <x:v>-0.0832611508</x:v>
      </x:c>
      <x:c r="AI143" s="38" t="n">
        <x:v>-0.0793690086</x:v>
      </x:c>
      <x:c r="AJ143" s="38" t="n">
        <x:v>-0.0050648751</x:v>
      </x:c>
      <x:c r="AK143" s="38" t="n">
        <x:v>-0.0555536002</x:v>
      </x:c>
      <x:c r="AL143" s="38" t="n">
        <x:v>-0.097218127</x:v>
      </x:c>
      <x:c r="AM143" s="38" t="n">
        <x:v>0.0614155274</x:v>
      </x:c>
      <x:c r="AN143" s="38" t="n">
        <x:v>-0.0250421203</x:v>
      </x:c>
      <x:c r="AO143" s="38" t="n">
        <x:v>0.0612363493</x:v>
      </x:c>
      <x:c r="AP143" s="38" t="n">
        <x:v>0.0802884988</x:v>
      </x:c>
      <x:c r="AQ143" s="38" t="n">
        <x:v>-0.0175241795</x:v>
      </x:c>
      <x:c r="AR143" s="38" t="n">
        <x:v>-0.0393917829</x:v>
      </x:c>
      <x:c r="AS143" s="38" t="n">
        <x:v>0.0184397535</x:v>
      </x:c>
    </x:row>
    <x:row r="144" ht="19" customHeight="1">
      <x:c r="A144" s="29" t="str">
        <x:v>Home FX</x:v>
      </x:c>
      <x:c r="B144" s="39" t="d">
        <x:v>2024-12-30T00:00:00.000Z</x:v>
      </x:c>
      <x:c r="C144" s="38" t="n">
        <x:v>0.0201833873</x:v>
      </x:c>
      <x:c r="D144" s="38" t="n">
        <x:v>-0.0599227315</x:v>
      </x:c>
      <x:c r="E144" s="38" t="n">
        <x:v>-0.0498247688</x:v>
      </x:c>
      <x:c r="F144" s="38" t="n">
        <x:v>0.0145417574</x:v>
      </x:c>
      <x:c r="G144" s="38" t="n">
        <x:v>-0.0547750951</x:v>
      </x:c>
      <x:c r="H144" s="38" t="n">
        <x:v>-0.1123174597</x:v>
      </x:c>
      <x:c r="I144" s="38" t="n">
        <x:v>-0.015504724</x:v>
      </x:c>
      <x:c r="J144" s="38" t="n">
        <x:v>-0.1263334547</x:v>
      </x:c>
      <x:c r="K144" s="38" t="n">
        <x:v>-0.0644487042</x:v>
      </x:c>
      <x:c r="L144" s="38" t="n">
        <x:v>-0.0699383844</x:v>
      </x:c>
      <x:c r="M144" s="38" t="n">
        <x:v>0.0009745108</x:v>
      </x:c>
      <x:c r="N144" s="38" t="n">
        <x:v>0.0270701528</x:v>
      </x:c>
      <x:c r="O144" s="38" t="n">
        <x:v>-0.1137133124</x:v>
      </x:c>
      <x:c r="P144" s="38" t="n">
        <x:v>-0.1277122364</x:v>
      </x:c>
      <x:c r="Q144" s="38" t="n">
        <x:v>0.0799800683</x:v>
      </x:c>
      <x:c r="R144" s="38" t="n">
        <x:v>-0.1446113991</x:v>
      </x:c>
      <x:c r="S144" s="38" t="n">
        <x:v>0.0002448284</x:v>
      </x:c>
      <x:c r="T144" s="38" t="n">
        <x:v>0.0191499644</x:v>
      </x:c>
      <x:c r="U144" s="38" t="n">
        <x:v>-0.0642861455</x:v>
      </x:c>
      <x:c r="V144" s="38" t="n">
        <x:v>-0.1658379577</x:v>
      </x:c>
      <x:c r="W144" s="38" t="n">
        <x:v>-0.0728589504</x:v>
      </x:c>
      <x:c r="X144" s="38" t="n">
        <x:v>-0.167285017</x:v>
      </x:c>
      <x:c r="Y144" s="38" t="n">
        <x:v>-0.1442788074</x:v>
      </x:c>
      <x:c r="Z144" s="38" t="n">
        <x:v>-0.0933303113</x:v>
      </x:c>
      <x:c r="AA144" s="38" t="n">
        <x:v>-0.0612025311</x:v>
      </x:c>
      <x:c r="AB144" s="38" t="n">
        <x:v>-0.022869397</x:v>
      </x:c>
      <x:c r="AC144" s="38" t="n">
        <x:v>-0.2287837283</x:v>
      </x:c>
      <x:c r="AD144" s="38" t="n">
        <x:v>-0.0631696519</x:v>
      </x:c>
      <x:c r="AE144" s="38" t="n">
        <x:v>-0.0761358315</x:v>
      </x:c>
      <x:c r="AF144" s="38" t="n">
        <x:v>-0.1070318533</x:v>
      </x:c>
      <x:c r="AG144" s="38" t="n">
        <x:v>0.1215819783</x:v>
      </x:c>
      <x:c r="AH144" s="38" t="n">
        <x:v>0.0008516519</x:v>
      </x:c>
      <x:c r="AI144" s="38" t="n">
        <x:v>-0.1234768408</x:v>
      </x:c>
      <x:c r="AJ144" s="38" t="n">
        <x:v>-0.0685121992</x:v>
      </x:c>
      <x:c r="AK144" s="38" t="n">
        <x:v>-0.0531659616</x:v>
      </x:c>
      <x:c r="AL144" s="38" t="n">
        <x:v>0.0616488713</x:v>
      </x:c>
      <x:c r="AM144" s="38" t="n">
        <x:v>-0.057465775</x:v>
      </x:c>
      <x:c r="AN144" s="38" t="n">
        <x:v>0.1162940085</x:v>
      </x:c>
      <x:c r="AO144" s="38" t="n">
        <x:v>-0.0981509447</x:v>
      </x:c>
      <x:c r="AP144" s="38" t="n">
        <x:v>-0.1267699825</x:v>
      </x:c>
      <x:c r="AQ144" s="38" t="n">
        <x:v>-0.015460551</x:v>
      </x:c>
      <x:c r="AR144" s="38" t="n">
        <x:v>-0.0429768267</x:v>
      </x:c>
      <x:c r="AS144" s="38" t="n">
        <x:v>-0.0451638363</x:v>
      </x:c>
    </x:row>
    <x:row r="145" ht="19" customHeight="1">
      <x:c r="A145" s="29" t="str">
        <x:v>Home FX</x:v>
      </x:c>
      <x:c r="B145" s="39" t="d">
        <x:v>2025-01-27T00:00:00.000Z</x:v>
      </x:c>
      <x:c r="C145" s="38" t="n">
        <x:v>0.0428795193</x:v>
      </x:c>
      <x:c r="D145" s="38" t="n">
        <x:v>-0.0402676341</x:v>
      </x:c>
      <x:c r="E145" s="38" t="n">
        <x:v>0.0828228407</x:v>
      </x:c>
      <x:c r="F145" s="38" t="n">
        <x:v>0.0696980512</x:v>
      </x:c>
      <x:c r="G145" s="38" t="n">
        <x:v>0.0211710296</x:v>
      </x:c>
      <x:c r="H145" s="38" t="n">
        <x:v>-0.0285719185</x:v>
      </x:c>
      <x:c r="I145" s="38" t="n">
        <x:v>0.0729906749</x:v>
      </x:c>
      <x:c r="J145" s="38" t="n">
        <x:v>-0.0333020262</x:v>
      </x:c>
      <x:c r="K145" s="38" t="n">
        <x:v>0.0043810958</x:v>
      </x:c>
      <x:c r="L145" s="38" t="n">
        <x:v>0.0950712859</x:v>
      </x:c>
      <x:c r="M145" s="38" t="n">
        <x:v>0.0511574144</x:v>
      </x:c>
      <x:c r="N145" s="38" t="n">
        <x:v>0.1147631296</x:v>
      </x:c>
      <x:c r="O145" s="38" t="n">
        <x:v>0.1576476641</x:v>
      </x:c>
      <x:c r="P145" s="38" t="n">
        <x:v>0.0204979009</x:v>
      </x:c>
      <x:c r="Q145" s="38" t="n">
        <x:v>-0.1047622376</x:v>
      </x:c>
      <x:c r="R145" s="38" t="n">
        <x:v>0.1867518194</x:v>
      </x:c>
      <x:c r="S145" s="38" t="n">
        <x:v>0.021414035</x:v>
      </x:c>
      <x:c r="T145" s="38" t="n">
        <x:v>0.2343025772</x:v>
      </x:c>
      <x:c r="U145" s="38" t="n">
        <x:v>-0.0845350705</x:v>
      </x:c>
      <x:c r="V145" s="38" t="n">
        <x:v>0.1019646312</x:v>
      </x:c>
      <x:c r="W145" s="38" t="n">
        <x:v>0.128822754</x:v>
      </x:c>
      <x:c r="X145" s="38" t="n">
        <x:v>-0.1301399023</x:v>
      </x:c>
      <x:c r="Y145" s="38" t="n">
        <x:v>0.0188989376</x:v>
      </x:c>
      <x:c r="Z145" s="38" t="n">
        <x:v>0.142643389</x:v>
      </x:c>
      <x:c r="AA145" s="38" t="n">
        <x:v>0.0453909945</x:v>
      </x:c>
      <x:c r="AB145" s="38" t="n">
        <x:v>-0.5452064138</x:v>
      </x:c>
      <x:c r="AC145" s="38" t="n">
        <x:v>0.0128966789</x:v>
      </x:c>
      <x:c r="AD145" s="38" t="n">
        <x:v>0.0140827853</x:v>
      </x:c>
      <x:c r="AE145" s="38" t="n">
        <x:v>0.0250342509</x:v>
      </x:c>
      <x:c r="AF145" s="38" t="n">
        <x:v>-0.0365979481</x:v>
      </x:c>
      <x:c r="AG145" s="38" t="n">
        <x:v>0.047748589</x:v>
      </x:c>
      <x:c r="AH145" s="38" t="n">
        <x:v>0.0595295672</x:v>
      </x:c>
      <x:c r="AI145" s="38" t="n">
        <x:v>-0.0975731981</x:v>
      </x:c>
      <x:c r="AJ145" s="38" t="n">
        <x:v>0.0456417036</x:v>
      </x:c>
      <x:c r="AK145" s="38" t="n">
        <x:v>0.1015897426</x:v>
      </x:c>
      <x:c r="AL145" s="38" t="n">
        <x:v>0.0130365751</x:v>
      </x:c>
      <x:c r="AM145" s="38" t="n">
        <x:v>-0.024703866</x:v>
      </x:c>
      <x:c r="AN145" s="38" t="n">
        <x:v>0.0772201712</x:v>
      </x:c>
      <x:c r="AO145" s="38" t="n">
        <x:v>0.0834206066</x:v>
      </x:c>
      <x:c r="AP145" s="38" t="n">
        <x:v>0.0711189905</x:v>
      </x:c>
      <x:c r="AQ145" s="38" t="n">
        <x:v>0.0345155712</x:v>
      </x:c>
      <x:c r="AR145" s="38" t="n">
        <x:v>0.0671241245</x:v>
      </x:c>
      <x:c r="AS145" s="38" t="n">
        <x:v>0.0409370448</x:v>
      </x:c>
    </x:row>
    <x:row r="146" ht="19" customHeight="1">
      <x:c r="A146" s="29" t="str">
        <x:v>Home FX</x:v>
      </x:c>
      <x:c r="B146" s="39" t="d">
        <x:v>2025-02-24T00:00:00.000Z</x:v>
      </x:c>
      <x:c r="C146" s="38" t="n">
        <x:v>-0.2899232366</x:v>
      </x:c>
      <x:c r="D146" s="38" t="n">
        <x:v>-0.1130026692</x:v>
      </x:c>
      <x:c r="E146" s="38" t="n">
        <x:v>0.1071643417</x:v>
      </x:c>
      <x:c r="F146" s="38" t="n">
        <x:v>0.1030463009</x:v>
      </x:c>
      <x:c r="G146" s="38" t="n">
        <x:v>0.0082651546</x:v>
      </x:c>
      <x:c r="H146" s="38" t="n">
        <x:v>-0.0988580563</x:v>
      </x:c>
      <x:c r="I146" s="38" t="n">
        <x:v>-0.1431847245</x:v>
      </x:c>
      <x:c r="J146" s="38" t="n">
        <x:v>-0.2331734418</x:v>
      </x:c>
      <x:c r="K146" s="38" t="n">
        <x:v>0.0022203783</x:v>
      </x:c>
      <x:c r="L146" s="38" t="n">
        <x:v>-0.0218098367</x:v>
      </x:c>
      <x:c r="M146" s="38" t="n">
        <x:v>-0.1561028139</x:v>
      </x:c>
      <x:c r="N146" s="38" t="n">
        <x:v>-0.0116502229</x:v>
      </x:c>
      <x:c r="O146" s="38" t="n">
        <x:v>-0.0161941939</x:v>
      </x:c>
      <x:c r="P146" s="38" t="n">
        <x:v>-0.0077188365</x:v>
      </x:c>
      <x:c r="Q146" s="38" t="n">
        <x:v>0.2167166816</x:v>
      </x:c>
      <x:c r="R146" s="38" t="n">
        <x:v>0.0411672056</x:v>
      </x:c>
      <x:c r="S146" s="38" t="n">
        <x:v>0.0891846746</x:v>
      </x:c>
      <x:c r="T146" s="38" t="n">
        <x:v>0.0616383536</x:v>
      </x:c>
      <x:c r="U146" s="38" t="n">
        <x:v>-0.306056108</x:v>
      </x:c>
      <x:c r="V146" s="38" t="n">
        <x:v>-0.2665224162</x:v>
      </x:c>
      <x:c r="W146" s="38" t="n">
        <x:v>0.0049191969</x:v>
      </x:c>
      <x:c r="X146" s="38" t="n">
        <x:v>0.0809171361</x:v>
      </x:c>
      <x:c r="Y146" s="38" t="n">
        <x:v>0.0327589334</x:v>
      </x:c>
      <x:c r="Z146" s="38" t="n">
        <x:v>0.003553688</x:v>
      </x:c>
      <x:c r="AA146" s="38" t="n">
        <x:v>0.170764625</x:v>
      </x:c>
      <x:c r="AB146" s="38" t="n">
        <x:v>-0.3566414444</x:v>
      </x:c>
      <x:c r="AC146" s="38" t="n">
        <x:v>0.037118538</x:v>
      </x:c>
      <x:c r="AD146" s="38" t="n">
        <x:v>0.0585410271</x:v>
      </x:c>
      <x:c r="AE146" s="38" t="n">
        <x:v>-0.0276882779</x:v>
      </x:c>
      <x:c r="AF146" s="38" t="n">
        <x:v>-0.0853166164</x:v>
      </x:c>
      <x:c r="AG146" s="38" t="n">
        <x:v>-0.0136379223</x:v>
      </x:c>
      <x:c r="AH146" s="38" t="n">
        <x:v>-0.1376515257</x:v>
      </x:c>
      <x:c r="AI146" s="38" t="n">
        <x:v>-0.1892631504</x:v>
      </x:c>
      <x:c r="AJ146" s="38" t="n">
        <x:v>0.1626880389</x:v>
      </x:c>
      <x:c r="AK146" s="38" t="n">
        <x:v>0.1546200799</x:v>
      </x:c>
      <x:c r="AL146" s="38" t="n">
        <x:v>0.0439009057</x:v>
      </x:c>
      <x:c r="AM146" s="38" t="n">
        <x:v>-0.0538548579</x:v>
      </x:c>
      <x:c r="AN146" s="38" t="n">
        <x:v>-0.2290240495</x:v>
      </x:c>
      <x:c r="AO146" s="38" t="n">
        <x:v>0.0872834199</x:v>
      </x:c>
      <x:c r="AP146" s="38" t="n">
        <x:v>-0.04820159</x:v>
      </x:c>
      <x:c r="AQ146" s="38" t="n">
        <x:v>0.1455784897</x:v>
      </x:c>
      <x:c r="AR146" s="38" t="n">
        <x:v>0.1129733314</x:v>
      </x:c>
      <x:c r="AS146" s="38" t="n">
        <x:v>0.1165473929</x:v>
      </x:c>
    </x:row>
    <x:row r="147" ht="19" customHeight="1">
      <x:c r="A147" s="29" t="str">
        <x:v>Home FX</x:v>
      </x:c>
      <x:c r="B147" s="39" t="d">
        <x:v>2025-03-24T00:00:00.000Z</x:v>
      </x:c>
      <x:c r="C147" s="38" t="n">
        <x:v>-0.1465156714</x:v>
      </x:c>
      <x:c r="D147" s="38" t="n">
        <x:v>-0.1222623078</x:v>
      </x:c>
      <x:c r="E147" s="38" t="n">
        <x:v>0.0109784565</x:v>
      </x:c>
      <x:c r="F147" s="38" t="n">
        <x:v>-0.0434024164</x:v>
      </x:c>
      <x:c r="G147" s="38" t="n">
        <x:v>-0.1911425805</x:v>
      </x:c>
      <x:c r="H147" s="38" t="n">
        <x:v>-0.1004878692</x:v>
      </x:c>
      <x:c r="I147" s="38" t="n">
        <x:v>-0.1242080967</x:v>
      </x:c>
      <x:c r="J147" s="38" t="n">
        <x:v>-0.1451858668</x:v>
      </x:c>
      <x:c r="K147" s="38" t="n">
        <x:v>-0.31263103</x:v>
      </x:c>
      <x:c r="L147" s="38" t="n">
        <x:v>0.0073502252</x:v>
      </x:c>
      <x:c r="M147" s="38" t="n">
        <x:v>-0.0588977273</x:v>
      </x:c>
      <x:c r="N147" s="38" t="n">
        <x:v>-0.0571413238</x:v>
      </x:c>
      <x:c r="O147" s="38" t="n">
        <x:v>-0.0537209707</x:v>
      </x:c>
      <x:c r="P147" s="38" t="n">
        <x:v>-0.2391581092</x:v>
      </x:c>
      <x:c r="Q147" s="38" t="n">
        <x:v>-0.0684893436</x:v>
      </x:c>
      <x:c r="R147" s="38" t="n">
        <x:v>-0.2908460718</x:v>
      </x:c>
      <x:c r="S147" s="38" t="n">
        <x:v>0.048425377</x:v>
      </x:c>
      <x:c r="T147" s="38" t="n">
        <x:v>-0.3013909298</x:v>
      </x:c>
      <x:c r="U147" s="38" t="n">
        <x:v>0.0066232649</x:v>
      </x:c>
      <x:c r="V147" s="38" t="n">
        <x:v>0.0157079758</x:v>
      </x:c>
      <x:c r="W147" s="38" t="n">
        <x:v>-0.0627132076</x:v>
      </x:c>
      <x:c r="X147" s="38" t="n">
        <x:v>0.0262304711</x:v>
      </x:c>
      <x:c r="Y147" s="38" t="n">
        <x:v>-0.0732730679</x:v>
      </x:c>
      <x:c r="Z147" s="38" t="n">
        <x:v>0.155875248</x:v>
      </x:c>
      <x:c r="AA147" s="38" t="n">
        <x:v>-0.0143872488</x:v>
      </x:c>
      <x:c r="AB147" s="38" t="n">
        <x:v>0.2675860791</x:v>
      </x:c>
      <x:c r="AC147" s="38" t="n">
        <x:v>-0.4413056163</x:v>
      </x:c>
      <x:c r="AD147" s="38" t="n">
        <x:v>-0.0436771268</x:v>
      </x:c>
      <x:c r="AE147" s="38" t="n">
        <x:v>0.0226712659</x:v>
      </x:c>
      <x:c r="AF147" s="38" t="n">
        <x:v>-0.2810942217</x:v>
      </x:c>
      <x:c r="AG147" s="38" t="n">
        <x:v>-0.009749272</x:v>
      </x:c>
      <x:c r="AH147" s="38" t="n">
        <x:v>0.2010542091</x:v>
      </x:c>
      <x:c r="AI147" s="38" t="n">
        <x:v>0.0425216349</x:v>
      </x:c>
      <x:c r="AJ147" s="38" t="n">
        <x:v>-0.1448046283</x:v>
      </x:c>
      <x:c r="AK147" s="38" t="n">
        <x:v>-0.0007534821</x:v>
      </x:c>
      <x:c r="AL147" s="38" t="n">
        <x:v>0.064671577</x:v>
      </x:c>
      <x:c r="AM147" s="38" t="n">
        <x:v>-0.060265151</x:v>
      </x:c>
      <x:c r="AN147" s="38" t="n">
        <x:v>-0.1248916986</x:v>
      </x:c>
      <x:c r="AO147" s="38" t="n">
        <x:v>-0.1547038444</x:v>
      </x:c>
      <x:c r="AP147" s="38" t="n">
        <x:v>-0.1229008596</x:v>
      </x:c>
      <x:c r="AQ147" s="38" t="n">
        <x:v>-0.0057998194</x:v>
      </x:c>
      <x:c r="AR147" s="38" t="n">
        <x:v>-0.01024054</x:v>
      </x:c>
      <x:c r="AS147" s="38" t="n">
        <x:v>0.0308347951</x:v>
      </x:c>
    </x:row>
    <x:row r="148" ht="19" customHeight="1">
      <x:c r="A148" s="29" t="str">
        <x:v>Home FX</x:v>
      </x:c>
      <x:c r="B148" s="39" t="d">
        <x:v>2025-04-21T00:00:00.000Z</x:v>
      </x:c>
      <x:c r="C148" s="38" t="n">
        <x:v>0.080540274</x:v>
      </x:c>
      <x:c r="D148" s="38" t="n">
        <x:v>-0.0265181883</x:v>
      </x:c>
      <x:c r="E148" s="38" t="n">
        <x:v>-0.0026830917</x:v>
      </x:c>
      <x:c r="F148" s="38" t="n">
        <x:v>0.0030837883</x:v>
      </x:c>
      <x:c r="G148" s="38" t="n">
        <x:v>-0.1078551336</x:v>
      </x:c>
      <x:c r="H148" s="38" t="n">
        <x:v>0.0479328538</x:v>
      </x:c>
      <x:c r="I148" s="38" t="n">
        <x:v>-0.0254688785</x:v>
      </x:c>
      <x:c r="J148" s="38" t="n">
        <x:v>0.2657570686</x:v>
      </x:c>
      <x:c r="K148" s="38" t="n">
        <x:v>-0.1807686509</x:v>
      </x:c>
      <x:c r="L148" s="38" t="n">
        <x:v>-0.1873878546</x:v>
      </x:c>
      <x:c r="M148" s="38" t="n">
        <x:v>0.0180599246</x:v>
      </x:c>
      <x:c r="N148" s="38" t="n">
        <x:v>0.0195336313</x:v>
      </x:c>
      <x:c r="O148" s="38" t="n">
        <x:v>0.0200032758</x:v>
      </x:c>
      <x:c r="P148" s="38" t="n">
        <x:v>0.0051229803</x:v>
      </x:c>
      <x:c r="Q148" s="38" t="n">
        <x:v>0.0183558218</x:v>
      </x:c>
      <x:c r="R148" s="38" t="n">
        <x:v>-0.1374266054</x:v>
      </x:c>
      <x:c r="S148" s="38" t="n">
        <x:v>0.0201198209</x:v>
      </x:c>
      <x:c r="T148" s="38" t="n">
        <x:v>0.0671825275</x:v>
      </x:c>
      <x:c r="U148" s="38" t="n">
        <x:v>-0.1744888778</x:v>
      </x:c>
      <x:c r="V148" s="38" t="n">
        <x:v>0.1577277295</x:v>
      </x:c>
      <x:c r="W148" s="38" t="n">
        <x:v>0.2152000235</x:v>
      </x:c>
      <x:c r="X148" s="38" t="n">
        <x:v>-0.0888117054</x:v>
      </x:c>
      <x:c r="Y148" s="38" t="n">
        <x:v>-0.1325951182</x:v>
      </x:c>
      <x:c r="Z148" s="38" t="n">
        <x:v>0.1498689352</x:v>
      </x:c>
      <x:c r="AA148" s="38" t="n">
        <x:v>-0.0659216889</x:v>
      </x:c>
      <x:c r="AB148" s="38" t="n">
        <x:v>-0.2791115586</x:v>
      </x:c>
      <x:c r="AC148" s="38" t="n">
        <x:v>0.0377511937</x:v>
      </x:c>
      <x:c r="AD148" s="38" t="n">
        <x:v>-0.0474341591</x:v>
      </x:c>
      <x:c r="AE148" s="38" t="n">
        <x:v>0.0422106436</x:v>
      </x:c>
      <x:c r="AF148" s="38" t="n">
        <x:v>0.0366189572</x:v>
      </x:c>
      <x:c r="AG148" s="38" t="n">
        <x:v>0.0344298955</x:v>
      </x:c>
      <x:c r="AH148" s="38" t="n">
        <x:v>0.1253443443</x:v>
      </x:c>
      <x:c r="AI148" s="38" t="n">
        <x:v>-0.0857028837</x:v>
      </x:c>
      <x:c r="AJ148" s="38" t="n">
        <x:v>0.094747337</x:v>
      </x:c>
      <x:c r="AK148" s="38" t="n">
        <x:v>-0.0560594225</x:v>
      </x:c>
      <x:c r="AL148" s="38" t="n">
        <x:v>-0.0961814611</x:v>
      </x:c>
      <x:c r="AM148" s="38" t="n">
        <x:v>0.0441382706</x:v>
      </x:c>
      <x:c r="AN148" s="38" t="n">
        <x:v>0.0628844542</x:v>
      </x:c>
      <x:c r="AO148" s="38" t="n">
        <x:v>0.0649373481</x:v>
      </x:c>
      <x:c r="AP148" s="38" t="n">
        <x:v>-0.0020755714</x:v>
      </x:c>
      <x:c r="AQ148" s="38" t="n">
        <x:v>0.0282109438</x:v>
      </x:c>
      <x:c r="AR148" s="38" t="n">
        <x:v>-0.0747805456</x:v>
      </x:c>
      <x:c r="AS148" s="38" t="n">
        <x:v>0.0114628689</x:v>
      </x:c>
    </x:row>
    <x:row r="149" ht="19" customHeight="1">
      <x:c r="A149" s="29" t="str">
        <x:v>Home FX</x:v>
      </x:c>
      <x:c r="B149" s="39" t="d">
        <x:v>2025-05-19T00:00:00.000Z</x:v>
      </x:c>
      <x:c r="C149" s="38" t="n">
        <x:v>0.293747019</x:v>
      </x:c>
      <x:c r="D149" s="38" t="n">
        <x:v>0.0101192952</x:v>
      </x:c>
      <x:c r="E149" s="38" t="n">
        <x:v>-0.0369429239</x:v>
      </x:c>
      <x:c r="F149" s="38" t="n">
        <x:v>-0.0187145081</x:v>
      </x:c>
      <x:c r="G149" s="38" t="n">
        <x:v>0.2577412466</x:v>
      </x:c>
      <x:c r="H149" s="38" t="n">
        <x:v>-0.0296836403</x:v>
      </x:c>
      <x:c r="I149" s="38" t="n">
        <x:v>0.081361757</x:v>
      </x:c>
      <x:c r="J149" s="38" t="n">
        <x:v>0.2271533367</x:v>
      </x:c>
      <x:c r="K149" s="38" t="n">
        <x:v>0.2566924175</x:v>
      </x:c>
      <x:c r="L149" s="38" t="n">
        <x:v>0.1714280134</x:v>
      </x:c>
      <x:c r="M149" s="38" t="n">
        <x:v>0.172495835</x:v>
      </x:c>
      <x:c r="N149" s="38" t="n">
        <x:v>0.1400343184</x:v>
      </x:c>
      <x:c r="O149" s="38" t="n">
        <x:v>0.0956950607</x:v>
      </x:c>
      <x:c r="P149" s="38" t="n">
        <x:v>0.2741415759</x:v>
      </x:c>
      <x:c r="Q149" s="38" t="n">
        <x:v>-0.0285741969</x:v>
      </x:c>
      <x:c r="R149" s="38" t="n">
        <x:v>-0.1242909142</x:v>
      </x:c>
      <x:c r="S149" s="38" t="n">
        <x:v>0.0853746288</x:v>
      </x:c>
      <x:c r="T149" s="38" t="n">
        <x:v>0.35295489</x:v>
      </x:c>
      <x:c r="U149" s="38" t="n">
        <x:v>-0.0474537318</x:v>
      </x:c>
      <x:c r="V149" s="38" t="n">
        <x:v>0.2533716511</x:v>
      </x:c>
      <x:c r="W149" s="38" t="n">
        <x:v>0.096971258</x:v>
      </x:c>
      <x:c r="X149" s="38" t="n">
        <x:v>0.0239533188</x:v>
      </x:c>
      <x:c r="Y149" s="38" t="n">
        <x:v>0.207891027</x:v>
      </x:c>
      <x:c r="Z149" s="38" t="n">
        <x:v>-0.0071247884</x:v>
      </x:c>
      <x:c r="AA149" s="38" t="n">
        <x:v>0.0599133428</x:v>
      </x:c>
      <x:c r="AB149" s="38" t="n">
        <x:v>0.1081032808</x:v>
      </x:c>
      <x:c r="AC149" s="38" t="n">
        <x:v>-0.0962746805</x:v>
      </x:c>
      <x:c r="AD149" s="38" t="n">
        <x:v>0.0391408264</x:v>
      </x:c>
      <x:c r="AE149" s="38" t="n">
        <x:v>0.0606120069</x:v>
      </x:c>
      <x:c r="AF149" s="38" t="n">
        <x:v>0.0927023056</x:v>
      </x:c>
      <x:c r="AG149" s="38" t="n">
        <x:v>0.1698915754</x:v>
      </x:c>
      <x:c r="AH149" s="38" t="n">
        <x:v>-0.0076814064</x:v>
      </x:c>
      <x:c r="AI149" s="38" t="n">
        <x:v>0.1747190667</x:v>
      </x:c>
      <x:c r="AJ149" s="38" t="n">
        <x:v>-0.2809064427</x:v>
      </x:c>
      <x:c r="AK149" s="38" t="n">
        <x:v>0.0258362473</x:v>
      </x:c>
      <x:c r="AL149" s="38" t="n">
        <x:v>0.0849150415</x:v>
      </x:c>
      <x:c r="AM149" s="38" t="n">
        <x:v>0.1858265044</x:v>
      </x:c>
      <x:c r="AN149" s="38" t="n">
        <x:v>0.0520838008</x:v>
      </x:c>
      <x:c r="AO149" s="38" t="n">
        <x:v>0.0434438886</x:v>
      </x:c>
      <x:c r="AP149" s="38" t="n">
        <x:v>0.0188262189</x:v>
      </x:c>
      <x:c r="AQ149" s="38" t="n">
        <x:v>-0.002575788</x:v>
      </x:c>
      <x:c r="AR149" s="38" t="n">
        <x:v>-0.0140968183</x:v>
      </x:c>
      <x:c r="AS149" s="38" t="n">
        <x:v>-0.0702882775</x:v>
      </x:c>
    </x:row>
    <x:row r="150" ht="19" customHeight="1">
      <x:c r="A150" s="29" t="str">
        <x:v>Home FX</x:v>
      </x:c>
      <x:c r="B150" s="39" t="d">
        <x:v>2025-06-16T00:00:00.000Z</x:v>
      </x:c>
      <x:c r="C150" s="38" t="n">
        <x:v>0.2125294656</x:v>
      </x:c>
      <x:c r="D150" s="38" t="n">
        <x:v>-0.0011227547</x:v>
      </x:c>
      <x:c r="E150" s="38" t="n">
        <x:v>-0.0148040454</x:v>
      </x:c>
      <x:c r="F150" s="38" t="n">
        <x:v>-0.0302808818</x:v>
      </x:c>
      <x:c r="G150" s="38" t="n">
        <x:v>0.0933091147</x:v>
      </x:c>
      <x:c r="H150" s="38" t="n">
        <x:v>0.0557449368</x:v>
      </x:c>
      <x:c r="I150" s="38" t="n">
        <x:v>0.0567999426</x:v>
      </x:c>
      <x:c r="J150" s="38" t="n">
        <x:v>0.0787208482</x:v>
      </x:c>
      <x:c r="K150" s="38" t="n">
        <x:v>0.1482137261</x:v>
      </x:c>
      <x:c r="L150" s="38" t="n">
        <x:v>0.1248603276</x:v>
      </x:c>
      <x:c r="M150" s="38" t="n">
        <x:v>0.162677732</x:v>
      </x:c>
      <x:c r="N150" s="38" t="n">
        <x:v>-0.0518522529</x:v>
      </x:c>
      <x:c r="O150" s="38" t="n">
        <x:v>-0.0215440434</x:v>
      </x:c>
      <x:c r="P150" s="38" t="n">
        <x:v>0.2261078117</x:v>
      </x:c>
      <x:c r="Q150" s="38" t="n">
        <x:v>0.0927451261</x:v>
      </x:c>
      <x:c r="R150" s="38" t="n">
        <x:v>-0.0305146559</x:v>
      </x:c>
      <x:c r="S150" s="38" t="n">
        <x:v>-0.0423042285</x:v>
      </x:c>
      <x:c r="T150" s="38" t="n">
        <x:v>0.1691760874</x:v>
      </x:c>
      <x:c r="U150" s="38" t="n">
        <x:v>-0.0185029055</x:v>
      </x:c>
      <x:c r="V150" s="38" t="n">
        <x:v>0.0816746606</x:v>
      </x:c>
      <x:c r="W150" s="38" t="n">
        <x:v>0.0510535012</x:v>
      </x:c>
      <x:c r="X150" s="38" t="n">
        <x:v>0.000388322</x:v>
      </x:c>
      <x:c r="Y150" s="38" t="n">
        <x:v>0.3759585418</x:v>
      </x:c>
      <x:c r="Z150" s="38" t="n">
        <x:v>0.1160660183</x:v>
      </x:c>
      <x:c r="AA150" s="38" t="n">
        <x:v>-0.0760243785</x:v>
      </x:c>
      <x:c r="AB150" s="38" t="n">
        <x:v>0.0865080825</x:v>
      </x:c>
      <x:c r="AC150" s="38" t="n">
        <x:v>0.3326785289</x:v>
      </x:c>
      <x:c r="AD150" s="38" t="n">
        <x:v>-0.0559442943</x:v>
      </x:c>
      <x:c r="AE150" s="38" t="n">
        <x:v>0.029432643</x:v>
      </x:c>
      <x:c r="AF150" s="38" t="n">
        <x:v>0.050690276</x:v>
      </x:c>
      <x:c r="AG150" s="38" t="n">
        <x:v>-0.024128087</x:v>
      </x:c>
      <x:c r="AH150" s="38" t="n">
        <x:v>0.0653255426</x:v>
      </x:c>
      <x:c r="AI150" s="38" t="n">
        <x:v>0.201877667</x:v>
      </x:c>
      <x:c r="AJ150" s="38" t="n">
        <x:v>0.0890398801</x:v>
      </x:c>
      <x:c r="AK150" s="38" t="n">
        <x:v>0.0184726243</x:v>
      </x:c>
      <x:c r="AL150" s="38" t="n">
        <x:v>-0.0783099836</x:v>
      </x:c>
      <x:c r="AM150" s="38" t="n">
        <x:v>0.0786916599</x:v>
      </x:c>
      <x:c r="AN150" s="38" t="n">
        <x:v>-0.0130180251</x:v>
      </x:c>
      <x:c r="AO150" s="38" t="n">
        <x:v>-0.0380286406</x:v>
      </x:c>
      <x:c r="AP150" s="38" t="n">
        <x:v>-0.040964916</x:v>
      </x:c>
      <x:c r="AQ150" s="38" t="n">
        <x:v>-0.0463737736</x:v>
      </x:c>
      <x:c r="AR150" s="38" t="n">
        <x:v>-0.0164536919</x:v>
      </x:c>
      <x:c r="AS150" s="38" t="n">
        <x:v>-0.0504860693</x:v>
      </x:c>
    </x:row>
    <x:row r="151" ht="19" customHeight="1">
      <x:c r="A151" s="29" t="str">
        <x:v>Home FX</x:v>
      </x:c>
      <x:c r="B151" s="39" t="d">
        <x:v>2025-07-14T00:00:00.000Z</x:v>
      </x:c>
      <x:c r="C151" s="38" t="n">
        <x:v>0.056886716</x:v>
      </x:c>
      <x:c r="D151" s="38" t="n">
        <x:v>-0.2242844417</x:v>
      </x:c>
      <x:c r="E151" s="38" t="n">
        <x:v>0.0734660686</x:v>
      </x:c>
      <x:c r="F151" s="38" t="n">
        <x:v>0.0882399685</x:v>
      </x:c>
      <x:c r="G151" s="38" t="n">
        <x:v>0.0488947918</x:v>
      </x:c>
      <x:c r="H151" s="38" t="n">
        <x:v>0.0293022236</x:v>
      </x:c>
      <x:c r="I151" s="38" t="n">
        <x:v>0.1026103805</x:v>
      </x:c>
      <x:c r="J151" s="38" t="n">
        <x:v>0.139806996</x:v>
      </x:c>
      <x:c r="K151" s="38" t="n">
        <x:v>0.12937937</x:v>
      </x:c>
      <x:c r="L151" s="38" t="n">
        <x:v>0.0478041218</x:v>
      </x:c>
      <x:c r="M151" s="38" t="n">
        <x:v>-0.1089604003</x:v>
      </x:c>
      <x:c r="N151" s="38" t="n">
        <x:v>0.0066527714</x:v>
      </x:c>
      <x:c r="O151" s="38" t="n">
        <x:v>0.0139449151</x:v>
      </x:c>
      <x:c r="P151" s="38" t="n">
        <x:v>0.1863346448</x:v>
      </x:c>
      <x:c r="Q151" s="38" t="n">
        <x:v>-0.0739366162</x:v>
      </x:c>
      <x:c r="R151" s="38" t="n">
        <x:v>0.1032983729</x:v>
      </x:c>
      <x:c r="S151" s="38" t="n">
        <x:v>0.0035183049</x:v>
      </x:c>
      <x:c r="T151" s="38" t="n">
        <x:v>0.1303954851</x:v>
      </x:c>
      <x:c r="U151" s="38" t="n">
        <x:v>0.2557059901</x:v>
      </x:c>
      <x:c r="V151" s="38" t="n">
        <x:v>-0.0376451913</x:v>
      </x:c>
      <x:c r="W151" s="38" t="n">
        <x:v>-0.0246979929</x:v>
      </x:c>
      <x:c r="X151" s="38" t="n">
        <x:v>0.0127984531</x:v>
      </x:c>
      <x:c r="Y151" s="38" t="n">
        <x:v>-0.1039919499</x:v>
      </x:c>
      <x:c r="Z151" s="38" t="n">
        <x:v>-0.0009341734</x:v>
      </x:c>
      <x:c r="AA151" s="38" t="n">
        <x:v>-0.0829228749</x:v>
      </x:c>
      <x:c r="AB151" s="38" t="n">
        <x:v>0.29775227</x:v>
      </x:c>
      <x:c r="AC151" s="38" t="n">
        <x:v>0.4087815875</x:v>
      </x:c>
      <x:c r="AD151" s="38" t="n">
        <x:v>-0.0251793885</x:v>
      </x:c>
      <x:c r="AE151" s="38" t="n">
        <x:v>0.071269889</x:v>
      </x:c>
      <x:c r="AF151" s="38" t="n">
        <x:v>0.2196857047</x:v>
      </x:c>
      <x:c r="AG151" s="38" t="n">
        <x:v>0.1946146963</x:v>
      </x:c>
      <x:c r="AH151" s="38" t="n">
        <x:v>0.1109786688</x:v>
      </x:c>
      <x:c r="AI151" s="38" t="n">
        <x:v>0.2749858787</x:v>
      </x:c>
      <x:c r="AJ151" s="38" t="n">
        <x:v>0.0159120243</x:v>
      </x:c>
      <x:c r="AK151" s="38" t="n">
        <x:v>0.0684486561</x:v>
      </x:c>
      <x:c r="AL151" s="38" t="n">
        <x:v>-0.1269174899</x:v>
      </x:c>
      <x:c r="AM151" s="38" t="n">
        <x:v>0.0899325576</x:v>
      </x:c>
      <x:c r="AN151" s="38" t="n">
        <x:v>0.1425296808</x:v>
      </x:c>
      <x:c r="AO151" s="38" t="n">
        <x:v>-0.0413092105</x:v>
      </x:c>
      <x:c r="AP151" s="38" t="n">
        <x:v>0.0375059705</x:v>
      </x:c>
      <x:c r="AQ151" s="38" t="n">
        <x:v>0.0198002399</x:v>
      </x:c>
      <x:c r="AR151" s="38" t="n">
        <x:v>0.1207200377</x:v>
      </x:c>
      <x:c r="AS151" s="38" t="n">
        <x:v>-0.0313409836</x:v>
      </x:c>
    </x:row>
    <x:row r="152" ht="19" customHeight="1">
      <x:c r="A152" s="29" t="str">
        <x:v>Home FX</x:v>
      </x:c>
      <x:c r="B152" s="39" t="d">
        <x:v>2025-08-11T00:00:00.000Z</x:v>
      </x:c>
      <x:c r="C152" s="38" t="n">
        <x:v>0.0305192617</x:v>
      </x:c>
      <x:c r="D152" s="38" t="n">
        <x:v>-0.1336299369</x:v>
      </x:c>
      <x:c r="E152" s="38" t="n">
        <x:v>0.0690202664</x:v>
      </x:c>
      <x:c r="F152" s="38" t="n">
        <x:v>0.0518674874</x:v>
      </x:c>
      <x:c r="G152" s="38" t="n">
        <x:v>-0.0702302518</x:v>
      </x:c>
      <x:c r="H152" s="38" t="n">
        <x:v>-0.2793177395</x:v>
      </x:c>
      <x:c r="I152" s="38" t="n">
        <x:v>0.0295568054</x:v>
      </x:c>
      <x:c r="J152" s="38" t="n">
        <x:v>0.2848201961</x:v>
      </x:c>
      <x:c r="K152" s="38" t="n">
        <x:v>-0.0140487458</x:v>
      </x:c>
      <x:c r="L152" s="38" t="n">
        <x:v>-0.0799291632</x:v>
      </x:c>
      <x:c r="M152" s="38" t="n">
        <x:v>-0.0958890351</x:v>
      </x:c>
      <x:c r="N152" s="38" t="n">
        <x:v>-0.0636396141</x:v>
      </x:c>
      <x:c r="O152" s="38" t="n">
        <x:v>0.0165346306</x:v>
      </x:c>
      <x:c r="P152" s="38" t="n">
        <x:v>0.1361922585</x:v>
      </x:c>
      <x:c r="Q152" s="38" t="n">
        <x:v>0.1951265631</x:v>
      </x:c>
      <x:c r="R152" s="38" t="n">
        <x:v>0.069224944</x:v>
      </x:c>
      <x:c r="S152" s="38" t="n">
        <x:v>-0.0039204644</x:v>
      </x:c>
      <x:c r="T152" s="38" t="n">
        <x:v>0.0246495001</x:v>
      </x:c>
      <x:c r="U152" s="38" t="n">
        <x:v>-0.1508632085</x:v>
      </x:c>
      <x:c r="V152" s="38" t="n">
        <x:v>-0.0033777091</x:v>
      </x:c>
      <x:c r="W152" s="38" t="n">
        <x:v>0.0334650428</x:v>
      </x:c>
      <x:c r="X152" s="38" t="n">
        <x:v>-0.0442112592</x:v>
      </x:c>
      <x:c r="Y152" s="38" t="n">
        <x:v>0.075971389</x:v>
      </x:c>
      <x:c r="Z152" s="38" t="n">
        <x:v>0.2415066541</x:v>
      </x:c>
      <x:c r="AA152" s="38" t="n">
        <x:v>0.0041341501</x:v>
      </x:c>
      <x:c r="AB152" s="38" t="n">
        <x:v>0.0765396911</x:v>
      </x:c>
      <x:c r="AC152" s="38" t="n">
        <x:v>-0.277162391</x:v>
      </x:c>
      <x:c r="AD152" s="38" t="n">
        <x:v>-0.006593713</x:v>
      </x:c>
      <x:c r="AE152" s="38" t="n">
        <x:v>0.0525569946</x:v>
      </x:c>
      <x:c r="AF152" s="38" t="n">
        <x:v>0.0032616649</x:v>
      </x:c>
      <x:c r="AG152" s="38" t="n">
        <x:v>0.0351381935</x:v>
      </x:c>
      <x:c r="AH152" s="38" t="n">
        <x:v>0.0622834264</x:v>
      </x:c>
      <x:c r="AI152" s="38" t="n">
        <x:v>0.169371458</x:v>
      </x:c>
      <x:c r="AJ152" s="38" t="n">
        <x:v>-0.1290214338</x:v>
      </x:c>
      <x:c r="AK152" s="38" t="n">
        <x:v>0.0390620624</x:v>
      </x:c>
      <x:c r="AL152" s="38" t="n">
        <x:v>-0.175623124</x:v>
      </x:c>
      <x:c r="AM152" s="38" t="n">
        <x:v>0.0270880521</x:v>
      </x:c>
      <x:c r="AN152" s="38" t="n">
        <x:v>0.1336686132</x:v>
      </x:c>
      <x:c r="AO152" s="38" t="n">
        <x:v>0.032152153</x:v>
      </x:c>
      <x:c r="AP152" s="38" t="n">
        <x:v>0.1454261421</x:v>
      </x:c>
      <x:c r="AQ152" s="38" t="n">
        <x:v>0.001381102</x:v>
      </x:c>
      <x:c r="AR152" s="38" t="n">
        <x:v>0.1048927304</x:v>
      </x:c>
      <x:c r="AS152" s="38" t="n">
        <x:v>0.009858638</x:v>
      </x:c>
    </x:row>
    <x:row r="153" ht="19" customHeight="1">
      <x:c r="A153" s="29" t="str">
        <x:v>Home FX</x:v>
      </x:c>
      <x:c r="B153" s="39" t="d">
        <x:v>2025-09-08T00:00:00.000Z</x:v>
      </x:c>
      <x:c r="C153" s="38" t="n">
        <x:v>0.0850183949</x:v>
      </x:c>
      <x:c r="D153" s="38" t="n">
        <x:v>-0.2477811629</x:v>
      </x:c>
      <x:c r="E153" s="38" t="n">
        <x:v>-0.0319520334</x:v>
      </x:c>
      <x:c r="F153" s="38" t="n">
        <x:v>0.0182381207</x:v>
      </x:c>
      <x:c r="G153" s="38" t="n">
        <x:v>0.0068903142</x:v>
      </x:c>
      <x:c r="H153" s="38" t="n">
        <x:v>-0.1832766126</x:v>
      </x:c>
      <x:c r="I153" s="38" t="n">
        <x:v>-0.0175409292</x:v>
      </x:c>
      <x:c r="J153" s="38" t="n">
        <x:v>0.1421035906</x:v>
      </x:c>
      <x:c r="K153" s="38" t="n">
        <x:v>0.3015346217</x:v>
      </x:c>
      <x:c r="L153" s="38" t="n">
        <x:v>0.1900885677</x:v>
      </x:c>
      <x:c r="M153" s="38" t="n">
        <x:v>-0.0044021232</x:v>
      </x:c>
      <x:c r="N153" s="38" t="n">
        <x:v>-0.0102179566</x:v>
      </x:c>
      <x:c r="O153" s="38" t="n">
        <x:v>0.0105632774</x:v>
      </x:c>
      <x:c r="P153" s="38" t="n">
        <x:v>0.3696709112</x:v>
      </x:c>
      <x:c r="Q153" s="38" t="n">
        <x:v>-0.0328001336</x:v>
      </x:c>
      <x:c r="R153" s="38" t="n">
        <x:v>0.1951967974</x:v>
      </x:c>
      <x:c r="S153" s="38" t="n">
        <x:v>-0.0539408535</x:v>
      </x:c>
      <x:c r="T153" s="38" t="n">
        <x:v>0.135291098</x:v>
      </x:c>
      <x:c r="U153" s="38" t="n">
        <x:v>-0.2453949702</x:v>
      </x:c>
      <x:c r="V153" s="38" t="n">
        <x:v>0.0034996022</x:v>
      </x:c>
      <x:c r="W153" s="38" t="n">
        <x:v>-0.0582018379</x:v>
      </x:c>
      <x:c r="X153" s="38" t="n">
        <x:v>-0.0163991258</x:v>
      </x:c>
      <x:c r="Y153" s="38" t="n">
        <x:v>0.3677499986</x:v>
      </x:c>
      <x:c r="Z153" s="38" t="n">
        <x:v>0.1916396712</x:v>
      </x:c>
      <x:c r="AA153" s="38" t="n">
        <x:v>0.0063788839</x:v>
      </x:c>
      <x:c r="AB153" s="38" t="n">
        <x:v>0.0027266329</x:v>
      </x:c>
      <x:c r="AC153" s="38" t="n">
        <x:v>-0.0222116137</x:v>
      </x:c>
      <x:c r="AD153" s="38" t="n">
        <x:v>0.0317060429</x:v>
      </x:c>
      <x:c r="AE153" s="38" t="n">
        <x:v>0.0290319442</x:v>
      </x:c>
      <x:c r="AF153" s="38" t="n">
        <x:v>0.2180044066</x:v>
      </x:c>
      <x:c r="AG153" s="38" t="n">
        <x:v>-0.1198229821</x:v>
      </x:c>
      <x:c r="AH153" s="38" t="n">
        <x:v>0.0506147505</x:v>
      </x:c>
      <x:c r="AI153" s="38" t="n">
        <x:v>-0.1577734943</x:v>
      </x:c>
      <x:c r="AJ153" s="38" t="n">
        <x:v>0.1040326654</x:v>
      </x:c>
      <x:c r="AK153" s="38" t="n">
        <x:v>0.0524806098</x:v>
      </x:c>
      <x:c r="AL153" s="38" t="n">
        <x:v>0.080529454</x:v>
      </x:c>
      <x:c r="AM153" s="38" t="n">
        <x:v>-0.0255870645</x:v>
      </x:c>
      <x:c r="AN153" s="38" t="n">
        <x:v>0.2338425644</x:v>
      </x:c>
      <x:c r="AO153" s="38" t="n">
        <x:v>-0.0059681667</x:v>
      </x:c>
      <x:c r="AP153" s="38" t="n">
        <x:v>0.0872313568</x:v>
      </x:c>
      <x:c r="AQ153" s="38" t="n">
        <x:v>-0.0594421251</x:v>
      </x:c>
      <x:c r="AR153" s="38" t="n">
        <x:v>0.0214221609</x:v>
      </x:c>
      <x:c r="AS153" s="38" t="n">
        <x:v>0.0476454225</x:v>
      </x:c>
    </x:row>
    <x:row r="154" ht="19" customHeight="1">
      <x:c r="A154" s="29" t="str">
        <x:v>Home FX</x:v>
      </x:c>
      <x:c r="B154" s="39" t="d">
        <x:v>2025-10-06T00:00:00.000Z</x:v>
      </x:c>
      <x:c r="C154" s="38" t="n">
        <x:v>-0.0880816772</x:v>
      </x:c>
      <x:c r="D154" s="38" t="n">
        <x:v>0.0221101815</x:v>
      </x:c>
      <x:c r="E154" s="38" t="n">
        <x:v>0.0949559307</x:v>
      </x:c>
      <x:c r="F154" s="38" t="n">
        <x:v>0.0759904748</x:v>
      </x:c>
      <x:c r="G154" s="38" t="n">
        <x:v>-0.085311389</x:v>
      </x:c>
      <x:c r="H154" s="38" t="n">
        <x:v>0.0430275423</x:v>
      </x:c>
      <x:c r="I154" s="38" t="n">
        <x:v>-0.0751822581</x:v>
      </x:c>
      <x:c r="J154" s="38" t="n">
        <x:v>0.1127717782</x:v>
      </x:c>
      <x:c r="K154" s="38" t="n">
        <x:v>0.1417524776</x:v>
      </x:c>
      <x:c r="L154" s="38" t="n">
        <x:v>0.011715451</x:v>
      </x:c>
      <x:c r="M154" s="38" t="n">
        <x:v>0.0280412966</x:v>
      </x:c>
      <x:c r="N154" s="38" t="n">
        <x:v>0.0872225068</x:v>
      </x:c>
      <x:c r="O154" s="38" t="n">
        <x:v>-0.0698994719</x:v>
      </x:c>
      <x:c r="P154" s="38" t="n">
        <x:v>0.2369564485</x:v>
      </x:c>
      <x:c r="Q154" s="38" t="n">
        <x:v>0.0985940615</x:v>
      </x:c>
      <x:c r="R154" s="38" t="n">
        <x:v>0.0621936525</x:v>
      </x:c>
      <x:c r="S154" s="38" t="n">
        <x:v>0.048628088</x:v>
      </x:c>
      <x:c r="T154" s="38" t="n">
        <x:v>-0.0488916813</x:v>
      </x:c>
      <x:c r="U154" s="38" t="n">
        <x:v>0.1873334839</x:v>
      </x:c>
      <x:c r="V154" s="38" t="n">
        <x:v>-0.1032625713</x:v>
      </x:c>
      <x:c r="W154" s="38" t="n">
        <x:v>0.0372624249</x:v>
      </x:c>
      <x:c r="X154" s="38" t="n">
        <x:v>-0.1485285483</x:v>
      </x:c>
      <x:c r="Y154" s="38" t="n">
        <x:v>0.2052423242</x:v>
      </x:c>
      <x:c r="Z154" s="38" t="n">
        <x:v>0.1016682403</x:v>
      </x:c>
      <x:c r="AA154" s="38" t="n">
        <x:v>-0.0475264707</x:v>
      </x:c>
      <x:c r="AB154" s="38" t="n">
        <x:v>0.6578875083</x:v>
      </x:c>
      <x:c r="AC154" s="38" t="n">
        <x:v>-0.3704156364</x:v>
      </x:c>
      <x:c r="AD154" s="38" t="n">
        <x:v>-0.0757241589</x:v>
      </x:c>
      <x:c r="AE154" s="38" t="n">
        <x:v>-0.0331681651</x:v>
      </x:c>
      <x:c r="AF154" s="38" t="n">
        <x:v>-0.0115770774</x:v>
      </x:c>
      <x:c r="AG154" s="38" t="n">
        <x:v>-0.0346359802</x:v>
      </x:c>
      <x:c r="AH154" s="38" t="n">
        <x:v>0.0421132421</x:v>
      </x:c>
      <x:c r="AI154" s="38" t="n">
        <x:v>0.4310919035</x:v>
      </x:c>
      <x:c r="AJ154" s="38" t="n">
        <x:v>0.1395306169</x:v>
      </x:c>
      <x:c r="AK154" s="38" t="n">
        <x:v>-0.0270041725</x:v>
      </x:c>
      <x:c r="AL154" s="38" t="n">
        <x:v>0.2218132747</x:v>
      </x:c>
      <x:c r="AM154" s="38" t="n">
        <x:v>0.0029450427</x:v>
      </x:c>
      <x:c r="AN154" s="38" t="n">
        <x:v>-0.0251338578</x:v>
      </x:c>
      <x:c r="AO154" s="38" t="n">
        <x:v>-0.0566326083</x:v>
      </x:c>
      <x:c r="AP154" s="38" t="n">
        <x:v>-0.1669405149</x:v>
      </x:c>
      <x:c r="AQ154" s="38" t="n">
        <x:v>0.0114693276</x:v>
      </x:c>
      <x:c r="AR154" s="38" t="n">
        <x:v>0.0974085706</x:v>
      </x:c>
      <x:c r="AS154" s="38" t="n">
        <x:v>-0.013303514</x:v>
      </x:c>
    </x:row>
    <x:row r="155" ht="19" customHeight="1">
      <x:c r="A155" s="29" t="str">
        <x:v>Home FX</x:v>
      </x:c>
      <x:c r="B155" s="39" t="d">
        <x:v>2025-11-03T00:00:00.000Z</x:v>
      </x:c>
      <x:c r="C155" s="38" t="n">
        <x:v>-0.0434647777</x:v>
      </x:c>
      <x:c r="D155" s="38" t="n">
        <x:v>0.334606808</x:v>
      </x:c>
      <x:c r="E155" s="38" t="n">
        <x:v>0.0529618985</x:v>
      </x:c>
      <x:c r="F155" s="38" t="n">
        <x:v>0.0288493178</x:v>
      </x:c>
      <x:c r="G155" s="38" t="n">
        <x:v>0.0202738184</x:v>
      </x:c>
      <x:c r="H155" s="38" t="n">
        <x:v>-0.379277047</x:v>
      </x:c>
      <x:c r="I155" s="38" t="n">
        <x:v>0.1752686622</x:v>
      </x:c>
      <x:c r="J155" s="38" t="n">
        <x:v>0.22651007</x:v>
      </x:c>
      <x:c r="K155" s="38" t="n">
        <x:v>0.3471194086</x:v>
      </x:c>
      <x:c r="L155" s="38" t="n">
        <x:v>0.1518871187</x:v>
      </x:c>
      <x:c r="M155" s="38" t="n">
        <x:v>-0.0902158889</x:v>
      </x:c>
      <x:c r="N155" s="38" t="n">
        <x:v>-0.0610279758</x:v>
      </x:c>
      <x:c r="O155" s="38" t="n">
        <x:v>-0.259573691</x:v>
      </x:c>
      <x:c r="P155" s="38" t="n">
        <x:v>0.4961125826</x:v>
      </x:c>
      <x:c r="Q155" s="38" t="n">
        <x:v>-0.0882911695</x:v>
      </x:c>
      <x:c r="R155" s="38" t="n">
        <x:v>0.4068166639</x:v>
      </x:c>
      <x:c r="S155" s="38" t="n">
        <x:v>0.0265120717</x:v>
      </x:c>
      <x:c r="T155" s="38" t="n">
        <x:v>0.1223831318</x:v>
      </x:c>
      <x:c r="U155" s="38" t="n">
        <x:v>-0.1283206222</x:v>
      </x:c>
      <x:c r="V155" s="38" t="n">
        <x:v>-0.2219246707</x:v>
      </x:c>
      <x:c r="W155" s="38" t="n">
        <x:v>-0.1442403762</x:v>
      </x:c>
      <x:c r="X155" s="38" t="n">
        <x:v>-0.1068908623</x:v>
      </x:c>
      <x:c r="Y155" s="38" t="n">
        <x:v>0.3885280289</x:v>
      </x:c>
      <x:c r="Z155" s="38" t="n">
        <x:v>-0.0298718364</x:v>
      </x:c>
      <x:c r="AA155" s="38" t="n">
        <x:v>-0.143109129</x:v>
      </x:c>
      <x:c r="AB155" s="38" t="n">
        <x:v>0.1797471359</x:v>
      </x:c>
      <x:c r="AC155" s="38" t="n">
        <x:v>-0.330753606</x:v>
      </x:c>
      <x:c r="AD155" s="38" t="n">
        <x:v>-0.0162548886</x:v>
      </x:c>
      <x:c r="AE155" s="38" t="n">
        <x:v>0.2272284794</x:v>
      </x:c>
      <x:c r="AF155" s="38" t="n">
        <x:v>-0.0571189479</x:v>
      </x:c>
      <x:c r="AG155" s="38" t="n">
        <x:v>-0.1144609549</x:v>
      </x:c>
      <x:c r="AH155" s="38" t="n">
        <x:v>0.1290748963</x:v>
      </x:c>
      <x:c r="AI155" s="38" t="n">
        <x:v>0.1196395229</x:v>
      </x:c>
      <x:c r="AJ155" s="38" t="n">
        <x:v>0.148851844</x:v>
      </x:c>
      <x:c r="AK155" s="38" t="n">
        <x:v>0.1966355423</x:v>
      </x:c>
      <x:c r="AL155" s="38" t="n">
        <x:v>0.3459520238</x:v>
      </x:c>
      <x:c r="AM155" s="38" t="n">
        <x:v>-0.0403639469</x:v>
      </x:c>
      <x:c r="AN155" s="38" t="n">
        <x:v>0.2363979339</x:v>
      </x:c>
      <x:c r="AO155" s="38" t="n">
        <x:v>-0.0092543677</x:v>
      </x:c>
      <x:c r="AP155" s="38" t="n">
        <x:v>-0.017871826</x:v>
      </x:c>
      <x:c r="AQ155" s="38" t="n">
        <x:v>0.073400176</x:v>
      </x:c>
      <x:c r="AR155" s="38" t="n">
        <x:v>-0.0316426295</x:v>
      </x:c>
      <x:c r="AS155" s="38" t="n">
        <x:v>0.0289071912</x:v>
      </x:c>
    </x:row>
    <x:row r="156" ht="19" customHeight="1">
      <x:c r="A156" s="29" t="str">
        <x:v>Home FX</x:v>
      </x:c>
      <x:c r="B156" s="39" t="d">
        <x:v>2025-12-01T00:00:00.000Z</x:v>
      </x:c>
      <x:c r="C156" s="38" t="n">
        <x:v>-0.1943939573</x:v>
      </x:c>
      <x:c r="D156" s="38" t="n">
        <x:v>0.0443687848</x:v>
      </x:c>
      <x:c r="E156" s="38" t="n">
        <x:v>-0.0360381877</x:v>
      </x:c>
      <x:c r="F156" s="38" t="n">
        <x:v>-0.035569581</x:v>
      </x:c>
      <x:c r="G156" s="38" t="n">
        <x:v>-0.0734787367</x:v>
      </x:c>
      <x:c r="H156" s="38" t="n">
        <x:v>0.151593104</x:v>
      </x:c>
      <x:c r="I156" s="38" t="n">
        <x:v>-0.0916280316</x:v>
      </x:c>
      <x:c r="J156" s="38" t="n">
        <x:v>0.0698257255</x:v>
      </x:c>
      <x:c r="K156" s="38" t="n">
        <x:v>-0.0746459177</x:v>
      </x:c>
      <x:c r="L156" s="38" t="n">
        <x:v>-0.0031757738</x:v>
      </x:c>
      <x:c r="M156" s="38" t="n">
        <x:v>-0.0670567345</x:v>
      </x:c>
      <x:c r="N156" s="38" t="n">
        <x:v>0.0647062517</x:v>
      </x:c>
      <x:c r="O156" s="38" t="n">
        <x:v>0.1064564067</x:v>
      </x:c>
      <x:c r="P156" s="38" t="n">
        <x:v>0.0533115963</x:v>
      </x:c>
      <x:c r="Q156" s="38" t="n">
        <x:v>0.0377338129</x:v>
      </x:c>
      <x:c r="R156" s="38" t="n">
        <x:v>-0.0352094358</x:v>
      </x:c>
      <x:c r="S156" s="38" t="n">
        <x:v>-0.0300087935</x:v>
      </x:c>
      <x:c r="T156" s="38" t="n">
        <x:v>-0.2146767513</x:v>
      </x:c>
      <x:c r="U156" s="38" t="n">
        <x:v>0.1766933934</x:v>
      </x:c>
      <x:c r="V156" s="38" t="n">
        <x:v>-0.1304985656</x:v>
      </x:c>
      <x:c r="W156" s="38" t="n">
        <x:v>-0.1403809088</x:v>
      </x:c>
      <x:c r="X156" s="38" t="n">
        <x:v>-0.0021349378</x:v>
      </x:c>
      <x:c r="Y156" s="38" t="n">
        <x:v>-0.004298126</x:v>
      </x:c>
      <x:c r="Z156" s="38" t="n">
        <x:v>0.1116124672</x:v>
      </x:c>
      <x:c r="AA156" s="38" t="n">
        <x:v>0.0372524666</x:v>
      </x:c>
      <x:c r="AB156" s="38" t="n">
        <x:v>0.1540082663</x:v>
      </x:c>
      <x:c r="AC156" s="38" t="n">
        <x:v>0.2794378935</x:v>
      </x:c>
      <x:c r="AD156" s="38" t="n">
        <x:v>-0.0354617872</x:v>
      </x:c>
      <x:c r="AE156" s="38" t="n">
        <x:v>-0.0200135981</x:v>
      </x:c>
      <x:c r="AF156" s="38" t="n">
        <x:v>-0.0074838746</x:v>
      </x:c>
      <x:c r="AG156" s="38" t="n">
        <x:v>0.053572611</x:v>
      </x:c>
      <x:c r="AH156" s="38" t="n">
        <x:v>-0.0172394491</x:v>
      </x:c>
      <x:c r="AI156" s="38" t="n">
        <x:v>-0.1006466097</x:v>
      </x:c>
      <x:c r="AJ156" s="38" t="n">
        <x:v>0.1318222539</x:v>
      </x:c>
      <x:c r="AK156" s="38" t="n">
        <x:v>0.1096917877</x:v>
      </x:c>
      <x:c r="AL156" s="38" t="n">
        <x:v>-0.1955229873</x:v>
      </x:c>
      <x:c r="AM156" s="38" t="n">
        <x:v>-0.037941813</x:v>
      </x:c>
      <x:c r="AN156" s="38" t="n">
        <x:v>0.2066729935</x:v>
      </x:c>
      <x:c r="AO156" s="38" t="n">
        <x:v>-0.0450476273</x:v>
      </x:c>
      <x:c r="AP156" s="38" t="n">
        <x:v>-0.0569386325</x:v>
      </x:c>
      <x:c r="AQ156" s="38" t="n">
        <x:v>-0.0012068158</x:v>
      </x:c>
      <x:c r="AR156" s="38" t="n">
        <x:v>0.1246395819</x:v>
      </x:c>
      <x:c r="AS156" s="38" t="n">
        <x:v>0.0153521649</x:v>
      </x:c>
    </x:row>
    <x:row r="157" ht="19" customHeight="1">
      <x:c r="A157" s="29" t="str">
        <x:v>Home FX</x:v>
      </x:c>
      <x:c r="B157" s="39" t="d">
        <x:v>2025-12-29T00:00:00.000Z</x:v>
      </x:c>
      <x:c r="C157" s="38" t="n">
        <x:v>-0.0152080045</x:v>
      </x:c>
      <x:c r="D157" s="38" t="n">
        <x:v>-0.0990445755</x:v>
      </x:c>
      <x:c r="E157" s="38" t="n">
        <x:v>-0.0219368003</x:v>
      </x:c>
      <x:c r="F157" s="38" t="n">
        <x:v>-0.0056636164</x:v>
      </x:c>
      <x:c r="G157" s="38" t="n">
        <x:v>0.0992535516</x:v>
      </x:c>
      <x:c r="H157" s="38" t="n">
        <x:v>0.1471753239</x:v>
      </x:c>
      <x:c r="I157" s="38" t="n">
        <x:v>-0.0196600404</x:v>
      </x:c>
      <x:c r="J157" s="38" t="n">
        <x:v>0.0031874521</x:v>
      </x:c>
      <x:c r="K157" s="38" t="n">
        <x:v>-0.0412665573</x:v>
      </x:c>
      <x:c r="L157" s="38" t="n">
        <x:v>-0.0769860592</x:v>
      </x:c>
      <x:c r="M157" s="38" t="n">
        <x:v>0.0421363419</x:v>
      </x:c>
      <x:c r="N157" s="38" t="n">
        <x:v>-0.0050949237</x:v>
      </x:c>
      <x:c r="O157" s="38" t="n">
        <x:v>0.0279835723</x:v>
      </x:c>
      <x:c r="P157" s="38" t="n">
        <x:v>0.1562254996</x:v>
      </x:c>
      <x:c r="Q157" s="38" t="n">
        <x:v>0.0375107178</x:v>
      </x:c>
      <x:c r="R157" s="38" t="n">
        <x:v>0.0203813531</x:v>
      </x:c>
      <x:c r="S157" s="38" t="n">
        <x:v>0.0002905191</x:v>
      </x:c>
      <x:c r="T157" s="38" t="n">
        <x:v>-0.036748523</x:v>
      </x:c>
      <x:c r="U157" s="38" t="n">
        <x:v>0.1598221714</x:v>
      </x:c>
      <x:c r="V157" s="38" t="n">
        <x:v>0.0331906753</x:v>
      </x:c>
      <x:c r="W157" s="38" t="n">
        <x:v>-0.1432365165</x:v>
      </x:c>
      <x:c r="X157" s="38" t="n">
        <x:v>0.1161251649</x:v>
      </x:c>
      <x:c r="Y157" s="38" t="n">
        <x:v>0.4221168928</x:v>
      </x:c>
      <x:c r="Z157" s="38" t="n">
        <x:v>0.1777655617</x:v>
      </x:c>
      <x:c r="AA157" s="38" t="n">
        <x:v>0.0178330825</x:v>
      </x:c>
      <x:c r="AB157" s="38" t="n">
        <x:v>-0.1287285757</x:v>
      </x:c>
      <x:c r="AC157" s="38" t="n">
        <x:v>-0.029081727</x:v>
      </x:c>
      <x:c r="AD157" s="38" t="n">
        <x:v>-0.0172197701</x:v>
      </x:c>
      <x:c r="AE157" s="38" t="n">
        <x:v>0.0347857738</x:v>
      </x:c>
      <x:c r="AF157" s="38" t="n">
        <x:v>0.0612020618</x:v>
      </x:c>
      <x:c r="AG157" s="38" t="n">
        <x:v>0.178440918</x:v>
      </x:c>
      <x:c r="AH157" s="38" t="n">
        <x:v>0.2045848148</x:v>
      </x:c>
      <x:c r="AI157" s="38" t="n">
        <x:v>0.036867395</x:v>
      </x:c>
      <x:c r="AJ157" s="38" t="n">
        <x:v>0.0991778149</x:v>
      </x:c>
      <x:c r="AK157" s="38" t="n">
        <x:v>-0.1314498761</x:v>
      </x:c>
      <x:c r="AL157" s="38" t="n">
        <x:v>0.0817619189</x:v>
      </x:c>
      <x:c r="AM157" s="38" t="n">
        <x:v>-0.0316295788</x:v>
      </x:c>
      <x:c r="AN157" s="38" t="n">
        <x:v>-0.0274870876</x:v>
      </x:c>
      <x:c r="AO157" s="38" t="n">
        <x:v>-0.067980006</x:v>
      </x:c>
      <x:c r="AP157" s="38" t="n">
        <x:v>-0.0371343199</x:v>
      </x:c>
      <x:c r="AQ157" s="38" t="n">
        <x:v>-0.0187163649</x:v>
      </x:c>
      <x:c r="AR157" s="38" t="n">
        <x:v>0.0391861651</x:v>
      </x:c>
      <x:c r="AS157" s="38" t="n">
        <x:v>-0.0221361365</x:v>
      </x:c>
    </x:row>
    <x:row r="158" ht="19" customHeight="1">
      <x:c r="A158" s="29" t="str">
        <x:v>Home FX</x:v>
      </x:c>
      <x:c r="B158" s="39" t="d">
        <x:v>2026-01-26T00:00:00.000Z</x:v>
      </x:c>
      <x:c r="C158" s="38" t="n">
        <x:v>-0.0638151392</x:v>
      </x:c>
      <x:c r="D158" s="38" t="n">
        <x:v>0.2828601573</x:v>
      </x:c>
      <x:c r="E158" s="38" t="n">
        <x:v>0.050573981</x:v>
      </x:c>
      <x:c r="F158" s="38" t="n">
        <x:v>0.0321057662</x:v>
      </x:c>
      <x:c r="G158" s="38" t="n">
        <x:v>0.0126903452</x:v>
      </x:c>
      <x:c r="H158" s="38" t="n">
        <x:v>0.0542389965</x:v>
      </x:c>
      <x:c r="I158" s="38" t="n">
        <x:v>0.0824844337</x:v>
      </x:c>
      <x:c r="J158" s="38" t="n">
        <x:v>0.1939113642</x:v>
      </x:c>
      <x:c r="K158" s="38" t="n">
        <x:v>0.4055734166</x:v>
      </x:c>
      <x:c r="L158" s="38" t="n">
        <x:v>0.1396131378</x:v>
      </x:c>
      <x:c r="M158" s="38" t="n">
        <x:v>0.2271974453</x:v>
      </x:c>
      <x:c r="N158" s="38" t="n">
        <x:v>0.1240040213</x:v>
      </x:c>
      <x:c r="O158" s="38" t="n">
        <x:v>0.0501780291</x:v>
      </x:c>
      <x:c r="P158" s="38" t="n">
        <x:v>0.4314331684</x:v>
      </x:c>
      <x:c r="Q158" s="38" t="n">
        <x:v>0.0637349219</x:v>
      </x:c>
      <x:c r="R158" s="38" t="n">
        <x:v>0.1810451952</x:v>
      </x:c>
      <x:c r="S158" s="38" t="n">
        <x:v>0.1041285043</x:v>
      </x:c>
      <x:c r="T158" s="38" t="n">
        <x:v>-0.1501824779</x:v>
      </x:c>
      <x:c r="U158" s="38" t="n">
        <x:v>0.5346386106</x:v>
      </x:c>
      <x:c r="V158" s="38" t="n">
        <x:v>-0.2293619004</x:v>
      </x:c>
      <x:c r="W158" s="38" t="n">
        <x:v>-0.1290729919</x:v>
      </x:c>
      <x:c r="X158" s="38" t="n">
        <x:v>0.1254220633</x:v>
      </x:c>
      <x:c r="Y158" s="38" t="n">
        <x:v>0.4112501076</x:v>
      </x:c>
      <x:c r="Z158" s="38" t="n">
        <x:v>0.1565310765</x:v>
      </x:c>
      <x:c r="AA158" s="38" t="n">
        <x:v>-0.0294298891</x:v>
      </x:c>
      <x:c r="AB158" s="38" t="n">
        <x:v>0.2870383166</x:v>
      </x:c>
      <x:c r="AC158" s="38" t="n">
        <x:v>-0.2328785771</x:v>
      </x:c>
      <x:c r="AD158" s="38" t="n">
        <x:v>0.1126749654</x:v>
      </x:c>
      <x:c r="AE158" s="38" t="n">
        <x:v>0.059540886</x:v>
      </x:c>
      <x:c r="AF158" s="38" t="n">
        <x:v>-0.1742466422</x:v>
      </x:c>
      <x:c r="AG158" s="38" t="n">
        <x:v>0.0386928365</x:v>
      </x:c>
      <x:c r="AH158" s="38" t="n">
        <x:v>0.2764578433</x:v>
      </x:c>
      <x:c r="AI158" s="38" t="n">
        <x:v>0.0864906223</x:v>
      </x:c>
      <x:c r="AJ158" s="38" t="n">
        <x:v>-0.0612451696</x:v>
      </x:c>
      <x:c r="AK158" s="38" t="n">
        <x:v>0.0113545131</x:v>
      </x:c>
      <x:c r="AL158" s="38" t="n">
        <x:v>-0.0422037003</x:v>
      </x:c>
      <x:c r="AM158" s="38" t="n">
        <x:v>-0.1418063201</x:v>
      </x:c>
      <x:c r="AN158" s="38" t="n">
        <x:v>0.1050275256</x:v>
      </x:c>
      <x:c r="AO158" s="38" t="n">
        <x:v>0.1455356308</x:v>
      </x:c>
      <x:c r="AP158" s="38" t="n">
        <x:v>0.1199066443</x:v>
      </x:c>
      <x:c r="AQ158" s="38" t="n">
        <x:v>0.1186966558</x:v>
      </x:c>
      <x:c r="AR158" s="38" t="n">
        <x:v>0.1375051579</x:v>
      </x:c>
      <x:c r="AS158" s="38" t="n">
        <x:v>-0.0501128758</x:v>
      </x:c>
    </x:row>
    <x:row r="159" ht="19" customHeight="1">
      <x:c r="A159" s="29" t="str">
        <x:v>Home FX</x:v>
      </x:c>
      <x:c r="B159" s="39" t="d">
        <x:v>2026-02-23T00:00:00.000Z</x:v>
      </x:c>
      <x:c r="C159" s="38" t="n">
        <x:v>0.1424594139</x:v>
      </x:c>
      <x:c r="D159" s="38" t="n">
        <x:v>-0.1082263053</x:v>
      </x:c>
      <x:c r="E159" s="38" t="n">
        <x:v>0.1806547237</x:v>
      </x:c>
      <x:c r="F159" s="38" t="n">
        <x:v>0.1783640917</x:v>
      </x:c>
      <x:c r="G159" s="38" t="n">
        <x:v>-0.0940445832</x:v>
      </x:c>
      <x:c r="H159" s="38" t="n">
        <x:v>-0.0660083669</x:v>
      </x:c>
      <x:c r="I159" s="38" t="n">
        <x:v>-0.1987573346</x:v>
      </x:c>
      <x:c r="J159" s="38" t="n">
        <x:v>0.3414289766</x:v>
      </x:c>
      <x:c r="K159" s="38" t="n">
        <x:v>-0.0723680673</x:v>
      </x:c>
      <x:c r="L159" s="38" t="n">
        <x:v>0.1924712913</x:v>
      </x:c>
      <x:c r="M159" s="38" t="n">
        <x:v>0.1077619836</x:v>
      </x:c>
      <x:c r="N159" s="38" t="n">
        <x:v>0.1181731558</x:v>
      </x:c>
      <x:c r="O159" s="38" t="n">
        <x:v>0.1146338313</x:v>
      </x:c>
      <x:c r="P159" s="38" t="n">
        <x:v>0.1694281758</x:v>
      </x:c>
      <x:c r="Q159" s="38" t="n">
        <x:v>0.0427376142</x:v>
      </x:c>
      <x:c r="R159" s="38" t="n">
        <x:v>0.022147993</x:v>
      </x:c>
      <x:c r="S159" s="38" t="n">
        <x:v>0.1523628883</x:v>
      </x:c>
      <x:c r="T159" s="38" t="n">
        <x:v>-0.0449324203</x:v>
      </x:c>
      <x:c r="U159" s="38" t="n">
        <x:v>0.2970619718</x:v>
      </x:c>
      <x:c r="V159" s="38" t="n">
        <x:v>0.1746779297</x:v>
      </x:c>
      <x:c r="W159" s="38" t="n">
        <x:v>0.2162693028</x:v>
      </x:c>
      <x:c r="X159" s="38" t="n">
        <x:v>0.0606676196</x:v>
      </x:c>
      <x:c r="Y159" s="38" t="n">
        <x:v>-0.0092344447</x:v>
      </x:c>
      <x:c r="Z159" s="38" t="n">
        <x:v>0.2220478519</x:v>
      </x:c>
      <x:c r="AA159" s="38" t="n">
        <x:v>0.0408559892</x:v>
      </x:c>
      <x:c r="AB159" s="38" t="n">
        <x:v>0.007981272</x:v>
      </x:c>
      <x:c r="AC159" s="38" t="n">
        <x:v>-0.556403086</x:v>
      </x:c>
      <x:c r="AD159" s="38" t="n">
        <x:v>0.1473431337</x:v>
      </x:c>
      <x:c r="AE159" s="38" t="n">
        <x:v>0.0392436538</x:v>
      </x:c>
      <x:c r="AF159" s="38" t="n">
        <x:v>-0.0035398006</x:v>
      </x:c>
      <x:c r="AG159" s="38" t="n">
        <x:v>-0.0408465762</x:v>
      </x:c>
      <x:c r="AH159" s="38" t="n">
        <x:v>0.0892461033</x:v>
      </x:c>
      <x:c r="AI159" s="38" t="n">
        <x:v>-0.2549754412</x:v>
      </x:c>
      <x:c r="AJ159" s="38" t="n">
        <x:v>0.024157368</x:v>
      </x:c>
      <x:c r="AK159" s="38" t="n">
        <x:v>0.1498704505</x:v>
      </x:c>
      <x:c r="AL159" s="38" t="n">
        <x:v>0.2622274709</x:v>
      </x:c>
      <x:c r="AM159" s="38" t="n">
        <x:v>-0.1354847145</x:v>
      </x:c>
      <x:c r="AN159" s="38" t="n">
        <x:v>-0.1229765421</x:v>
      </x:c>
      <x:c r="AO159" s="38" t="n">
        <x:v>0.1100864362</x:v>
      </x:c>
      <x:c r="AP159" s="38" t="n">
        <x:v>0.0247013621</x:v>
      </x:c>
      <x:c r="AQ159" s="38" t="n">
        <x:v>0.1314606147</x:v>
      </x:c>
      <x:c r="AR159" s="38" t="n">
        <x:v>0.143672804</x:v>
      </x:c>
      <x:c r="AS159" s="38" t="n">
        <x:v>0.0754331316</x:v>
      </x:c>
    </x:row>
    <x:row r="160" ht="19" customHeight="1">
      <x:c r="A160" s="29" t="str">
        <x:v>Home FX</x:v>
      </x:c>
      <x:c r="B160" s="39" t="d">
        <x:v>2026-03-23T00:00:00.000Z</x:v>
      </x:c>
      <x:c r="C160" s="38" t="n">
        <x:v>-0.170607414</x:v>
      </x:c>
      <x:c r="D160" s="38" t="n">
        <x:v>0.3592576881</x:v>
      </x:c>
      <x:c r="E160" s="38" t="n">
        <x:v>-0.043510789</x:v>
      </x:c>
      <x:c r="F160" s="38" t="n">
        <x:v>0.0394058562</x:v>
      </x:c>
      <x:c r="G160" s="38" t="n">
        <x:v>-0.2121708276</x:v>
      </x:c>
      <x:c r="H160" s="38" t="n">
        <x:v>-0.2892038192</x:v>
      </x:c>
      <x:c r="I160" s="38" t="n">
        <x:v>-0.0804025102</x:v>
      </x:c>
      <x:c r="J160" s="38" t="n">
        <x:v>-0.0683155596</x:v>
      </x:c>
      <x:c r="K160" s="38" t="n">
        <x:v>-0.0220946197</x:v>
      </x:c>
      <x:c r="L160" s="38" t="n">
        <x:v>0.3354362564</x:v>
      </x:c>
      <x:c r="M160" s="38" t="n">
        <x:v>0.4867748597</x:v>
      </x:c>
      <x:c r="N160" s="38" t="n">
        <x:v>0.0064992816</x:v>
      </x:c>
      <x:c r="O160" s="38" t="n">
        <x:v>-0.2079545788</x:v>
      </x:c>
      <x:c r="P160" s="38" t="n">
        <x:v>-0.0235092267</x:v>
      </x:c>
      <x:c r="Q160" s="38" t="n">
        <x:v>-0.0922962997</x:v>
      </x:c>
      <x:c r="R160" s="38" t="n">
        <x:v>0.5759807236</x:v>
      </x:c>
      <x:c r="S160" s="38" t="n">
        <x:v>-0.0930672454</x:v>
      </x:c>
      <x:c r="T160" s="38" t="n">
        <x:v>0.2542012104</x:v>
      </x:c>
      <x:c r="U160" s="38" t="n">
        <x:v>-0.1200815843</x:v>
      </x:c>
      <x:c r="V160" s="38" t="n">
        <x:v>-0.3586130359</x:v>
      </x:c>
      <x:c r="W160" s="38" t="n">
        <x:v>-0.0457338022</x:v>
      </x:c>
      <x:c r="X160" s="38" t="n">
        <x:v>-0.1370115452</x:v>
      </x:c>
      <x:c r="Y160" s="38" t="n">
        <x:v>-0.2215793403</x:v>
      </x:c>
      <x:c r="Z160" s="38" t="n">
        <x:v>-0.3697282315</x:v>
      </x:c>
      <x:c r="AA160" s="38" t="n">
        <x:v>-0.1109455224</x:v>
      </x:c>
      <x:c r="AB160" s="38" t="n">
        <x:v>0.3961697262</x:v>
      </x:c>
      <x:c r="AC160" s="38" t="n">
        <x:v>-0.1461349623</x:v>
      </x:c>
      <x:c r="AD160" s="38" t="n">
        <x:v>-0.2444317638</x:v>
      </x:c>
      <x:c r="AE160" s="38" t="n">
        <x:v>-0.3310313314</x:v>
      </x:c>
      <x:c r="AF160" s="38" t="n">
        <x:v>0.1779829794</x:v>
      </x:c>
      <x:c r="AG160" s="38" t="n">
        <x:v>-0.2739854473</x:v>
      </x:c>
      <x:c r="AH160" s="38" t="n">
        <x:v>-0.2347831089</x:v>
      </x:c>
      <x:c r="AI160" s="38" t="n">
        <x:v>0.0136608804</x:v>
      </x:c>
      <x:c r="AJ160" s="38" t="n">
        <x:v>-0.2786063582</x:v>
      </x:c>
      <x:c r="AK160" s="38" t="n">
        <x:v>-0.0869806338</x:v>
      </x:c>
      <x:c r="AL160" s="38" t="n">
        <x:v>0.0467779311</x:v>
      </x:c>
      <x:c r="AM160" s="38" t="n">
        <x:v>-0.1482500041</x:v>
      </x:c>
      <x:c r="AN160" s="38" t="n">
        <x:v>-0.1962567947</x:v>
      </x:c>
      <x:c r="AO160" s="38" t="n">
        <x:v>-0.0416768431</x:v>
      </x:c>
      <x:c r="AP160" s="38" t="n">
        <x:v>-0.2499274343</x:v>
      </x:c>
      <x:c r="AQ160" s="38" t="n">
        <x:v>-0.1042947081</x:v>
      </x:c>
      <x:c r="AR160" s="38" t="n">
        <x:v>-0.0503892101</x:v>
      </x:c>
      <x:c r="AS160" s="38" t="n">
        <x:v>-0.115666921</x:v>
      </x:c>
    </x:row>
    <x:row r="161" ht="19" customHeight="1">
      <x:c r="A161" s="29" t="str">
        <x:v>Home FX</x:v>
      </x:c>
      <x:c r="B161" s="39" t="d">
        <x:v>2026-04-20T00:00:00.000Z</x:v>
      </x:c>
      <x:c r="C161" s="38" t="n">
        <x:v>0.0868435644</x:v>
      </x:c>
      <x:c r="D161" s="38" t="n">
        <x:v>-0.1133984139</x:v>
      </x:c>
      <x:c r="E161" s="38" t="n">
        <x:v>0.0547364759</x:v>
      </x:c>
      <x:c r="F161" s="38" t="n">
        <x:v>0.0526664131</x:v>
      </x:c>
      <x:c r="G161" s="38" t="n">
        <x:v>0.1635629787</x:v>
      </x:c>
      <x:c r="H161" s="38" t="n">
        <x:v>0.1613129597</x:v>
      </x:c>
      <x:c r="I161" s="38" t="n">
        <x:v>0.4396853229</x:v>
      </x:c>
      <x:c r="J161" s="38" t="n">
        <x:v>0.3653761703</x:v>
      </x:c>
      <x:c r="K161" s="38" t="n">
        <x:v>0.552662845</x:v>
      </x:c>
      <x:c r="L161" s="38" t="n">
        <x:v>-0.1180177782</x:v>
      </x:c>
      <x:c r="M161" s="38" t="n">
        <x:v>-0.1890015744</x:v>
      </x:c>
      <x:c r="N161" s="38" t="n">
        <x:v>-0.10191734</x:v>
      </x:c>
      <x:c r="O161" s="38" t="n">
        <x:v>-0.1220459214</x:v>
      </x:c>
      <x:c r="P161" s="38" t="n">
        <x:v>0.6001402255</x:v>
      </x:c>
      <x:c r="Q161" s="38" t="n">
        <x:v>0.05360987</x:v>
      </x:c>
      <x:c r="R161" s="38" t="n">
        <x:v>0.2449096406</x:v>
      </x:c>
      <x:c r="S161" s="38" t="n">
        <x:v>-0.0471641768</x:v>
      </x:c>
      <x:c r="T161" s="38" t="n">
        <x:v>0.0309180143</x:v>
      </x:c>
      <x:c r="U161" s="38" t="n">
        <x:v>0.0365231784</x:v>
      </x:c>
      <x:c r="V161" s="38" t="n">
        <x:v>-0.1242942654</x:v>
      </x:c>
      <x:c r="W161" s="38" t="n">
        <x:v>-0.0166744061</x:v>
      </x:c>
      <x:c r="X161" s="38" t="n">
        <x:v>-0.0250366783</x:v>
      </x:c>
      <x:c r="Y161" s="38" t="n">
        <x:v>0.5166896263</x:v>
      </x:c>
      <x:c r="Z161" s="38" t="n">
        <x:v>0.2619577046</x:v>
      </x:c>
      <x:c r="AA161" s="38" t="n">
        <x:v>0.016864858</x:v>
      </x:c>
      <x:c r="AB161" s="38" t="n">
        <x:v>0.6879418269</x:v>
      </x:c>
      <x:c r="AC161" s="38" t="n">
        <x:v>0.4721090733</x:v>
      </x:c>
      <x:c r="AD161" s="38" t="n">
        <x:v>0.0706174342</x:v>
      </x:c>
      <x:c r="AE161" s="38" t="n">
        <x:v>0.1332113546</x:v>
      </x:c>
      <x:c r="AF161" s="38" t="n">
        <x:v>0.2541256054</x:v>
      </x:c>
      <x:c r="AG161" s="38" t="n">
        <x:v>0.3112944509</x:v>
      </x:c>
      <x:c r="AH161" s="38" t="n">
        <x:v>-0.095076334</x:v>
      </x:c>
      <x:c r="AI161" s="38" t="n">
        <x:v>0.8506314282</x:v>
      </x:c>
      <x:c r="AJ161" s="38" t="n">
        <x:v>0.0101616843</x:v>
      </x:c>
      <x:c r="AK161" s="38" t="n">
        <x:v>0.1004859236</x:v>
      </x:c>
      <x:c r="AL161" s="38" t="n">
        <x:v>0.3969120041</x:v>
      </x:c>
      <x:c r="AM161" s="38" t="n">
        <x:v>0.2725199786</x:v>
      </x:c>
      <x:c r="AN161" s="38" t="n">
        <x:v>0.3559996166</x:v>
      </x:c>
      <x:c r="AO161" s="38" t="n">
        <x:v>0.0428259562</x:v>
      </x:c>
      <x:c r="AP161" s="38" t="n">
        <x:v>0.0678074755</x:v>
      </x:c>
      <x:c r="AQ161" s="38" t="n">
        <x:v>0.018906195</x:v>
      </x:c>
      <x:c r="AR161" s="38" t="n">
        <x:v>-0.0866567878</x:v>
      </x:c>
      <x:c r="AS161" s="38" t="n">
        <x:v>0.0027707262</x:v>
      </x:c>
    </x:row>
    <x:row r="162" ht="19" customHeight="1">
      <x:c r="A162" s="29" t="str">
        <x:v>Home FX</x:v>
      </x:c>
      <x:c r="B162" s="39" t="d">
        <x:v>2026-05-18T00:00:00.000Z</x:v>
      </x:c>
      <x:c r="C162" s="38" t="n">
        <x:v>-0.0800308211</x:v>
      </x:c>
      <x:c r="D162" s="38" t="n">
        <x:v>0.0622003868</x:v>
      </x:c>
      <x:c r="E162" s="38" t="n">
        <x:v>-0.0259484905</x:v>
      </x:c>
      <x:c r="F162" s="38" t="n">
        <x:v>-0.0087771024</x:v>
      </x:c>
      <x:c r="G162" s="38" t="n">
        <x:v>0.0061770458</x:v>
      </x:c>
      <x:c r="H162" s="38" t="n">
        <x:v>-0.0624671587</x:v>
      </x:c>
      <x:c r="I162" s="38" t="n">
        <x:v>0.0139500732</x:v>
      </x:c>
      <x:c r="J162" s="38" t="n">
        <x:v>0.091876543</x:v>
      </x:c>
      <x:c r="K162" s="38" t="n">
        <x:v>0.4919052347</x:v>
      </x:c>
      <x:c r="L162" s="38" t="n">
        <x:v>0.080598002</x:v>
      </x:c>
      <x:c r="M162" s="38" t="n">
        <x:v>0.0165440327</x:v>
      </x:c>
      <x:c r="N162" s="38" t="n">
        <x:v>-0.021862952</x:v>
      </x:c>
      <x:c r="O162" s="38" t="n">
        <x:v>0.0098942251</x:v>
      </x:c>
      <x:c r="P162" s="38" t="n">
        <x:v>0.2877320825</x:v>
      </x:c>
      <x:c r="Q162" s="38" t="n">
        <x:v>0.1205253529</x:v>
      </x:c>
      <x:c r="R162" s="38" t="n">
        <x:v>0.8087011623</x:v>
      </x:c>
      <x:c r="S162" s="38" t="n">
        <x:v>0.0339942336</x:v>
      </x:c>
      <x:c r="T162" s="38" t="n">
        <x:v>0.0682756085</x:v>
      </x:c>
      <x:c r="U162" s="38" t="n">
        <x:v>-0.125295654</x:v>
      </x:c>
      <x:c r="V162" s="38" t="n">
        <x:v>-0.045086848</x:v>
      </x:c>
      <x:c r="W162" s="38" t="n">
        <x:v>-0.0673545085</x:v>
      </x:c>
      <x:c r="X162" s="38" t="n">
        <x:v>-0.1414857793</x:v>
      </x:c>
      <x:c r="Y162" s="38" t="n">
        <x:v>0.6562404537</x:v>
      </x:c>
      <x:c r="Z162" s="38" t="n">
        <x:v>-0.1817941198</x:v>
      </x:c>
      <x:c r="AA162" s="38" t="n">
        <x:v>-0.0109428762</x:v>
      </x:c>
      <x:c r="AB162" s="38" t="n">
        <x:v>-0.2065043331</x:v>
      </x:c>
      <x:c r="AC162" s="38" t="n">
        <x:v>-0.2527936012</x:v>
      </x:c>
      <x:c r="AD162" s="38" t="n">
        <x:v>-0.0405821228</x:v>
      </x:c>
      <x:c r="AE162" s="38" t="n">
        <x:v>0.3172092635</x:v>
      </x:c>
      <x:c r="AF162" s="38" t="n">
        <x:v>0.4581048376</x:v>
      </x:c>
      <x:c r="AG162" s="38" t="n">
        <x:v>-0.0944072916</x:v>
      </x:c>
      <x:c r="AH162" s="38" t="n">
        <x:v>-0.1807244067</x:v>
      </x:c>
      <x:c r="AI162" s="38" t="n">
        <x:v>0.4695267301</x:v>
      </x:c>
      <x:c r="AJ162" s="38" t="n">
        <x:v>0.2985110499</x:v>
      </x:c>
      <x:c r="AK162" s="38" t="n">
        <x:v>0.0608581888</x:v>
      </x:c>
      <x:c r="AL162" s="38" t="n">
        <x:v>0.6093853344</x:v>
      </x:c>
      <x:c r="AM162" s="38" t="n">
        <x:v>-0.0193467817</x:v>
      </x:c>
      <x:c r="AN162" s="38" t="n">
        <x:v>0.1685181077</x:v>
      </x:c>
      <x:c r="AO162" s="38" t="n">
        <x:v>0.0289088796</x:v>
      </x:c>
      <x:c r="AP162" s="38" t="n">
        <x:v>-0.1116918726</x:v>
      </x:c>
      <x:c r="AQ162" s="38" t="n">
        <x:v>0.0974234003</x:v>
      </x:c>
      <x:c r="AR162" s="38" t="n">
        <x:v>0.0470263332</x:v>
      </x:c>
      <x:c r="AS162" s="38" t="n">
        <x:v>0.056682358</x:v>
      </x:c>
    </x:row>
    <x:row r="163" ht="19" customHeight="1">
      <x:c r="A163" s="29" t="str">
        <x:v>Home FX</x:v>
      </x:c>
      <x:c r="B163" s="39" t="d">
        <x:v>2026-06-15T00:00:00.000Z</x:v>
      </x:c>
      <x:c r="C163" s="38" t="n">
        <x:v>0.0752784602</x:v>
      </x:c>
      <x:c r="D163" s="38" t="n">
        <x:v>-0.1888908411</x:v>
      </x:c>
      <x:c r="E163" s="38" t="n">
        <x:v>-0.0484390383</x:v>
      </x:c>
      <x:c r="F163" s="38" t="n">
        <x:v>-0.0185851604</x:v>
      </x:c>
      <x:c r="G163" s="38" t="n">
        <x:v>0.013852259</x:v>
      </x:c>
      <x:c r="H163" s="38" t="n">
        <x:v>-0.0197008737</x:v>
      </x:c>
      <x:c r="I163" s="38" t="n">
        <x:v>-0.138356334</x:v>
      </x:c>
      <x:c r="J163" s="38" t="n">
        <x:v>0.1181107498</x:v>
      </x:c>
      <x:c r="K163" s="38" t="n">
        <x:v>0.4534877931</x:v>
      </x:c>
      <x:c r="L163" s="38" t="n">
        <x:v>-0.0710419278</x:v>
      </x:c>
      <x:c r="M163" s="38" t="n">
        <x:v>-0.2696980396</x:v>
      </x:c>
      <x:c r="N163" s="38" t="n">
        <x:v>-0.130984783</x:v>
      </x:c>
      <x:c r="O163" s="38" t="n">
        <x:v>0.1398707553</x:v>
      </x:c>
      <x:c r="P163" s="38" t="n">
        <x:v>0.696554973</x:v>
      </x:c>
      <x:c r="Q163" s="38" t="n">
        <x:v>-0.104898365</x:v>
      </x:c>
      <x:c r="R163" s="38" t="n">
        <x:v>0.1438555084</x:v>
      </x:c>
      <x:c r="S163" s="38" t="n">
        <x:v>-0.2609345326</x:v>
      </x:c>
      <x:c r="T163" s="38" t="n">
        <x:v>0.0577180075</x:v>
      </x:c>
      <x:c r="U163" s="38" t="n">
        <x:v>0.5001867706</x:v>
      </x:c>
      <x:c r="V163" s="38" t="n">
        <x:v>0.1488967409</x:v>
      </x:c>
      <x:c r="W163" s="38" t="n">
        <x:v>-0.2180055072</x:v>
      </x:c>
      <x:c r="X163" s="38" t="n">
        <x:v>-0.1881195906</x:v>
      </x:c>
      <x:c r="Y163" s="38" t="n">
        <x:v>0.6634857721</x:v>
      </x:c>
      <x:c r="Z163" s="38" t="n">
        <x:v>-0.0548871155</x:v>
      </x:c>
      <x:c r="AA163" s="38" t="n">
        <x:v>0.042684209</x:v>
      </x:c>
      <x:c r="AB163" s="38" t="n">
        <x:v>0.284844421</x:v>
      </x:c>
      <x:c r="AC163" s="38" t="n">
        <x:v>0.2045991365</x:v>
      </x:c>
      <x:c r="AD163" s="38" t="n">
        <x:v>0.064886648</x:v>
      </x:c>
      <x:c r="AE163" s="38" t="n">
        <x:v>-0.0966649438</x:v>
      </x:c>
      <x:c r="AF163" s="38" t="n">
        <x:v>0.3788150144</x:v>
      </x:c>
      <x:c r="AG163" s="38" t="n">
        <x:v>0.0269719456</x:v>
      </x:c>
      <x:c r="AH163" s="38" t="n">
        <x:v>-0.1802948443</x:v>
      </x:c>
      <x:c r="AI163" s="38" t="n">
        <x:v>0.2242244189</x:v>
      </x:c>
      <x:c r="AJ163" s="38" t="n">
        <x:v>0.0499667706</x:v>
      </x:c>
      <x:c r="AK163" s="38" t="n">
        <x:v>-0.0725141598</x:v>
      </x:c>
      <x:c r="AL163" s="38" t="n">
        <x:v>-0.2315214987</x:v>
      </x:c>
      <x:c r="AM163" s="38" t="n">
        <x:v>-0.158191833</x:v>
      </x:c>
      <x:c r="AN163" s="38" t="n">
        <x:v>-0.0631058793</x:v>
      </x:c>
      <x:c r="AO163" s="38" t="n">
        <x:v>-0.1249662774</x:v>
      </x:c>
      <x:c r="AP163" s="38" t="n">
        <x:v>0.1175730616</x:v>
      </x:c>
      <x:c r="AQ163" s="38" t="n">
        <x:v>-0.0314758051</x:v>
      </x:c>
      <x:c r="AR163" s="38" t="n">
        <x:v>-0.0321747952</x:v>
      </x:c>
      <x:c r="AS163" s="38" t="n">
        <x:v>0.0101634027</x:v>
      </x:c>
    </x:row>
    <x:row r="164" ht="19" customHeight="1">
      <x:c r="A164" s="29" t="str">
        <x:v>Home FX</x:v>
      </x:c>
      <x:c r="B164" s="39" t="d">
        <x:v>2026-07-13T00:00:00.000Z</x:v>
      </x:c>
      <x:c r="C164" s="38" t="n">
        <x:v>-0.0827582749</x:v>
      </x:c>
      <x:c r="D164" s="38" t="n">
        <x:v>-0.145322325</x:v>
      </x:c>
      <x:c r="E164" s="38" t="n">
        <x:v>0.0559374692</x:v>
      </x:c>
      <x:c r="F164" s="38" t="n">
        <x:v>0.031006744</x:v>
      </x:c>
      <x:c r="G164" s="38" t="n">
        <x:v>-0.0883481659</x:v>
      </x:c>
      <x:c r="H164" s="38" t="n">
        <x:v>0.0951758144</x:v>
      </x:c>
      <x:c r="I164" s="38" t="n">
        <x:v>0.0188661656</x:v>
      </x:c>
      <x:c r="J164" s="38" t="n">
        <x:v>-0.2636586143</x:v>
      </x:c>
      <x:c r="K164" s="38" t="n">
        <x:v>-0.550194112</x:v>
      </x:c>
      <x:c r="L164" s="38" t="n">
        <x:v>0.4414398616</x:v>
      </x:c>
      <x:c r="M164" s="38" t="n">
        <x:v>0.2697662126</x:v>
      </x:c>
      <x:c r="N164" s="38" t="n">
        <x:v>0.152095412</x:v>
      </x:c>
      <x:c r="O164" s="38" t="n">
        <x:v>-0.0495531747</x:v>
      </x:c>
      <x:c r="P164" s="38" t="n">
        <x:v>-0.7299996911</x:v>
      </x:c>
      <x:c r="Q164" s="38" t="n">
        <x:v>0.193888791</x:v>
      </x:c>
      <x:c r="R164" s="38" t="n">
        <x:v>-0.6147623806</x:v>
      </x:c>
      <x:c r="S164" s="38" t="n">
        <x:v>-0.0088386004</x:v>
      </x:c>
      <x:c r="T164" s="38" t="n">
        <x:v>0.3502308926</x:v>
      </x:c>
      <x:c r="U164" s="38" t="n">
        <x:v>-0.055569251</x:v>
      </x:c>
      <x:c r="V164" s="38" t="n">
        <x:v>0.3047688179</x:v>
      </x:c>
      <x:c r="W164" s="38" t="n">
        <x:v>-0.1883501414</x:v>
      </x:c>
      <x:c r="X164" s="38" t="n">
        <x:v>0.1182208653</x:v>
      </x:c>
      <x:c r="Y164" s="38" t="n">
        <x:v>-0.4724700925</x:v>
      </x:c>
      <x:c r="Z164" s="38" t="n">
        <x:v>-0.2382389158</x:v>
      </x:c>
      <x:c r="AA164" s="38" t="n">
        <x:v>0.0250913018</x:v>
      </x:c>
      <x:c r="AB164" s="38" t="n">
        <x:v>0.4049458529</x:v>
      </x:c>
      <x:c r="AC164" s="38" t="n">
        <x:v>-0.154072193</x:v>
      </x:c>
      <x:c r="AD164" s="38" t="n">
        <x:v>-0.0043493341</x:v>
      </x:c>
      <x:c r="AE164" s="38" t="n">
        <x:v>0.0196250937</x:v>
      </x:c>
      <x:c r="AF164" s="38" t="n">
        <x:v>-0.0557023776</x:v>
      </x:c>
      <x:c r="AG164" s="38" t="n">
        <x:v>-0.0649882549</x:v>
      </x:c>
      <x:c r="AH164" s="38" t="n">
        <x:v>-0.0960184555</x:v>
      </x:c>
      <x:c r="AI164" s="38" t="n">
        <x:v>-0.1316037153</x:v>
      </x:c>
      <x:c r="AJ164" s="38" t="n">
        <x:v>0.1155289701</x:v>
      </x:c>
      <x:c r="AK164" s="38" t="n">
        <x:v>0.2662666193</x:v>
      </x:c>
      <x:c r="AL164" s="38" t="n">
        <x:v>-0.4850857735</x:v>
      </x:c>
      <x:c r="AM164" s="38" t="n">
        <x:v>0.0609120728</x:v>
      </x:c>
      <x:c r="AN164" s="38" t="n">
        <x:v>-0.0971621903</x:v>
      </x:c>
      <x:c r="AO164" s="38" t="n">
        <x:v>-0.0182594331</x:v>
      </x:c>
      <x:c r="AP164" s="38" t="n">
        <x:v>0.0222688894</x:v>
      </x:c>
      <x:c r="AQ164" s="38" t="n">
        <x:v>0.0440335761</x:v>
      </x:c>
      <x:c r="AR164" s="38" t="n">
        <x:v>0.167361</x:v>
      </x:c>
      <x:c r="AS164" s="38" t="n">
        <x:v>0.0048302825</x:v>
      </x:c>
    </x:row>
    <x:row r="165" ht="19" customHeight="1">
      <x:c r="A165" s="29" t="str">
        <x:v>Home FX</x:v>
      </x:c>
      <x:c r="B165" s="39" t="d">
        <x:v>2026-08-10T00:00:00.000Z</x:v>
      </x:c>
      <x:c r="C165" s="38" t="n">
        <x:v>-0.0797728912</x:v>
      </x:c>
      <x:c r="D165" s="38" t="n">
        <x:v>0.0671452481</x:v>
      </x:c>
      <x:c r="E165" s="38" t="n">
        <x:v>-0.0715017669</x:v>
      </x:c>
      <x:c r="F165" s="38" t="n">
        <x:v>-0.0710610298</x:v>
      </x:c>
      <x:c r="G165" s="38" t="n">
        <x:v>0.1487690153</x:v>
      </x:c>
      <x:c r="H165" s="38" t="n">
        <x:v>-0.0458292821</x:v>
      </x:c>
      <x:c r="I165" s="38" t="n">
        <x:v>0.1001987869</x:v>
      </x:c>
      <x:c r="J165" s="38" t="n">
        <x:v>0.0969418172</x:v>
      </x:c>
      <x:c r="K165" s="38" t="n">
        <x:v>0.2434816336</x:v>
      </x:c>
      <x:c r="L165" s="38" t="n">
        <x:v>0.1693516199</x:v>
      </x:c>
      <x:c r="M165" s="38" t="n">
        <x:v>-0.0346000359</x:v>
      </x:c>
      <x:c r="N165" s="38" t="n">
        <x:v>-0.0347818083</x:v>
      </x:c>
      <x:c r="O165" s="38" t="n">
        <x:v>-0.0067504251</x:v>
      </x:c>
      <x:c r="P165" s="38" t="n">
        <x:v>0.1061178556</x:v>
      </x:c>
      <x:c r="Q165" s="38" t="n">
        <x:v>-0.1067864454</x:v>
      </x:c>
      <x:c r="R165" s="38" t="n">
        <x:v>0.1466498678</x:v>
      </x:c>
      <x:c r="S165" s="38" t="n">
        <x:v>0.1593465578</x:v>
      </x:c>
      <x:c r="T165" s="38" t="n">
        <x:v>0.2130532066</x:v>
      </x:c>
      <x:c r="U165" s="38" t="n">
        <x:v>0.0397035707</x:v>
      </x:c>
      <x:c r="V165" s="38" t="n">
        <x:v>0.303276271</x:v>
      </x:c>
      <x:c r="W165" s="38" t="n">
        <x:v>0.2076346271</x:v>
      </x:c>
      <x:c r="X165" s="38" t="n">
        <x:v>0.1585380729</x:v>
      </x:c>
      <x:c r="Y165" s="38" t="n">
        <x:v>0.2235813074</x:v>
      </x:c>
      <x:c r="Z165" s="38" t="n">
        <x:v>0.4507509107</x:v>
      </x:c>
      <x:c r="AA165" s="38" t="n">
        <x:v>0.0130886371</x:v>
      </x:c>
      <x:c r="AB165" s="38" t="n">
        <x:v>0.2989605974</x:v>
      </x:c>
      <x:c r="AC165" s="38" t="n">
        <x:v>0.0508415618</x:v>
      </x:c>
      <x:c r="AD165" s="38" t="n">
        <x:v>-0.0487537759</x:v>
      </x:c>
      <x:c r="AE165" s="38" t="n">
        <x:v>0.0340531353</x:v>
      </x:c>
      <x:c r="AF165" s="38" t="n">
        <x:v>0.4105268767</x:v>
      </x:c>
      <x:c r="AG165" s="38" t="n">
        <x:v>0.1311585201</x:v>
      </x:c>
      <x:c r="AH165" s="38" t="n">
        <x:v>0.3261411175</x:v>
      </x:c>
      <x:c r="AI165" s="38" t="n">
        <x:v>0.0610927946</x:v>
      </x:c>
      <x:c r="AJ165" s="38" t="n">
        <x:v>0.0038456525</x:v>
      </x:c>
      <x:c r="AK165" s="38" t="n">
        <x:v>-0.0472414825</x:v>
      </x:c>
      <x:c r="AL165" s="38" t="n">
        <x:v>0.0769532006</x:v>
      </x:c>
      <x:c r="AM165" s="38" t="n">
        <x:v>0.3800253133</x:v>
      </x:c>
      <x:c r="AN165" s="38" t="n">
        <x:v>-0.004160151</x:v>
      </x:c>
      <x:c r="AO165" s="38" t="n">
        <x:v>0.0378616985</x:v>
      </x:c>
      <x:c r="AP165" s="38" t="n">
        <x:v>-0.0000489794</x:v>
      </x:c>
      <x:c r="AQ165" s="38" t="n">
        <x:v>0.1203927656</x:v>
      </x:c>
      <x:c r="AR165" s="38" t="n">
        <x:v>0.047164254</x:v>
      </x:c>
      <x:c r="AS165" s="38" t="n">
        <x:v>0.0436792941</x:v>
      </x:c>
    </x:row>
    <x:row r="166" ht="19" customHeight="1">
      <x:c r="A166" s="29" t="str">
        <x:v>Other FX</x:v>
      </x:c>
      <x:c r="B166" s="39" t="d">
        <x:v>2020-07-20T00:00:00.000Z</x:v>
      </x:c>
      <x:c r="C166" s="38" t="n">
        <x:v>0.0220390063</x:v>
      </x:c>
      <x:c r="D166" s="38" t="n">
        <x:v>0.0541093915</x:v>
      </x:c>
      <x:c r="E166" s="38" t="n">
        <x:v>0.0509775983</x:v>
      </x:c>
      <x:c r="F166" s="38" t="n">
        <x:v>0.0616212415</x:v>
      </x:c>
      <x:c r="G166" s="38" t="n">
        <x:v>0.0351992721</x:v>
      </x:c>
      <x:c r="H166" s="38" t="n">
        <x:v>0.0313987053</x:v>
      </x:c>
      <x:c r="I166" s="38" t="n">
        <x:v>0.0222738571</x:v>
      </x:c>
      <x:c r="J166" s="38" t="n">
        <x:v>-0.0383984944</x:v>
      </x:c>
      <x:c r="K166" s="38" t="n">
        <x:v>-0.0333996137</x:v>
      </x:c>
      <x:c r="L166" s="38" t="n">
        <x:v>0.0157935009</x:v>
      </x:c>
      <x:c r="M166" s="38" t="n">
        <x:v>0.0579196622</x:v>
      </x:c>
      <x:c r="N166" s="38" t="n">
        <x:v>-0.0032315872</x:v>
      </x:c>
      <x:c r="O166" s="38" t="n">
        <x:v>0.0871745902</x:v>
      </x:c>
      <x:c r="P166" s="38" t="n">
        <x:v>-0.0255418684</x:v>
      </x:c>
      <x:c r="Q166" s="38" t="n">
        <x:v>-0.0657486741</x:v>
      </x:c>
      <x:c r="R166" s="38"/>
      <x:c r="S166" s="38" t="n">
        <x:v>0.0071733468</x:v>
      </x:c>
      <x:c r="T166" s="38" t="n">
        <x:v>-0.0390827083</x:v>
      </x:c>
      <x:c r="U166" s="38" t="n">
        <x:v>0.0606559777</x:v>
      </x:c>
      <x:c r="V166" s="38" t="n">
        <x:v>-0.0693270957</x:v>
      </x:c>
      <x:c r="W166" s="38" t="n">
        <x:v>-0.0013850689</x:v>
      </x:c>
      <x:c r="X166" s="38" t="n">
        <x:v>0.0609871886</x:v>
      </x:c>
      <x:c r="Y166" s="38" t="n">
        <x:v>-0.0442087089</x:v>
      </x:c>
      <x:c r="Z166" s="38" t="n">
        <x:v>-0.0069065292</x:v>
      </x:c>
      <x:c r="AA166" s="38" t="n">
        <x:v>0.0509343763</x:v>
      </x:c>
      <x:c r="AB166" s="38" t="n">
        <x:v>-0.0719135838</x:v>
      </x:c>
      <x:c r="AC166" s="38"/>
      <x:c r="AD166" s="38" t="n">
        <x:v>0.0417387885</x:v>
      </x:c>
      <x:c r="AE166" s="38" t="n">
        <x:v>0.0328840292</x:v>
      </x:c>
      <x:c r="AF166" s="38" t="n">
        <x:v>0.0068247691</x:v>
      </x:c>
      <x:c r="AG166" s="38" t="n">
        <x:v>-0.0186820242</x:v>
      </x:c>
      <x:c r="AH166" s="38" t="n">
        <x:v>-0.0187429504</x:v>
      </x:c>
      <x:c r="AI166" s="38" t="n">
        <x:v>0.0821504874</x:v>
      </x:c>
      <x:c r="AJ166" s="38" t="n">
        <x:v>-0.0110980307</x:v>
      </x:c>
      <x:c r="AK166" s="38" t="n">
        <x:v>-0.0243380712</x:v>
      </x:c>
      <x:c r="AL166" s="38" t="n">
        <x:v>-0.0305591206</x:v>
      </x:c>
      <x:c r="AM166" s="38" t="n">
        <x:v>-0.0366218546</x:v>
      </x:c>
      <x:c r="AN166" s="38" t="n">
        <x:v>-0.0240033892</x:v>
      </x:c>
      <x:c r="AO166" s="38" t="n">
        <x:v>0.0508848804</x:v>
      </x:c>
      <x:c r="AP166" s="38" t="n">
        <x:v>0.0409421311</x:v>
      </x:c>
      <x:c r="AQ166" s="38" t="n">
        <x:v>0.0407035754</x:v>
      </x:c>
      <x:c r="AR166" s="38" t="n">
        <x:v>0.0236403941</x:v>
      </x:c>
      <x:c r="AS166" s="38" t="n">
        <x:v>0.0313495797</x:v>
      </x:c>
    </x:row>
    <x:row r="167" ht="19" customHeight="1">
      <x:c r="A167" s="29" t="str">
        <x:v>Other FX</x:v>
      </x:c>
      <x:c r="B167" s="39" t="d">
        <x:v>2020-08-17T00:00:00.000Z</x:v>
      </x:c>
      <x:c r="C167" s="38" t="n">
        <x:v>0.0063881766</x:v>
      </x:c>
      <x:c r="D167" s="38" t="n">
        <x:v>-0.1398069985</x:v>
      </x:c>
      <x:c r="E167" s="38" t="n">
        <x:v>-0.0704526832</x:v>
      </x:c>
      <x:c r="F167" s="38" t="n">
        <x:v>-0.0198401839</x:v>
      </x:c>
      <x:c r="G167" s="38" t="n">
        <x:v>0.0377419774</x:v>
      </x:c>
      <x:c r="H167" s="38" t="n">
        <x:v>0.0481634067</x:v>
      </x:c>
      <x:c r="I167" s="38" t="n">
        <x:v>0.039707149</x:v>
      </x:c>
      <x:c r="J167" s="38" t="n">
        <x:v>0.0752984852</x:v>
      </x:c>
      <x:c r="K167" s="38" t="n">
        <x:v>-0.1034404353</x:v>
      </x:c>
      <x:c r="L167" s="38" t="n">
        <x:v>-0.0437937152</x:v>
      </x:c>
      <x:c r="M167" s="38" t="n">
        <x:v>-0.0041948541</x:v>
      </x:c>
      <x:c r="N167" s="38" t="n">
        <x:v>0.0368057445</x:v>
      </x:c>
      <x:c r="O167" s="38" t="n">
        <x:v>0.0069193811</x:v>
      </x:c>
      <x:c r="P167" s="38" t="n">
        <x:v>-0.1874705978</x:v>
      </x:c>
      <x:c r="Q167" s="38" t="n">
        <x:v>-0.0050074948</x:v>
      </x:c>
      <x:c r="R167" s="38"/>
      <x:c r="S167" s="38" t="n">
        <x:v>0.0022446172</x:v>
      </x:c>
      <x:c r="T167" s="38" t="n">
        <x:v>0.0285609522</x:v>
      </x:c>
      <x:c r="U167" s="38" t="n">
        <x:v>-0.0615981728</x:v>
      </x:c>
      <x:c r="V167" s="38" t="n">
        <x:v>-0.0467850411</x:v>
      </x:c>
      <x:c r="W167" s="38" t="n">
        <x:v>-0.003944637</x:v>
      </x:c>
      <x:c r="X167" s="38" t="n">
        <x:v>-0.0095138802</x:v>
      </x:c>
      <x:c r="Y167" s="38" t="n">
        <x:v>-0.1471534138</x:v>
      </x:c>
      <x:c r="Z167" s="38" t="n">
        <x:v>-0.0519885048</x:v>
      </x:c>
      <x:c r="AA167" s="38" t="n">
        <x:v>0.0085523377</x:v>
      </x:c>
      <x:c r="AB167" s="38" t="n">
        <x:v>-0.1527702689</x:v>
      </x:c>
      <x:c r="AC167" s="38"/>
      <x:c r="AD167" s="38" t="n">
        <x:v>0.0500993875</x:v>
      </x:c>
      <x:c r="AE167" s="38" t="n">
        <x:v>-0.0453620772</x:v>
      </x:c>
      <x:c r="AF167" s="38" t="n">
        <x:v>-0.0168786529</x:v>
      </x:c>
      <x:c r="AG167" s="38" t="n">
        <x:v>-0.0391662938</x:v>
      </x:c>
      <x:c r="AH167" s="38" t="n">
        <x:v>-0.0839265056</x:v>
      </x:c>
      <x:c r="AI167" s="38" t="n">
        <x:v>0.0680372178</x:v>
      </x:c>
      <x:c r="AJ167" s="38" t="n">
        <x:v>-0.0340459869</x:v>
      </x:c>
      <x:c r="AK167" s="38" t="n">
        <x:v>0.0222388841</x:v>
      </x:c>
      <x:c r="AL167" s="38" t="n">
        <x:v>0.0595657306</x:v>
      </x:c>
      <x:c r="AM167" s="38" t="n">
        <x:v>0.0185683847</x:v>
      </x:c>
      <x:c r="AN167" s="38" t="n">
        <x:v>0.0025680006</x:v>
      </x:c>
      <x:c r="AO167" s="38" t="n">
        <x:v>0.013957234</x:v>
      </x:c>
      <x:c r="AP167" s="38" t="n">
        <x:v>0.0236679447</x:v>
      </x:c>
      <x:c r="AQ167" s="38" t="n">
        <x:v>-0.0323357582</x:v>
      </x:c>
      <x:c r="AR167" s="38" t="n">
        <x:v>0.0008931703</x:v>
      </x:c>
      <x:c r="AS167" s="38" t="n">
        <x:v>0.0202421868</x:v>
      </x:c>
    </x:row>
    <x:row r="168" ht="19" customHeight="1">
      <x:c r="A168" s="29" t="str">
        <x:v>Other FX</x:v>
      </x:c>
      <x:c r="B168" s="39" t="d">
        <x:v>2020-09-14T00:00:00.000Z</x:v>
      </x:c>
      <x:c r="C168" s="38" t="n">
        <x:v>-0.0257498283</x:v>
      </x:c>
      <x:c r="D168" s="38" t="n">
        <x:v>-0.1741197306</x:v>
      </x:c>
      <x:c r="E168" s="38" t="n">
        <x:v>-0.0182524935</x:v>
      </x:c>
      <x:c r="F168" s="38" t="n">
        <x:v>-0.015603049</x:v>
      </x:c>
      <x:c r="G168" s="38" t="n">
        <x:v>-0.0017296267</x:v>
      </x:c>
      <x:c r="H168" s="38" t="n">
        <x:v>-0.0259708699</x:v>
      </x:c>
      <x:c r="I168" s="38" t="n">
        <x:v>-0.0797781867</x:v>
      </x:c>
      <x:c r="J168" s="38" t="n">
        <x:v>-0.080341879</x:v>
      </x:c>
      <x:c r="K168" s="38" t="n">
        <x:v>-0.0606762941</x:v>
      </x:c>
      <x:c r="L168" s="38" t="n">
        <x:v>-0.0431806512</x:v>
      </x:c>
      <x:c r="M168" s="38" t="n">
        <x:v>0.0258679915</x:v>
      </x:c>
      <x:c r="N168" s="38" t="n">
        <x:v>0.0384877019</x:v>
      </x:c>
      <x:c r="O168" s="38" t="n">
        <x:v>-0.0282915957</x:v>
      </x:c>
      <x:c r="P168" s="38" t="n">
        <x:v>-0.0437896581</x:v>
      </x:c>
      <x:c r="Q168" s="38" t="n">
        <x:v>0.0122279211</x:v>
      </x:c>
      <x:c r="R168" s="38"/>
      <x:c r="S168" s="38" t="n">
        <x:v>-0.0273599699</x:v>
      </x:c>
      <x:c r="T168" s="38" t="n">
        <x:v>-0.0704968015</x:v>
      </x:c>
      <x:c r="U168" s="38" t="n">
        <x:v>-0.0156511669</x:v>
      </x:c>
      <x:c r="V168" s="38" t="n">
        <x:v>-0.0285349126</x:v>
      </x:c>
      <x:c r="W168" s="38" t="n">
        <x:v>-0.036549161</x:v>
      </x:c>
      <x:c r="X168" s="38" t="n">
        <x:v>0.0211931545</x:v>
      </x:c>
      <x:c r="Y168" s="38" t="n">
        <x:v>-0.0066244202</x:v>
      </x:c>
      <x:c r="Z168" s="38" t="n">
        <x:v>-0.0476458422</x:v>
      </x:c>
      <x:c r="AA168" s="38" t="n">
        <x:v>0.0138889883</x:v>
      </x:c>
      <x:c r="AB168" s="38" t="n">
        <x:v>-0.0750297094</x:v>
      </x:c>
      <x:c r="AC168" s="38"/>
      <x:c r="AD168" s="38" t="n">
        <x:v>-0.0099412999</x:v>
      </x:c>
      <x:c r="AE168" s="38" t="n">
        <x:v>0.0055588776</x:v>
      </x:c>
      <x:c r="AF168" s="38" t="n">
        <x:v>0.0171404607</x:v>
      </x:c>
      <x:c r="AG168" s="38" t="n">
        <x:v>-0.0575553346</x:v>
      </x:c>
      <x:c r="AH168" s="38" t="n">
        <x:v>-0.0540318057</x:v>
      </x:c>
      <x:c r="AI168" s="38" t="n">
        <x:v>-0.1146380676</x:v>
      </x:c>
      <x:c r="AJ168" s="38" t="n">
        <x:v>0.0181008022</x:v>
      </x:c>
      <x:c r="AK168" s="38" t="n">
        <x:v>-0.028955232</x:v>
      </x:c>
      <x:c r="AL168" s="38" t="n">
        <x:v>-0.127463694</x:v>
      </x:c>
      <x:c r="AM168" s="38" t="n">
        <x:v>-0.0559562516</x:v>
      </x:c>
      <x:c r="AN168" s="38" t="n">
        <x:v>-0.0791827301</x:v>
      </x:c>
      <x:c r="AO168" s="38" t="n">
        <x:v>-0.0387984677</x:v>
      </x:c>
      <x:c r="AP168" s="38" t="n">
        <x:v>-0.0260357378</x:v>
      </x:c>
      <x:c r="AQ168" s="38" t="n">
        <x:v>0.0219706489</x:v>
      </x:c>
      <x:c r="AR168" s="38" t="n">
        <x:v>-0.0259117556</x:v>
      </x:c>
      <x:c r="AS168" s="38" t="n">
        <x:v>0.0165146698</x:v>
      </x:c>
    </x:row>
    <x:row r="169" ht="19" customHeight="1">
      <x:c r="A169" s="29" t="str">
        <x:v>Other FX</x:v>
      </x:c>
      <x:c r="B169" s="39" t="d">
        <x:v>2020-10-12T00:00:00.000Z</x:v>
      </x:c>
      <x:c r="C169" s="38" t="n">
        <x:v>0.0278073665</x:v>
      </x:c>
      <x:c r="D169" s="38" t="n">
        <x:v>-0.0601423679</x:v>
      </x:c>
      <x:c r="E169" s="38" t="n">
        <x:v>0.0767407055</x:v>
      </x:c>
      <x:c r="F169" s="38" t="n">
        <x:v>0.0631550189</x:v>
      </x:c>
      <x:c r="G169" s="38" t="n">
        <x:v>-0.0066441056</x:v>
      </x:c>
      <x:c r="H169" s="38" t="n">
        <x:v>0.0733653025</x:v>
      </x:c>
      <x:c r="I169" s="38" t="n">
        <x:v>0.056970029</x:v>
      </x:c>
      <x:c r="J169" s="38" t="n">
        <x:v>-0.0102580899</x:v>
      </x:c>
      <x:c r="K169" s="38" t="n">
        <x:v>0.0098302941</x:v>
      </x:c>
      <x:c r="L169" s="38" t="n">
        <x:v>-0.1086282583</x:v>
      </x:c>
      <x:c r="M169" s="38" t="n">
        <x:v>-0.1127513247</x:v>
      </x:c>
      <x:c r="N169" s="38" t="n">
        <x:v>-0.0104264004</x:v>
      </x:c>
      <x:c r="O169" s="38" t="n">
        <x:v>0.0475804993</x:v>
      </x:c>
      <x:c r="P169" s="38" t="n">
        <x:v>-0.0052282934</x:v>
      </x:c>
      <x:c r="Q169" s="38" t="n">
        <x:v>0.0369047041</x:v>
      </x:c>
      <x:c r="R169" s="38"/>
      <x:c r="S169" s="38" t="n">
        <x:v>-0.0115406886</x:v>
      </x:c>
      <x:c r="T169" s="38" t="n">
        <x:v>0.2304726591</x:v>
      </x:c>
      <x:c r="U169" s="38" t="n">
        <x:v>0.0435699977</x:v>
      </x:c>
      <x:c r="V169" s="38" t="n">
        <x:v>0.1005295171</x:v>
      </x:c>
      <x:c r="W169" s="38" t="n">
        <x:v>0.0741149759</x:v>
      </x:c>
      <x:c r="X169" s="38" t="n">
        <x:v>0.0124787905</x:v>
      </x:c>
      <x:c r="Y169" s="38" t="n">
        <x:v>-0.007224456</x:v>
      </x:c>
      <x:c r="Z169" s="38" t="n">
        <x:v>0.0292130261</x:v>
      </x:c>
      <x:c r="AA169" s="38" t="n">
        <x:v>-0.0124961494</x:v>
      </x:c>
      <x:c r="AB169" s="38" t="n">
        <x:v>-0.0744705077</x:v>
      </x:c>
      <x:c r="AC169" s="38"/>
      <x:c r="AD169" s="38" t="n">
        <x:v>0.0302680917</x:v>
      </x:c>
      <x:c r="AE169" s="38" t="n">
        <x:v>0.05130445</x:v>
      </x:c>
      <x:c r="AF169" s="38" t="n">
        <x:v>-0.0011954391</x:v>
      </x:c>
      <x:c r="AG169" s="38" t="n">
        <x:v>0.0228515295</x:v>
      </x:c>
      <x:c r="AH169" s="38" t="n">
        <x:v>0.0173242941</x:v>
      </x:c>
      <x:c r="AI169" s="38" t="n">
        <x:v>0.0453445459</x:v>
      </x:c>
      <x:c r="AJ169" s="38" t="n">
        <x:v>-0.0304172079</x:v>
      </x:c>
      <x:c r="AK169" s="38" t="n">
        <x:v>-0.022028083</x:v>
      </x:c>
      <x:c r="AL169" s="38" t="n">
        <x:v>-0.0239725083</x:v>
      </x:c>
      <x:c r="AM169" s="38" t="n">
        <x:v>0.0534285388</x:v>
      </x:c>
      <x:c r="AN169" s="38" t="n">
        <x:v>0.0653696728</x:v>
      </x:c>
      <x:c r="AO169" s="38" t="n">
        <x:v>0.0530891067</x:v>
      </x:c>
      <x:c r="AP169" s="38" t="n">
        <x:v>0.0225529075</x:v>
      </x:c>
      <x:c r="AQ169" s="38" t="n">
        <x:v>-0.0147215014</x:v>
      </x:c>
      <x:c r="AR169" s="38" t="n">
        <x:v>-0.015464341</x:v>
      </x:c>
      <x:c r="AS169" s="38" t="n">
        <x:v>-0.0230303951</x:v>
      </x:c>
    </x:row>
    <x:row r="170" ht="19" customHeight="1">
      <x:c r="A170" s="29" t="str">
        <x:v>Other FX</x:v>
      </x:c>
      <x:c r="B170" s="39" t="d">
        <x:v>2020-11-09T00:00:00.000Z</x:v>
      </x:c>
      <x:c r="C170" s="38" t="n">
        <x:v>0.0210824094</x:v>
      </x:c>
      <x:c r="D170" s="38" t="n">
        <x:v>-0.0003096113</x:v>
      </x:c>
      <x:c r="E170" s="38" t="n">
        <x:v>-0.0209120454</x:v>
      </x:c>
      <x:c r="F170" s="38" t="n">
        <x:v>0.0184075058</x:v>
      </x:c>
      <x:c r="G170" s="38" t="n">
        <x:v>0.0442597727</x:v>
      </x:c>
      <x:c r="H170" s="38" t="n">
        <x:v>-0.0521753312</x:v>
      </x:c>
      <x:c r="I170" s="38" t="n">
        <x:v>-0.0307034661</x:v>
      </x:c>
      <x:c r="J170" s="38" t="n">
        <x:v>-0.1422874235</x:v>
      </x:c>
      <x:c r="K170" s="38" t="n">
        <x:v>-0.0624435209</x:v>
      </x:c>
      <x:c r="L170" s="38" t="n">
        <x:v>0.135695071</x:v>
      </x:c>
      <x:c r="M170" s="38" t="n">
        <x:v>0.0271640099</x:v>
      </x:c>
      <x:c r="N170" s="38" t="n">
        <x:v>-0.005066554</x:v>
      </x:c>
      <x:c r="O170" s="38" t="n">
        <x:v>0.0417166994</x:v>
      </x:c>
      <x:c r="P170" s="38" t="n">
        <x:v>-0.0425653297</x:v>
      </x:c>
      <x:c r="Q170" s="38" t="n">
        <x:v>0.0110900368</x:v>
      </x:c>
      <x:c r="R170" s="38"/>
      <x:c r="S170" s="38" t="n">
        <x:v>-0.0207000739</x:v>
      </x:c>
      <x:c r="T170" s="38" t="n">
        <x:v>0.0372221752</x:v>
      </x:c>
      <x:c r="U170" s="38" t="n">
        <x:v>0.0685617639</x:v>
      </x:c>
      <x:c r="V170" s="38" t="n">
        <x:v>0.0425323252</x:v>
      </x:c>
      <x:c r="W170" s="38" t="n">
        <x:v>-0.0697453246</x:v>
      </x:c>
      <x:c r="X170" s="38" t="n">
        <x:v>0.0368780895</x:v>
      </x:c>
      <x:c r="Y170" s="38" t="n">
        <x:v>-0.0327303933</x:v>
      </x:c>
      <x:c r="Z170" s="38" t="n">
        <x:v>-0.0288012565</x:v>
      </x:c>
      <x:c r="AA170" s="38" t="n">
        <x:v>-0.0205318015</x:v>
      </x:c>
      <x:c r="AB170" s="38" t="n">
        <x:v>-0.0756503991</x:v>
      </x:c>
      <x:c r="AC170" s="38"/>
      <x:c r="AD170" s="38" t="n">
        <x:v>-0.0025709692</x:v>
      </x:c>
      <x:c r="AE170" s="38" t="n">
        <x:v>0.0167475447</x:v>
      </x:c>
      <x:c r="AF170" s="38" t="n">
        <x:v>0.0387161341</x:v>
      </x:c>
      <x:c r="AG170" s="38" t="n">
        <x:v>0.0312163493</x:v>
      </x:c>
      <x:c r="AH170" s="38" t="n">
        <x:v>0.0287616754</x:v>
      </x:c>
      <x:c r="AI170" s="38" t="n">
        <x:v>-0.0411491208</x:v>
      </x:c>
      <x:c r="AJ170" s="38" t="n">
        <x:v>-0.0119670796</x:v>
      </x:c>
      <x:c r="AK170" s="38" t="n">
        <x:v>0.0780026114</x:v>
      </x:c>
      <x:c r="AL170" s="38" t="n">
        <x:v>-0.0522162246</x:v>
      </x:c>
      <x:c r="AM170" s="38" t="n">
        <x:v>-0.0181373924</x:v>
      </x:c>
      <x:c r="AN170" s="38" t="n">
        <x:v>0.0458977326</x:v>
      </x:c>
      <x:c r="AO170" s="38" t="n">
        <x:v>-0.021208994</x:v>
      </x:c>
      <x:c r="AP170" s="38" t="n">
        <x:v>-0.032957848</x:v>
      </x:c>
      <x:c r="AQ170" s="38" t="n">
        <x:v>0.020310728</x:v>
      </x:c>
      <x:c r="AR170" s="38" t="n">
        <x:v>-0.0087841447</x:v>
      </x:c>
      <x:c r="AS170" s="38" t="n">
        <x:v>0.0261135766</x:v>
      </x:c>
    </x:row>
    <x:row r="171" ht="19" customHeight="1">
      <x:c r="A171" s="29" t="str">
        <x:v>Other FX</x:v>
      </x:c>
      <x:c r="B171" s="39" t="d">
        <x:v>2020-12-07T00:00:00.000Z</x:v>
      </x:c>
      <x:c r="C171" s="38" t="n">
        <x:v>-0.0445335861</x:v>
      </x:c>
      <x:c r="D171" s="38" t="n">
        <x:v>0.0599396405</x:v>
      </x:c>
      <x:c r="E171" s="38" t="n">
        <x:v>-0.0643872883</x:v>
      </x:c>
      <x:c r="F171" s="38" t="n">
        <x:v>-0.0352422787</x:v>
      </x:c>
      <x:c r="G171" s="38" t="n">
        <x:v>0.1323390021</x:v>
      </x:c>
      <x:c r="H171" s="38" t="n">
        <x:v>-0.001473396</x:v>
      </x:c>
      <x:c r="I171" s="38" t="n">
        <x:v>-0.0367446647</x:v>
      </x:c>
      <x:c r="J171" s="38" t="n">
        <x:v>-0.0506157906</x:v>
      </x:c>
      <x:c r="K171" s="38" t="n">
        <x:v>0.025568928</x:v>
      </x:c>
      <x:c r="L171" s="38" t="n">
        <x:v>0.096584071</x:v>
      </x:c>
      <x:c r="M171" s="38" t="n">
        <x:v>0.108624983</x:v>
      </x:c>
      <x:c r="N171" s="38" t="n">
        <x:v>0.0499717648</x:v>
      </x:c>
      <x:c r="O171" s="38" t="n">
        <x:v>0.0115908168</x:v>
      </x:c>
      <x:c r="P171" s="38" t="n">
        <x:v>0.0525105101</x:v>
      </x:c>
      <x:c r="Q171" s="38" t="n">
        <x:v>0.0238034395</x:v>
      </x:c>
      <x:c r="R171" s="38"/>
      <x:c r="S171" s="38" t="n">
        <x:v>0.0362933758</x:v>
      </x:c>
      <x:c r="T171" s="38" t="n">
        <x:v>0.1021093272</x:v>
      </x:c>
      <x:c r="U171" s="38" t="n">
        <x:v>0.320294138</x:v>
      </x:c>
      <x:c r="V171" s="38" t="n">
        <x:v>0.0117086876</x:v>
      </x:c>
      <x:c r="W171" s="38" t="n">
        <x:v>-0.007746227</x:v>
      </x:c>
      <x:c r="X171" s="38" t="n">
        <x:v>0.01571532</x:v>
      </x:c>
      <x:c r="Y171" s="38" t="n">
        <x:v>0.0401364832</x:v>
      </x:c>
      <x:c r="Z171" s="38" t="n">
        <x:v>-0.1518339424</x:v>
      </x:c>
      <x:c r="AA171" s="38" t="n">
        <x:v>-0.0239028849</x:v>
      </x:c>
      <x:c r="AB171" s="38" t="n">
        <x:v>-0.0423478348</x:v>
      </x:c>
      <x:c r="AC171" s="38"/>
      <x:c r="AD171" s="38" t="n">
        <x:v>-0.0346492539</x:v>
      </x:c>
      <x:c r="AE171" s="38" t="n">
        <x:v>-0.0165661939</x:v>
      </x:c>
      <x:c r="AF171" s="38" t="n">
        <x:v>0.1035954294</x:v>
      </x:c>
      <x:c r="AG171" s="38" t="n">
        <x:v>0.1015269299</x:v>
      </x:c>
      <x:c r="AH171" s="38" t="n">
        <x:v>0.0024227009</x:v>
      </x:c>
      <x:c r="AI171" s="38" t="n">
        <x:v>-0.014451776</x:v>
      </x:c>
      <x:c r="AJ171" s="38" t="n">
        <x:v>0.0682150642</x:v>
      </x:c>
      <x:c r="AK171" s="38" t="n">
        <x:v>-0.0617293264</x:v>
      </x:c>
      <x:c r="AL171" s="38" t="n">
        <x:v>0.014322734</x:v>
      </x:c>
      <x:c r="AM171" s="38" t="n">
        <x:v>-0.0493024518</x:v>
      </x:c>
      <x:c r="AN171" s="38" t="n">
        <x:v>-0.0780322016</x:v>
      </x:c>
      <x:c r="AO171" s="38" t="n">
        <x:v>-0.0021856307</x:v>
      </x:c>
      <x:c r="AP171" s="38" t="n">
        <x:v>-0.0371188674</x:v>
      </x:c>
      <x:c r="AQ171" s="38" t="n">
        <x:v>-0.0155657869</x:v>
      </x:c>
      <x:c r="AR171" s="38" t="n">
        <x:v>-0.0006804328</x:v>
      </x:c>
      <x:c r="AS171" s="38" t="n">
        <x:v>-0.0224653894</x:v>
      </x:c>
    </x:row>
    <x:row r="172" ht="19" customHeight="1">
      <x:c r="A172" s="29" t="str">
        <x:v>Other FX</x:v>
      </x:c>
      <x:c r="B172" s="39" t="d">
        <x:v>2021-01-04T00:00:00.000Z</x:v>
      </x:c>
      <x:c r="C172" s="38" t="n">
        <x:v>0.0862152649</x:v>
      </x:c>
      <x:c r="D172" s="38" t="n">
        <x:v>-0.0596984363</x:v>
      </x:c>
      <x:c r="E172" s="38" t="n">
        <x:v>-0.0426141855</x:v>
      </x:c>
      <x:c r="F172" s="38" t="n">
        <x:v>-0.0435305468</x:v>
      </x:c>
      <x:c r="G172" s="38" t="n">
        <x:v>0.0026462371</x:v>
      </x:c>
      <x:c r="H172" s="38" t="n">
        <x:v>0.0250352475</x:v>
      </x:c>
      <x:c r="I172" s="38" t="n">
        <x:v>-0.0015660325</x:v>
      </x:c>
      <x:c r="J172" s="38" t="n">
        <x:v>0.0129380689</x:v>
      </x:c>
      <x:c r="K172" s="38" t="n">
        <x:v>-0.1366710575</x:v>
      </x:c>
      <x:c r="L172" s="38" t="n">
        <x:v>-0.0133812744</x:v>
      </x:c>
      <x:c r="M172" s="38" t="n">
        <x:v>0.0337639936</x:v>
      </x:c>
      <x:c r="N172" s="38" t="n">
        <x:v>0.0018482644</x:v>
      </x:c>
      <x:c r="O172" s="38" t="n">
        <x:v>0.0993791979</x:v>
      </x:c>
      <x:c r="P172" s="38" t="n">
        <x:v>-0.0684880587</x:v>
      </x:c>
      <x:c r="Q172" s="38" t="n">
        <x:v>-0.0491019699</x:v>
      </x:c>
      <x:c r="R172" s="38"/>
      <x:c r="S172" s="38" t="n">
        <x:v>0.0539745758</x:v>
      </x:c>
      <x:c r="T172" s="38" t="n">
        <x:v>-0.0521639524</x:v>
      </x:c>
      <x:c r="U172" s="38" t="n">
        <x:v>-0.192883837</x:v>
      </x:c>
      <x:c r="V172" s="38" t="n">
        <x:v>0.0038564337</x:v>
      </x:c>
      <x:c r="W172" s="38" t="n">
        <x:v>-0.00789182</x:v>
      </x:c>
      <x:c r="X172" s="38" t="n">
        <x:v>0.0026916378</x:v>
      </x:c>
      <x:c r="Y172" s="38" t="n">
        <x:v>-0.0243386108</x:v>
      </x:c>
      <x:c r="Z172" s="38" t="n">
        <x:v>-0.0407068276</x:v>
      </x:c>
      <x:c r="AA172" s="38" t="n">
        <x:v>0.0127061652</x:v>
      </x:c>
      <x:c r="AB172" s="38" t="n">
        <x:v>-0.1087783748</x:v>
      </x:c>
      <x:c r="AC172" s="38"/>
      <x:c r="AD172" s="38" t="n">
        <x:v>-0.0009117761</x:v>
      </x:c>
      <x:c r="AE172" s="38" t="n">
        <x:v>-0.0404519438</x:v>
      </x:c>
      <x:c r="AF172" s="38" t="n">
        <x:v>-0.0054533708</x:v>
      </x:c>
      <x:c r="AG172" s="38" t="n">
        <x:v>-0.0699149304</x:v>
      </x:c>
      <x:c r="AH172" s="38" t="n">
        <x:v>-0.0712079782</x:v>
      </x:c>
      <x:c r="AI172" s="38" t="n">
        <x:v>-0.0254232043</x:v>
      </x:c>
      <x:c r="AJ172" s="38" t="n">
        <x:v>0.0230943163</x:v>
      </x:c>
      <x:c r="AK172" s="38" t="n">
        <x:v>-0.059906279</x:v>
      </x:c>
      <x:c r="AL172" s="38" t="n">
        <x:v>-0.0391534546</x:v>
      </x:c>
      <x:c r="AM172" s="38" t="n">
        <x:v>-0.0008312567</x:v>
      </x:c>
      <x:c r="AN172" s="38" t="n">
        <x:v>-0.0365816183</x:v>
      </x:c>
      <x:c r="AO172" s="38" t="n">
        <x:v>-0.0289242492</x:v>
      </x:c>
      <x:c r="AP172" s="38" t="n">
        <x:v>-0.0032268826</x:v>
      </x:c>
      <x:c r="AQ172" s="38" t="n">
        <x:v>-0.0449216435</x:v>
      </x:c>
      <x:c r="AR172" s="38" t="n">
        <x:v>0.010246272</x:v>
      </x:c>
      <x:c r="AS172" s="38" t="n">
        <x:v>0.0051671796</x:v>
      </x:c>
    </x:row>
    <x:row r="173" ht="19" customHeight="1">
      <x:c r="A173" s="29" t="str">
        <x:v>Other FX</x:v>
      </x:c>
      <x:c r="B173" s="39" t="d">
        <x:v>2021-02-01T00:00:00.000Z</x:v>
      </x:c>
      <x:c r="C173" s="38" t="n">
        <x:v>0.0017127728</x:v>
      </x:c>
      <x:c r="D173" s="38" t="n">
        <x:v>-0.0436620894</x:v>
      </x:c>
      <x:c r="E173" s="38" t="n">
        <x:v>0.0202577407</x:v>
      </x:c>
      <x:c r="F173" s="38" t="n">
        <x:v>0.0071218492</x:v>
      </x:c>
      <x:c r="G173" s="38" t="n">
        <x:v>0.0162324429</x:v>
      </x:c>
      <x:c r="H173" s="38" t="n">
        <x:v>0.0561842663</x:v>
      </x:c>
      <x:c r="I173" s="38" t="n">
        <x:v>0.0215614864</x:v>
      </x:c>
      <x:c r="J173" s="38" t="n">
        <x:v>-0.0295341852</x:v>
      </x:c>
      <x:c r="K173" s="38" t="n">
        <x:v>0.0649316055</x:v>
      </x:c>
      <x:c r="L173" s="38" t="n">
        <x:v>0.0403130244</x:v>
      </x:c>
      <x:c r="M173" s="38" t="n">
        <x:v>-0.0183187458</x:v>
      </x:c>
      <x:c r="N173" s="38" t="n">
        <x:v>0.028586856</x:v>
      </x:c>
      <x:c r="O173" s="38" t="n">
        <x:v>0.0344838612</x:v>
      </x:c>
      <x:c r="P173" s="38" t="n">
        <x:v>0.0518691271</x:v>
      </x:c>
      <x:c r="Q173" s="38" t="n">
        <x:v>-0.0648476754</x:v>
      </x:c>
      <x:c r="R173" s="38"/>
      <x:c r="S173" s="38" t="n">
        <x:v>-0.028286507</x:v>
      </x:c>
      <x:c r="T173" s="38" t="n">
        <x:v>0.0034945109</x:v>
      </x:c>
      <x:c r="U173" s="38" t="n">
        <x:v>0.2865527496</x:v>
      </x:c>
      <x:c r="V173" s="38" t="n">
        <x:v>0.1798141396</x:v>
      </x:c>
      <x:c r="W173" s="38" t="n">
        <x:v>0.0550868056</x:v>
      </x:c>
      <x:c r="X173" s="38" t="n">
        <x:v>0.0105820254</x:v>
      </x:c>
      <x:c r="Y173" s="38" t="n">
        <x:v>-0.0045143503</x:v>
      </x:c>
      <x:c r="Z173" s="38" t="n">
        <x:v>-0.0038708046</x:v>
      </x:c>
      <x:c r="AA173" s="38" t="n">
        <x:v>-0.0536415324</x:v>
      </x:c>
      <x:c r="AB173" s="38" t="n">
        <x:v>0.057123467</x:v>
      </x:c>
      <x:c r="AC173" s="38" t="n">
        <x:v>0.2171973841</x:v>
      </x:c>
      <x:c r="AD173" s="38" t="n">
        <x:v>-0.0334914515</x:v>
      </x:c>
      <x:c r="AE173" s="38" t="n">
        <x:v>0.1607411269</x:v>
      </x:c>
      <x:c r="AF173" s="38" t="n">
        <x:v>0.0604925126</x:v>
      </x:c>
      <x:c r="AG173" s="38" t="n">
        <x:v>0.0082869142</x:v>
      </x:c>
      <x:c r="AH173" s="38" t="n">
        <x:v>-0.0054184951</x:v>
      </x:c>
      <x:c r="AI173" s="38" t="n">
        <x:v>-0.0695729071</x:v>
      </x:c>
      <x:c r="AJ173" s="38" t="n">
        <x:v>0.1156230072</x:v>
      </x:c>
      <x:c r="AK173" s="38" t="n">
        <x:v>0.0067986698</x:v>
      </x:c>
      <x:c r="AL173" s="38" t="n">
        <x:v>0.0282994523</x:v>
      </x:c>
      <x:c r="AM173" s="38" t="n">
        <x:v>0.0542299312</x:v>
      </x:c>
      <x:c r="AN173" s="38" t="n">
        <x:v>0.0809236144</x:v>
      </x:c>
      <x:c r="AO173" s="38" t="n">
        <x:v>-0.0345689811</x:v>
      </x:c>
      <x:c r="AP173" s="38" t="n">
        <x:v>0.0268811652</x:v>
      </x:c>
      <x:c r="AQ173" s="38" t="n">
        <x:v>-0.0200835204</x:v>
      </x:c>
      <x:c r="AR173" s="38" t="n">
        <x:v>0.0088994089</x:v>
      </x:c>
      <x:c r="AS173" s="38" t="n">
        <x:v>-0.0013429534</x:v>
      </x:c>
    </x:row>
    <x:row r="174" ht="19" customHeight="1">
      <x:c r="A174" s="29" t="str">
        <x:v>Other FX</x:v>
      </x:c>
      <x:c r="B174" s="39" t="d">
        <x:v>2021-03-01T00:00:00.000Z</x:v>
      </x:c>
      <x:c r="C174" s="38" t="n">
        <x:v>-0.1013829291</x:v>
      </x:c>
      <x:c r="D174" s="38" t="n">
        <x:v>-0.0097758899</x:v>
      </x:c>
      <x:c r="E174" s="38" t="n">
        <x:v>-0.0187155697</x:v>
      </x:c>
      <x:c r="F174" s="38" t="n">
        <x:v>-0.0431202749</x:v>
      </x:c>
      <x:c r="G174" s="38" t="n">
        <x:v>0.0398299554</x:v>
      </x:c>
      <x:c r="H174" s="38" t="n">
        <x:v>-0.0845488712</x:v>
      </x:c>
      <x:c r="I174" s="38" t="n">
        <x:v>-0.0709161279</x:v>
      </x:c>
      <x:c r="J174" s="38" t="n">
        <x:v>0.128745355</x:v>
      </x:c>
      <x:c r="K174" s="38" t="n">
        <x:v>0.020530002</x:v>
      </x:c>
      <x:c r="L174" s="38" t="n">
        <x:v>0.1597671841</x:v>
      </x:c>
      <x:c r="M174" s="38" t="n">
        <x:v>-0.0240121561</x:v>
      </x:c>
      <x:c r="N174" s="38" t="n">
        <x:v>-0.0398273047</x:v>
      </x:c>
      <x:c r="O174" s="38" t="n">
        <x:v>0.0435822785</x:v>
      </x:c>
      <x:c r="P174" s="38" t="n">
        <x:v>0.063428925</x:v>
      </x:c>
      <x:c r="Q174" s="38" t="n">
        <x:v>-0.0287843743</x:v>
      </x:c>
      <x:c r="R174" s="38"/>
      <x:c r="S174" s="38" t="n">
        <x:v>0.0671397271</x:v>
      </x:c>
      <x:c r="T174" s="38" t="n">
        <x:v>-0.1793798887</x:v>
      </x:c>
      <x:c r="U174" s="38" t="n">
        <x:v>-0.0729964828</x:v>
      </x:c>
      <x:c r="V174" s="38" t="n">
        <x:v>-0.1032656136</x:v>
      </x:c>
      <x:c r="W174" s="38" t="n">
        <x:v>-0.0329433659</x:v>
      </x:c>
      <x:c r="X174" s="38" t="n">
        <x:v>0.0655114144</x:v>
      </x:c>
      <x:c r="Y174" s="38" t="n">
        <x:v>0.0464311858</x:v>
      </x:c>
      <x:c r="Z174" s="38" t="n">
        <x:v>-0.0657721114</x:v>
      </x:c>
      <x:c r="AA174" s="38" t="n">
        <x:v>0.0088018784</x:v>
      </x:c>
      <x:c r="AB174" s="38" t="n">
        <x:v>-0.1892192698</x:v>
      </x:c>
      <x:c r="AC174" s="38" t="n">
        <x:v>-0.2084562946</x:v>
      </x:c>
      <x:c r="AD174" s="38" t="n">
        <x:v>0.0040468786</x:v>
      </x:c>
      <x:c r="AE174" s="38" t="n">
        <x:v>0.050098214</x:v>
      </x:c>
      <x:c r="AF174" s="38" t="n">
        <x:v>0.0557294816</x:v>
      </x:c>
      <x:c r="AG174" s="38" t="n">
        <x:v>0.099741138</x:v>
      </x:c>
      <x:c r="AH174" s="38" t="n">
        <x:v>0.0547364337</x:v>
      </x:c>
      <x:c r="AI174" s="38" t="n">
        <x:v>-0.0859339169</x:v>
      </x:c>
      <x:c r="AJ174" s="38" t="n">
        <x:v>0.0178758222</x:v>
      </x:c>
      <x:c r="AK174" s="38" t="n">
        <x:v>0.0290615069</x:v>
      </x:c>
      <x:c r="AL174" s="38" t="n">
        <x:v>-0.0663802004</x:v>
      </x:c>
      <x:c r="AM174" s="38" t="n">
        <x:v>-0.026186283</x:v>
      </x:c>
      <x:c r="AN174" s="38" t="n">
        <x:v>-0.0433528295</x:v>
      </x:c>
      <x:c r="AO174" s="38" t="n">
        <x:v>-0.0722672446</x:v>
      </x:c>
      <x:c r="AP174" s="38" t="n">
        <x:v>-0.0489708072</x:v>
      </x:c>
      <x:c r="AQ174" s="38" t="n">
        <x:v>0.0138098672</x:v>
      </x:c>
      <x:c r="AR174" s="38" t="n">
        <x:v>-0.033623313</x:v>
      </x:c>
      <x:c r="AS174" s="38" t="n">
        <x:v>0.0390754618</x:v>
      </x:c>
    </x:row>
    <x:row r="175" ht="19" customHeight="1">
      <x:c r="A175" s="29" t="str">
        <x:v>Other FX</x:v>
      </x:c>
      <x:c r="B175" s="39" t="d">
        <x:v>2021-03-29T00:00:00.000Z</x:v>
      </x:c>
      <x:c r="C175" s="38" t="n">
        <x:v>0.0015270548</x:v>
      </x:c>
      <x:c r="D175" s="38" t="n">
        <x:v>-0.0632696843</x:v>
      </x:c>
      <x:c r="E175" s="38" t="n">
        <x:v>0.0445433482</x:v>
      </x:c>
      <x:c r="F175" s="38" t="n">
        <x:v>0.0688046838</x:v>
      </x:c>
      <x:c r="G175" s="38" t="n">
        <x:v>0.0012581432</x:v>
      </x:c>
      <x:c r="H175" s="38" t="n">
        <x:v>0.0551695784</x:v>
      </x:c>
      <x:c r="I175" s="38" t="n">
        <x:v>0.0287805351</x:v>
      </x:c>
      <x:c r="J175" s="38" t="n">
        <x:v>-0.0451330523</x:v>
      </x:c>
      <x:c r="K175" s="38" t="n">
        <x:v>-0.0552208933</x:v>
      </x:c>
      <x:c r="L175" s="38" t="n">
        <x:v>-0.0298426283</x:v>
      </x:c>
      <x:c r="M175" s="38" t="n">
        <x:v>-0.0108623543</x:v>
      </x:c>
      <x:c r="N175" s="38" t="n">
        <x:v>-0.0111529826</x:v>
      </x:c>
      <x:c r="O175" s="38" t="n">
        <x:v>0.0334922779</x:v>
      </x:c>
      <x:c r="P175" s="38" t="n">
        <x:v>-0.0794852621</x:v>
      </x:c>
      <x:c r="Q175" s="38" t="n">
        <x:v>-0.0776468766</x:v>
      </x:c>
      <x:c r="R175" s="38"/>
      <x:c r="S175" s="38" t="n">
        <x:v>-0.0259289322</x:v>
      </x:c>
      <x:c r="T175" s="38" t="n">
        <x:v>0.009398541</x:v>
      </x:c>
      <x:c r="U175" s="38" t="n">
        <x:v>-0.0632347479</x:v>
      </x:c>
      <x:c r="V175" s="38" t="n">
        <x:v>-0.0273364481</x:v>
      </x:c>
      <x:c r="W175" s="38" t="n">
        <x:v>0.0358260781</x:v>
      </x:c>
      <x:c r="X175" s="38" t="n">
        <x:v>0.0067209718</x:v>
      </x:c>
      <x:c r="Y175" s="38" t="n">
        <x:v>-0.0884597715</x:v>
      </x:c>
      <x:c r="Z175" s="38" t="n">
        <x:v>0.0658696961</x:v>
      </x:c>
      <x:c r="AA175" s="38" t="n">
        <x:v>0.0307105073</x:v>
      </x:c>
      <x:c r="AB175" s="38" t="n">
        <x:v>-0.0669147683</x:v>
      </x:c>
      <x:c r="AC175" s="38" t="n">
        <x:v>0.6655264447</x:v>
      </x:c>
      <x:c r="AD175" s="38" t="n">
        <x:v>0.045415768</x:v>
      </x:c>
      <x:c r="AE175" s="38" t="n">
        <x:v>-0.0294426745</x:v>
      </x:c>
      <x:c r="AF175" s="38" t="n">
        <x:v>0.0583731573</x:v>
      </x:c>
      <x:c r="AG175" s="38" t="n">
        <x:v>0.0478265681</x:v>
      </x:c>
      <x:c r="AH175" s="38" t="n">
        <x:v>0.0635222374</x:v>
      </x:c>
      <x:c r="AI175" s="38" t="n">
        <x:v>0.0038746614</x:v>
      </x:c>
      <x:c r="AJ175" s="38" t="n">
        <x:v>-0.0683181602</x:v>
      </x:c>
      <x:c r="AK175" s="38" t="n">
        <x:v>0.0135592045</x:v>
      </x:c>
      <x:c r="AL175" s="38" t="n">
        <x:v>0.0041065235</x:v>
      </x:c>
      <x:c r="AM175" s="38" t="n">
        <x:v>0.0287057368</x:v>
      </x:c>
      <x:c r="AN175" s="38" t="n">
        <x:v>0.0058662279</x:v>
      </x:c>
      <x:c r="AO175" s="38" t="n">
        <x:v>0.0527517739</x:v>
      </x:c>
      <x:c r="AP175" s="38" t="n">
        <x:v>0.1247901297</x:v>
      </x:c>
      <x:c r="AQ175" s="38" t="n">
        <x:v>0.0190187058</x:v>
      </x:c>
      <x:c r="AR175" s="38" t="n">
        <x:v>0.0165951197</x:v>
      </x:c>
      <x:c r="AS175" s="38" t="n">
        <x:v>0.0074538078</x:v>
      </x:c>
    </x:row>
    <x:row r="176" ht="19" customHeight="1">
      <x:c r="A176" s="29" t="str">
        <x:v>Other FX</x:v>
      </x:c>
      <x:c r="B176" s="39" t="d">
        <x:v>2021-04-26T00:00:00.000Z</x:v>
      </x:c>
      <x:c r="C176" s="38" t="n">
        <x:v>-0.0307733723</x:v>
      </x:c>
      <x:c r="D176" s="38" t="n">
        <x:v>-0.0380536425</x:v>
      </x:c>
      <x:c r="E176" s="38" t="n">
        <x:v>0.002813888</x:v>
      </x:c>
      <x:c r="F176" s="38" t="n">
        <x:v>0.0578703561</x:v>
      </x:c>
      <x:c r="G176" s="38" t="n">
        <x:v>-0.0208713394</x:v>
      </x:c>
      <x:c r="H176" s="38" t="n">
        <x:v>0.0141104271</x:v>
      </x:c>
      <x:c r="I176" s="38" t="n">
        <x:v>0.034570077</x:v>
      </x:c>
      <x:c r="J176" s="38" t="n">
        <x:v>-0.0000863698</x:v>
      </x:c>
      <x:c r="K176" s="38" t="n">
        <x:v>0.0665864634</x:v>
      </x:c>
      <x:c r="L176" s="38" t="n">
        <x:v>-0.0112408364</x:v>
      </x:c>
      <x:c r="M176" s="38" t="n">
        <x:v>-0.0032809218</x:v>
      </x:c>
      <x:c r="N176" s="38" t="n">
        <x:v>-0.0133512687</x:v>
      </x:c>
      <x:c r="O176" s="38" t="n">
        <x:v>-0.0184318744</x:v>
      </x:c>
      <x:c r="P176" s="38" t="n">
        <x:v>-0.0279518872</x:v>
      </x:c>
      <x:c r="Q176" s="38" t="n">
        <x:v>0.0449600945</x:v>
      </x:c>
      <x:c r="R176" s="38" t="n">
        <x:v>-0.0032959941</x:v>
      </x:c>
      <x:c r="S176" s="38" t="n">
        <x:v>-0.0303087039</x:v>
      </x:c>
      <x:c r="T176" s="38" t="n">
        <x:v>0.0733966422</x:v>
      </x:c>
      <x:c r="U176" s="38" t="n">
        <x:v>0.1928753664</x:v>
      </x:c>
      <x:c r="V176" s="38" t="n">
        <x:v>-0.0042969599</x:v>
      </x:c>
      <x:c r="W176" s="38" t="n">
        <x:v>-0.0619888873</x:v>
      </x:c>
      <x:c r="X176" s="38" t="n">
        <x:v>0.0060473813</x:v>
      </x:c>
      <x:c r="Y176" s="38" t="n">
        <x:v>-0.0716616176</x:v>
      </x:c>
      <x:c r="Z176" s="38" t="n">
        <x:v>-0.0360727975</x:v>
      </x:c>
      <x:c r="AA176" s="38" t="n">
        <x:v>0.0153657917</x:v>
      </x:c>
      <x:c r="AB176" s="38" t="n">
        <x:v>-0.070899065</x:v>
      </x:c>
      <x:c r="AC176" s="38" t="n">
        <x:v>-0.2042138549</x:v>
      </x:c>
      <x:c r="AD176" s="38" t="n">
        <x:v>-0.0070655555</x:v>
      </x:c>
      <x:c r="AE176" s="38" t="n">
        <x:v>-0.0557940429</x:v>
      </x:c>
      <x:c r="AF176" s="38" t="n">
        <x:v>0.0126314412</x:v>
      </x:c>
      <x:c r="AG176" s="38" t="n">
        <x:v>-0.0669783578</x:v>
      </x:c>
      <x:c r="AH176" s="38" t="n">
        <x:v>0.0010188393</x:v>
      </x:c>
      <x:c r="AI176" s="38" t="n">
        <x:v>-0.0613857316</x:v>
      </x:c>
      <x:c r="AJ176" s="38" t="n">
        <x:v>-0.0084036516</x:v>
      </x:c>
      <x:c r="AK176" s="38" t="n">
        <x:v>-0.0170060225</x:v>
      </x:c>
      <x:c r="AL176" s="38" t="n">
        <x:v>0.0754017058</x:v>
      </x:c>
      <x:c r="AM176" s="38" t="n">
        <x:v>-0.0071637224</x:v>
      </x:c>
      <x:c r="AN176" s="38" t="n">
        <x:v>0.0292763559</x:v>
      </x:c>
      <x:c r="AO176" s="38" t="n">
        <x:v>0.0129992314</x:v>
      </x:c>
      <x:c r="AP176" s="38" t="n">
        <x:v>0.0136671959</x:v>
      </x:c>
      <x:c r="AQ176" s="38" t="n">
        <x:v>-0.0058776678</x:v>
      </x:c>
      <x:c r="AR176" s="38" t="n">
        <x:v>-0.0191981365</x:v>
      </x:c>
      <x:c r="AS176" s="38" t="n">
        <x:v>0.0192862729</x:v>
      </x:c>
    </x:row>
    <x:row r="177" ht="19" customHeight="1">
      <x:c r="A177" s="29" t="str">
        <x:v>Other FX</x:v>
      </x:c>
      <x:c r="B177" s="39" t="d">
        <x:v>2021-05-24T00:00:00.000Z</x:v>
      </x:c>
      <x:c r="C177" s="38" t="n">
        <x:v>-0.0269071767</x:v>
      </x:c>
      <x:c r="D177" s="38" t="n">
        <x:v>0.1521606207</x:v>
      </x:c>
      <x:c r="E177" s="38" t="n">
        <x:v>-0.0284946011</x:v>
      </x:c>
      <x:c r="F177" s="38" t="n">
        <x:v>-0.0183022922</x:v>
      </x:c>
      <x:c r="G177" s="38" t="n">
        <x:v>-0.0304874085</x:v>
      </x:c>
      <x:c r="H177" s="38" t="n">
        <x:v>-0.0555407937</x:v>
      </x:c>
      <x:c r="I177" s="38" t="n">
        <x:v>-0.0632454284</x:v>
      </x:c>
      <x:c r="J177" s="38" t="n">
        <x:v>-0.0582133072</x:v>
      </x:c>
      <x:c r="K177" s="38" t="n">
        <x:v>-0.0184073742</x:v>
      </x:c>
      <x:c r="L177" s="38" t="n">
        <x:v>0.0609849292</x:v>
      </x:c>
      <x:c r="M177" s="38" t="n">
        <x:v>0.0121307733</x:v>
      </x:c>
      <x:c r="N177" s="38" t="n">
        <x:v>0.0402934782</x:v>
      </x:c>
      <x:c r="O177" s="38" t="n">
        <x:v>-0.0093507321</x:v>
      </x:c>
      <x:c r="P177" s="38" t="n">
        <x:v>0.0038101763</x:v>
      </x:c>
      <x:c r="Q177" s="38" t="n">
        <x:v>-0.0657076871</x:v>
      </x:c>
      <x:c r="R177" s="38" t="n">
        <x:v>-0.0226963855</x:v>
      </x:c>
      <x:c r="S177" s="38" t="n">
        <x:v>0.0377649613</x:v>
      </x:c>
      <x:c r="T177" s="38" t="n">
        <x:v>-0.0480069702</x:v>
      </x:c>
      <x:c r="U177" s="38" t="n">
        <x:v>0.0077000223</x:v>
      </x:c>
      <x:c r="V177" s="38" t="n">
        <x:v>-0.0830795082</x:v>
      </x:c>
      <x:c r="W177" s="38" t="n">
        <x:v>-0.0356425183</x:v>
      </x:c>
      <x:c r="X177" s="38" t="n">
        <x:v>0.0098995323</x:v>
      </x:c>
      <x:c r="Y177" s="38" t="n">
        <x:v>-0.0563176753</x:v>
      </x:c>
      <x:c r="Z177" s="38" t="n">
        <x:v>0.0831207042</x:v>
      </x:c>
      <x:c r="AA177" s="38" t="n">
        <x:v>-0.0253099212</x:v>
      </x:c>
      <x:c r="AB177" s="38" t="n">
        <x:v>-0.0046390885</x:v>
      </x:c>
      <x:c r="AC177" s="38" t="n">
        <x:v>0.185548744</x:v>
      </x:c>
      <x:c r="AD177" s="38" t="n">
        <x:v>0.0158780411</x:v>
      </x:c>
      <x:c r="AE177" s="38" t="n">
        <x:v>0.1259772634</x:v>
      </x:c>
      <x:c r="AF177" s="38" t="n">
        <x:v>-0.0023825603</x:v>
      </x:c>
      <x:c r="AG177" s="38" t="n">
        <x:v>0.0143715452</x:v>
      </x:c>
      <x:c r="AH177" s="38" t="n">
        <x:v>0.0025118473</x:v>
      </x:c>
      <x:c r="AI177" s="38" t="n">
        <x:v>-0.0633154653</x:v>
      </x:c>
      <x:c r="AJ177" s="38" t="n">
        <x:v>0.0591720871</x:v>
      </x:c>
      <x:c r="AK177" s="38" t="n">
        <x:v>-0.0212651059</x:v>
      </x:c>
      <x:c r="AL177" s="38" t="n">
        <x:v>0.0408513278</x:v>
      </x:c>
      <x:c r="AM177" s="38" t="n">
        <x:v>-0.0278680649</x:v>
      </x:c>
      <x:c r="AN177" s="38" t="n">
        <x:v>-0.0242746191</x:v>
      </x:c>
      <x:c r="AO177" s="38" t="n">
        <x:v>-0.0020939119</x:v>
      </x:c>
      <x:c r="AP177" s="38" t="n">
        <x:v>-0.0196877757</x:v>
      </x:c>
      <x:c r="AQ177" s="38" t="n">
        <x:v>-0.0013776532</x:v>
      </x:c>
      <x:c r="AR177" s="38" t="n">
        <x:v>0.0137951213</x:v>
      </x:c>
      <x:c r="AS177" s="38" t="n">
        <x:v>0.0158118987</x:v>
      </x:c>
    </x:row>
    <x:row r="178" ht="19" customHeight="1">
      <x:c r="A178" s="29" t="str">
        <x:v>Other FX</x:v>
      </x:c>
      <x:c r="B178" s="39" t="d">
        <x:v>2021-06-21T00:00:00.000Z</x:v>
      </x:c>
      <x:c r="C178" s="38" t="n">
        <x:v>0.0881147607</x:v>
      </x:c>
      <x:c r="D178" s="38" t="n">
        <x:v>0.0126992304</x:v>
      </x:c>
      <x:c r="E178" s="38" t="n">
        <x:v>0.0010585237</x:v>
      </x:c>
      <x:c r="F178" s="38" t="n">
        <x:v>-0.0229152384</x:v>
      </x:c>
      <x:c r="G178" s="38" t="n">
        <x:v>0.0202046621</x:v>
      </x:c>
      <x:c r="H178" s="38" t="n">
        <x:v>0.0786166837</x:v>
      </x:c>
      <x:c r="I178" s="38" t="n">
        <x:v>0.0353370712</x:v>
      </x:c>
      <x:c r="J178" s="38" t="n">
        <x:v>-0.0797532827</x:v>
      </x:c>
      <x:c r="K178" s="38" t="n">
        <x:v>-0.0996921794</x:v>
      </x:c>
      <x:c r="L178" s="38" t="n">
        <x:v>0.0133949392</x:v>
      </x:c>
      <x:c r="M178" s="38" t="n">
        <x:v>-0.0079699304</x:v>
      </x:c>
      <x:c r="N178" s="38" t="n">
        <x:v>0.0102119944</x:v>
      </x:c>
      <x:c r="O178" s="38" t="n">
        <x:v>0.0046998364</x:v>
      </x:c>
      <x:c r="P178" s="38" t="n">
        <x:v>-0.1005513826</x:v>
      </x:c>
      <x:c r="Q178" s="38" t="n">
        <x:v>0.0281985832</x:v>
      </x:c>
      <x:c r="R178" s="38" t="n">
        <x:v>0.1271811746</x:v>
      </x:c>
      <x:c r="S178" s="38" t="n">
        <x:v>0.0083482444</x:v>
      </x:c>
      <x:c r="T178" s="38" t="n">
        <x:v>0.1227611533</x:v>
      </x:c>
      <x:c r="U178" s="38" t="n">
        <x:v>0.11448838</x:v>
      </x:c>
      <x:c r="V178" s="38" t="n">
        <x:v>0.1425955024</x:v>
      </x:c>
      <x:c r="W178" s="38" t="n">
        <x:v>0.0491200277</x:v>
      </x:c>
      <x:c r="X178" s="38" t="n">
        <x:v>0.0249291497</x:v>
      </x:c>
      <x:c r="Y178" s="38" t="n">
        <x:v>-0.0755706362</x:v>
      </x:c>
      <x:c r="Z178" s="38" t="n">
        <x:v>-0.0668067261</x:v>
      </x:c>
      <x:c r="AA178" s="38" t="n">
        <x:v>-0.0141213672</x:v>
      </x:c>
      <x:c r="AB178" s="38" t="n">
        <x:v>-0.0364181409</x:v>
      </x:c>
      <x:c r="AC178" s="38" t="n">
        <x:v>-0.0884219335</x:v>
      </x:c>
      <x:c r="AD178" s="38" t="n">
        <x:v>0.0088119849</x:v>
      </x:c>
      <x:c r="AE178" s="38" t="n">
        <x:v>0.0363077527</x:v>
      </x:c>
      <x:c r="AF178" s="38" t="n">
        <x:v>-0.0462711019</x:v>
      </x:c>
      <x:c r="AG178" s="38" t="n">
        <x:v>0.0292224499</x:v>
      </x:c>
      <x:c r="AH178" s="38" t="n">
        <x:v>0.0046573349</x:v>
      </x:c>
      <x:c r="AI178" s="38" t="n">
        <x:v>0.037870736</x:v>
      </x:c>
      <x:c r="AJ178" s="38" t="n">
        <x:v>0.0914498334</x:v>
      </x:c>
      <x:c r="AK178" s="38" t="n">
        <x:v>0.0693213399</x:v>
      </x:c>
      <x:c r="AL178" s="38" t="n">
        <x:v>0.0225612818</x:v>
      </x:c>
      <x:c r="AM178" s="38" t="n">
        <x:v>0.0464090269</x:v>
      </x:c>
      <x:c r="AN178" s="38" t="n">
        <x:v>0.0036720237</x:v>
      </x:c>
      <x:c r="AO178" s="38" t="n">
        <x:v>0.0333604624</x:v>
      </x:c>
      <x:c r="AP178" s="38" t="n">
        <x:v>0.0144445676</x:v>
      </x:c>
      <x:c r="AQ178" s="38" t="n">
        <x:v>0.004455721</x:v>
      </x:c>
      <x:c r="AR178" s="38" t="n">
        <x:v>-0.0189099019</x:v>
      </x:c>
      <x:c r="AS178" s="38" t="n">
        <x:v>-0.025997882</x:v>
      </x:c>
    </x:row>
    <x:row r="179" ht="19" customHeight="1">
      <x:c r="A179" s="29" t="str">
        <x:v>Other FX</x:v>
      </x:c>
      <x:c r="B179" s="39" t="d">
        <x:v>2021-07-19T00:00:00.000Z</x:v>
      </x:c>
      <x:c r="C179" s="38" t="n">
        <x:v>0.0247391046</x:v>
      </x:c>
      <x:c r="D179" s="38" t="n">
        <x:v>0.0030513278</x:v>
      </x:c>
      <x:c r="E179" s="38" t="n">
        <x:v>0.0170013062</x:v>
      </x:c>
      <x:c r="F179" s="38" t="n">
        <x:v>0.0074155284</x:v>
      </x:c>
      <x:c r="G179" s="38" t="n">
        <x:v>0.0103825692</x:v>
      </x:c>
      <x:c r="H179" s="38" t="n">
        <x:v>0.1420218168</x:v>
      </x:c>
      <x:c r="I179" s="38" t="n">
        <x:v>0.042472244</x:v>
      </x:c>
      <x:c r="J179" s="38" t="n">
        <x:v>-0.0660091276</x:v>
      </x:c>
      <x:c r="K179" s="38" t="n">
        <x:v>0.002825309</x:v>
      </x:c>
      <x:c r="L179" s="38" t="n">
        <x:v>-0.1655368723</x:v>
      </x:c>
      <x:c r="M179" s="38" t="n">
        <x:v>-0.0436946227</x:v>
      </x:c>
      <x:c r="N179" s="38" t="n">
        <x:v>0.027805958</x:v>
      </x:c>
      <x:c r="O179" s="38" t="n">
        <x:v>0.0075375115</x:v>
      </x:c>
      <x:c r="P179" s="38" t="n">
        <x:v>-0.0758215043</x:v>
      </x:c>
      <x:c r="Q179" s="38" t="n">
        <x:v>-0.1298288161</x:v>
      </x:c>
      <x:c r="R179" s="38" t="n">
        <x:v>0.0419728337</x:v>
      </x:c>
      <x:c r="S179" s="38" t="n">
        <x:v>-0.0134892915</x:v>
      </x:c>
      <x:c r="T179" s="38" t="n">
        <x:v>0.0366771689</x:v>
      </x:c>
      <x:c r="U179" s="38" t="n">
        <x:v>0.3321162845</x:v>
      </x:c>
      <x:c r="V179" s="38" t="n">
        <x:v>0.0298835523</x:v>
      </x:c>
      <x:c r="W179" s="38" t="n">
        <x:v>-0.0043470525</x:v>
      </x:c>
      <x:c r="X179" s="38" t="n">
        <x:v>0.0561243676</x:v>
      </x:c>
      <x:c r="Y179" s="38" t="n">
        <x:v>-0.056729592</x:v>
      </x:c>
      <x:c r="Z179" s="38" t="n">
        <x:v>0.0258840467</x:v>
      </x:c>
      <x:c r="AA179" s="38" t="n">
        <x:v>-0.0148744382</x:v>
      </x:c>
      <x:c r="AB179" s="38" t="n">
        <x:v>-0.1475188653</x:v>
      </x:c>
      <x:c r="AC179" s="38" t="n">
        <x:v>-0.0105688491</x:v>
      </x:c>
      <x:c r="AD179" s="38" t="n">
        <x:v>0.02890224</x:v>
      </x:c>
      <x:c r="AE179" s="38" t="n">
        <x:v>-0.0344271727</x:v>
      </x:c>
      <x:c r="AF179" s="38" t="n">
        <x:v>-0.0289898717</x:v>
      </x:c>
      <x:c r="AG179" s="38" t="n">
        <x:v>-0.0401533073</x:v>
      </x:c>
      <x:c r="AH179" s="38" t="n">
        <x:v>-0.0050783027</x:v>
      </x:c>
      <x:c r="AI179" s="38" t="n">
        <x:v>0.0304057606</x:v>
      </x:c>
      <x:c r="AJ179" s="38" t="n">
        <x:v>0.0383663093</x:v>
      </x:c>
      <x:c r="AK179" s="38" t="n">
        <x:v>0.0307525635</x:v>
      </x:c>
      <x:c r="AL179" s="38" t="n">
        <x:v>0.0206342517</x:v>
      </x:c>
      <x:c r="AM179" s="38" t="n">
        <x:v>0.058104764</x:v>
      </x:c>
      <x:c r="AN179" s="38" t="n">
        <x:v>0.0405361367</x:v>
      </x:c>
      <x:c r="AO179" s="38" t="n">
        <x:v>0.0530554961</x:v>
      </x:c>
      <x:c r="AP179" s="38" t="n">
        <x:v>0.0572552864</x:v>
      </x:c>
      <x:c r="AQ179" s="38" t="n">
        <x:v>0.0396636641</x:v>
      </x:c>
      <x:c r="AR179" s="38" t="n">
        <x:v>0.0283718338</x:v>
      </x:c>
      <x:c r="AS179" s="38" t="n">
        <x:v>-0.0038545238</x:v>
      </x:c>
    </x:row>
    <x:row r="180" ht="19" customHeight="1">
      <x:c r="A180" s="29" t="str">
        <x:v>Other FX</x:v>
      </x:c>
      <x:c r="B180" s="39" t="d">
        <x:v>2021-08-16T00:00:00.000Z</x:v>
      </x:c>
      <x:c r="C180" s="38" t="n">
        <x:v>-0.034521578</x:v>
      </x:c>
      <x:c r="D180" s="38" t="n">
        <x:v>-0.0216705371</x:v>
      </x:c>
      <x:c r="E180" s="38" t="n">
        <x:v>0.0387384096</x:v>
      </x:c>
      <x:c r="F180" s="38" t="n">
        <x:v>0.0781741628</x:v>
      </x:c>
      <x:c r="G180" s="38" t="n">
        <x:v>0.0011563073</x:v>
      </x:c>
      <x:c r="H180" s="38" t="n">
        <x:v>0.0432047716</x:v>
      </x:c>
      <x:c r="I180" s="38" t="n">
        <x:v>-0.0950930044</x:v>
      </x:c>
      <x:c r="J180" s="38" t="n">
        <x:v>-0.0358131284</x:v>
      </x:c>
      <x:c r="K180" s="38" t="n">
        <x:v>0.0403850598</x:v>
      </x:c>
      <x:c r="L180" s="38" t="n">
        <x:v>-0.0280612641</x:v>
      </x:c>
      <x:c r="M180" s="38" t="n">
        <x:v>-0.0888352654</x:v>
      </x:c>
      <x:c r="N180" s="38" t="n">
        <x:v>-0.0002458057</x:v>
      </x:c>
      <x:c r="O180" s="38" t="n">
        <x:v>0.0309078612</x:v>
      </x:c>
      <x:c r="P180" s="38" t="n">
        <x:v>-0.0218897265</x:v>
      </x:c>
      <x:c r="Q180" s="38" t="n">
        <x:v>0.0196413636</x:v>
      </x:c>
      <x:c r="R180" s="38" t="n">
        <x:v>-0.0178208779</x:v>
      </x:c>
      <x:c r="S180" s="38" t="n">
        <x:v>-0.0489177368</x:v>
      </x:c>
      <x:c r="T180" s="38" t="n">
        <x:v>-0.0167689309</x:v>
      </x:c>
      <x:c r="U180" s="38" t="n">
        <x:v>0.0993096335</x:v>
      </x:c>
      <x:c r="V180" s="38" t="n">
        <x:v>-0.0406119379</x:v>
      </x:c>
      <x:c r="W180" s="38" t="n">
        <x:v>0.0407983437</x:v>
      </x:c>
      <x:c r="X180" s="38" t="n">
        <x:v>0.0229795079</x:v>
      </x:c>
      <x:c r="Y180" s="38" t="n">
        <x:v>-0.0338782017</x:v>
      </x:c>
      <x:c r="Z180" s="38" t="n">
        <x:v>0.0160445442</x:v>
      </x:c>
      <x:c r="AA180" s="38" t="n">
        <x:v>0.0105607108</x:v>
      </x:c>
      <x:c r="AB180" s="38" t="n">
        <x:v>0.0231076723</x:v>
      </x:c>
      <x:c r="AC180" s="38" t="n">
        <x:v>0.3596675522</x:v>
      </x:c>
      <x:c r="AD180" s="38" t="n">
        <x:v>0.0373482736</x:v>
      </x:c>
      <x:c r="AE180" s="38" t="n">
        <x:v>-0.0307414462</x:v>
      </x:c>
      <x:c r="AF180" s="38" t="n">
        <x:v>0.0221726183</x:v>
      </x:c>
      <x:c r="AG180" s="38" t="n">
        <x:v>-0.0085585472</x:v>
      </x:c>
      <x:c r="AH180" s="38" t="n">
        <x:v>0.0242757944</x:v>
      </x:c>
      <x:c r="AI180" s="38" t="n">
        <x:v>0.0596862779</x:v>
      </x:c>
      <x:c r="AJ180" s="38" t="n">
        <x:v>0.0710212554</x:v>
      </x:c>
      <x:c r="AK180" s="38" t="n">
        <x:v>-0.0181739294</x:v>
      </x:c>
      <x:c r="AL180" s="38" t="n">
        <x:v>0.0008489808</x:v>
      </x:c>
      <x:c r="AM180" s="38" t="n">
        <x:v>0.0290023405</x:v>
      </x:c>
      <x:c r="AN180" s="38" t="n">
        <x:v>0.033939374</x:v>
      </x:c>
      <x:c r="AO180" s="38" t="n">
        <x:v>0.0437350452</x:v>
      </x:c>
      <x:c r="AP180" s="38" t="n">
        <x:v>-0.0054025581</x:v>
      </x:c>
      <x:c r="AQ180" s="38" t="n">
        <x:v>-0.010521262</x:v>
      </x:c>
      <x:c r="AR180" s="38" t="n">
        <x:v>0.0196505318</x:v>
      </x:c>
      <x:c r="AS180" s="38" t="n">
        <x:v>0.0083626332</x:v>
      </x:c>
    </x:row>
    <x:row r="181" ht="19" customHeight="1">
      <x:c r="A181" s="29" t="str">
        <x:v>Other FX</x:v>
      </x:c>
      <x:c r="B181" s="39" t="d">
        <x:v>2021-09-13T00:00:00.000Z</x:v>
      </x:c>
      <x:c r="C181" s="38" t="n">
        <x:v>-0.0070959563</x:v>
      </x:c>
      <x:c r="D181" s="38" t="n">
        <x:v>0.0175733757</x:v>
      </x:c>
      <x:c r="E181" s="38" t="n">
        <x:v>-0.0753251772</x:v>
      </x:c>
      <x:c r="F181" s="38" t="n">
        <x:v>-0.0211984556</x:v>
      </x:c>
      <x:c r="G181" s="38" t="n">
        <x:v>0.0183495911</x:v>
      </x:c>
      <x:c r="H181" s="38" t="n">
        <x:v>-0.0090888504</x:v>
      </x:c>
      <x:c r="I181" s="38" t="n">
        <x:v>0.0413497705</x:v>
      </x:c>
      <x:c r="J181" s="38" t="n">
        <x:v>-0.1112275749</x:v>
      </x:c>
      <x:c r="K181" s="38" t="n">
        <x:v>-0.1624560301</x:v>
      </x:c>
      <x:c r="L181" s="38" t="n">
        <x:v>0.0577055527</x:v>
      </x:c>
      <x:c r="M181" s="38" t="n">
        <x:v>0.064505965</x:v>
      </x:c>
      <x:c r="N181" s="38" t="n">
        <x:v>0.0196011779</x:v>
      </x:c>
      <x:c r="O181" s="38" t="n">
        <x:v>-0.0578298452</x:v>
      </x:c>
      <x:c r="P181" s="38" t="n">
        <x:v>-0.1191734889</x:v>
      </x:c>
      <x:c r="Q181" s="38" t="n">
        <x:v>0.1852432007</x:v>
      </x:c>
      <x:c r="R181" s="38" t="n">
        <x:v>0.2927360077</x:v>
      </x:c>
      <x:c r="S181" s="38" t="n">
        <x:v>-0.0498182788</x:v>
      </x:c>
      <x:c r="T181" s="38" t="n">
        <x:v>0.0305465978</x:v>
      </x:c>
      <x:c r="U181" s="38" t="n">
        <x:v>0.0603682477</x:v>
      </x:c>
      <x:c r="V181" s="38" t="n">
        <x:v>-0.0872888853</x:v>
      </x:c>
      <x:c r="W181" s="38" t="n">
        <x:v>0.0412150246</x:v>
      </x:c>
      <x:c r="X181" s="38" t="n">
        <x:v>-0.0419932835</x:v>
      </x:c>
      <x:c r="Y181" s="38" t="n">
        <x:v>-0.0598535904</x:v>
      </x:c>
      <x:c r="Z181" s="38" t="n">
        <x:v>-0.070896504</x:v>
      </x:c>
      <x:c r="AA181" s="38" t="n">
        <x:v>-0.0545653402</x:v>
      </x:c>
      <x:c r="AB181" s="38" t="n">
        <x:v>0.0188602905</x:v>
      </x:c>
      <x:c r="AC181" s="38" t="n">
        <x:v>0.2982440537</x:v>
      </x:c>
      <x:c r="AD181" s="38" t="n">
        <x:v>-0.0261240927</x:v>
      </x:c>
      <x:c r="AE181" s="38" t="n">
        <x:v>0.0104610208</x:v>
      </x:c>
      <x:c r="AF181" s="38" t="n">
        <x:v>-0.0436938243</x:v>
      </x:c>
      <x:c r="AG181" s="38" t="n">
        <x:v>-0.0301558224</x:v>
      </x:c>
      <x:c r="AH181" s="38" t="n">
        <x:v>-0.0565861617</x:v>
      </x:c>
      <x:c r="AI181" s="38" t="n">
        <x:v>-0.0419911653</x:v>
      </x:c>
      <x:c r="AJ181" s="38" t="n">
        <x:v>-0.1096779348</x:v>
      </x:c>
      <x:c r="AK181" s="38" t="n">
        <x:v>-0.0270753513</x:v>
      </x:c>
      <x:c r="AL181" s="38" t="n">
        <x:v>-0.0655409677</x:v>
      </x:c>
      <x:c r="AM181" s="38" t="n">
        <x:v>-0.0233359491</x:v>
      </x:c>
      <x:c r="AN181" s="38" t="n">
        <x:v>-0.0043084935</x:v>
      </x:c>
      <x:c r="AO181" s="38" t="n">
        <x:v>-0.0346124439</x:v>
      </x:c>
      <x:c r="AP181" s="38" t="n">
        <x:v>-0.0038677648</x:v>
      </x:c>
      <x:c r="AQ181" s="38" t="n">
        <x:v>-0.0467534353</x:v>
      </x:c>
      <x:c r="AR181" s="38" t="n">
        <x:v>-0.073358862</x:v>
      </x:c>
      <x:c r="AS181" s="38" t="n">
        <x:v>-0.0319791507</x:v>
      </x:c>
    </x:row>
    <x:row r="182" ht="19" customHeight="1">
      <x:c r="A182" s="29" t="str">
        <x:v>Other FX</x:v>
      </x:c>
      <x:c r="B182" s="39" t="d">
        <x:v>2021-10-11T00:00:00.000Z</x:v>
      </x:c>
      <x:c r="C182" s="38" t="n">
        <x:v>0.0687870395</x:v>
      </x:c>
      <x:c r="D182" s="38" t="n">
        <x:v>0.2056704564</x:v>
      </x:c>
      <x:c r="E182" s="38" t="n">
        <x:v>-0.0113881058</x:v>
      </x:c>
      <x:c r="F182" s="38" t="n">
        <x:v>-0.0561854685</x:v>
      </x:c>
      <x:c r="G182" s="38" t="n">
        <x:v>-0.0231275768</x:v>
      </x:c>
      <x:c r="H182" s="38" t="n">
        <x:v>-0.0405385992</x:v>
      </x:c>
      <x:c r="I182" s="38" t="n">
        <x:v>-0.009046082</x:v>
      </x:c>
      <x:c r="J182" s="38" t="n">
        <x:v>0.0717925247</x:v>
      </x:c>
      <x:c r="K182" s="38" t="n">
        <x:v>-0.0863411957</x:v>
      </x:c>
      <x:c r="L182" s="38" t="n">
        <x:v>0.1236935219</x:v>
      </x:c>
      <x:c r="M182" s="38" t="n">
        <x:v>0.0728762438</x:v>
      </x:c>
      <x:c r="N182" s="38" t="n">
        <x:v>0.0337360298</x:v>
      </x:c>
      <x:c r="O182" s="38" t="n">
        <x:v>0.0297601391</x:v>
      </x:c>
      <x:c r="P182" s="38" t="n">
        <x:v>-0.104075496</x:v>
      </x:c>
      <x:c r="Q182" s="38" t="n">
        <x:v>-0.0108041274</x:v>
      </x:c>
      <x:c r="R182" s="38" t="n">
        <x:v>0.0549079726</x:v>
      </x:c>
      <x:c r="S182" s="38" t="n">
        <x:v>0.0727524746</x:v>
      </x:c>
      <x:c r="T182" s="38" t="n">
        <x:v>0.1416640035</x:v>
      </x:c>
      <x:c r="U182" s="38" t="n">
        <x:v>-0.1538628163</x:v>
      </x:c>
      <x:c r="V182" s="38" t="n">
        <x:v>0.0312275934</x:v>
      </x:c>
      <x:c r="W182" s="38" t="n">
        <x:v>0.0517867913</x:v>
      </x:c>
      <x:c r="X182" s="38" t="n">
        <x:v>-0.0260814768</x:v>
      </x:c>
      <x:c r="Y182" s="38" t="n">
        <x:v>-0.1332869727</x:v>
      </x:c>
      <x:c r="Z182" s="38" t="n">
        <x:v>-0.0311157622</x:v>
      </x:c>
      <x:c r="AA182" s="38" t="n">
        <x:v>-0.0192679987</x:v>
      </x:c>
      <x:c r="AB182" s="38" t="n">
        <x:v>-0.1644284575</x:v>
      </x:c>
      <x:c r="AC182" s="38" t="n">
        <x:v>0.2143240272</x:v>
      </x:c>
      <x:c r="AD182" s="38" t="n">
        <x:v>0.0109917562</x:v>
      </x:c>
      <x:c r="AE182" s="38" t="n">
        <x:v>0.0851131448</x:v>
      </x:c>
      <x:c r="AF182" s="38" t="n">
        <x:v>0.0760409852</x:v>
      </x:c>
      <x:c r="AG182" s="38" t="n">
        <x:v>0.0283783341</x:v>
      </x:c>
      <x:c r="AH182" s="38" t="n">
        <x:v>0.0233770476</x:v>
      </x:c>
      <x:c r="AI182" s="38" t="n">
        <x:v>0.0435819759</x:v>
      </x:c>
      <x:c r="AJ182" s="38" t="n">
        <x:v>0.0226544202</x:v>
      </x:c>
      <x:c r="AK182" s="38" t="n">
        <x:v>-0.0497791515</x:v>
      </x:c>
      <x:c r="AL182" s="38" t="n">
        <x:v>0.0328517752</x:v>
      </x:c>
      <x:c r="AM182" s="38" t="n">
        <x:v>0.0145455626</x:v>
      </x:c>
      <x:c r="AN182" s="38" t="n">
        <x:v>-0.0256602759</x:v>
      </x:c>
      <x:c r="AO182" s="38" t="n">
        <x:v>-0.0281921466</x:v>
      </x:c>
      <x:c r="AP182" s="38" t="n">
        <x:v>0.0291238199</x:v>
      </x:c>
      <x:c r="AQ182" s="38" t="n">
        <x:v>-0.007390389</x:v>
      </x:c>
      <x:c r="AR182" s="38" t="n">
        <x:v>-0.0245777342</x:v>
      </x:c>
      <x:c r="AS182" s="38" t="n">
        <x:v>0.0128294114</x:v>
      </x:c>
    </x:row>
    <x:row r="183" ht="19" customHeight="1">
      <x:c r="A183" s="29" t="str">
        <x:v>Other FX</x:v>
      </x:c>
      <x:c r="B183" s="39" t="d">
        <x:v>2021-11-08T00:00:00.000Z</x:v>
      </x:c>
      <x:c r="C183" s="38" t="n">
        <x:v>-0.0010540649</x:v>
      </x:c>
      <x:c r="D183" s="38" t="n">
        <x:v>-0.0804133589</x:v>
      </x:c>
      <x:c r="E183" s="38" t="n">
        <x:v>-0.009449177</x:v>
      </x:c>
      <x:c r="F183" s="38" t="n">
        <x:v>0.002393634</x:v>
      </x:c>
      <x:c r="G183" s="38" t="n">
        <x:v>-0.0628606695</x:v>
      </x:c>
      <x:c r="H183" s="38" t="n">
        <x:v>0.0236598935</x:v>
      </x:c>
      <x:c r="I183" s="38" t="n">
        <x:v>0.0149327025</x:v>
      </x:c>
      <x:c r="J183" s="38" t="n">
        <x:v>0.1159904573</x:v>
      </x:c>
      <x:c r="K183" s="38" t="n">
        <x:v>0.1561368437</x:v>
      </x:c>
      <x:c r="L183" s="38" t="n">
        <x:v>-0.0185170523</x:v>
      </x:c>
      <x:c r="M183" s="38" t="n">
        <x:v>0.0323897788</x:v>
      </x:c>
      <x:c r="N183" s="38" t="n">
        <x:v>-0.0384733412</x:v>
      </x:c>
      <x:c r="O183" s="38" t="n">
        <x:v>-0.008031915</x:v>
      </x:c>
      <x:c r="P183" s="38" t="n">
        <x:v>0.0299476559</x:v>
      </x:c>
      <x:c r="Q183" s="38" t="n">
        <x:v>-0.0221860475</x:v>
      </x:c>
      <x:c r="R183" s="38" t="n">
        <x:v>0.2284669581</x:v>
      </x:c>
      <x:c r="S183" s="38" t="n">
        <x:v>0.0368966659</x:v>
      </x:c>
      <x:c r="T183" s="38" t="n">
        <x:v>0.0962189973</x:v>
      </x:c>
      <x:c r="U183" s="38" t="n">
        <x:v>-0.2064975497</x:v>
      </x:c>
      <x:c r="V183" s="38" t="n">
        <x:v>-0.0596062237</x:v>
      </x:c>
      <x:c r="W183" s="38" t="n">
        <x:v>0.0675014564</x:v>
      </x:c>
      <x:c r="X183" s="38" t="n">
        <x:v>0.0065562766</x:v>
      </x:c>
      <x:c r="Y183" s="38" t="n">
        <x:v>0.0621577965</x:v>
      </x:c>
      <x:c r="Z183" s="38" t="n">
        <x:v>0.0460331116</x:v>
      </x:c>
      <x:c r="AA183" s="38" t="n">
        <x:v>0.0280982818</x:v>
      </x:c>
      <x:c r="AB183" s="38" t="n">
        <x:v>-0.0858216849</x:v>
      </x:c>
      <x:c r="AC183" s="38" t="n">
        <x:v>-0.2608728569</x:v>
      </x:c>
      <x:c r="AD183" s="38" t="n">
        <x:v>0.0220521518</x:v>
      </x:c>
      <x:c r="AE183" s="38" t="n">
        <x:v>0.1640032624</x:v>
      </x:c>
      <x:c r="AF183" s="38" t="n">
        <x:v>-0.0236605411</x:v>
      </x:c>
      <x:c r="AG183" s="38" t="n">
        <x:v>0.0280408406</x:v>
      </x:c>
      <x:c r="AH183" s="38" t="n">
        <x:v>-0.0526401524</x:v>
      </x:c>
      <x:c r="AI183" s="38" t="n">
        <x:v>0.1682261125</x:v>
      </x:c>
      <x:c r="AJ183" s="38" t="n">
        <x:v>0.0627458394</x:v>
      </x:c>
      <x:c r="AK183" s="38" t="n">
        <x:v>0.0041381205</x:v>
      </x:c>
      <x:c r="AL183" s="38" t="n">
        <x:v>-0.0405387953</x:v>
      </x:c>
      <x:c r="AM183" s="38" t="n">
        <x:v>0.0671533336</x:v>
      </x:c>
      <x:c r="AN183" s="38" t="n">
        <x:v>0.0284238852</x:v>
      </x:c>
      <x:c r="AO183" s="38" t="n">
        <x:v>0.0790508232</x:v>
      </x:c>
      <x:c r="AP183" s="38" t="n">
        <x:v>0.0459978019</x:v>
      </x:c>
      <x:c r="AQ183" s="38" t="n">
        <x:v>0.0217670348</x:v>
      </x:c>
      <x:c r="AR183" s="38" t="n">
        <x:v>0.0073423653</x:v>
      </x:c>
      <x:c r="AS183" s="38" t="n">
        <x:v>0.000348446</x:v>
      </x:c>
    </x:row>
    <x:row r="184" ht="19" customHeight="1">
      <x:c r="A184" s="29" t="str">
        <x:v>Other FX</x:v>
      </x:c>
      <x:c r="B184" s="39" t="d">
        <x:v>2021-12-06T00:00:00.000Z</x:v>
      </x:c>
      <x:c r="C184" s="38" t="n">
        <x:v>0.0472299803</x:v>
      </x:c>
      <x:c r="D184" s="38" t="n">
        <x:v>-0.0543662251</x:v>
      </x:c>
      <x:c r="E184" s="38" t="n">
        <x:v>0.019917363</x:v>
      </x:c>
      <x:c r="F184" s="38" t="n">
        <x:v>0.0389696662</x:v>
      </x:c>
      <x:c r="G184" s="38" t="n">
        <x:v>-0.017286902</x:v>
      </x:c>
      <x:c r="H184" s="38" t="n">
        <x:v>-0.043748014</x:v>
      </x:c>
      <x:c r="I184" s="38" t="n">
        <x:v>-0.0223548706</x:v>
      </x:c>
      <x:c r="J184" s="38" t="n">
        <x:v>-0.0459106555</x:v>
      </x:c>
      <x:c r="K184" s="38" t="n">
        <x:v>-0.031959399</x:v>
      </x:c>
      <x:c r="L184" s="38" t="n">
        <x:v>-0.0456322204</x:v>
      </x:c>
      <x:c r="M184" s="38" t="n">
        <x:v>-0.039349863</x:v>
      </x:c>
      <x:c r="N184" s="38" t="n">
        <x:v>0.0489345849</x:v>
      </x:c>
      <x:c r="O184" s="38" t="n">
        <x:v>-0.0303783179</x:v>
      </x:c>
      <x:c r="P184" s="38" t="n">
        <x:v>-0.0461038871</x:v>
      </x:c>
      <x:c r="Q184" s="38" t="n">
        <x:v>-0.0790500423</x:v>
      </x:c>
      <x:c r="R184" s="38" t="n">
        <x:v>-0.2712617581</x:v>
      </x:c>
      <x:c r="S184" s="38" t="n">
        <x:v>0.0153828387</x:v>
      </x:c>
      <x:c r="T184" s="38" t="n">
        <x:v>-0.3004533006</x:v>
      </x:c>
      <x:c r="U184" s="38" t="n">
        <x:v>0.1173259534</x:v>
      </x:c>
      <x:c r="V184" s="38" t="n">
        <x:v>-0.1380058701</x:v>
      </x:c>
      <x:c r="W184" s="38" t="n">
        <x:v>-0.068974373</x:v>
      </x:c>
      <x:c r="X184" s="38" t="n">
        <x:v>-0.0452963042</x:v>
      </x:c>
      <x:c r="Y184" s="38" t="n">
        <x:v>0.0589002237</x:v>
      </x:c>
      <x:c r="Z184" s="38" t="n">
        <x:v>0.0004534836</x:v>
      </x:c>
      <x:c r="AA184" s="38" t="n">
        <x:v>-0.0120025815</x:v>
      </x:c>
      <x:c r="AB184" s="38" t="n">
        <x:v>-0.0747509583</x:v>
      </x:c>
      <x:c r="AC184" s="38" t="n">
        <x:v>-0.3315816501</x:v>
      </x:c>
      <x:c r="AD184" s="38" t="n">
        <x:v>0.0396987771</x:v>
      </x:c>
      <x:c r="AE184" s="38" t="n">
        <x:v>0.0902416647</x:v>
      </x:c>
      <x:c r="AF184" s="38" t="n">
        <x:v>0.0321846325</x:v>
      </x:c>
      <x:c r="AG184" s="38" t="n">
        <x:v>-0.0189038659</x:v>
      </x:c>
      <x:c r="AH184" s="38" t="n">
        <x:v>-0.0071598705</x:v>
      </x:c>
      <x:c r="AI184" s="38" t="n">
        <x:v>-0.0664293081</x:v>
      </x:c>
      <x:c r="AJ184" s="38" t="n">
        <x:v>-0.0431621826</x:v>
      </x:c>
      <x:c r="AK184" s="38" t="n">
        <x:v>-0.0262524615</x:v>
      </x:c>
      <x:c r="AL184" s="38" t="n">
        <x:v>0.0259072435</x:v>
      </x:c>
      <x:c r="AM184" s="38" t="n">
        <x:v>0.0112742169</x:v>
      </x:c>
      <x:c r="AN184" s="38" t="n">
        <x:v>-0.0225719048</x:v>
      </x:c>
      <x:c r="AO184" s="38" t="n">
        <x:v>0.0543276181</x:v>
      </x:c>
      <x:c r="AP184" s="38" t="n">
        <x:v>0.0916174491</x:v>
      </x:c>
      <x:c r="AQ184" s="38" t="n">
        <x:v>0.0043828874</x:v>
      </x:c>
      <x:c r="AR184" s="38" t="n">
        <x:v>0.0026603734</x:v>
      </x:c>
      <x:c r="AS184" s="38" t="n">
        <x:v>0.0004703462</x:v>
      </x:c>
    </x:row>
    <x:row r="185" ht="19" customHeight="1">
      <x:c r="A185" s="29" t="str">
        <x:v>Other FX</x:v>
      </x:c>
      <x:c r="B185" s="39" t="d">
        <x:v>2022-01-03T00:00:00.000Z</x:v>
      </x:c>
      <x:c r="C185" s="38" t="n">
        <x:v>0.0601118291</x:v>
      </x:c>
      <x:c r="D185" s="38" t="n">
        <x:v>-0.0543465956</x:v>
      </x:c>
      <x:c r="E185" s="38" t="n">
        <x:v>0.0395617762</x:v>
      </x:c>
      <x:c r="F185" s="38" t="n">
        <x:v>0.0305650484</x:v>
      </x:c>
      <x:c r="G185" s="38" t="n">
        <x:v>0.0168087098</x:v>
      </x:c>
      <x:c r="H185" s="38" t="n">
        <x:v>-0.0541918733</x:v>
      </x:c>
      <x:c r="I185" s="38" t="n">
        <x:v>-0.0450966388</x:v>
      </x:c>
      <x:c r="J185" s="38" t="n">
        <x:v>-0.0832053553</x:v>
      </x:c>
      <x:c r="K185" s="38" t="n">
        <x:v>-0.0286759292</x:v>
      </x:c>
      <x:c r="L185" s="38" t="n">
        <x:v>0.095154311</x:v>
      </x:c>
      <x:c r="M185" s="38" t="n">
        <x:v>0.0824083696</x:v>
      </x:c>
      <x:c r="N185" s="38" t="n">
        <x:v>-0.0172215062</x:v>
      </x:c>
      <x:c r="O185" s="38" t="n">
        <x:v>-0.0667915141</x:v>
      </x:c>
      <x:c r="P185" s="38" t="n">
        <x:v>0.0230610341</x:v>
      </x:c>
      <x:c r="Q185" s="38" t="n">
        <x:v>-0.140743652</x:v>
      </x:c>
      <x:c r="R185" s="38" t="n">
        <x:v>-0.1240651213</x:v>
      </x:c>
      <x:c r="S185" s="38" t="n">
        <x:v>-0.0146623785</x:v>
      </x:c>
      <x:c r="T185" s="38" t="n">
        <x:v>-0.2110403822</x:v>
      </x:c>
      <x:c r="U185" s="38" t="n">
        <x:v>-0.1632733862</x:v>
      </x:c>
      <x:c r="V185" s="38" t="n">
        <x:v>-0.0241928988</x:v>
      </x:c>
      <x:c r="W185" s="38" t="n">
        <x:v>-0.0974399424</x:v>
      </x:c>
      <x:c r="X185" s="38" t="n">
        <x:v>0.0205007331</x:v>
      </x:c>
      <x:c r="Y185" s="38" t="n">
        <x:v>-0.0021094415</x:v>
      </x:c>
      <x:c r="Z185" s="38" t="n">
        <x:v>0.0238897162</x:v>
      </x:c>
      <x:c r="AA185" s="38" t="n">
        <x:v>0.0937222195</x:v>
      </x:c>
      <x:c r="AB185" s="38" t="n">
        <x:v>-0.0958136115</x:v>
      </x:c>
      <x:c r="AC185" s="38" t="n">
        <x:v>-0.1956443588</x:v>
      </x:c>
      <x:c r="AD185" s="38" t="n">
        <x:v>0.022290343</x:v>
      </x:c>
      <x:c r="AE185" s="38" t="n">
        <x:v>0.0672050802</x:v>
      </x:c>
      <x:c r="AF185" s="38" t="n">
        <x:v>0.0844891437</x:v>
      </x:c>
      <x:c r="AG185" s="38" t="n">
        <x:v>0.0049798678</x:v>
      </x:c>
      <x:c r="AH185" s="38" t="n">
        <x:v>0.0155425532</x:v>
      </x:c>
      <x:c r="AI185" s="38" t="n">
        <x:v>-0.0599826875</x:v>
      </x:c>
      <x:c r="AJ185" s="38" t="n">
        <x:v>0.0433644048</x:v>
      </x:c>
      <x:c r="AK185" s="38" t="n">
        <x:v>0.0196669902</x:v>
      </x:c>
      <x:c r="AL185" s="38" t="n">
        <x:v>-0.0094700257</x:v>
      </x:c>
      <x:c r="AM185" s="38" t="n">
        <x:v>-0.0689838619</x:v>
      </x:c>
      <x:c r="AN185" s="38" t="n">
        <x:v>-0.0565011656</x:v>
      </x:c>
      <x:c r="AO185" s="38" t="n">
        <x:v>-0.0522850979</x:v>
      </x:c>
      <x:c r="AP185" s="38" t="n">
        <x:v>-0.0508003572</x:v>
      </x:c>
      <x:c r="AQ185" s="38" t="n">
        <x:v>0.0308726098</x:v>
      </x:c>
      <x:c r="AR185" s="38" t="n">
        <x:v>0.0192540954</x:v>
      </x:c>
      <x:c r="AS185" s="38" t="n">
        <x:v>0.0613092738</x:v>
      </x:c>
    </x:row>
    <x:row r="186" ht="19" customHeight="1">
      <x:c r="A186" s="29" t="str">
        <x:v>Other FX</x:v>
      </x:c>
      <x:c r="B186" s="39" t="d">
        <x:v>2022-01-31T00:00:00.000Z</x:v>
      </x:c>
      <x:c r="C186" s="38" t="n">
        <x:v>-0.0284866339</x:v>
      </x:c>
      <x:c r="D186" s="38" t="n">
        <x:v>0.0500002736</x:v>
      </x:c>
      <x:c r="E186" s="38" t="n">
        <x:v>-0.0292815987</x:v>
      </x:c>
      <x:c r="F186" s="38" t="n">
        <x:v>-0.0079506006</x:v>
      </x:c>
      <x:c r="G186" s="38" t="n">
        <x:v>-0.0831142178</x:v>
      </x:c>
      <x:c r="H186" s="38" t="n">
        <x:v>-0.0497770783</x:v>
      </x:c>
      <x:c r="I186" s="38" t="n">
        <x:v>-0.0320354538</x:v>
      </x:c>
      <x:c r="J186" s="38" t="n">
        <x:v>-0.1179769062</x:v>
      </x:c>
      <x:c r="K186" s="38" t="n">
        <x:v>-0.0290191682</x:v>
      </x:c>
      <x:c r="L186" s="38" t="n">
        <x:v>0.0572267116</x:v>
      </x:c>
      <x:c r="M186" s="38" t="n">
        <x:v>0.0212196566</x:v>
      </x:c>
      <x:c r="N186" s="38" t="n">
        <x:v>0.0322174387</x:v>
      </x:c>
      <x:c r="O186" s="38" t="n">
        <x:v>-0.0717879069</x:v>
      </x:c>
      <x:c r="P186" s="38" t="n">
        <x:v>-0.1655282587</x:v>
      </x:c>
      <x:c r="Q186" s="38" t="n">
        <x:v>0.0153358981</x:v>
      </x:c>
      <x:c r="R186" s="38" t="n">
        <x:v>-0.152787759</x:v>
      </x:c>
      <x:c r="S186" s="38" t="n">
        <x:v>0.0500835156</x:v>
      </x:c>
      <x:c r="T186" s="38" t="n">
        <x:v>-0.0485748749</x:v>
      </x:c>
      <x:c r="U186" s="38" t="n">
        <x:v>-0.1576571998</x:v>
      </x:c>
      <x:c r="V186" s="38" t="n">
        <x:v>-0.065131833</x:v>
      </x:c>
      <x:c r="W186" s="38" t="n">
        <x:v>-0.2150619525</x:v>
      </x:c>
      <x:c r="X186" s="38" t="n">
        <x:v>-0.0171434821</x:v>
      </x:c>
      <x:c r="Y186" s="38" t="n">
        <x:v>-0.104114626</x:v>
      </x:c>
      <x:c r="Z186" s="38" t="n">
        <x:v>0.0174660008</x:v>
      </x:c>
      <x:c r="AA186" s="38" t="n">
        <x:v>-0.0167829328</x:v>
      </x:c>
      <x:c r="AB186" s="38" t="n">
        <x:v>-0.0442793981</x:v>
      </x:c>
      <x:c r="AC186" s="38" t="n">
        <x:v>-0.1107186835</x:v>
      </x:c>
      <x:c r="AD186" s="38" t="n">
        <x:v>-0.0109050744</x:v>
      </x:c>
      <x:c r="AE186" s="38" t="n">
        <x:v>-0.2113810284</x:v>
      </x:c>
      <x:c r="AF186" s="38" t="n">
        <x:v>-0.0123072399</x:v>
      </x:c>
      <x:c r="AG186" s="38" t="n">
        <x:v>-0.0292558297</x:v>
      </x:c>
      <x:c r="AH186" s="38" t="n">
        <x:v>-0.0420541564</x:v>
      </x:c>
      <x:c r="AI186" s="38" t="n">
        <x:v>-0.0845174024</x:v>
      </x:c>
      <x:c r="AJ186" s="38" t="n">
        <x:v>-0.0495226261</x:v>
      </x:c>
      <x:c r="AK186" s="38" t="n">
        <x:v>-0.0804868983</x:v>
      </x:c>
      <x:c r="AL186" s="38" t="n">
        <x:v>-0.0674452679</x:v>
      </x:c>
      <x:c r="AM186" s="38" t="n">
        <x:v>-0.033143181</x:v>
      </x:c>
      <x:c r="AN186" s="38" t="n">
        <x:v>0.0314290592</x:v>
      </x:c>
      <x:c r="AO186" s="38" t="n">
        <x:v>-0.0418638677</x:v>
      </x:c>
      <x:c r="AP186" s="38" t="n">
        <x:v>-0.0779991176</x:v>
      </x:c>
      <x:c r="AQ186" s="38" t="n">
        <x:v>-0.0114533399</x:v>
      </x:c>
      <x:c r="AR186" s="38" t="n">
        <x:v>-0.0261000491</x:v>
      </x:c>
      <x:c r="AS186" s="38" t="n">
        <x:v>-0.0252078285</x:v>
      </x:c>
    </x:row>
    <x:row r="187" ht="19" customHeight="1">
      <x:c r="A187" s="29" t="str">
        <x:v>Other FX</x:v>
      </x:c>
      <x:c r="B187" s="39" t="d">
        <x:v>2022-02-28T00:00:00.000Z</x:v>
      </x:c>
      <x:c r="C187" s="38" t="n">
        <x:v>0.0224245236</x:v>
      </x:c>
      <x:c r="D187" s="38" t="n">
        <x:v>0.13805118</x:v>
      </x:c>
      <x:c r="E187" s="38" t="n">
        <x:v>0.065326309</x:v>
      </x:c>
      <x:c r="F187" s="38" t="n">
        <x:v>0.015434197</x:v>
      </x:c>
      <x:c r="G187" s="38" t="n">
        <x:v>0.0062259172</x:v>
      </x:c>
      <x:c r="H187" s="38" t="n">
        <x:v>-0.0447797919</x:v>
      </x:c>
      <x:c r="I187" s="38" t="n">
        <x:v>-0.0360107355</x:v>
      </x:c>
      <x:c r="J187" s="38" t="n">
        <x:v>-0.0257320793</x:v>
      </x:c>
      <x:c r="K187" s="38" t="n">
        <x:v>-0.2228284181</x:v>
      </x:c>
      <x:c r="L187" s="38" t="n">
        <x:v>-0.0060962853</x:v>
      </x:c>
      <x:c r="M187" s="38" t="n">
        <x:v>0.1091508884</x:v>
      </x:c>
      <x:c r="N187" s="38" t="n">
        <x:v>0.1064796101</x:v>
      </x:c>
      <x:c r="O187" s="38" t="n">
        <x:v>0.0804343741</x:v>
      </x:c>
      <x:c r="P187" s="38" t="n">
        <x:v>-0.2114986636</x:v>
      </x:c>
      <x:c r="Q187" s="38" t="n">
        <x:v>-0.0964808884</x:v>
      </x:c>
      <x:c r="R187" s="38" t="n">
        <x:v>-0.0788427192</x:v>
      </x:c>
      <x:c r="S187" s="38" t="n">
        <x:v>-0.0061239252</x:v>
      </x:c>
      <x:c r="T187" s="38" t="n">
        <x:v>-0.0475894988</x:v>
      </x:c>
      <x:c r="U187" s="38" t="n">
        <x:v>-0.0946254902</x:v>
      </x:c>
      <x:c r="V187" s="38" t="n">
        <x:v>0.0377411106</x:v>
      </x:c>
      <x:c r="W187" s="38" t="n">
        <x:v>-0.0380206368</x:v>
      </x:c>
      <x:c r="X187" s="38" t="n">
        <x:v>-0.0091471413</x:v>
      </x:c>
      <x:c r="Y187" s="38" t="n">
        <x:v>-0.1707748839</x:v>
      </x:c>
      <x:c r="Z187" s="38" t="n">
        <x:v>0.0514929464</x:v>
      </x:c>
      <x:c r="AA187" s="38" t="n">
        <x:v>-0.01705931</x:v>
      </x:c>
      <x:c r="AB187" s="38" t="n">
        <x:v>-0.1198226203</x:v>
      </x:c>
      <x:c r="AC187" s="38" t="n">
        <x:v>0.2885623634</x:v>
      </x:c>
      <x:c r="AD187" s="38" t="n">
        <x:v>-0.0136880161</x:v>
      </x:c>
      <x:c r="AE187" s="38" t="n">
        <x:v>-0.0801914443</x:v>
      </x:c>
      <x:c r="AF187" s="38" t="n">
        <x:v>-0.0184640189</x:v>
      </x:c>
      <x:c r="AG187" s="38" t="n">
        <x:v>-0.0680906635</x:v>
      </x:c>
      <x:c r="AH187" s="38" t="n">
        <x:v>0.0851246536</x:v>
      </x:c>
      <x:c r="AI187" s="38" t="n">
        <x:v>-0.0517899328</x:v>
      </x:c>
      <x:c r="AJ187" s="38" t="n">
        <x:v>0.0627037869</x:v>
      </x:c>
      <x:c r="AK187" s="38" t="n">
        <x:v>0.0128954059</x:v>
      </x:c>
      <x:c r="AL187" s="38" t="n">
        <x:v>-0.1324781575</x:v>
      </x:c>
      <x:c r="AM187" s="38" t="n">
        <x:v>0.0020106094</x:v>
      </x:c>
      <x:c r="AN187" s="38" t="n">
        <x:v>-0.0925084425</x:v>
      </x:c>
      <x:c r="AO187" s="38" t="n">
        <x:v>-0.022469301</x:v>
      </x:c>
      <x:c r="AP187" s="38" t="n">
        <x:v>-0.0641939052</x:v>
      </x:c>
      <x:c r="AQ187" s="38" t="n">
        <x:v>0.0212544977</x:v>
      </x:c>
      <x:c r="AR187" s="38" t="n">
        <x:v>-0.0089806088</x:v>
      </x:c>
      <x:c r="AS187" s="38" t="n">
        <x:v>0.0359719718</x:v>
      </x:c>
    </x:row>
    <x:row r="188" ht="19" customHeight="1">
      <x:c r="A188" s="29" t="str">
        <x:v>Other FX</x:v>
      </x:c>
      <x:c r="B188" s="39" t="d">
        <x:v>2022-03-28T00:00:00.000Z</x:v>
      </x:c>
      <x:c r="C188" s="38" t="n">
        <x:v>0.0356619829</x:v>
      </x:c>
      <x:c r="D188" s="38" t="n">
        <x:v>0.0515780875</x:v>
      </x:c>
      <x:c r="E188" s="38" t="n">
        <x:v>0.0319977527</x:v>
      </x:c>
      <x:c r="F188" s="38" t="n">
        <x:v>0.0501219304</x:v>
      </x:c>
      <x:c r="G188" s="38" t="n">
        <x:v>-0.0168854544</x:v>
      </x:c>
      <x:c r="H188" s="38" t="n">
        <x:v>0.0605006664</x:v>
      </x:c>
      <x:c r="I188" s="38" t="n">
        <x:v>0.0530690825</x:v>
      </x:c>
      <x:c r="J188" s="38" t="n">
        <x:v>-0.0709206414</x:v>
      </x:c>
      <x:c r="K188" s="38" t="n">
        <x:v>-0.2106580659</x:v>
      </x:c>
      <x:c r="L188" s="38" t="n">
        <x:v>0.1213531835</x:v>
      </x:c>
      <x:c r="M188" s="38" t="n">
        <x:v>0.0692184696</x:v>
      </x:c>
      <x:c r="N188" s="38" t="n">
        <x:v>0.0335159605</x:v>
      </x:c>
      <x:c r="O188" s="38" t="n">
        <x:v>0.0800238738</x:v>
      </x:c>
      <x:c r="P188" s="38" t="n">
        <x:v>-0.1591918475</x:v>
      </x:c>
      <x:c r="Q188" s="38" t="n">
        <x:v>0.0603897148</x:v>
      </x:c>
      <x:c r="R188" s="38" t="n">
        <x:v>0.1098035317</x:v>
      </x:c>
      <x:c r="S188" s="38" t="n">
        <x:v>-0.0155439869</x:v>
      </x:c>
      <x:c r="T188" s="38" t="n">
        <x:v>0.0945641429</x:v>
      </x:c>
      <x:c r="U188" s="38" t="n">
        <x:v>0.1012798677</x:v>
      </x:c>
      <x:c r="V188" s="38" t="n">
        <x:v>0.017836599</x:v>
      </x:c>
      <x:c r="W188" s="38" t="n">
        <x:v>0.0035189894</x:v>
      </x:c>
      <x:c r="X188" s="38" t="n">
        <x:v>0.0158184</x:v>
      </x:c>
      <x:c r="Y188" s="38" t="n">
        <x:v>-0.1931119937</x:v>
      </x:c>
      <x:c r="Z188" s="38" t="n">
        <x:v>0.0272277147</x:v>
      </x:c>
      <x:c r="AA188" s="38" t="n">
        <x:v>0.043177033</x:v>
      </x:c>
      <x:c r="AB188" s="38" t="n">
        <x:v>-0.0417429298</x:v>
      </x:c>
      <x:c r="AC188" s="38" t="n">
        <x:v>-0.186910751</x:v>
      </x:c>
      <x:c r="AD188" s="38" t="n">
        <x:v>0.0100735233</x:v>
      </x:c>
      <x:c r="AE188" s="38" t="n">
        <x:v>-0.0726775465</x:v>
      </x:c>
      <x:c r="AF188" s="38" t="n">
        <x:v>-0.0004383107</x:v>
      </x:c>
      <x:c r="AG188" s="38" t="n">
        <x:v>-0.0035616668</x:v>
      </x:c>
      <x:c r="AH188" s="38" t="n">
        <x:v>-0.0858409336</x:v>
      </x:c>
      <x:c r="AI188" s="38" t="n">
        <x:v>-0.0774287154</x:v>
      </x:c>
      <x:c r="AJ188" s="38" t="n">
        <x:v>0.0796189088</x:v>
      </x:c>
      <x:c r="AK188" s="38" t="n">
        <x:v>0.0483368304</x:v>
      </x:c>
      <x:c r="AL188" s="38" t="n">
        <x:v>0.0873974798</x:v>
      </x:c>
      <x:c r="AM188" s="38" t="n">
        <x:v>0.0121794819</x:v>
      </x:c>
      <x:c r="AN188" s="38" t="n">
        <x:v>-0.033111655</x:v>
      </x:c>
      <x:c r="AO188" s="38" t="n">
        <x:v>0.0657062893</x:v>
      </x:c>
      <x:c r="AP188" s="38" t="n">
        <x:v>-0.0492281204</x:v>
      </x:c>
      <x:c r="AQ188" s="38" t="n">
        <x:v>0.0008494831</x:v>
      </x:c>
      <x:c r="AR188" s="38" t="n">
        <x:v>0.0267366835</x:v>
      </x:c>
      <x:c r="AS188" s="38" t="n">
        <x:v>0.0430227662</x:v>
      </x:c>
    </x:row>
    <x:row r="189" ht="19" customHeight="1">
      <x:c r="A189" s="29" t="str">
        <x:v>Other FX</x:v>
      </x:c>
      <x:c r="B189" s="39" t="d">
        <x:v>2022-04-25T00:00:00.000Z</x:v>
      </x:c>
      <x:c r="C189" s="38" t="n">
        <x:v>0.0490510854</x:v>
      </x:c>
      <x:c r="D189" s="38" t="n">
        <x:v>-0.0958205455</x:v>
      </x:c>
      <x:c r="E189" s="38" t="n">
        <x:v>0.0004148033</x:v>
      </x:c>
      <x:c r="F189" s="38" t="n">
        <x:v>-0.0078046899</x:v>
      </x:c>
      <x:c r="G189" s="38" t="n">
        <x:v>-0.1240997817</x:v>
      </x:c>
      <x:c r="H189" s="38" t="n">
        <x:v>-0.0263845331</x:v>
      </x:c>
      <x:c r="I189" s="38" t="n">
        <x:v>-0.1914931916</x:v>
      </x:c>
      <x:c r="J189" s="38" t="n">
        <x:v>-0.0604507336</x:v>
      </x:c>
      <x:c r="K189" s="38" t="n">
        <x:v>-0.0651589729</x:v>
      </x:c>
      <x:c r="L189" s="38" t="n">
        <x:v>0.0722290048</x:v>
      </x:c>
      <x:c r="M189" s="38" t="n">
        <x:v>-0.0407162857</x:v>
      </x:c>
      <x:c r="N189" s="38" t="n">
        <x:v>-0.0155301439</x:v>
      </x:c>
      <x:c r="O189" s="38" t="n">
        <x:v>-0.0636290511</x:v>
      </x:c>
      <x:c r="P189" s="38" t="n">
        <x:v>0.0526902559</x:v>
      </x:c>
      <x:c r="Q189" s="38" t="n">
        <x:v>-0.1632799733</x:v>
      </x:c>
      <x:c r="R189" s="38" t="n">
        <x:v>-0.3102748475</x:v>
      </x:c>
      <x:c r="S189" s="38" t="n">
        <x:v>-0.0528184912</x:v>
      </x:c>
      <x:c r="T189" s="38" t="n">
        <x:v>-0.3160075595</x:v>
      </x:c>
      <x:c r="U189" s="38" t="n">
        <x:v>-0.1433980503</x:v>
      </x:c>
      <x:c r="V189" s="38" t="n">
        <x:v>-0.1832384374</x:v>
      </x:c>
      <x:c r="W189" s="38" t="n">
        <x:v>-0.4495262558</x:v>
      </x:c>
      <x:c r="X189" s="38" t="n">
        <x:v>-0.0845537154</x:v>
      </x:c>
      <x:c r="Y189" s="38" t="n">
        <x:v>-0.0886714519</x:v>
      </x:c>
      <x:c r="Z189" s="38" t="n">
        <x:v>0.0301191011</x:v>
      </x:c>
      <x:c r="AA189" s="38" t="n">
        <x:v>-0.0466948646</x:v>
      </x:c>
      <x:c r="AB189" s="38" t="n">
        <x:v>0.0844254481</x:v>
      </x:c>
      <x:c r="AC189" s="38" t="n">
        <x:v>-0.2097886168</x:v>
      </x:c>
      <x:c r="AD189" s="38" t="n">
        <x:v>0.0531706649</x:v>
      </x:c>
      <x:c r="AE189" s="38" t="n">
        <x:v>-0.0472589645</x:v>
      </x:c>
      <x:c r="AF189" s="38" t="n">
        <x:v>-0.04175959</x:v>
      </x:c>
      <x:c r="AG189" s="38" t="n">
        <x:v>-0.1216219779</x:v>
      </x:c>
      <x:c r="AH189" s="38" t="n">
        <x:v>0.0981857986</x:v>
      </x:c>
      <x:c r="AI189" s="38" t="n">
        <x:v>-0.142149672</x:v>
      </x:c>
      <x:c r="AJ189" s="38" t="n">
        <x:v>-0.0013887561</x:v>
      </x:c>
      <x:c r="AK189" s="38" t="n">
        <x:v>-0.027313818</x:v>
      </x:c>
      <x:c r="AL189" s="38" t="n">
        <x:v>-0.0771316683</x:v>
      </x:c>
      <x:c r="AM189" s="38" t="n">
        <x:v>-0.0465253372</x:v>
      </x:c>
      <x:c r="AN189" s="38" t="n">
        <x:v>-0.1192679909</x:v>
      </x:c>
      <x:c r="AO189" s="38" t="n">
        <x:v>-0.0621874333</x:v>
      </x:c>
      <x:c r="AP189" s="38" t="n">
        <x:v>0.0286919537</x:v>
      </x:c>
      <x:c r="AQ189" s="38" t="n">
        <x:v>0.0406533897</x:v>
      </x:c>
      <x:c r="AR189" s="38" t="n">
        <x:v>0.0152354112</x:v>
      </x:c>
      <x:c r="AS189" s="38" t="n">
        <x:v>-0.050739096</x:v>
      </x:c>
    </x:row>
    <x:row r="190" ht="19" customHeight="1">
      <x:c r="A190" s="29" t="str">
        <x:v>Other FX</x:v>
      </x:c>
      <x:c r="B190" s="39" t="d">
        <x:v>2022-05-23T00:00:00.000Z</x:v>
      </x:c>
      <x:c r="C190" s="38" t="n">
        <x:v>0.0383401671</x:v>
      </x:c>
      <x:c r="D190" s="38" t="n">
        <x:v>0.0611709874</x:v>
      </x:c>
      <x:c r="E190" s="38" t="n">
        <x:v>0.0198900709</x:v>
      </x:c>
      <x:c r="F190" s="38" t="n">
        <x:v>0.0207589062</x:v>
      </x:c>
      <x:c r="G190" s="38" t="n">
        <x:v>-0.0266546657</x:v>
      </x:c>
      <x:c r="H190" s="38" t="n">
        <x:v>-0.0275357346</x:v>
      </x:c>
      <x:c r="I190" s="38" t="n">
        <x:v>-0.0745882817</x:v>
      </x:c>
      <x:c r="J190" s="38" t="n">
        <x:v>-0.0358206042</x:v>
      </x:c>
      <x:c r="K190" s="38" t="n">
        <x:v>-0.0084048131</x:v>
      </x:c>
      <x:c r="L190" s="38" t="n">
        <x:v>0.1339561507</x:v>
      </x:c>
      <x:c r="M190" s="38" t="n">
        <x:v>0.0095646349</x:v>
      </x:c>
      <x:c r="N190" s="38" t="n">
        <x:v>-0.007506415</x:v>
      </x:c>
      <x:c r="O190" s="38" t="n">
        <x:v>-0.0521611935</x:v>
      </x:c>
      <x:c r="P190" s="38" t="n">
        <x:v>0.0679522225</x:v>
      </x:c>
      <x:c r="Q190" s="38" t="n">
        <x:v>-0.0420598567</x:v>
      </x:c>
      <x:c r="R190" s="38" t="n">
        <x:v>0.1899172734</x:v>
      </x:c>
      <x:c r="S190" s="38" t="n">
        <x:v>-0.088145091</x:v>
      </x:c>
      <x:c r="T190" s="38" t="n">
        <x:v>-0.30962584</x:v>
      </x:c>
      <x:c r="U190" s="38" t="n">
        <x:v>0.005252407</x:v>
      </x:c>
      <x:c r="V190" s="38" t="n">
        <x:v>-0.128104293</x:v>
      </x:c>
      <x:c r="W190" s="38" t="n">
        <x:v>-0.0113263839</x:v>
      </x:c>
      <x:c r="X190" s="38" t="n">
        <x:v>0.0678881874</x:v>
      </x:c>
      <x:c r="Y190" s="38" t="n">
        <x:v>-0.0087343636</x:v>
      </x:c>
      <x:c r="Z190" s="38" t="n">
        <x:v>-0.0547612683</x:v>
      </x:c>
      <x:c r="AA190" s="38" t="n">
        <x:v>0.0688314651</x:v>
      </x:c>
      <x:c r="AB190" s="38" t="n">
        <x:v>0.0415370731</x:v>
      </x:c>
      <x:c r="AC190" s="38" t="n">
        <x:v>-0.3091260088</x:v>
      </x:c>
      <x:c r="AD190" s="38" t="n">
        <x:v>-0.076287886</x:v>
      </x:c>
      <x:c r="AE190" s="38" t="n">
        <x:v>-0.0639168678</x:v>
      </x:c>
      <x:c r="AF190" s="38" t="n">
        <x:v>0.0185777979</x:v>
      </x:c>
      <x:c r="AG190" s="38" t="n">
        <x:v>-0.1419916391</x:v>
      </x:c>
      <x:c r="AH190" s="38" t="n">
        <x:v>0.0031298497</x:v>
      </x:c>
      <x:c r="AI190" s="38" t="n">
        <x:v>0.0822955358</x:v>
      </x:c>
      <x:c r="AJ190" s="38" t="n">
        <x:v>0.0803067923</x:v>
      </x:c>
      <x:c r="AK190" s="38" t="n">
        <x:v>-0.0206120598</x:v>
      </x:c>
      <x:c r="AL190" s="38" t="n">
        <x:v>-0.0047531079</x:v>
      </x:c>
      <x:c r="AM190" s="38" t="n">
        <x:v>-0.0357756258</x:v>
      </x:c>
      <x:c r="AN190" s="38" t="n">
        <x:v>-0.0217325416</x:v>
      </x:c>
      <x:c r="AO190" s="38" t="n">
        <x:v>-0.1100896009</x:v>
      </x:c>
      <x:c r="AP190" s="38" t="n">
        <x:v>0.00267081</x:v>
      </x:c>
      <x:c r="AQ190" s="38" t="n">
        <x:v>-0.02200432</x:v>
      </x:c>
      <x:c r="AR190" s="38" t="n">
        <x:v>-0.0110828783</x:v>
      </x:c>
      <x:c r="AS190" s="38" t="n">
        <x:v>-0.0289655924</x:v>
      </x:c>
    </x:row>
    <x:row r="191" ht="19" customHeight="1">
      <x:c r="A191" s="29" t="str">
        <x:v>Other FX</x:v>
      </x:c>
      <x:c r="B191" s="39" t="d">
        <x:v>2022-06-20T00:00:00.000Z</x:v>
      </x:c>
      <x:c r="C191" s="38" t="n">
        <x:v>-0.0848594715</x:v>
      </x:c>
      <x:c r="D191" s="38" t="n">
        <x:v>-0.2655240569</x:v>
      </x:c>
      <x:c r="E191" s="38" t="n">
        <x:v>-0.0698485371</x:v>
      </x:c>
      <x:c r="F191" s="38" t="n">
        <x:v>-0.0703720812</x:v>
      </x:c>
      <x:c r="G191" s="38" t="n">
        <x:v>-0.0670213283</x:v>
      </x:c>
      <x:c r="H191" s="38" t="n">
        <x:v>-0.0193563651</x:v>
      </x:c>
      <x:c r="I191" s="38" t="n">
        <x:v>0.0118796147</x:v>
      </x:c>
      <x:c r="J191" s="38" t="n">
        <x:v>-0.1023621173</x:v>
      </x:c>
      <x:c r="K191" s="38" t="n">
        <x:v>-0.1191281675</x:v>
      </x:c>
      <x:c r="L191" s="38" t="n">
        <x:v>-0.183807661</x:v>
      </x:c>
      <x:c r="M191" s="38" t="n">
        <x:v>-0.1164118925</x:v>
      </x:c>
      <x:c r="N191" s="38" t="n">
        <x:v>-0.1085193052</x:v>
      </x:c>
      <x:c r="O191" s="38" t="n">
        <x:v>-0.0079473659</x:v>
      </x:c>
      <x:c r="P191" s="38" t="n">
        <x:v>-0.2247256716</x:v>
      </x:c>
      <x:c r="Q191" s="38" t="n">
        <x:v>0.0196881775</x:v>
      </x:c>
      <x:c r="R191" s="38" t="n">
        <x:v>-0.0445335879</x:v>
      </x:c>
      <x:c r="S191" s="38" t="n">
        <x:v>0.0478771318</x:v>
      </x:c>
      <x:c r="T191" s="38" t="n">
        <x:v>-0.1293499018</x:v>
      </x:c>
      <x:c r="U191" s="38" t="n">
        <x:v>0.0219566814</x:v>
      </x:c>
      <x:c r="V191" s="38" t="n">
        <x:v>-0.0619720976</x:v>
      </x:c>
      <x:c r="W191" s="38" t="n">
        <x:v>0.0006895689</x:v>
      </x:c>
      <x:c r="X191" s="38" t="n">
        <x:v>-0.0525424314</x:v>
      </x:c>
      <x:c r="Y191" s="38" t="n">
        <x:v>-0.180865506</x:v>
      </x:c>
      <x:c r="Z191" s="38" t="n">
        <x:v>0.014337477</x:v>
      </x:c>
      <x:c r="AA191" s="38" t="n">
        <x:v>-0.0291239037</x:v>
      </x:c>
      <x:c r="AB191" s="38" t="n">
        <x:v>0.0011738499</x:v>
      </x:c>
      <x:c r="AC191" s="38" t="n">
        <x:v>-0.1148191381</x:v>
      </x:c>
      <x:c r="AD191" s="38" t="n">
        <x:v>-0.0133705746</x:v>
      </x:c>
      <x:c r="AE191" s="38" t="n">
        <x:v>-0.0640871605</x:v>
      </x:c>
      <x:c r="AF191" s="38" t="n">
        <x:v>-0.0834060619</x:v>
      </x:c>
      <x:c r="AG191" s="38" t="n">
        <x:v>0.0923692692</x:v>
      </x:c>
      <x:c r="AH191" s="38" t="n">
        <x:v>0.0319750722</x:v>
      </x:c>
      <x:c r="AI191" s="38" t="n">
        <x:v>-0.1258854522</x:v>
      </x:c>
      <x:c r="AJ191" s="38" t="n">
        <x:v>0.0050999596</x:v>
      </x:c>
      <x:c r="AK191" s="38" t="n">
        <x:v>-0.0557008848</x:v>
      </x:c>
      <x:c r="AL191" s="38" t="n">
        <x:v>-0.064188177</x:v>
      </x:c>
      <x:c r="AM191" s="38" t="n">
        <x:v>-0.0059505548</x:v>
      </x:c>
      <x:c r="AN191" s="38" t="n">
        <x:v>0.0383496573</x:v>
      </x:c>
      <x:c r="AO191" s="38" t="n">
        <x:v>0.0254921695</x:v>
      </x:c>
      <x:c r="AP191" s="38" t="n">
        <x:v>-0.0424193325</x:v>
      </x:c>
      <x:c r="AQ191" s="38" t="n">
        <x:v>-0.0054158428</x:v>
      </x:c>
      <x:c r="AR191" s="38" t="n">
        <x:v>0.0044528368</x:v>
      </x:c>
      <x:c r="AS191" s="38" t="n">
        <x:v>-0.1072077826</x:v>
      </x:c>
    </x:row>
    <x:row r="192" ht="19" customHeight="1">
      <x:c r="A192" s="29" t="str">
        <x:v>Other FX</x:v>
      </x:c>
      <x:c r="B192" s="39" t="d">
        <x:v>2022-07-18T00:00:00.000Z</x:v>
      </x:c>
      <x:c r="C192" s="38" t="n">
        <x:v>-0.0131901635</x:v>
      </x:c>
      <x:c r="D192" s="38" t="n">
        <x:v>-0.1588249925</x:v>
      </x:c>
      <x:c r="E192" s="38" t="n">
        <x:v>0.0001267398</x:v>
      </x:c>
      <x:c r="F192" s="38" t="n">
        <x:v>-0.0084181809</x:v>
      </x:c>
      <x:c r="G192" s="38" t="n">
        <x:v>0.0423899632</x:v>
      </x:c>
      <x:c r="H192" s="38" t="n">
        <x:v>0.000409359</x:v>
      </x:c>
      <x:c r="I192" s="38" t="n">
        <x:v>0.0508917014</x:v>
      </x:c>
      <x:c r="J192" s="38" t="n">
        <x:v>0.0747440728</x:v>
      </x:c>
      <x:c r="K192" s="38" t="n">
        <x:v>-0.091254704</x:v>
      </x:c>
      <x:c r="L192" s="38" t="n">
        <x:v>0.0006791057</x:v>
      </x:c>
      <x:c r="M192" s="38" t="n">
        <x:v>-0.0372336574</x:v>
      </x:c>
      <x:c r="N192" s="38" t="n">
        <x:v>-0.0732014902</x:v>
      </x:c>
      <x:c r="O192" s="38" t="n">
        <x:v>0.0952683283</x:v>
      </x:c>
      <x:c r="P192" s="38" t="n">
        <x:v>-0.0972833776</x:v>
      </x:c>
      <x:c r="Q192" s="38" t="n">
        <x:v>-0.0126805514</x:v>
      </x:c>
      <x:c r="R192" s="38" t="n">
        <x:v>-0.1555728431</x:v>
      </x:c>
      <x:c r="S192" s="38" t="n">
        <x:v>-0.0270768336</x:v>
      </x:c>
      <x:c r="T192" s="38" t="n">
        <x:v>-0.0393584003</x:v>
      </x:c>
      <x:c r="U192" s="38" t="n">
        <x:v>0.1769378135</x:v>
      </x:c>
      <x:c r="V192" s="38" t="n">
        <x:v>0.0541378775</x:v>
      </x:c>
      <x:c r="W192" s="38" t="n">
        <x:v>0.1541830709</x:v>
      </x:c>
      <x:c r="X192" s="38" t="n">
        <x:v>0.0724279037</x:v>
      </x:c>
      <x:c r="Y192" s="38" t="n">
        <x:v>-0.0494903391</x:v>
      </x:c>
      <x:c r="Z192" s="38" t="n">
        <x:v>-0.2215872661</x:v>
      </x:c>
      <x:c r="AA192" s="38" t="n">
        <x:v>-0.0422349816</x:v>
      </x:c>
      <x:c r="AB192" s="38" t="n">
        <x:v>-0.1024170894</x:v>
      </x:c>
      <x:c r="AC192" s="38" t="n">
        <x:v>-0.2893883231</x:v>
      </x:c>
      <x:c r="AD192" s="38" t="n">
        <x:v>-0.0000758535</x:v>
      </x:c>
      <x:c r="AE192" s="38" t="n">
        <x:v>0.0529256496</x:v>
      </x:c>
      <x:c r="AF192" s="38" t="n">
        <x:v>-0.0163489199</x:v>
      </x:c>
      <x:c r="AG192" s="38" t="n">
        <x:v>0.1228118511</x:v>
      </x:c>
      <x:c r="AH192" s="38" t="n">
        <x:v>-0.0503419213</x:v>
      </x:c>
      <x:c r="AI192" s="38" t="n">
        <x:v>0.0314620576</x:v>
      </x:c>
      <x:c r="AJ192" s="38" t="n">
        <x:v>0.0075045088</x:v>
      </x:c>
      <x:c r="AK192" s="38" t="n">
        <x:v>-0.0388866779</x:v>
      </x:c>
      <x:c r="AL192" s="38" t="n">
        <x:v>0.0378497592</x:v>
      </x:c>
      <x:c r="AM192" s="38" t="n">
        <x:v>0.004446998</x:v>
      </x:c>
      <x:c r="AN192" s="38" t="n">
        <x:v>-0.0757703893</x:v>
      </x:c>
      <x:c r="AO192" s="38" t="n">
        <x:v>0.0315219649</x:v>
      </x:c>
      <x:c r="AP192" s="38" t="n">
        <x:v>0.0630371239</x:v>
      </x:c>
      <x:c r="AQ192" s="38" t="n">
        <x:v>-0.0258121706</x:v>
      </x:c>
      <x:c r="AR192" s="38" t="n">
        <x:v>-0.0550035855</x:v>
      </x:c>
      <x:c r="AS192" s="38" t="n">
        <x:v>0.0289197153</x:v>
      </x:c>
    </x:row>
    <x:row r="193" ht="19" customHeight="1">
      <x:c r="A193" s="29" t="str">
        <x:v>Other FX</x:v>
      </x:c>
      <x:c r="B193" s="39" t="d">
        <x:v>2022-08-15T00:00:00.000Z</x:v>
      </x:c>
      <x:c r="C193" s="38" t="n">
        <x:v>0.0742529818</x:v>
      </x:c>
      <x:c r="D193" s="38" t="n">
        <x:v>0.2496930603</x:v>
      </x:c>
      <x:c r="E193" s="38" t="n">
        <x:v>0.0873117945</x:v>
      </x:c>
      <x:c r="F193" s="38" t="n">
        <x:v>0.0913990401</x:v>
      </x:c>
      <x:c r="G193" s="38" t="n">
        <x:v>0.1311158266</x:v>
      </x:c>
      <x:c r="H193" s="38" t="n">
        <x:v>0.185485798</x:v>
      </x:c>
      <x:c r="I193" s="38" t="n">
        <x:v>0.0845965338</x:v>
      </x:c>
      <x:c r="J193" s="38" t="n">
        <x:v>0.0426613458</x:v>
      </x:c>
      <x:c r="K193" s="38" t="n">
        <x:v>-0.0487021412</x:v>
      </x:c>
      <x:c r="L193" s="38" t="n">
        <x:v>0.1109536276</x:v>
      </x:c>
      <x:c r="M193" s="38" t="n">
        <x:v>0.1445359217</x:v>
      </x:c>
      <x:c r="N193" s="38" t="n">
        <x:v>0.0959016256</x:v>
      </x:c>
      <x:c r="O193" s="38" t="n">
        <x:v>0.1428793852</x:v>
      </x:c>
      <x:c r="P193" s="38" t="n">
        <x:v>-0.0733032037</x:v>
      </x:c>
      <x:c r="Q193" s="38" t="n">
        <x:v>0.0353554144</x:v>
      </x:c>
      <x:c r="R193" s="38" t="n">
        <x:v>0.0812382438</x:v>
      </x:c>
      <x:c r="S193" s="38" t="n">
        <x:v>-0.0134524497</x:v>
      </x:c>
      <x:c r="T193" s="38" t="n">
        <x:v>0.1711200079</x:v>
      </x:c>
      <x:c r="U193" s="38" t="n">
        <x:v>-0.1135486539</x:v>
      </x:c>
      <x:c r="V193" s="38" t="n">
        <x:v>0.162910351</x:v>
      </x:c>
      <x:c r="W193" s="38" t="n">
        <x:v>0.0886133005</x:v>
      </x:c>
      <x:c r="X193" s="38" t="n">
        <x:v>-0.0634253834</x:v>
      </x:c>
      <x:c r="Y193" s="38" t="n">
        <x:v>-0.0907831572</x:v>
      </x:c>
      <x:c r="Z193" s="38" t="n">
        <x:v>-0.0998900093</x:v>
      </x:c>
      <x:c r="AA193" s="38" t="n">
        <x:v>0.1006362302</x:v>
      </x:c>
      <x:c r="AB193" s="38" t="n">
        <x:v>-0.0136062276</x:v>
      </x:c>
      <x:c r="AC193" s="38" t="n">
        <x:v>0.0633293486</x:v>
      </x:c>
      <x:c r="AD193" s="38" t="n">
        <x:v>0.0470791317</x:v>
      </x:c>
      <x:c r="AE193" s="38" t="n">
        <x:v>0.1767382762</x:v>
      </x:c>
      <x:c r="AF193" s="38" t="n">
        <x:v>0.0606078786</x:v>
      </x:c>
      <x:c r="AG193" s="38" t="n">
        <x:v>0.0158232879</x:v>
      </x:c>
      <x:c r="AH193" s="38" t="n">
        <x:v>0.110126882</x:v>
      </x:c>
      <x:c r="AI193" s="38" t="n">
        <x:v>0.0417861667</x:v>
      </x:c>
      <x:c r="AJ193" s="38" t="n">
        <x:v>-0.0120120313</x:v>
      </x:c>
      <x:c r="AK193" s="38" t="n">
        <x:v>-0.037119236</x:v>
      </x:c>
      <x:c r="AL193" s="38" t="n">
        <x:v>-0.0189584492</x:v>
      </x:c>
      <x:c r="AM193" s="38" t="n">
        <x:v>0.0731523468</x:v>
      </x:c>
      <x:c r="AN193" s="38" t="n">
        <x:v>0.0597047843</x:v>
      </x:c>
      <x:c r="AO193" s="38" t="n">
        <x:v>0.0183457701</x:v>
      </x:c>
      <x:c r="AP193" s="38" t="n">
        <x:v>0.0409600008</x:v>
      </x:c>
      <x:c r="AQ193" s="38" t="n">
        <x:v>0.0403120045</x:v>
      </x:c>
      <x:c r="AR193" s="38" t="n">
        <x:v>-0.0214119408</x:v>
      </x:c>
      <x:c r="AS193" s="38" t="n">
        <x:v>0.0300204108</x:v>
      </x:c>
    </x:row>
    <x:row r="194" ht="19" customHeight="1">
      <x:c r="A194" s="29" t="str">
        <x:v>Other FX</x:v>
      </x:c>
      <x:c r="B194" s="39" t="d">
        <x:v>2022-09-12T00:00:00.000Z</x:v>
      </x:c>
      <x:c r="C194" s="38" t="n">
        <x:v>0.0019152294</x:v>
      </x:c>
      <x:c r="D194" s="38" t="n">
        <x:v>0.0572256685</x:v>
      </x:c>
      <x:c r="E194" s="38" t="n">
        <x:v>-0.0280151716</x:v>
      </x:c>
      <x:c r="F194" s="38" t="n">
        <x:v>-0.0424178539</x:v>
      </x:c>
      <x:c r="G194" s="38" t="n">
        <x:v>-0.0652995815</x:v>
      </x:c>
      <x:c r="H194" s="38" t="n">
        <x:v>0.0227840559</x:v>
      </x:c>
      <x:c r="I194" s="38" t="n">
        <x:v>-0.1008764331</x:v>
      </x:c>
      <x:c r="J194" s="38" t="n">
        <x:v>-0.0979806198</x:v>
      </x:c>
      <x:c r="K194" s="38" t="n">
        <x:v>-0.1964710149</x:v>
      </x:c>
      <x:c r="L194" s="38" t="n">
        <x:v>-0.1020944503</x:v>
      </x:c>
      <x:c r="M194" s="38" t="n">
        <x:v>-0.0448024827</x:v>
      </x:c>
      <x:c r="N194" s="38" t="n">
        <x:v>-0.0245688925</x:v>
      </x:c>
      <x:c r="O194" s="38" t="n">
        <x:v>-0.055717836</x:v>
      </x:c>
      <x:c r="P194" s="38" t="n">
        <x:v>-0.2294306535</x:v>
      </x:c>
      <x:c r="Q194" s="38" t="n">
        <x:v>0.1102853052</x:v>
      </x:c>
      <x:c r="R194" s="38" t="n">
        <x:v>-0.0343968714</x:v>
      </x:c>
      <x:c r="S194" s="38" t="n">
        <x:v>-0.0334498602</x:v>
      </x:c>
      <x:c r="T194" s="38" t="n">
        <x:v>-0.1560094793</x:v>
      </x:c>
      <x:c r="U194" s="38" t="n">
        <x:v>-0.0516420453</x:v>
      </x:c>
      <x:c r="V194" s="38" t="n">
        <x:v>-0.0743794674</x:v>
      </x:c>
      <x:c r="W194" s="38" t="n">
        <x:v>-0.0057889001</x:v>
      </x:c>
      <x:c r="X194" s="38" t="n">
        <x:v>-0.0601741057</x:v>
      </x:c>
      <x:c r="Y194" s="38" t="n">
        <x:v>-0.1413249955</x:v>
      </x:c>
      <x:c r="Z194" s="38" t="n">
        <x:v>0.0427811195</x:v>
      </x:c>
      <x:c r="AA194" s="38" t="n">
        <x:v>-0.0174886071</x:v>
      </x:c>
      <x:c r="AB194" s="38" t="n">
        <x:v>-0.0448862951</x:v>
      </x:c>
      <x:c r="AC194" s="38" t="n">
        <x:v>-0.1156229457</x:v>
      </x:c>
      <x:c r="AD194" s="38" t="n">
        <x:v>-0.047606008</x:v>
      </x:c>
      <x:c r="AE194" s="38" t="n">
        <x:v>-0.0569634633</x:v>
      </x:c>
      <x:c r="AF194" s="38" t="n">
        <x:v>-0.0969026471</x:v>
      </x:c>
      <x:c r="AG194" s="38" t="n">
        <x:v>-0.0791679263</x:v>
      </x:c>
      <x:c r="AH194" s="38" t="n">
        <x:v>0.0047523426</x:v>
      </x:c>
      <x:c r="AI194" s="38" t="n">
        <x:v>-0.2144150738</x:v>
      </x:c>
      <x:c r="AJ194" s="38" t="n">
        <x:v>-0.0354659026</x:v>
      </x:c>
      <x:c r="AK194" s="38" t="n">
        <x:v>-0.0719290747</x:v>
      </x:c>
      <x:c r="AL194" s="38" t="n">
        <x:v>-0.0854252039</x:v>
      </x:c>
      <x:c r="AM194" s="38" t="n">
        <x:v>-0.1356355301</x:v>
      </x:c>
      <x:c r="AN194" s="38" t="n">
        <x:v>-0.1412574009</x:v>
      </x:c>
      <x:c r="AO194" s="38" t="n">
        <x:v>-0.0613823582</x:v>
      </x:c>
      <x:c r="AP194" s="38" t="n">
        <x:v>-0.0987599903</x:v>
      </x:c>
      <x:c r="AQ194" s="38" t="n">
        <x:v>-0.0586643306</x:v>
      </x:c>
      <x:c r="AR194" s="38" t="n">
        <x:v>-0.0037286159</x:v>
      </x:c>
      <x:c r="AS194" s="38" t="n">
        <x:v>-0.0723969135</x:v>
      </x:c>
    </x:row>
    <x:row r="195" ht="19" customHeight="1">
      <x:c r="A195" s="29" t="str">
        <x:v>Other FX</x:v>
      </x:c>
      <x:c r="B195" s="39" t="d">
        <x:v>2022-10-10T00:00:00.000Z</x:v>
      </x:c>
      <x:c r="C195" s="38" t="n">
        <x:v>-0.1306603502</x:v>
      </x:c>
      <x:c r="D195" s="38" t="n">
        <x:v>0.0753943458</x:v>
      </x:c>
      <x:c r="E195" s="38" t="n">
        <x:v>-0.1400817152</x:v>
      </x:c>
      <x:c r="F195" s="38" t="n">
        <x:v>-0.1172729529</x:v>
      </x:c>
      <x:c r="G195" s="38" t="n">
        <x:v>-0.0904254695</x:v>
      </x:c>
      <x:c r="H195" s="38" t="n">
        <x:v>-0.0339110766</x:v>
      </x:c>
      <x:c r="I195" s="38" t="n">
        <x:v>-0.1067635025</x:v>
      </x:c>
      <x:c r="J195" s="38" t="n">
        <x:v>-0.0308477197</x:v>
      </x:c>
      <x:c r="K195" s="38" t="n">
        <x:v>-0.1149605625</x:v>
      </x:c>
      <x:c r="L195" s="38" t="n">
        <x:v>0.0723785</x:v>
      </x:c>
      <x:c r="M195" s="38" t="n">
        <x:v>0.0691697735</x:v>
      </x:c>
      <x:c r="N195" s="38" t="n">
        <x:v>0.057093763</x:v>
      </x:c>
      <x:c r="O195" s="38" t="n">
        <x:v>0.0063952237</x:v>
      </x:c>
      <x:c r="P195" s="38" t="n">
        <x:v>-0.0516698617</x:v>
      </x:c>
      <x:c r="Q195" s="38" t="n">
        <x:v>0.0085207584</x:v>
      </x:c>
      <x:c r="R195" s="38" t="n">
        <x:v>-0.1756939261</x:v>
      </x:c>
      <x:c r="S195" s="38" t="n">
        <x:v>-0.0815192341</x:v>
      </x:c>
      <x:c r="T195" s="38" t="n">
        <x:v>-0.242027959</x:v>
      </x:c>
      <x:c r="U195" s="38" t="n">
        <x:v>-0.0073626248</x:v>
      </x:c>
      <x:c r="V195" s="38" t="n">
        <x:v>-0.07763418</x:v>
      </x:c>
      <x:c r="W195" s="38" t="n">
        <x:v>0.0027481199</x:v>
      </x:c>
      <x:c r="X195" s="38" t="n">
        <x:v>-0.0710624448</x:v>
      </x:c>
      <x:c r="Y195" s="38" t="n">
        <x:v>0.0318942399</x:v>
      </x:c>
      <x:c r="Z195" s="38" t="n">
        <x:v>0.1313948448</x:v>
      </x:c>
      <x:c r="AA195" s="38" t="n">
        <x:v>-0.0600648284</x:v>
      </x:c>
      <x:c r="AB195" s="38" t="n">
        <x:v>0.0306271208</x:v>
      </x:c>
      <x:c r="AC195" s="38" t="n">
        <x:v>0.0137504681</x:v>
      </x:c>
      <x:c r="AD195" s="38" t="n">
        <x:v>-0.1047088757</x:v>
      </x:c>
      <x:c r="AE195" s="38" t="n">
        <x:v>-0.1105319426</x:v>
      </x:c>
      <x:c r="AF195" s="38" t="n">
        <x:v>-0.029992993</x:v>
      </x:c>
      <x:c r="AG195" s="38" t="n">
        <x:v>-0.0346719937</x:v>
      </x:c>
      <x:c r="AH195" s="38" t="n">
        <x:v>0.0610826682</x:v>
      </x:c>
      <x:c r="AI195" s="38" t="n">
        <x:v>-0.2355833796</x:v>
      </x:c>
      <x:c r="AJ195" s="38" t="n">
        <x:v>0.0575375711</x:v>
      </x:c>
      <x:c r="AK195" s="38" t="n">
        <x:v>-0.1372558681</x:v>
      </x:c>
      <x:c r="AL195" s="38" t="n">
        <x:v>-0.0411929832</x:v>
      </x:c>
      <x:c r="AM195" s="38" t="n">
        <x:v>-0.0310613494</x:v>
      </x:c>
      <x:c r="AN195" s="38" t="n">
        <x:v>0.0237365963</x:v>
      </x:c>
      <x:c r="AO195" s="38" t="n">
        <x:v>-0.0907223421</x:v>
      </x:c>
      <x:c r="AP195" s="38" t="n">
        <x:v>0.0230497639</x:v>
      </x:c>
      <x:c r="AQ195" s="38" t="n">
        <x:v>-0.0543052088</x:v>
      </x:c>
      <x:c r="AR195" s="38" t="n">
        <x:v>-0.0149889519</x:v>
      </x:c>
      <x:c r="AS195" s="38" t="n">
        <x:v>-0.000004114</x:v>
      </x:c>
    </x:row>
    <x:row r="196" ht="19" customHeight="1">
      <x:c r="A196" s="29" t="str">
        <x:v>Other FX</x:v>
      </x:c>
      <x:c r="B196" s="39" t="d">
        <x:v>2022-11-07T00:00:00.000Z</x:v>
      </x:c>
      <x:c r="C196" s="38" t="n">
        <x:v>0.0974957015</x:v>
      </x:c>
      <x:c r="D196" s="38" t="n">
        <x:v>0.1405978721</x:v>
      </x:c>
      <x:c r="E196" s="38" t="n">
        <x:v>0.0079082057</x:v>
      </x:c>
      <x:c r="F196" s="38" t="n">
        <x:v>0.0920914866</x:v>
      </x:c>
      <x:c r="G196" s="38" t="n">
        <x:v>-0.0505911523</x:v>
      </x:c>
      <x:c r="H196" s="38" t="n">
        <x:v>-0.0551872763</x:v>
      </x:c>
      <x:c r="I196" s="38" t="n">
        <x:v>-0.0767094948</x:v>
      </x:c>
      <x:c r="J196" s="38" t="n">
        <x:v>0.0636216403</x:v>
      </x:c>
      <x:c r="K196" s="38" t="n">
        <x:v>-0.020852682</x:v>
      </x:c>
      <x:c r="L196" s="38" t="n">
        <x:v>0.1330332475</x:v>
      </x:c>
      <x:c r="M196" s="38" t="n">
        <x:v>0.0086379788</x:v>
      </x:c>
      <x:c r="N196" s="38" t="n">
        <x:v>-0.059900993</x:v>
      </x:c>
      <x:c r="O196" s="38" t="n">
        <x:v>0.0473411049</x:v>
      </x:c>
      <x:c r="P196" s="38" t="n">
        <x:v>0.0955596998</x:v>
      </x:c>
      <x:c r="Q196" s="38" t="n">
        <x:v>0.1203018782</x:v>
      </x:c>
      <x:c r="R196" s="38" t="n">
        <x:v>-0.0122181643</x:v>
      </x:c>
      <x:c r="S196" s="38" t="n">
        <x:v>-0.0408948276</x:v>
      </x:c>
      <x:c r="T196" s="38" t="n">
        <x:v>0.1558789991</x:v>
      </x:c>
      <x:c r="U196" s="38" t="n">
        <x:v>0.1539100844</x:v>
      </x:c>
      <x:c r="V196" s="38" t="n">
        <x:v>0.2712116858</x:v>
      </x:c>
      <x:c r="W196" s="38" t="n">
        <x:v>0.0924807147</x:v>
      </x:c>
      <x:c r="X196" s="38" t="n">
        <x:v>0.0243322928</x:v>
      </x:c>
      <x:c r="Y196" s="38" t="n">
        <x:v>0.0813348518</x:v>
      </x:c>
      <x:c r="Z196" s="38" t="n">
        <x:v>-0.0821176262</x:v>
      </x:c>
      <x:c r="AA196" s="38" t="n">
        <x:v>0.026475693</x:v>
      </x:c>
      <x:c r="AB196" s="38" t="n">
        <x:v>-0.0359055958</x:v>
      </x:c>
      <x:c r="AC196" s="38" t="n">
        <x:v>-0.0328809683</x:v>
      </x:c>
      <x:c r="AD196" s="38" t="n">
        <x:v>0.0489686375</x:v>
      </x:c>
      <x:c r="AE196" s="38" t="n">
        <x:v>0.0738536018</x:v>
      </x:c>
      <x:c r="AF196" s="38" t="n">
        <x:v>0.1612563005</x:v>
      </x:c>
      <x:c r="AG196" s="38" t="n">
        <x:v>0.1311918479</x:v>
      </x:c>
      <x:c r="AH196" s="38" t="n">
        <x:v>-0.0828389906</x:v>
      </x:c>
      <x:c r="AI196" s="38" t="n">
        <x:v>0.1105186616</x:v>
      </x:c>
      <x:c r="AJ196" s="38" t="n">
        <x:v>0.0507821838</x:v>
      </x:c>
      <x:c r="AK196" s="38" t="n">
        <x:v>0.0907158311</x:v>
      </x:c>
      <x:c r="AL196" s="38" t="n">
        <x:v>0.020227436</x:v>
      </x:c>
      <x:c r="AM196" s="38" t="n">
        <x:v>0.0022625812</x:v>
      </x:c>
      <x:c r="AN196" s="38" t="n">
        <x:v>-0.0421996126</x:v>
      </x:c>
      <x:c r="AO196" s="38" t="n">
        <x:v>0.05722018</x:v>
      </x:c>
      <x:c r="AP196" s="38" t="n">
        <x:v>0.0356394245</x:v>
      </x:c>
      <x:c r="AQ196" s="38" t="n">
        <x:v>0.020361291</x:v>
      </x:c>
      <x:c r="AR196" s="38" t="n">
        <x:v>-0.0216511414</x:v>
      </x:c>
      <x:c r="AS196" s="38" t="n">
        <x:v>0.057717668</x:v>
      </x:c>
    </x:row>
    <x:row r="197" ht="19" customHeight="1">
      <x:c r="A197" s="29" t="str">
        <x:v>Other FX</x:v>
      </x:c>
      <x:c r="B197" s="39" t="d">
        <x:v>2022-12-05T00:00:00.000Z</x:v>
      </x:c>
      <x:c r="C197" s="38" t="n">
        <x:v>-0.008074913</x:v>
      </x:c>
      <x:c r="D197" s="38" t="n">
        <x:v>-0.1622043001</x:v>
      </x:c>
      <x:c r="E197" s="38" t="n">
        <x:v>0.03371755</x:v>
      </x:c>
      <x:c r="F197" s="38" t="n">
        <x:v>0.0461866755</x:v>
      </x:c>
      <x:c r="G197" s="38" t="n">
        <x:v>-0.0318764907</x:v>
      </x:c>
      <x:c r="H197" s="38" t="n">
        <x:v>-0.0015489468</x:v>
      </x:c>
      <x:c r="I197" s="38" t="n">
        <x:v>-0.1298883667</x:v>
      </x:c>
      <x:c r="J197" s="38" t="n">
        <x:v>-0.0310580984</x:v>
      </x:c>
      <x:c r="K197" s="38" t="n">
        <x:v>-0.0807625959</x:v>
      </x:c>
      <x:c r="L197" s="38" t="n">
        <x:v>-0.1251391251</x:v>
      </x:c>
      <x:c r="M197" s="38" t="n">
        <x:v>-0.0546965625</x:v>
      </x:c>
      <x:c r="N197" s="38" t="n">
        <x:v>0.0051174391</x:v>
      </x:c>
      <x:c r="O197" s="38" t="n">
        <x:v>-0.000556105</x:v>
      </x:c>
      <x:c r="P197" s="38" t="n">
        <x:v>-0.0921765717</x:v>
      </x:c>
      <x:c r="Q197" s="38" t="n">
        <x:v>-0.1225497755</x:v>
      </x:c>
      <x:c r="R197" s="38" t="n">
        <x:v>-0.0988238014</x:v>
      </x:c>
      <x:c r="S197" s="38" t="n">
        <x:v>0.0039823717</x:v>
      </x:c>
      <x:c r="T197" s="38" t="n">
        <x:v>-0.1212588054</x:v>
      </x:c>
      <x:c r="U197" s="38" t="n">
        <x:v>0.070786649</x:v>
      </x:c>
      <x:c r="V197" s="38" t="n">
        <x:v>-0.1204750916</x:v>
      </x:c>
      <x:c r="W197" s="38" t="n">
        <x:v>0.0505538844</x:v>
      </x:c>
      <x:c r="X197" s="38" t="n">
        <x:v>0.0096073133</x:v>
      </x:c>
      <x:c r="Y197" s="38" t="n">
        <x:v>-0.1154568877</x:v>
      </x:c>
      <x:c r="Z197" s="38" t="n">
        <x:v>-0.0472791686</x:v>
      </x:c>
      <x:c r="AA197" s="38" t="n">
        <x:v>-0.0013319069</x:v>
      </x:c>
      <x:c r="AB197" s="38" t="n">
        <x:v>0.0714997416</x:v>
      </x:c>
      <x:c r="AC197" s="38" t="n">
        <x:v>-0.2712672162</x:v>
      </x:c>
      <x:c r="AD197" s="38" t="n">
        <x:v>0.0273573261</x:v>
      </x:c>
      <x:c r="AE197" s="38" t="n">
        <x:v>-0.0866518361</x:v>
      </x:c>
      <x:c r="AF197" s="38" t="n">
        <x:v>0.046060614</x:v>
      </x:c>
      <x:c r="AG197" s="38" t="n">
        <x:v>-0.001833083</x:v>
      </x:c>
      <x:c r="AH197" s="38" t="n">
        <x:v>-0.0040444349</x:v>
      </x:c>
      <x:c r="AI197" s="38" t="n">
        <x:v>-0.1152435843</x:v>
      </x:c>
      <x:c r="AJ197" s="38" t="n">
        <x:v>0.0228553477</x:v>
      </x:c>
      <x:c r="AK197" s="38" t="n">
        <x:v>-0.0888587707</x:v>
      </x:c>
      <x:c r="AL197" s="38" t="n">
        <x:v>0.001453515</x:v>
      </x:c>
      <x:c r="AM197" s="38" t="n">
        <x:v>-0.0381136022</x:v>
      </x:c>
      <x:c r="AN197" s="38" t="n">
        <x:v>-0.0620614434</x:v>
      </x:c>
      <x:c r="AO197" s="38" t="n">
        <x:v>-0.0832274201</x:v>
      </x:c>
      <x:c r="AP197" s="38" t="n">
        <x:v>-0.0058870898</x:v>
      </x:c>
      <x:c r="AQ197" s="38" t="n">
        <x:v>0.0007523314</x:v>
      </x:c>
      <x:c r="AR197" s="38" t="n">
        <x:v>0.0145048336</x:v>
      </x:c>
      <x:c r="AS197" s="38" t="n">
        <x:v>-0.0293680981</x:v>
      </x:c>
    </x:row>
    <x:row r="198" ht="19" customHeight="1">
      <x:c r="A198" s="29" t="str">
        <x:v>Other FX</x:v>
      </x:c>
      <x:c r="B198" s="39" t="d">
        <x:v>2023-01-02T00:00:00.000Z</x:v>
      </x:c>
      <x:c r="C198" s="38" t="n">
        <x:v>-0.0428493621</x:v>
      </x:c>
      <x:c r="D198" s="38" t="n">
        <x:v>0.1403697832</x:v>
      </x:c>
      <x:c r="E198" s="38" t="n">
        <x:v>-0.0302387063</x:v>
      </x:c>
      <x:c r="F198" s="38" t="n">
        <x:v>-0.0699154355</x:v>
      </x:c>
      <x:c r="G198" s="38" t="n">
        <x:v>-0.0165806473</x:v>
      </x:c>
      <x:c r="H198" s="38" t="n">
        <x:v>-0.0835258478</x:v>
      </x:c>
      <x:c r="I198" s="38" t="n">
        <x:v>-0.0406078344</x:v>
      </x:c>
      <x:c r="J198" s="38" t="n">
        <x:v>-0.1453292216</x:v>
      </x:c>
      <x:c r="K198" s="38" t="n">
        <x:v>-0.0847997822</x:v>
      </x:c>
      <x:c r="L198" s="38" t="n">
        <x:v>0.0910907245</x:v>
      </x:c>
      <x:c r="M198" s="38" t="n">
        <x:v>-0.1268528788</x:v>
      </x:c>
      <x:c r="N198" s="38" t="n">
        <x:v>-0.003722897</x:v>
      </x:c>
      <x:c r="O198" s="38" t="n">
        <x:v>-0.1361288902</x:v>
      </x:c>
      <x:c r="P198" s="38" t="n">
        <x:v>-0.058311701</x:v>
      </x:c>
      <x:c r="Q198" s="38" t="n">
        <x:v>0.0504864828</x:v>
      </x:c>
      <x:c r="R198" s="38" t="n">
        <x:v>-0.1613597291</x:v>
      </x:c>
      <x:c r="S198" s="38" t="n">
        <x:v>-0.0215219621</x:v>
      </x:c>
      <x:c r="T198" s="38" t="n">
        <x:v>-0.1839222589</x:v>
      </x:c>
      <x:c r="U198" s="38" t="n">
        <x:v>-0.0461686962</x:v>
      </x:c>
      <x:c r="V198" s="38" t="n">
        <x:v>-0.056060187</x:v>
      </x:c>
      <x:c r="W198" s="38" t="n">
        <x:v>-0.03428111</x:v>
      </x:c>
      <x:c r="X198" s="38" t="n">
        <x:v>0.0383946</x:v>
      </x:c>
      <x:c r="Y198" s="38" t="n">
        <x:v>-0.0693685636</x:v>
      </x:c>
      <x:c r="Z198" s="38" t="n">
        <x:v>0.0588137053</x:v>
      </x:c>
      <x:c r="AA198" s="38" t="n">
        <x:v>0.0099445933</x:v>
      </x:c>
      <x:c r="AB198" s="38" t="n">
        <x:v>0.1465165708</x:v>
      </x:c>
      <x:c r="AC198" s="38" t="n">
        <x:v>-0.2171751074</x:v>
      </x:c>
      <x:c r="AD198" s="38" t="n">
        <x:v>-0.011932223</x:v>
      </x:c>
      <x:c r="AE198" s="38" t="n">
        <x:v>-0.0893119171</x:v>
      </x:c>
      <x:c r="AF198" s="38" t="n">
        <x:v>0.0555792507</x:v>
      </x:c>
      <x:c r="AG198" s="38" t="n">
        <x:v>0.0815909403</x:v>
      </x:c>
      <x:c r="AH198" s="38" t="n">
        <x:v>-0.0391018873</x:v>
      </x:c>
      <x:c r="AI198" s="38" t="n">
        <x:v>-0.1019879255</x:v>
      </x:c>
      <x:c r="AJ198" s="38" t="n">
        <x:v>0.0045992838</x:v>
      </x:c>
      <x:c r="AK198" s="38" t="n">
        <x:v>0.0041501348</x:v>
      </x:c>
      <x:c r="AL198" s="38" t="n">
        <x:v>-0.0318224706</x:v>
      </x:c>
      <x:c r="AM198" s="38" t="n">
        <x:v>-0.0925544523</x:v>
      </x:c>
      <x:c r="AN198" s="38" t="n">
        <x:v>-0.0514206577</x:v>
      </x:c>
      <x:c r="AO198" s="38" t="n">
        <x:v>-0.0414544247</x:v>
      </x:c>
      <x:c r="AP198" s="38" t="n">
        <x:v>-0.0386927865</x:v>
      </x:c>
      <x:c r="AQ198" s="38" t="n">
        <x:v>-0.0307432658</x:v>
      </x:c>
      <x:c r="AR198" s="38" t="n">
        <x:v>-0.0034660288</x:v>
      </x:c>
      <x:c r="AS198" s="38" t="n">
        <x:v>0.016538253</x:v>
      </x:c>
    </x:row>
    <x:row r="199" ht="19" customHeight="1">
      <x:c r="A199" s="29" t="str">
        <x:v>Other FX</x:v>
      </x:c>
      <x:c r="B199" s="39" t="d">
        <x:v>2023-01-30T00:00:00.000Z</x:v>
      </x:c>
      <x:c r="C199" s="38" t="n">
        <x:v>0.0141157674</x:v>
      </x:c>
      <x:c r="D199" s="38" t="n">
        <x:v>0.0084717766</x:v>
      </x:c>
      <x:c r="E199" s="38" t="n">
        <x:v>-0.0632481096</x:v>
      </x:c>
      <x:c r="F199" s="38" t="n">
        <x:v>0.0032103041</x:v>
      </x:c>
      <x:c r="G199" s="38" t="n">
        <x:v>0.1284982836</x:v>
      </x:c>
      <x:c r="H199" s="38" t="n">
        <x:v>0.1573497924</x:v>
      </x:c>
      <x:c r="I199" s="38" t="n">
        <x:v>0.162791672</x:v>
      </x:c>
      <x:c r="J199" s="38" t="n">
        <x:v>0.0037941493</x:v>
      </x:c>
      <x:c r="K199" s="38" t="n">
        <x:v>0.1568949889</x:v>
      </x:c>
      <x:c r="L199" s="38" t="n">
        <x:v>0.0278509021</x:v>
      </x:c>
      <x:c r="M199" s="38" t="n">
        <x:v>-0.0225568885</x:v>
      </x:c>
      <x:c r="N199" s="38" t="n">
        <x:v>0.0361890695</x:v>
      </x:c>
      <x:c r="O199" s="38" t="n">
        <x:v>0.0193457721</x:v>
      </x:c>
      <x:c r="P199" s="38" t="n">
        <x:v>0.1047877481</x:v>
      </x:c>
      <x:c r="Q199" s="38" t="n">
        <x:v>-0.0957356763</x:v>
      </x:c>
      <x:c r="R199" s="38" t="n">
        <x:v>0.2101214239</x:v>
      </x:c>
      <x:c r="S199" s="38" t="n">
        <x:v>-0.0127941585</x:v>
      </x:c>
      <x:c r="T199" s="38" t="n">
        <x:v>0.3548859777</x:v>
      </x:c>
      <x:c r="U199" s="38" t="n">
        <x:v>-0.0425960058</x:v>
      </x:c>
      <x:c r="V199" s="38" t="n">
        <x:v>0.0730699369</x:v>
      </x:c>
      <x:c r="W199" s="38" t="n">
        <x:v>0.1012313962</x:v>
      </x:c>
      <x:c r="X199" s="38" t="n">
        <x:v>0.029372153</x:v>
      </x:c>
      <x:c r="Y199" s="38" t="n">
        <x:v>0.0491431406</x:v>
      </x:c>
      <x:c r="Z199" s="38" t="n">
        <x:v>-0.0805036814</x:v>
      </x:c>
      <x:c r="AA199" s="38" t="n">
        <x:v>-0.0092160717</x:v>
      </x:c>
      <x:c r="AB199" s="38" t="n">
        <x:v>-0.1060969002</x:v>
      </x:c>
      <x:c r="AC199" s="38" t="n">
        <x:v>0.5188571743</x:v>
      </x:c>
      <x:c r="AD199" s="38" t="n">
        <x:v>-0.0692196425</x:v>
      </x:c>
      <x:c r="AE199" s="38" t="n">
        <x:v>0.0204049061</x:v>
      </x:c>
      <x:c r="AF199" s="38" t="n">
        <x:v>-0.0403979909</x:v>
      </x:c>
      <x:c r="AG199" s="38" t="n">
        <x:v>-0.0581197084</x:v>
      </x:c>
      <x:c r="AH199" s="38" t="n">
        <x:v>-0.0693740729</x:v>
      </x:c>
      <x:c r="AI199" s="38" t="n">
        <x:v>0.237427809</x:v>
      </x:c>
      <x:c r="AJ199" s="38" t="n">
        <x:v>-0.0588763704</x:v>
      </x:c>
      <x:c r="AK199" s="38" t="n">
        <x:v>0.0432918735</x:v>
      </x:c>
      <x:c r="AL199" s="38" t="n">
        <x:v>-0.0258661707</x:v>
      </x:c>
      <x:c r="AM199" s="38" t="n">
        <x:v>0.1134759636</x:v>
      </x:c>
      <x:c r="AN199" s="38" t="n">
        <x:v>0.1683899137</x:v>
      </x:c>
      <x:c r="AO199" s="38" t="n">
        <x:v>0.0334642801</x:v>
      </x:c>
      <x:c r="AP199" s="38" t="n">
        <x:v>0.0158276329</x:v>
      </x:c>
      <x:c r="AQ199" s="38" t="n">
        <x:v>-0.0763891076</x:v>
      </x:c>
      <x:c r="AR199" s="38" t="n">
        <x:v>-0.0991265358</x:v>
      </x:c>
      <x:c r="AS199" s="38" t="n">
        <x:v>-0.0478262595</x:v>
      </x:c>
    </x:row>
    <x:row r="200" ht="19" customHeight="1">
      <x:c r="A200" s="29" t="str">
        <x:v>Other FX</x:v>
      </x:c>
      <x:c r="B200" s="39" t="d">
        <x:v>2023-02-27T00:00:00.000Z</x:v>
      </x:c>
      <x:c r="C200" s="38" t="n">
        <x:v>-0.0583104627</x:v>
      </x:c>
      <x:c r="D200" s="38" t="n">
        <x:v>0.1518803734</x:v>
      </x:c>
      <x:c r="E200" s="38" t="n">
        <x:v>-0.0028393194</x:v>
      </x:c>
      <x:c r="F200" s="38" t="n">
        <x:v>-0.0158591796</x:v>
      </x:c>
      <x:c r="G200" s="38" t="n">
        <x:v>-0.0495738661</x:v>
      </x:c>
      <x:c r="H200" s="38" t="n">
        <x:v>-0.0798486771</x:v>
      </x:c>
      <x:c r="I200" s="38" t="n">
        <x:v>-0.0993014369</x:v>
      </x:c>
      <x:c r="J200" s="38" t="n">
        <x:v>0.0550041329</x:v>
      </x:c>
      <x:c r="K200" s="38" t="n">
        <x:v>-0.1604594773</x:v>
      </x:c>
      <x:c r="L200" s="38" t="n">
        <x:v>0.0671614159</x:v>
      </x:c>
      <x:c r="M200" s="38" t="n">
        <x:v>0.0619129907</x:v>
      </x:c>
      <x:c r="N200" s="38" t="n">
        <x:v>0.0231343436</x:v>
      </x:c>
      <x:c r="O200" s="38" t="n">
        <x:v>0.0365200693</x:v>
      </x:c>
      <x:c r="P200" s="38" t="n">
        <x:v>-0.2349758832</x:v>
      </x:c>
      <x:c r="Q200" s="38" t="n">
        <x:v>-0.0155605624</x:v>
      </x:c>
      <x:c r="R200" s="38" t="n">
        <x:v>0.1133151227</x:v>
      </x:c>
      <x:c r="S200" s="38" t="n">
        <x:v>0.0566709169</x:v>
      </x:c>
      <x:c r="T200" s="38" t="n">
        <x:v>-0.0419510004</x:v>
      </x:c>
      <x:c r="U200" s="38" t="n">
        <x:v>-0.2784874828</x:v>
      </x:c>
      <x:c r="V200" s="38" t="n">
        <x:v>0.1181556902</x:v>
      </x:c>
      <x:c r="W200" s="38" t="n">
        <x:v>-0.1137879226</x:v>
      </x:c>
      <x:c r="X200" s="38" t="n">
        <x:v>-0.0143533678</x:v>
      </x:c>
      <x:c r="Y200" s="38" t="n">
        <x:v>-0.2225867435</x:v>
      </x:c>
      <x:c r="Z200" s="38" t="n">
        <x:v>-0.040398442</x:v>
      </x:c>
      <x:c r="AA200" s="38" t="n">
        <x:v>0.0634285578</x:v>
      </x:c>
      <x:c r="AB200" s="38" t="n">
        <x:v>-0.0927002672</x:v>
      </x:c>
      <x:c r="AC200" s="38" t="n">
        <x:v>-0.1906727038</x:v>
      </x:c>
      <x:c r="AD200" s="38" t="n">
        <x:v>0.0132395783</x:v>
      </x:c>
      <x:c r="AE200" s="38" t="n">
        <x:v>0.0206039504</x:v>
      </x:c>
      <x:c r="AF200" s="38" t="n">
        <x:v>-0.0583578078</x:v>
      </x:c>
      <x:c r="AG200" s="38" t="n">
        <x:v>0.022976639</x:v>
      </x:c>
      <x:c r="AH200" s="38" t="n">
        <x:v>0.0369650813</x:v>
      </x:c>
      <x:c r="AI200" s="38" t="n">
        <x:v>-0.0931208953</x:v>
      </x:c>
      <x:c r="AJ200" s="38" t="n">
        <x:v>-0.0523376592</x:v>
      </x:c>
      <x:c r="AK200" s="38" t="n">
        <x:v>0.0043350327</x:v>
      </x:c>
      <x:c r="AL200" s="38" t="n">
        <x:v>-0.0068478551</x:v>
      </x:c>
      <x:c r="AM200" s="38" t="n">
        <x:v>-0.0223985946</x:v>
      </x:c>
      <x:c r="AN200" s="38" t="n">
        <x:v>-0.154468121</x:v>
      </x:c>
      <x:c r="AO200" s="38" t="n">
        <x:v>-0.0500134701</x:v>
      </x:c>
      <x:c r="AP200" s="38" t="n">
        <x:v>-0.0599082705</x:v>
      </x:c>
      <x:c r="AQ200" s="38" t="n">
        <x:v>0.0142983042</x:v>
      </x:c>
      <x:c r="AR200" s="38" t="n">
        <x:v>-0.0464288139</x:v>
      </x:c>
      <x:c r="AS200" s="38" t="n">
        <x:v>0.010827529</x:v>
      </x:c>
    </x:row>
    <x:row r="201" ht="19" customHeight="1">
      <x:c r="A201" s="29" t="str">
        <x:v>Other FX</x:v>
      </x:c>
      <x:c r="B201" s="39" t="d">
        <x:v>2023-03-27T00:00:00.000Z</x:v>
      </x:c>
      <x:c r="C201" s="38" t="n">
        <x:v>0.1087523028</x:v>
      </x:c>
      <x:c r="D201" s="38" t="n">
        <x:v>-0.0128625951</x:v>
      </x:c>
      <x:c r="E201" s="38" t="n">
        <x:v>-0.0058899709</x:v>
      </x:c>
      <x:c r="F201" s="38" t="n">
        <x:v>0.0223480891</x:v>
      </x:c>
      <x:c r="G201" s="38" t="n">
        <x:v>-0.0249891522</x:v>
      </x:c>
      <x:c r="H201" s="38" t="n">
        <x:v>0.1169328166</x:v>
      </x:c>
      <x:c r="I201" s="38" t="n">
        <x:v>0.0819984882</x:v>
      </x:c>
      <x:c r="J201" s="38" t="n">
        <x:v>-0.0700174228</x:v>
      </x:c>
      <x:c r="K201" s="38" t="n">
        <x:v>0.0430331354</x:v>
      </x:c>
      <x:c r="L201" s="38" t="n">
        <x:v>-0.0099596727</x:v>
      </x:c>
      <x:c r="M201" s="38" t="n">
        <x:v>-0.1683536585</x:v>
      </x:c>
      <x:c r="N201" s="38" t="n">
        <x:v>-0.0627731039</x:v>
      </x:c>
      <x:c r="O201" s="38" t="n">
        <x:v>-0.0554241051</x:v>
      </x:c>
      <x:c r="P201" s="38" t="n">
        <x:v>0.0210425204</x:v>
      </x:c>
      <x:c r="Q201" s="38" t="n">
        <x:v>-0.0786642565</x:v>
      </x:c>
      <x:c r="R201" s="38" t="n">
        <x:v>0.0934014754</x:v>
      </x:c>
      <x:c r="S201" s="38" t="n">
        <x:v>0.0131861139</x:v>
      </x:c>
      <x:c r="T201" s="38" t="n">
        <x:v>0.0220495296</x:v>
      </x:c>
      <x:c r="U201" s="38" t="n">
        <x:v>0.0814198337</x:v>
      </x:c>
      <x:c r="V201" s="38" t="n">
        <x:v>-0.0724337973</x:v>
      </x:c>
      <x:c r="W201" s="38" t="n">
        <x:v>0.0465179204</x:v>
      </x:c>
      <x:c r="X201" s="38" t="n">
        <x:v>-0.0039696396</x:v>
      </x:c>
      <x:c r="Y201" s="38" t="n">
        <x:v>0.0892809937</x:v>
      </x:c>
      <x:c r="Z201" s="38" t="n">
        <x:v>0.1010137259</x:v>
      </x:c>
      <x:c r="AA201" s="38" t="n">
        <x:v>-0.0370143089</x:v>
      </x:c>
      <x:c r="AB201" s="38" t="n">
        <x:v>0.0030667475</x:v>
      </x:c>
      <x:c r="AC201" s="38" t="n">
        <x:v>-0.0737909811</x:v>
      </x:c>
      <x:c r="AD201" s="38" t="n">
        <x:v>0.0193839368</x:v>
      </x:c>
      <x:c r="AE201" s="38" t="n">
        <x:v>-0.0284884715</x:v>
      </x:c>
      <x:c r="AF201" s="38" t="n">
        <x:v>0.0448168153</x:v>
      </x:c>
      <x:c r="AG201" s="38" t="n">
        <x:v>-0.0310207181</x:v>
      </x:c>
      <x:c r="AH201" s="38" t="n">
        <x:v>-0.0448668213</x:v>
      </x:c>
      <x:c r="AI201" s="38" t="n">
        <x:v>0.1443941849</x:v>
      </x:c>
      <x:c r="AJ201" s="38" t="n">
        <x:v>0.0672839894</x:v>
      </x:c>
      <x:c r="AK201" s="38" t="n">
        <x:v>-0.056975792</x:v>
      </x:c>
      <x:c r="AL201" s="38" t="n">
        <x:v>-0.0080950907</x:v>
      </x:c>
      <x:c r="AM201" s="38" t="n">
        <x:v>0.1007548183</x:v>
      </x:c>
      <x:c r="AN201" s="38" t="n">
        <x:v>0.1281210879</x:v>
      </x:c>
      <x:c r="AO201" s="38" t="n">
        <x:v>0.018240597</x:v>
      </x:c>
      <x:c r="AP201" s="38" t="n">
        <x:v>-0.0276597643</x:v>
      </x:c>
      <x:c r="AQ201" s="38" t="n">
        <x:v>0.0163051578</x:v>
      </x:c>
      <x:c r="AR201" s="38" t="n">
        <x:v>-0.016180468</x:v>
      </x:c>
      <x:c r="AS201" s="38" t="n">
        <x:v>-0.0337641582</x:v>
      </x:c>
    </x:row>
    <x:row r="202" ht="19" customHeight="1">
      <x:c r="A202" s="29" t="str">
        <x:v>Other FX</x:v>
      </x:c>
      <x:c r="B202" s="39" t="d">
        <x:v>2023-04-24T00:00:00.000Z</x:v>
      </x:c>
      <x:c r="C202" s="38" t="n">
        <x:v>-0.0052842367</x:v>
      </x:c>
      <x:c r="D202" s="38" t="n">
        <x:v>0.0145980565</x:v>
      </x:c>
      <x:c r="E202" s="38" t="n">
        <x:v>0.0122314357</x:v>
      </x:c>
      <x:c r="F202" s="38" t="n">
        <x:v>-0.0013425586</x:v>
      </x:c>
      <x:c r="G202" s="38" t="n">
        <x:v>0.0294209168</x:v>
      </x:c>
      <x:c r="H202" s="38" t="n">
        <x:v>0.1862819627</x:v>
      </x:c>
      <x:c r="I202" s="38" t="n">
        <x:v>0.0981484269</x:v>
      </x:c>
      <x:c r="J202" s="38" t="n">
        <x:v>-0.0256943229</x:v>
      </x:c>
      <x:c r="K202" s="38" t="n">
        <x:v>-0.0259581673</x:v>
      </x:c>
      <x:c r="L202" s="38" t="n">
        <x:v>-0.1776828697</x:v>
      </x:c>
      <x:c r="M202" s="38" t="n">
        <x:v>-0.0487399999</x:v>
      </x:c>
      <x:c r="N202" s="38" t="n">
        <x:v>-0.0424282215</x:v>
      </x:c>
      <x:c r="O202" s="38" t="n">
        <x:v>-0.196082739</x:v>
      </x:c>
      <x:c r="P202" s="38" t="n">
        <x:v>-0.0200488359</x:v>
      </x:c>
      <x:c r="Q202" s="38" t="n">
        <x:v>-0.4070536583</x:v>
      </x:c>
      <x:c r="R202" s="38" t="n">
        <x:v>-0.1956855225</x:v>
      </x:c>
      <x:c r="S202" s="38" t="n">
        <x:v>-0.0301405034</x:v>
      </x:c>
      <x:c r="T202" s="38" t="n">
        <x:v>-0.1102446505</x:v>
      </x:c>
      <x:c r="U202" s="38" t="n">
        <x:v>-0.1213224926</x:v>
      </x:c>
      <x:c r="V202" s="38" t="n">
        <x:v>-0.0871465191</x:v>
      </x:c>
      <x:c r="W202" s="38" t="n">
        <x:v>-0.072881562</x:v>
      </x:c>
      <x:c r="X202" s="38" t="n">
        <x:v>0.1018565247</x:v>
      </x:c>
      <x:c r="Y202" s="38" t="n">
        <x:v>0.1117106902</x:v>
      </x:c>
      <x:c r="Z202" s="38" t="n">
        <x:v>0.0026580717</x:v>
      </x:c>
      <x:c r="AA202" s="38" t="n">
        <x:v>-0.049509737</x:v>
      </x:c>
      <x:c r="AB202" s="38" t="n">
        <x:v>0.0042216805</x:v>
      </x:c>
      <x:c r="AC202" s="38" t="n">
        <x:v>0.2084886047</x:v>
      </x:c>
      <x:c r="AD202" s="38" t="n">
        <x:v>0.066904344</x:v>
      </x:c>
      <x:c r="AE202" s="38" t="n">
        <x:v>-0.0310140757</x:v>
      </x:c>
      <x:c r="AF202" s="38" t="n">
        <x:v>-0.0962348236</x:v>
      </x:c>
      <x:c r="AG202" s="38" t="n">
        <x:v>-0.0141944183</x:v>
      </x:c>
      <x:c r="AH202" s="38" t="n">
        <x:v>-0.0091109763</x:v>
      </x:c>
      <x:c r="AI202" s="38" t="n">
        <x:v>0.0147933699</x:v>
      </x:c>
      <x:c r="AJ202" s="38" t="n">
        <x:v>0.1283523997</x:v>
      </x:c>
      <x:c r="AK202" s="38" t="n">
        <x:v>0.0852397831</x:v>
      </x:c>
      <x:c r="AL202" s="38" t="n">
        <x:v>-0.1617721951</x:v>
      </x:c>
      <x:c r="AM202" s="38" t="n">
        <x:v>0.1151027622</x:v>
      </x:c>
      <x:c r="AN202" s="38" t="n">
        <x:v>0.1169445324</x:v>
      </x:c>
      <x:c r="AO202" s="38" t="n">
        <x:v>0.0358986323</x:v>
      </x:c>
      <x:c r="AP202" s="38" t="n">
        <x:v>0.0222823734</x:v>
      </x:c>
      <x:c r="AQ202" s="38" t="n">
        <x:v>0.0276240293</x:v>
      </x:c>
      <x:c r="AR202" s="38" t="n">
        <x:v>0.0420900892</x:v>
      </x:c>
      <x:c r="AS202" s="38" t="n">
        <x:v>0.030874502</x:v>
      </x:c>
    </x:row>
    <x:row r="203" ht="19" customHeight="1">
      <x:c r="A203" s="29" t="str">
        <x:v>Other FX</x:v>
      </x:c>
      <x:c r="B203" s="39" t="d">
        <x:v>2023-05-22T00:00:00.000Z</x:v>
      </x:c>
      <x:c r="C203" s="38" t="n">
        <x:v>0.0223760295</x:v>
      </x:c>
      <x:c r="D203" s="38" t="n">
        <x:v>-0.0255604221</x:v>
      </x:c>
      <x:c r="E203" s="38" t="n">
        <x:v>-0.0878104976</x:v>
      </x:c>
      <x:c r="F203" s="38" t="n">
        <x:v>-0.0874661677</x:v>
      </x:c>
      <x:c r="G203" s="38" t="n">
        <x:v>-0.1150378868</x:v>
      </x:c>
      <x:c r="H203" s="38" t="n">
        <x:v>0.0184677205</x:v>
      </x:c>
      <x:c r="I203" s="38" t="n">
        <x:v>-0.005296419</x:v>
      </x:c>
      <x:c r="J203" s="38" t="n">
        <x:v>-0.0749366919</x:v>
      </x:c>
      <x:c r="K203" s="38" t="n">
        <x:v>-0.0740969306</x:v>
      </x:c>
      <x:c r="L203" s="38" t="n">
        <x:v>0.001620375</x:v>
      </x:c>
      <x:c r="M203" s="38" t="n">
        <x:v>-0.1202369802</x:v>
      </x:c>
      <x:c r="N203" s="38" t="n">
        <x:v>-0.221776318</x:v>
      </x:c>
      <x:c r="O203" s="38" t="n">
        <x:v>0.013996609</x:v>
      </x:c>
      <x:c r="P203" s="38" t="n">
        <x:v>-0.0174554746</x:v>
      </x:c>
      <x:c r="Q203" s="38" t="n">
        <x:v>0.2362699922</x:v>
      </x:c>
      <x:c r="R203" s="38" t="n">
        <x:v>0.1211574848</x:v>
      </x:c>
      <x:c r="S203" s="38" t="n">
        <x:v>-0.0381436207</x:v>
      </x:c>
      <x:c r="T203" s="38" t="n">
        <x:v>-0.0107621061</x:v>
      </x:c>
      <x:c r="U203" s="38" t="n">
        <x:v>-0.0842274361</x:v>
      </x:c>
      <x:c r="V203" s="38" t="n">
        <x:v>-0.0657005521</x:v>
      </x:c>
      <x:c r="W203" s="38" t="n">
        <x:v>0.1637242218</x:v>
      </x:c>
      <x:c r="X203" s="38" t="n">
        <x:v>-0.0069249586</x:v>
      </x:c>
      <x:c r="Y203" s="38" t="n">
        <x:v>-0.0151772982</x:v>
      </x:c>
      <x:c r="Z203" s="38" t="n">
        <x:v>-0.0967160562</x:v>
      </x:c>
      <x:c r="AA203" s="38" t="n">
        <x:v>-0.0539639815</x:v>
      </x:c>
      <x:c r="AB203" s="38" t="n">
        <x:v>-0.0091008818</x:v>
      </x:c>
      <x:c r="AC203" s="38" t="n">
        <x:v>0.125884442</x:v>
      </x:c>
      <x:c r="AD203" s="38" t="n">
        <x:v>-0.0390691868</x:v>
      </x:c>
      <x:c r="AE203" s="38" t="n">
        <x:v>0.0145664859</x:v>
      </x:c>
      <x:c r="AF203" s="38" t="n">
        <x:v>0.0630296166</x:v>
      </x:c>
      <x:c r="AG203" s="38" t="n">
        <x:v>-0.0064386107</x:v>
      </x:c>
      <x:c r="AH203" s="38" t="n">
        <x:v>0.0237439128</x:v>
      </x:c>
      <x:c r="AI203" s="38" t="n">
        <x:v>0.1256496106</x:v>
      </x:c>
      <x:c r="AJ203" s="38" t="n">
        <x:v>0.0691459222</x:v>
      </x:c>
      <x:c r="AK203" s="38" t="n">
        <x:v>-0.0623321049</x:v>
      </x:c>
      <x:c r="AL203" s="38" t="n">
        <x:v>-0.0433117562</x:v>
      </x:c>
      <x:c r="AM203" s="38" t="n">
        <x:v>-0.0188228972</x:v>
      </x:c>
      <x:c r="AN203" s="38" t="n">
        <x:v>-0.0220321959</x:v>
      </x:c>
      <x:c r="AO203" s="38" t="n">
        <x:v>-0.0066641962</x:v>
      </x:c>
      <x:c r="AP203" s="38" t="n">
        <x:v>-0.0015103807</x:v>
      </x:c>
      <x:c r="AQ203" s="38" t="n">
        <x:v>-0.0458807952</x:v>
      </x:c>
      <x:c r="AR203" s="38" t="n">
        <x:v>-0.0462037141</x:v>
      </x:c>
      <x:c r="AS203" s="38" t="n">
        <x:v>-0.0097344753</x:v>
      </x:c>
    </x:row>
    <x:row r="204" ht="19" customHeight="1">
      <x:c r="A204" s="29" t="str">
        <x:v>Other FX</x:v>
      </x:c>
      <x:c r="B204" s="39" t="d">
        <x:v>2023-06-19T00:00:00.000Z</x:v>
      </x:c>
      <x:c r="C204" s="38" t="n">
        <x:v>0.0319696127</x:v>
      </x:c>
      <x:c r="D204" s="38" t="n">
        <x:v>0.0515167641</x:v>
      </x:c>
      <x:c r="E204" s="38" t="n">
        <x:v>0.0076829275</x:v>
      </x:c>
      <x:c r="F204" s="38" t="n">
        <x:v>0.0031616787</x:v>
      </x:c>
      <x:c r="G204" s="38" t="n">
        <x:v>0.0016349692</x:v>
      </x:c>
      <x:c r="H204" s="38" t="n">
        <x:v>-0.0392977566</x:v>
      </x:c>
      <x:c r="I204" s="38" t="n">
        <x:v>0.0846778045</x:v>
      </x:c>
      <x:c r="J204" s="38" t="n">
        <x:v>-0.0262405632</x:v>
      </x:c>
      <x:c r="K204" s="38" t="n">
        <x:v>-0.0912911701</x:v>
      </x:c>
      <x:c r="L204" s="38" t="n">
        <x:v>-0.0208004034</x:v>
      </x:c>
      <x:c r="M204" s="38" t="n">
        <x:v>0.0716815329</x:v>
      </x:c>
      <x:c r="N204" s="38" t="n">
        <x:v>-0.0193155839</x:v>
      </x:c>
      <x:c r="O204" s="38" t="n">
        <x:v>0.0428222597</x:v>
      </x:c>
      <x:c r="P204" s="38" t="n">
        <x:v>-0.1428997536</x:v>
      </x:c>
      <x:c r="Q204" s="38" t="n">
        <x:v>-0.0381778168</x:v>
      </x:c>
      <x:c r="R204" s="38" t="n">
        <x:v>0.0652666924</x:v>
      </x:c>
      <x:c r="S204" s="38" t="n">
        <x:v>0.025290489</x:v>
      </x:c>
      <x:c r="T204" s="38" t="n">
        <x:v>0.0673496561</x:v>
      </x:c>
      <x:c r="U204" s="38" t="n">
        <x:v>-0.1108748181</x:v>
      </x:c>
      <x:c r="V204" s="38" t="n">
        <x:v>0.0103080798</x:v>
      </x:c>
      <x:c r="W204" s="38" t="n">
        <x:v>0.0722024869</x:v>
      </x:c>
      <x:c r="X204" s="38" t="n">
        <x:v>0.0233848556</x:v>
      </x:c>
      <x:c r="Y204" s="38" t="n">
        <x:v>-0.2231713246</x:v>
      </x:c>
      <x:c r="Z204" s="38" t="n">
        <x:v>-0.0728680337</x:v>
      </x:c>
      <x:c r="AA204" s="38" t="n">
        <x:v>0.0206369575</x:v>
      </x:c>
      <x:c r="AB204" s="38" t="n">
        <x:v>-0.1767896891</x:v>
      </x:c>
      <x:c r="AC204" s="38" t="n">
        <x:v>0.286562868</x:v>
      </x:c>
      <x:c r="AD204" s="38" t="n">
        <x:v>0.0412560408</x:v>
      </x:c>
      <x:c r="AE204" s="38" t="n">
        <x:v>0.0686200013</x:v>
      </x:c>
      <x:c r="AF204" s="38" t="n">
        <x:v>0.0755739609</x:v>
      </x:c>
      <x:c r="AG204" s="38" t="n">
        <x:v>-0.0167140348</x:v>
      </x:c>
      <x:c r="AH204" s="38" t="n">
        <x:v>0.0159304172</x:v>
      </x:c>
      <x:c r="AI204" s="38" t="n">
        <x:v>-0.1370622625</x:v>
      </x:c>
      <x:c r="AJ204" s="38" t="n">
        <x:v>0.0694510003</x:v>
      </x:c>
      <x:c r="AK204" s="38" t="n">
        <x:v>-0.0197813073</x:v>
      </x:c>
      <x:c r="AL204" s="38" t="n">
        <x:v>-0.0334874876</x:v>
      </x:c>
      <x:c r="AM204" s="38" t="n">
        <x:v>0.0076937302</x:v>
      </x:c>
      <x:c r="AN204" s="38" t="n">
        <x:v>-0.0637588086</x:v>
      </x:c>
      <x:c r="AO204" s="38" t="n">
        <x:v>0.0427338929</x:v>
      </x:c>
      <x:c r="AP204" s="38" t="n">
        <x:v>0.0317631475</x:v>
      </x:c>
      <x:c r="AQ204" s="38" t="n">
        <x:v>0.0137747595</x:v>
      </x:c>
      <x:c r="AR204" s="38" t="n">
        <x:v>0.0546612873</x:v>
      </x:c>
      <x:c r="AS204" s="38" t="n">
        <x:v>0.0189979994</x:v>
      </x:c>
    </x:row>
    <x:row r="205" ht="19" customHeight="1">
      <x:c r="A205" s="29" t="str">
        <x:v>Other FX</x:v>
      </x:c>
      <x:c r="B205" s="39" t="d">
        <x:v>2023-07-17T00:00:00.000Z</x:v>
      </x:c>
      <x:c r="C205" s="38" t="n">
        <x:v>0.1150583633</x:v>
      </x:c>
      <x:c r="D205" s="38" t="n">
        <x:v>0.0722755637</x:v>
      </x:c>
      <x:c r="E205" s="38" t="n">
        <x:v>0.0153472131</x:v>
      </x:c>
      <x:c r="F205" s="38" t="n">
        <x:v>0.0643024879</x:v>
      </x:c>
      <x:c r="G205" s="38" t="n">
        <x:v>-0.0353156921</x:v>
      </x:c>
      <x:c r="H205" s="38" t="n">
        <x:v>0.0175125779</x:v>
      </x:c>
      <x:c r="I205" s="38" t="n">
        <x:v>-0.0507997704</x:v>
      </x:c>
      <x:c r="J205" s="38" t="n">
        <x:v>-0.0368352754</x:v>
      </x:c>
      <x:c r="K205" s="38" t="n">
        <x:v>-0.0734407635</x:v>
      </x:c>
      <x:c r="L205" s="38" t="n">
        <x:v>0.0941049488</x:v>
      </x:c>
      <x:c r="M205" s="38" t="n">
        <x:v>0.0925029293</x:v>
      </x:c>
      <x:c r="N205" s="38" t="n">
        <x:v>0.0972109275</x:v>
      </x:c>
      <x:c r="O205" s="38" t="n">
        <x:v>-0.0109877599</x:v>
      </x:c>
      <x:c r="P205" s="38" t="n">
        <x:v>-0.0090031384</x:v>
      </x:c>
      <x:c r="Q205" s="38" t="n">
        <x:v>-0.0143405946</x:v>
      </x:c>
      <x:c r="R205" s="38" t="n">
        <x:v>0.2196732056</x:v>
      </x:c>
      <x:c r="S205" s="38" t="n">
        <x:v>0.0095604036</x:v>
      </x:c>
      <x:c r="T205" s="38" t="n">
        <x:v>-0.0277860074</x:v>
      </x:c>
      <x:c r="U205" s="38" t="n">
        <x:v>0.0500273507</x:v>
      </x:c>
      <x:c r="V205" s="38" t="n">
        <x:v>-0.1311970777</x:v>
      </x:c>
      <x:c r="W205" s="38" t="n">
        <x:v>-0.0332602647</x:v>
      </x:c>
      <x:c r="X205" s="38" t="n">
        <x:v>0.0362062779</x:v>
      </x:c>
      <x:c r="Y205" s="38" t="n">
        <x:v>-0.0206465457</x:v>
      </x:c>
      <x:c r="Z205" s="38" t="n">
        <x:v>-0.0019565396</x:v>
      </x:c>
      <x:c r="AA205" s="38" t="n">
        <x:v>-0.0875470383</x:v>
      </x:c>
      <x:c r="AB205" s="38" t="n">
        <x:v>0.0527927157</x:v>
      </x:c>
      <x:c r="AC205" s="38" t="n">
        <x:v>0.4154195396</x:v>
      </x:c>
      <x:c r="AD205" s="38" t="n">
        <x:v>-0.0000147142</x:v>
      </x:c>
      <x:c r="AE205" s="38" t="n">
        <x:v>-0.0328410625</x:v>
      </x:c>
      <x:c r="AF205" s="38" t="n">
        <x:v>0.0412886165</x:v>
      </x:c>
      <x:c r="AG205" s="38" t="n">
        <x:v>-0.0181630787</x:v>
      </x:c>
      <x:c r="AH205" s="38" t="n">
        <x:v>0.0400865534</x:v>
      </x:c>
      <x:c r="AI205" s="38" t="n">
        <x:v>-0.1132477358</x:v>
      </x:c>
      <x:c r="AJ205" s="38" t="n">
        <x:v>0.006548604</x:v>
      </x:c>
      <x:c r="AK205" s="38" t="n">
        <x:v>0.041066973</x:v>
      </x:c>
      <x:c r="AL205" s="38" t="n">
        <x:v>-0.0336937592</x:v>
      </x:c>
      <x:c r="AM205" s="38" t="n">
        <x:v>-0.0397270772</x:v>
      </x:c>
      <x:c r="AN205" s="38" t="n">
        <x:v>-0.060879776</x:v>
      </x:c>
      <x:c r="AO205" s="38" t="n">
        <x:v>0.0192683094</x:v>
      </x:c>
      <x:c r="AP205" s="38" t="n">
        <x:v>0.0240318073</x:v>
      </x:c>
      <x:c r="AQ205" s="38" t="n">
        <x:v>-0.0195003075</x:v>
      </x:c>
      <x:c r="AR205" s="38" t="n">
        <x:v>-0.0010047795</x:v>
      </x:c>
      <x:c r="AS205" s="38" t="n">
        <x:v>0.0066105416</x:v>
      </x:c>
    </x:row>
    <x:row r="206" ht="19" customHeight="1">
      <x:c r="A206" s="29" t="str">
        <x:v>Other FX</x:v>
      </x:c>
      <x:c r="B206" s="39" t="d">
        <x:v>2023-08-14T00:00:00.000Z</x:v>
      </x:c>
      <x:c r="C206" s="38" t="n">
        <x:v>0.0492525035</x:v>
      </x:c>
      <x:c r="D206" s="38" t="n">
        <x:v>-0.076963534</x:v>
      </x:c>
      <x:c r="E206" s="38" t="n">
        <x:v>-0.0635399602</x:v>
      </x:c>
      <x:c r="F206" s="38" t="n">
        <x:v>-0.069977315</x:v>
      </x:c>
      <x:c r="G206" s="38" t="n">
        <x:v>0.0273943762</x:v>
      </x:c>
      <x:c r="H206" s="38" t="n">
        <x:v>-0.0722799019</x:v>
      </x:c>
      <x:c r="I206" s="38" t="n">
        <x:v>0.0412638554</x:v>
      </x:c>
      <x:c r="J206" s="38" t="n">
        <x:v>0.0275704425</x:v>
      </x:c>
      <x:c r="K206" s="38" t="n">
        <x:v>0.1359171741</x:v>
      </x:c>
      <x:c r="L206" s="38" t="n">
        <x:v>0.0865309999</x:v>
      </x:c>
      <x:c r="M206" s="38" t="n">
        <x:v>0.0167546577</x:v>
      </x:c>
      <x:c r="N206" s="38" t="n">
        <x:v>0.0210516305</x:v>
      </x:c>
      <x:c r="O206" s="38" t="n">
        <x:v>0.0035171814</x:v>
      </x:c>
      <x:c r="P206" s="38" t="n">
        <x:v>0.0478753066</x:v>
      </x:c>
      <x:c r="Q206" s="38" t="n">
        <x:v>0.0197063238</x:v>
      </x:c>
      <x:c r="R206" s="38" t="n">
        <x:v>-0.3812178285</x:v>
      </x:c>
      <x:c r="S206" s="38" t="n">
        <x:v>0.0932965297</x:v>
      </x:c>
      <x:c r="T206" s="38" t="n">
        <x:v>-0.1361208208</x:v>
      </x:c>
      <x:c r="U206" s="38" t="n">
        <x:v>-0.1894032582</x:v>
      </x:c>
      <x:c r="V206" s="38" t="n">
        <x:v>0.1000608883</x:v>
      </x:c>
      <x:c r="W206" s="38" t="n">
        <x:v>-0.0188986549</x:v>
      </x:c>
      <x:c r="X206" s="38" t="n">
        <x:v>0.126303543</x:v>
      </x:c>
      <x:c r="Y206" s="38" t="n">
        <x:v>-0.0148038892</x:v>
      </x:c>
      <x:c r="Z206" s="38" t="n">
        <x:v>0.0310695213</x:v>
      </x:c>
      <x:c r="AA206" s="38" t="n">
        <x:v>0.0826232571</x:v>
      </x:c>
      <x:c r="AB206" s="38" t="n">
        <x:v>0.024430076</x:v>
      </x:c>
      <x:c r="AC206" s="38" t="n">
        <x:v>-0.4101644783</x:v>
      </x:c>
      <x:c r="AD206" s="38" t="n">
        <x:v>0.0289026672</x:v>
      </x:c>
      <x:c r="AE206" s="38" t="n">
        <x:v>-0.071486408</x:v>
      </x:c>
      <x:c r="AF206" s="38" t="n">
        <x:v>-0.01450464</x:v>
      </x:c>
      <x:c r="AG206" s="38" t="n">
        <x:v>0.1256695283</x:v>
      </x:c>
      <x:c r="AH206" s="38" t="n">
        <x:v>0.021569217</x:v>
      </x:c>
      <x:c r="AI206" s="38" t="n">
        <x:v>-0.0196780548</x:v>
      </x:c>
      <x:c r="AJ206" s="38" t="n">
        <x:v>0.1623552937</x:v>
      </x:c>
      <x:c r="AK206" s="38" t="n">
        <x:v>0.0307222422</x:v>
      </x:c>
      <x:c r="AL206" s="38" t="n">
        <x:v>-0.0335933082</x:v>
      </x:c>
      <x:c r="AM206" s="38" t="n">
        <x:v>-0.0481807799</x:v>
      </x:c>
      <x:c r="AN206" s="38" t="n">
        <x:v>0.0792636696</x:v>
      </x:c>
      <x:c r="AO206" s="38" t="n">
        <x:v>0.0091241447</x:v>
      </x:c>
      <x:c r="AP206" s="38" t="n">
        <x:v>0.0662589335</x:v>
      </x:c>
      <x:c r="AQ206" s="38" t="n">
        <x:v>0.0086492353</x:v>
      </x:c>
      <x:c r="AR206" s="38" t="n">
        <x:v>0.0251205475</x:v>
      </x:c>
      <x:c r="AS206" s="38" t="n">
        <x:v>0.0230046684</x:v>
      </x:c>
    </x:row>
    <x:row r="207" ht="19" customHeight="1">
      <x:c r="A207" s="29" t="str">
        <x:v>Other FX</x:v>
      </x:c>
      <x:c r="B207" s="39" t="d">
        <x:v>2023-09-11T00:00:00.000Z</x:v>
      </x:c>
      <x:c r="C207" s="38" t="n">
        <x:v>0.0942598953</x:v>
      </x:c>
      <x:c r="D207" s="38" t="n">
        <x:v>0.043343493</x:v>
      </x:c>
      <x:c r="E207" s="38" t="n">
        <x:v>0.0108621644</x:v>
      </x:c>
      <x:c r="F207" s="38" t="n">
        <x:v>0.0281812804</x:v>
      </x:c>
      <x:c r="G207" s="38" t="n">
        <x:v>0.0043014634</x:v>
      </x:c>
      <x:c r="H207" s="38" t="n">
        <x:v>0.0283359296</x:v>
      </x:c>
      <x:c r="I207" s="38" t="n">
        <x:v>0.0674869474</x:v>
      </x:c>
      <x:c r="J207" s="38" t="n">
        <x:v>0.0145818857</x:v>
      </x:c>
      <x:c r="K207" s="38" t="n">
        <x:v>-0.121258275</x:v>
      </x:c>
      <x:c r="L207" s="38" t="n">
        <x:v>0.0706419067</x:v>
      </x:c>
      <x:c r="M207" s="38" t="n">
        <x:v>0.0290218454</x:v>
      </x:c>
      <x:c r="N207" s="38" t="n">
        <x:v>0.01158812</x:v>
      </x:c>
      <x:c r="O207" s="38" t="n">
        <x:v>-0.0580823267</x:v>
      </x:c>
      <x:c r="P207" s="38" t="n">
        <x:v>-0.0233894349</x:v>
      </x:c>
      <x:c r="Q207" s="38" t="n">
        <x:v>0.1277512468</x:v>
      </x:c>
      <x:c r="R207" s="38" t="n">
        <x:v>-0.2875449088</x:v>
      </x:c>
      <x:c r="S207" s="38" t="n">
        <x:v>0.0174680694</x:v>
      </x:c>
      <x:c r="T207" s="38" t="n">
        <x:v>0.0408119037</x:v>
      </x:c>
      <x:c r="U207" s="38" t="n">
        <x:v>0.1309481104</x:v>
      </x:c>
      <x:c r="V207" s="38" t="n">
        <x:v>0.0384996599</x:v>
      </x:c>
      <x:c r="W207" s="38" t="n">
        <x:v>0.0120726585</x:v>
      </x:c>
      <x:c r="X207" s="38" t="n">
        <x:v>0.0075655442</x:v>
      </x:c>
      <x:c r="Y207" s="38" t="n">
        <x:v>-0.0164852951</x:v>
      </x:c>
      <x:c r="Z207" s="38" t="n">
        <x:v>0.0354214632</x:v>
      </x:c>
      <x:c r="AA207" s="38" t="n">
        <x:v>0.0272978238</x:v>
      </x:c>
      <x:c r="AB207" s="38" t="n">
        <x:v>-0.0904961201</x:v>
      </x:c>
      <x:c r="AC207" s="38" t="n">
        <x:v>0.0103271473</x:v>
      </x:c>
      <x:c r="AD207" s="38" t="n">
        <x:v>0.0066407103</x:v>
      </x:c>
      <x:c r="AE207" s="38" t="n">
        <x:v>0.0384144574</x:v>
      </x:c>
      <x:c r="AF207" s="38" t="n">
        <x:v>0.0108158397</x:v>
      </x:c>
      <x:c r="AG207" s="38" t="n">
        <x:v>-0.0697470196</x:v>
      </x:c>
      <x:c r="AH207" s="38" t="n">
        <x:v>-0.0453359731</x:v>
      </x:c>
      <x:c r="AI207" s="38" t="n">
        <x:v>-0.0116272579</x:v>
      </x:c>
      <x:c r="AJ207" s="38" t="n">
        <x:v>0.050505083</x:v>
      </x:c>
      <x:c r="AK207" s="38" t="n">
        <x:v>0.010454671</x:v>
      </x:c>
      <x:c r="AL207" s="38" t="n">
        <x:v>0.0195218934</x:v>
      </x:c>
      <x:c r="AM207" s="38" t="n">
        <x:v>0.0676576872</x:v>
      </x:c>
      <x:c r="AN207" s="38" t="n">
        <x:v>0.0702268551</x:v>
      </x:c>
      <x:c r="AO207" s="38" t="n">
        <x:v>-0.0005467842</x:v>
      </x:c>
      <x:c r="AP207" s="38" t="n">
        <x:v>-0.0054496934</x:v>
      </x:c>
      <x:c r="AQ207" s="38" t="n">
        <x:v>-0.0438342593</x:v>
      </x:c>
      <x:c r="AR207" s="38" t="n">
        <x:v>-0.0641471355</x:v>
      </x:c>
      <x:c r="AS207" s="38" t="n">
        <x:v>0.0442194805</x:v>
      </x:c>
    </x:row>
    <x:row r="208" ht="19" customHeight="1">
      <x:c r="A208" s="29" t="str">
        <x:v>Other FX</x:v>
      </x:c>
      <x:c r="B208" s="39" t="d">
        <x:v>2023-10-09T00:00:00.000Z</x:v>
      </x:c>
      <x:c r="C208" s="38" t="n">
        <x:v>-0.0326184849</x:v>
      </x:c>
      <x:c r="D208" s="38" t="n">
        <x:v>0.1011123187</x:v>
      </x:c>
      <x:c r="E208" s="38" t="n">
        <x:v>-0.0693079796</x:v>
      </x:c>
      <x:c r="F208" s="38" t="n">
        <x:v>-0.0496828386</x:v>
      </x:c>
      <x:c r="G208" s="38" t="n">
        <x:v>-0.0022652545</x:v>
      </x:c>
      <x:c r="H208" s="38" t="n">
        <x:v>-0.0514439324</x:v>
      </x:c>
      <x:c r="I208" s="38" t="n">
        <x:v>-0.090113513</x:v>
      </x:c>
      <x:c r="J208" s="38" t="n">
        <x:v>-0.1106881606</x:v>
      </x:c>
      <x:c r="K208" s="38" t="n">
        <x:v>0.1330338824</x:v>
      </x:c>
      <x:c r="L208" s="38" t="n">
        <x:v>-0.1286773126</x:v>
      </x:c>
      <x:c r="M208" s="38" t="n">
        <x:v>-0.0536382021</x:v>
      </x:c>
      <x:c r="N208" s="38" t="n">
        <x:v>-0.0495435486</x:v>
      </x:c>
      <x:c r="O208" s="38" t="n">
        <x:v>-0.0172747242</x:v>
      </x:c>
      <x:c r="P208" s="38" t="n">
        <x:v>0.1131357711</x:v>
      </x:c>
      <x:c r="Q208" s="38" t="n">
        <x:v>-0.0908863379</x:v>
      </x:c>
      <x:c r="R208" s="38" t="n">
        <x:v>-0.057420648</x:v>
      </x:c>
      <x:c r="S208" s="38" t="n">
        <x:v>0.0582190061</x:v>
      </x:c>
      <x:c r="T208" s="38" t="n">
        <x:v>-0.0821733204</x:v>
      </x:c>
      <x:c r="U208" s="38" t="n">
        <x:v>0.0050693183</x:v>
      </x:c>
      <x:c r="V208" s="38" t="n">
        <x:v>0.016510183</x:v>
      </x:c>
      <x:c r="W208" s="38" t="n">
        <x:v>-0.0890193363</x:v>
      </x:c>
      <x:c r="X208" s="38" t="n">
        <x:v>-0.0058094983</x:v>
      </x:c>
      <x:c r="Y208" s="38" t="n">
        <x:v>0.0693478078</x:v>
      </x:c>
      <x:c r="Z208" s="38" t="n">
        <x:v>0.0256303355</x:v>
      </x:c>
      <x:c r="AA208" s="38" t="n">
        <x:v>0.1043963557</x:v>
      </x:c>
      <x:c r="AB208" s="38" t="n">
        <x:v>-0.0016000036</x:v>
      </x:c>
      <x:c r="AC208" s="38" t="n">
        <x:v>-0.0984746401</x:v>
      </x:c>
      <x:c r="AD208" s="38" t="n">
        <x:v>-0.0462991342</x:v>
      </x:c>
      <x:c r="AE208" s="38" t="n">
        <x:v>0.0056290862</x:v>
      </x:c>
      <x:c r="AF208" s="38" t="n">
        <x:v>-0.0345750715</x:v>
      </x:c>
      <x:c r="AG208" s="38" t="n">
        <x:v>-0.0332728939</x:v>
      </x:c>
      <x:c r="AH208" s="38" t="n">
        <x:v>0.081426799</x:v>
      </x:c>
      <x:c r="AI208" s="38" t="n">
        <x:v>0.007452739</x:v>
      </x:c>
      <x:c r="AJ208" s="38" t="n">
        <x:v>0.0556638512</x:v>
      </x:c>
      <x:c r="AK208" s="38" t="n">
        <x:v>0.0094068377</x:v>
      </x:c>
      <x:c r="AL208" s="38" t="n">
        <x:v>-0.1233661523</x:v>
      </x:c>
      <x:c r="AM208" s="38" t="n">
        <x:v>-0.0112521151</x:v>
      </x:c>
      <x:c r="AN208" s="38" t="n">
        <x:v>-0.010363187</x:v>
      </x:c>
      <x:c r="AO208" s="38" t="n">
        <x:v>0.007197489</x:v>
      </x:c>
      <x:c r="AP208" s="38" t="n">
        <x:v>-0.0842034868</x:v>
      </x:c>
      <x:c r="AQ208" s="38" t="n">
        <x:v>-0.0884818265</x:v>
      </x:c>
      <x:c r="AR208" s="38" t="n">
        <x:v>-0.0334449167</x:v>
      </x:c>
      <x:c r="AS208" s="38" t="n">
        <x:v>-0.0630108239</x:v>
      </x:c>
    </x:row>
    <x:row r="209" ht="19" customHeight="1">
      <x:c r="A209" s="29" t="str">
        <x:v>Other FX</x:v>
      </x:c>
      <x:c r="B209" s="39" t="d">
        <x:v>2023-11-06T00:00:00.000Z</x:v>
      </x:c>
      <x:c r="C209" s="38" t="n">
        <x:v>0.0856909679</x:v>
      </x:c>
      <x:c r="D209" s="38" t="n">
        <x:v>-0.1864083294</x:v>
      </x:c>
      <x:c r="E209" s="38" t="n">
        <x:v>0.0335655109</x:v>
      </x:c>
      <x:c r="F209" s="38" t="n">
        <x:v>0.0320864805</x:v>
      </x:c>
      <x:c r="G209" s="38" t="n">
        <x:v>0.034172846</x:v>
      </x:c>
      <x:c r="H209" s="38" t="n">
        <x:v>0.1660744136</x:v>
      </x:c>
      <x:c r="I209" s="38" t="n">
        <x:v>0.1076246689</x:v>
      </x:c>
      <x:c r="J209" s="38" t="n">
        <x:v>0.0770036991</x:v>
      </x:c>
      <x:c r="K209" s="38" t="n">
        <x:v>0.0027755778</x:v>
      </x:c>
      <x:c r="L209" s="38" t="n">
        <x:v>-0.0270965872</x:v>
      </x:c>
      <x:c r="M209" s="38" t="n">
        <x:v>-0.0393162647</x:v>
      </x:c>
      <x:c r="N209" s="38" t="n">
        <x:v>-0.1020972498</x:v>
      </x:c>
      <x:c r="O209" s="38" t="n">
        <x:v>0.0889850221</x:v>
      </x:c>
      <x:c r="P209" s="38" t="n">
        <x:v>-0.0618919997</x:v>
      </x:c>
      <x:c r="Q209" s="38" t="n">
        <x:v>-0.0591629338</x:v>
      </x:c>
      <x:c r="R209" s="38" t="n">
        <x:v>0.0936708238</x:v>
      </x:c>
      <x:c r="S209" s="38" t="n">
        <x:v>-0.0281684098</x:v>
      </x:c>
      <x:c r="T209" s="38" t="n">
        <x:v>0.0532998637</x:v>
      </x:c>
      <x:c r="U209" s="38" t="n">
        <x:v>-0.3895913098</x:v>
      </x:c>
      <x:c r="V209" s="38" t="n">
        <x:v>-0.0316985465</x:v>
      </x:c>
      <x:c r="W209" s="38" t="n">
        <x:v>0.1922961727</x:v>
      </x:c>
      <x:c r="X209" s="38" t="n">
        <x:v>-0.0569564555</x:v>
      </x:c>
      <x:c r="Y209" s="38" t="n">
        <x:v>0.0277336223</x:v>
      </x:c>
      <x:c r="Z209" s="38" t="n">
        <x:v>-0.1801668299</x:v>
      </x:c>
      <x:c r="AA209" s="38" t="n">
        <x:v>0.0159518833</x:v>
      </x:c>
      <x:c r="AB209" s="38" t="n">
        <x:v>-0.1401183246</x:v>
      </x:c>
      <x:c r="AC209" s="38" t="n">
        <x:v>-0.1823661107</x:v>
      </x:c>
      <x:c r="AD209" s="38" t="n">
        <x:v>0.0269458394</x:v>
      </x:c>
      <x:c r="AE209" s="38" t="n">
        <x:v>-0.2060281509</x:v>
      </x:c>
      <x:c r="AF209" s="38" t="n">
        <x:v>-0.0319626099</x:v>
      </x:c>
      <x:c r="AG209" s="38" t="n">
        <x:v>0.0157883475</x:v>
      </x:c>
      <x:c r="AH209" s="38" t="n">
        <x:v>0.0009829066</x:v>
      </x:c>
      <x:c r="AI209" s="38" t="n">
        <x:v>0.1013211564</x:v>
      </x:c>
      <x:c r="AJ209" s="38" t="n">
        <x:v>-0.0189819033</x:v>
      </x:c>
      <x:c r="AK209" s="38" t="n">
        <x:v>-0.0209923944</x:v>
      </x:c>
      <x:c r="AL209" s="38" t="n">
        <x:v>-0.0203801013</x:v>
      </x:c>
      <x:c r="AM209" s="38" t="n">
        <x:v>0.112668866</x:v>
      </x:c>
      <x:c r="AN209" s="38" t="n">
        <x:v>-0.0318042158</x:v>
      </x:c>
      <x:c r="AO209" s="38" t="n">
        <x:v>0.0076097249</x:v>
      </x:c>
      <x:c r="AP209" s="38" t="n">
        <x:v>-0.0191460532</x:v>
      </x:c>
      <x:c r="AQ209" s="38" t="n">
        <x:v>0.0464383782</x:v>
      </x:c>
      <x:c r="AR209" s="38" t="n">
        <x:v>-0.0818302866</x:v>
      </x:c>
      <x:c r="AS209" s="38" t="n">
        <x:v>-0.0079002823</x:v>
      </x:c>
    </x:row>
    <x:row r="210" ht="19" customHeight="1">
      <x:c r="A210" s="29" t="str">
        <x:v>Other FX</x:v>
      </x:c>
      <x:c r="B210" s="39" t="d">
        <x:v>2023-12-04T00:00:00.000Z</x:v>
      </x:c>
      <x:c r="C210" s="38" t="n">
        <x:v>0.070224845</x:v>
      </x:c>
      <x:c r="D210" s="38" t="n">
        <x:v>0.0914824203</x:v>
      </x:c>
      <x:c r="E210" s="38" t="n">
        <x:v>-0.0092912464</x:v>
      </x:c>
      <x:c r="F210" s="38" t="n">
        <x:v>0.0668856684</x:v>
      </x:c>
      <x:c r="G210" s="38" t="n">
        <x:v>0.0278821995</x:v>
      </x:c>
      <x:c r="H210" s="38" t="n">
        <x:v>0.0185742617</x:v>
      </x:c>
      <x:c r="I210" s="38" t="n">
        <x:v>-0.01823685</x:v>
      </x:c>
      <x:c r="J210" s="38" t="n">
        <x:v>-0.0412279323</x:v>
      </x:c>
      <x:c r="K210" s="38" t="n">
        <x:v>-0.0807955585</x:v>
      </x:c>
      <x:c r="L210" s="38" t="n">
        <x:v>0.0087493159</x:v>
      </x:c>
      <x:c r="M210" s="38" t="n">
        <x:v>-0.0611651161</x:v>
      </x:c>
      <x:c r="N210" s="38" t="n">
        <x:v>-0.0590180556</x:v>
      </x:c>
      <x:c r="O210" s="38" t="n">
        <x:v>-0.0442597109</x:v>
      </x:c>
      <x:c r="P210" s="38" t="n">
        <x:v>-0.0869054894</x:v>
      </x:c>
      <x:c r="Q210" s="38" t="n">
        <x:v>0.1618582003</x:v>
      </x:c>
      <x:c r="R210" s="38" t="n">
        <x:v>0.2110629806</x:v>
      </x:c>
      <x:c r="S210" s="38" t="n">
        <x:v>-0.0503228993</x:v>
      </x:c>
      <x:c r="T210" s="38" t="n">
        <x:v>0.1335016539</x:v>
      </x:c>
      <x:c r="U210" s="38" t="n">
        <x:v>0.1058565415</x:v>
      </x:c>
      <x:c r="V210" s="38" t="n">
        <x:v>0.0554238461</x:v>
      </x:c>
      <x:c r="W210" s="38" t="n">
        <x:v>-0.0051110025</x:v>
      </x:c>
      <x:c r="X210" s="38" t="n">
        <x:v>-0.0306207442</x:v>
      </x:c>
      <x:c r="Y210" s="38" t="n">
        <x:v>-0.1579918479</x:v>
      </x:c>
      <x:c r="Z210" s="38" t="n">
        <x:v>0.0052668056</x:v>
      </x:c>
      <x:c r="AA210" s="38" t="n">
        <x:v>-0.0223979524</x:v>
      </x:c>
      <x:c r="AB210" s="38" t="n">
        <x:v>-0.0663195956</x:v>
      </x:c>
      <x:c r="AC210" s="38" t="n">
        <x:v>0.4680265259</x:v>
      </x:c>
      <x:c r="AD210" s="38" t="n">
        <x:v>-0.0666958602</x:v>
      </x:c>
      <x:c r="AE210" s="38" t="n">
        <x:v>0.033802389</x:v>
      </x:c>
      <x:c r="AF210" s="38" t="n">
        <x:v>0.0163381312</x:v>
      </x:c>
      <x:c r="AG210" s="38" t="n">
        <x:v>0.1629619907</x:v>
      </x:c>
      <x:c r="AH210" s="38" t="n">
        <x:v>0.0050047539</x:v>
      </x:c>
      <x:c r="AI210" s="38" t="n">
        <x:v>-0.0105600456</x:v>
      </x:c>
      <x:c r="AJ210" s="38" t="n">
        <x:v>0.0024410136</x:v>
      </x:c>
      <x:c r="AK210" s="38" t="n">
        <x:v>-0.0397014158</x:v>
      </x:c>
      <x:c r="AL210" s="38" t="n">
        <x:v>-0.1138822168</x:v>
      </x:c>
      <x:c r="AM210" s="38" t="n">
        <x:v>-0.0321878367</x:v>
      </x:c>
      <x:c r="AN210" s="38" t="n">
        <x:v>-0.0553719947</x:v>
      </x:c>
      <x:c r="AO210" s="38" t="n">
        <x:v>0.0033393147</x:v>
      </x:c>
      <x:c r="AP210" s="38" t="n">
        <x:v>0.0843990073</x:v>
      </x:c>
      <x:c r="AQ210" s="38" t="n">
        <x:v>0.0019121885</x:v>
      </x:c>
      <x:c r="AR210" s="38" t="n">
        <x:v>0.0282055116</x:v>
      </x:c>
      <x:c r="AS210" s="38" t="n">
        <x:v>-0.007109253</x:v>
      </x:c>
    </x:row>
    <x:row r="211" ht="19" customHeight="1">
      <x:c r="A211" s="29" t="str">
        <x:v>Other FX</x:v>
      </x:c>
      <x:c r="B211" s="39" t="d">
        <x:v>2024-01-01T00:00:00.000Z</x:v>
      </x:c>
      <x:c r="C211" s="38" t="n">
        <x:v>0.0500542537</x:v>
      </x:c>
      <x:c r="D211" s="38" t="n">
        <x:v>-0.0586160765</x:v>
      </x:c>
      <x:c r="E211" s="38" t="n">
        <x:v>0.0338422308</x:v>
      </x:c>
      <x:c r="F211" s="38" t="n">
        <x:v>0.0192192332</x:v>
      </x:c>
      <x:c r="G211" s="38" t="n">
        <x:v>-0.0342681251</x:v>
      </x:c>
      <x:c r="H211" s="38" t="n">
        <x:v>-0.0321684886</x:v>
      </x:c>
      <x:c r="I211" s="38" t="n">
        <x:v>-0.0290145819</x:v>
      </x:c>
      <x:c r="J211" s="38" t="n">
        <x:v>-0.0851172812</x:v>
      </x:c>
      <x:c r="K211" s="38" t="n">
        <x:v>-0.0870082728</x:v>
      </x:c>
      <x:c r="L211" s="38" t="n">
        <x:v>0.051008153</x:v>
      </x:c>
      <x:c r="M211" s="38" t="n">
        <x:v>0.0217736576</x:v>
      </x:c>
      <x:c r="N211" s="38" t="n">
        <x:v>-0.0141602256</x:v>
      </x:c>
      <x:c r="O211" s="38" t="n">
        <x:v>0.0866511365</x:v>
      </x:c>
      <x:c r="P211" s="38" t="n">
        <x:v>-0.0381223967</x:v>
      </x:c>
      <x:c r="Q211" s="38" t="n">
        <x:v>0.1674466485</x:v>
      </x:c>
      <x:c r="R211" s="38" t="n">
        <x:v>0.1327055378</x:v>
      </x:c>
      <x:c r="S211" s="38" t="n">
        <x:v>-0.0558457655</x:v>
      </x:c>
      <x:c r="T211" s="38" t="n">
        <x:v>-0.0275028746</x:v>
      </x:c>
      <x:c r="U211" s="38" t="n">
        <x:v>0.2727387203</x:v>
      </x:c>
      <x:c r="V211" s="38" t="n">
        <x:v>0.0066719538</x:v>
      </x:c>
      <x:c r="W211" s="38" t="n">
        <x:v>0.0089935153</x:v>
      </x:c>
      <x:c r="X211" s="38" t="n">
        <x:v>0.014133716</x:v>
      </x:c>
      <x:c r="Y211" s="38" t="n">
        <x:v>0.0174548501</x:v>
      </x:c>
      <x:c r="Z211" s="38" t="n">
        <x:v>-0.0411549833</x:v>
      </x:c>
      <x:c r="AA211" s="38" t="n">
        <x:v>-0.0097048434</x:v>
      </x:c>
      <x:c r="AB211" s="38" t="n">
        <x:v>-0.1563814102</x:v>
      </x:c>
      <x:c r="AC211" s="38" t="n">
        <x:v>-0.1011675751</x:v>
      </x:c>
      <x:c r="AD211" s="38" t="n">
        <x:v>0.019520531</x:v>
      </x:c>
      <x:c r="AE211" s="38" t="n">
        <x:v>0.0157756149</x:v>
      </x:c>
      <x:c r="AF211" s="38" t="n">
        <x:v>0.0663978833</x:v>
      </x:c>
      <x:c r="AG211" s="38" t="n">
        <x:v>-0.0339741848</x:v>
      </x:c>
      <x:c r="AH211" s="38" t="n">
        <x:v>-0.0161820012</x:v>
      </x:c>
      <x:c r="AI211" s="38" t="n">
        <x:v>0.0218299629</x:v>
      </x:c>
      <x:c r="AJ211" s="38" t="n">
        <x:v>0.0345602786</x:v>
      </x:c>
      <x:c r="AK211" s="38" t="n">
        <x:v>-0.0341016396</x:v>
      </x:c>
      <x:c r="AL211" s="38" t="n">
        <x:v>0.0564098101</x:v>
      </x:c>
      <x:c r="AM211" s="38" t="n">
        <x:v>-0.0434037519</x:v>
      </x:c>
      <x:c r="AN211" s="38" t="n">
        <x:v>-0.0295098093</x:v>
      </x:c>
      <x:c r="AO211" s="38" t="n">
        <x:v>0.0793246891</x:v>
      </x:c>
      <x:c r="AP211" s="38" t="n">
        <x:v>0.0303309887</x:v>
      </x:c>
      <x:c r="AQ211" s="38" t="n">
        <x:v>-0.0067011307</x:v>
      </x:c>
      <x:c r="AR211" s="38" t="n">
        <x:v>0.0237157022</x:v>
      </x:c>
      <x:c r="AS211" s="38" t="n">
        <x:v>0.0132252463</x:v>
      </x:c>
    </x:row>
    <x:row r="212" ht="19" customHeight="1">
      <x:c r="A212" s="29" t="str">
        <x:v>Other FX</x:v>
      </x:c>
      <x:c r="B212" s="39" t="d">
        <x:v>2024-01-29T00:00:00.000Z</x:v>
      </x:c>
      <x:c r="C212" s="38" t="n">
        <x:v>0.1493598033</x:v>
      </x:c>
      <x:c r="D212" s="38" t="n">
        <x:v>0.047545952</x:v>
      </x:c>
      <x:c r="E212" s="38" t="n">
        <x:v>-0.0582963182</x:v>
      </x:c>
      <x:c r="F212" s="38" t="n">
        <x:v>-0.0340705619</x:v>
      </x:c>
      <x:c r="G212" s="38" t="n">
        <x:v>0.0912285731</x:v>
      </x:c>
      <x:c r="H212" s="38" t="n">
        <x:v>0.1407431084</x:v>
      </x:c>
      <x:c r="I212" s="38" t="n">
        <x:v>0.1755959054</x:v>
      </x:c>
      <x:c r="J212" s="38" t="n">
        <x:v>0.1538622251</x:v>
      </x:c>
      <x:c r="K212" s="38" t="n">
        <x:v>0.1038634873</x:v>
      </x:c>
      <x:c r="L212" s="38" t="n">
        <x:v>0.076878274</x:v>
      </x:c>
      <x:c r="M212" s="38" t="n">
        <x:v>-0.072498031</x:v>
      </x:c>
      <x:c r="N212" s="38" t="n">
        <x:v>-0.0740413402</x:v>
      </x:c>
      <x:c r="O212" s="38" t="n">
        <x:v>0.0102691927</x:v>
      </x:c>
      <x:c r="P212" s="38" t="n">
        <x:v>0.1501330712</x:v>
      </x:c>
      <x:c r="Q212" s="38" t="n">
        <x:v>0.0781732764</x:v>
      </x:c>
      <x:c r="R212" s="38" t="n">
        <x:v>0.0117049793</x:v>
      </x:c>
      <x:c r="S212" s="38" t="n">
        <x:v>0.0460843623</x:v>
      </x:c>
      <x:c r="T212" s="38" t="n">
        <x:v>0.0480661984</x:v>
      </x:c>
      <x:c r="U212" s="38" t="n">
        <x:v>-0.0852990717</x:v>
      </x:c>
      <x:c r="V212" s="38" t="n">
        <x:v>0.0517433009</x:v>
      </x:c>
      <x:c r="W212" s="38" t="n">
        <x:v>0.2014594499</x:v>
      </x:c>
      <x:c r="X212" s="38" t="n">
        <x:v>0.0852220926</x:v>
      </x:c>
      <x:c r="Y212" s="38" t="n">
        <x:v>0.0351534395</x:v>
      </x:c>
      <x:c r="Z212" s="38" t="n">
        <x:v>-0.1078504736</x:v>
      </x:c>
      <x:c r="AA212" s="38" t="n">
        <x:v>0.1153433589</x:v>
      </x:c>
      <x:c r="AB212" s="38" t="n">
        <x:v>-0.035437727</x:v>
      </x:c>
      <x:c r="AC212" s="38" t="n">
        <x:v>0.0193320365</x:v>
      </x:c>
      <x:c r="AD212" s="38" t="n">
        <x:v>0.0916799101</x:v>
      </x:c>
      <x:c r="AE212" s="38" t="n">
        <x:v>0.0614064829</x:v>
      </x:c>
      <x:c r="AF212" s="38" t="n">
        <x:v>-0.1124698408</x:v>
      </x:c>
      <x:c r="AG212" s="38" t="n">
        <x:v>-0.1311805214</x:v>
      </x:c>
      <x:c r="AH212" s="38" t="n">
        <x:v>0.0908265999</x:v>
      </x:c>
      <x:c r="AI212" s="38" t="n">
        <x:v>0.2538877617</x:v>
      </x:c>
      <x:c r="AJ212" s="38" t="n">
        <x:v>0.0794396391</x:v>
      </x:c>
      <x:c r="AK212" s="38" t="n">
        <x:v>-0.0031038047</x:v>
      </x:c>
      <x:c r="AL212" s="38" t="n">
        <x:v>0.0290113156</x:v>
      </x:c>
      <x:c r="AM212" s="38" t="n">
        <x:v>0.1247281801</x:v>
      </x:c>
      <x:c r="AN212" s="38" t="n">
        <x:v>0.040116153</x:v>
      </x:c>
      <x:c r="AO212" s="38" t="n">
        <x:v>0.0905000449</x:v>
      </x:c>
      <x:c r="AP212" s="38" t="n">
        <x:v>0.0655151786</x:v>
      </x:c>
      <x:c r="AQ212" s="38" t="n">
        <x:v>0.0271325326</x:v>
      </x:c>
      <x:c r="AR212" s="38" t="n">
        <x:v>-0.0284332486</x:v>
      </x:c>
      <x:c r="AS212" s="38" t="n">
        <x:v>0.0686362003</x:v>
      </x:c>
    </x:row>
    <x:row r="213" ht="19" customHeight="1">
      <x:c r="A213" s="29" t="str">
        <x:v>Other FX</x:v>
      </x:c>
      <x:c r="B213" s="39" t="d">
        <x:v>2024-02-26T00:00:00.000Z</x:v>
      </x:c>
      <x:c r="C213" s="38" t="n">
        <x:v>0.2126232411</x:v>
      </x:c>
      <x:c r="D213" s="38" t="n">
        <x:v>0.1247413643</x:v>
      </x:c>
      <x:c r="E213" s="38" t="n">
        <x:v>0.087641023</x:v>
      </x:c>
      <x:c r="F213" s="38" t="n">
        <x:v>0.010878826</x:v>
      </x:c>
      <x:c r="G213" s="38" t="n">
        <x:v>0.1531458349</x:v>
      </x:c>
      <x:c r="H213" s="38" t="n">
        <x:v>0.0968820538</x:v>
      </x:c>
      <x:c r="I213" s="38" t="n">
        <x:v>0.0142292164</x:v>
      </x:c>
      <x:c r="J213" s="38" t="n">
        <x:v>0.2655481345</x:v>
      </x:c>
      <x:c r="K213" s="38" t="n">
        <x:v>0.1019269975</x:v>
      </x:c>
      <x:c r="L213" s="38" t="n">
        <x:v>0.0407493017</x:v>
      </x:c>
      <x:c r="M213" s="38" t="n">
        <x:v>0.0857030493</x:v>
      </x:c>
      <x:c r="N213" s="38" t="n">
        <x:v>0.0533023277</x:v>
      </x:c>
      <x:c r="O213" s="38" t="n">
        <x:v>-0.0889417712</x:v>
      </x:c>
      <x:c r="P213" s="38" t="n">
        <x:v>0.0952493065</x:v>
      </x:c>
      <x:c r="Q213" s="38" t="n">
        <x:v>0.0773541723</x:v>
      </x:c>
      <x:c r="R213" s="38" t="n">
        <x:v>0.0757164763</x:v>
      </x:c>
      <x:c r="S213" s="38" t="n">
        <x:v>0.0562832287</x:v>
      </x:c>
      <x:c r="T213" s="38" t="n">
        <x:v>0.1541504025</x:v>
      </x:c>
      <x:c r="U213" s="38" t="n">
        <x:v>-0.03347603</x:v>
      </x:c>
      <x:c r="V213" s="38" t="n">
        <x:v>0.1714028014</x:v>
      </x:c>
      <x:c r="W213" s="38" t="n">
        <x:v>0.0825435867</x:v>
      </x:c>
      <x:c r="X213" s="38" t="n">
        <x:v>-0.0462302643</x:v>
      </x:c>
      <x:c r="Y213" s="38" t="n">
        <x:v>0.0855805807</x:v>
      </x:c>
      <x:c r="Z213" s="38" t="n">
        <x:v>-0.0497217324</x:v>
      </x:c>
      <x:c r="AA213" s="38" t="n">
        <x:v>0.0309149989</x:v>
      </x:c>
      <x:c r="AB213" s="38" t="n">
        <x:v>0.0477178116</x:v>
      </x:c>
      <x:c r="AC213" s="38" t="n">
        <x:v>-0.2675052049</x:v>
      </x:c>
      <x:c r="AD213" s="38" t="n">
        <x:v>0.0001731141</x:v>
      </x:c>
      <x:c r="AE213" s="38" t="n">
        <x:v>0.0580069181</x:v>
      </x:c>
      <x:c r="AF213" s="38" t="n">
        <x:v>0.010217095</x:v>
      </x:c>
      <x:c r="AG213" s="38" t="n">
        <x:v>-0.0525976752</x:v>
      </x:c>
      <x:c r="AH213" s="38" t="n">
        <x:v>0.1074063165</x:v>
      </x:c>
      <x:c r="AI213" s="38" t="n">
        <x:v>0.0787500876</x:v>
      </x:c>
      <x:c r="AJ213" s="38" t="n">
        <x:v>0.168753042</x:v>
      </x:c>
      <x:c r="AK213" s="38" t="n">
        <x:v>0.056322744</x:v>
      </x:c>
      <x:c r="AL213" s="38" t="n">
        <x:v>-0.0163750775</x:v>
      </x:c>
      <x:c r="AM213" s="38" t="n">
        <x:v>-0.0139166972</x:v>
      </x:c>
      <x:c r="AN213" s="38" t="n">
        <x:v>-0.0638286</x:v>
      </x:c>
      <x:c r="AO213" s="38" t="n">
        <x:v>0.0538728437</x:v>
      </x:c>
      <x:c r="AP213" s="38" t="n">
        <x:v>0.0772465881</x:v>
      </x:c>
      <x:c r="AQ213" s="38" t="n">
        <x:v>-0.0256803537</x:v>
      </x:c>
      <x:c r="AR213" s="38" t="n">
        <x:v>0.0342638462</x:v>
      </x:c>
      <x:c r="AS213" s="38" t="n">
        <x:v>0.0298286242</x:v>
      </x:c>
    </x:row>
    <x:row r="214" ht="19" customHeight="1">
      <x:c r="A214" s="29" t="str">
        <x:v>Other FX</x:v>
      </x:c>
      <x:c r="B214" s="39" t="d">
        <x:v>2024-03-25T00:00:00.000Z</x:v>
      </x:c>
      <x:c r="C214" s="38" t="n">
        <x:v>0.2660690986</x:v>
      </x:c>
      <x:c r="D214" s="38" t="n">
        <x:v>0.0662084572</x:v>
      </x:c>
      <x:c r="E214" s="38" t="n">
        <x:v>0.0125638353</x:v>
      </x:c>
      <x:c r="F214" s="38" t="n">
        <x:v>0.0540811076</x:v>
      </x:c>
      <x:c r="G214" s="38" t="n">
        <x:v>0.1039769279</x:v>
      </x:c>
      <x:c r="H214" s="38" t="n">
        <x:v>0.079761192</x:v>
      </x:c>
      <x:c r="I214" s="38" t="n">
        <x:v>0.0111723095</x:v>
      </x:c>
      <x:c r="J214" s="38" t="n">
        <x:v>-0.0846646277</x:v>
      </x:c>
      <x:c r="K214" s="38" t="n">
        <x:v>-0.1416578521</x:v>
      </x:c>
      <x:c r="L214" s="38" t="n">
        <x:v>0.1872518943</x:v>
      </x:c>
      <x:c r="M214" s="38" t="n">
        <x:v>0.0318974777</x:v>
      </x:c>
      <x:c r="N214" s="38" t="n">
        <x:v>0.0429183159</x:v>
      </x:c>
      <x:c r="O214" s="38" t="n">
        <x:v>-0.0182602737</x:v>
      </x:c>
      <x:c r="P214" s="38" t="n">
        <x:v>-0.060247452</x:v>
      </x:c>
      <x:c r="Q214" s="38" t="n">
        <x:v>-0.0155213646</x:v>
      </x:c>
      <x:c r="R214" s="38" t="n">
        <x:v>-0.0061462317</x:v>
      </x:c>
      <x:c r="S214" s="38" t="n">
        <x:v>-0.0158481811</x:v>
      </x:c>
      <x:c r="T214" s="38" t="n">
        <x:v>-0.0592893957</x:v>
      </x:c>
      <x:c r="U214" s="38" t="n">
        <x:v>0.0597113066</x:v>
      </x:c>
      <x:c r="V214" s="38" t="n">
        <x:v>0.0041459733</x:v>
      </x:c>
      <x:c r="W214" s="38" t="n">
        <x:v>-0.017378597</x:v>
      </x:c>
      <x:c r="X214" s="38" t="n">
        <x:v>0.0305589575</x:v>
      </x:c>
      <x:c r="Y214" s="38" t="n">
        <x:v>0.1027230625</x:v>
      </x:c>
      <x:c r="Z214" s="38" t="n">
        <x:v>0.1066229327</x:v>
      </x:c>
      <x:c r="AA214" s="38" t="n">
        <x:v>0.0962833849</x:v>
      </x:c>
      <x:c r="AB214" s="38" t="n">
        <x:v>-0.023228722</x:v>
      </x:c>
      <x:c r="AC214" s="38" t="n">
        <x:v>0.0563364666</x:v>
      </x:c>
      <x:c r="AD214" s="38" t="n">
        <x:v>0.0251688489</x:v>
      </x:c>
      <x:c r="AE214" s="38" t="n">
        <x:v>0.0293160847</x:v>
      </x:c>
      <x:c r="AF214" s="38" t="n">
        <x:v>0.1474532937</x:v>
      </x:c>
      <x:c r="AG214" s="38" t="n">
        <x:v>-0.0603378468</x:v>
      </x:c>
      <x:c r="AH214" s="38" t="n">
        <x:v>-0.0183056461</x:v>
      </x:c>
      <x:c r="AI214" s="38" t="n">
        <x:v>-0.1395115006</x:v>
      </x:c>
      <x:c r="AJ214" s="38" t="n">
        <x:v>-0.0057047625</x:v>
      </x:c>
      <x:c r="AK214" s="38" t="n">
        <x:v>-0.0176018156</x:v>
      </x:c>
      <x:c r="AL214" s="38" t="n">
        <x:v>-0.0219258021</x:v>
      </x:c>
      <x:c r="AM214" s="38" t="n">
        <x:v>0.0134776405</x:v>
      </x:c>
      <x:c r="AN214" s="38" t="n">
        <x:v>0.0719467516</x:v>
      </x:c>
      <x:c r="AO214" s="38" t="n">
        <x:v>-0.0294235259</x:v>
      </x:c>
      <x:c r="AP214" s="38" t="n">
        <x:v>0.0105591236</x:v>
      </x:c>
      <x:c r="AQ214" s="38" t="n">
        <x:v>0.035643454</x:v>
      </x:c>
      <x:c r="AR214" s="38" t="n">
        <x:v>-0.0331426537</x:v>
      </x:c>
      <x:c r="AS214" s="38" t="n">
        <x:v>0.0276761919</x:v>
      </x:c>
    </x:row>
    <x:row r="215" ht="19" customHeight="1">
      <x:c r="A215" s="29" t="str">
        <x:v>Other FX</x:v>
      </x:c>
      <x:c r="B215" s="39" t="d">
        <x:v>2024-04-22T00:00:00.000Z</x:v>
      </x:c>
      <x:c r="C215" s="38" t="n">
        <x:v>0.0464974329</x:v>
      </x:c>
      <x:c r="D215" s="38" t="n">
        <x:v>0.0108909073</x:v>
      </x:c>
      <x:c r="E215" s="38" t="n">
        <x:v>0.001324656</x:v>
      </x:c>
      <x:c r="F215" s="38" t="n">
        <x:v>0.0083854272</x:v>
      </x:c>
      <x:c r="G215" s="38" t="n">
        <x:v>-0.0659107328</x:v>
      </x:c>
      <x:c r="H215" s="38" t="n">
        <x:v>0.0971450258</x:v>
      </x:c>
      <x:c r="I215" s="38" t="n">
        <x:v>-0.014978501</x:v>
      </x:c>
      <x:c r="J215" s="38" t="n">
        <x:v>-0.0333094618</x:v>
      </x:c>
      <x:c r="K215" s="38" t="n">
        <x:v>-0.0656847296</x:v>
      </x:c>
      <x:c r="L215" s="38" t="n">
        <x:v>-0.0315346227</x:v>
      </x:c>
      <x:c r="M215" s="38" t="n">
        <x:v>-0.0895419821</x:v>
      </x:c>
      <x:c r="N215" s="38" t="n">
        <x:v>-0.0447239151</x:v>
      </x:c>
      <x:c r="O215" s="38" t="n">
        <x:v>0.0080331912</x:v>
      </x:c>
      <x:c r="P215" s="38" t="n">
        <x:v>0.0449326799</x:v>
      </x:c>
      <x:c r="Q215" s="38" t="n">
        <x:v>-0.1187700071</x:v>
      </x:c>
      <x:c r="R215" s="38" t="n">
        <x:v>-0.1415451613</x:v>
      </x:c>
      <x:c r="S215" s="38" t="n">
        <x:v>-0.0132211598</x:v>
      </x:c>
      <x:c r="T215" s="38" t="n">
        <x:v>-0.1493867128</x:v>
      </x:c>
      <x:c r="U215" s="38" t="n">
        <x:v>0.1240542883</x:v>
      </x:c>
      <x:c r="V215" s="38" t="n">
        <x:v>0.0333551246</x:v>
      </x:c>
      <x:c r="W215" s="38" t="n">
        <x:v>-0.0748568499</x:v>
      </x:c>
      <x:c r="X215" s="38" t="n">
        <x:v>-0.0808488525</x:v>
      </x:c>
      <x:c r="Y215" s="38" t="n">
        <x:v>-0.0246198784</x:v>
      </x:c>
      <x:c r="Z215" s="38" t="n">
        <x:v>0.1688390408</x:v>
      </x:c>
      <x:c r="AA215" s="38" t="n">
        <x:v>0.0083988897</x:v>
      </x:c>
      <x:c r="AB215" s="38" t="n">
        <x:v>0.63328818</x:v>
      </x:c>
      <x:c r="AC215" s="38" t="n">
        <x:v>-0.1476056241</x:v>
      </x:c>
      <x:c r="AD215" s="38" t="n">
        <x:v>0.018614643</x:v>
      </x:c>
      <x:c r="AE215" s="38" t="n">
        <x:v>-0.0170474085</x:v>
      </x:c>
      <x:c r="AF215" s="38" t="n">
        <x:v>-0.0348193352</x:v>
      </x:c>
      <x:c r="AG215" s="38" t="n">
        <x:v>-0.0781414454</x:v>
      </x:c>
      <x:c r="AH215" s="38" t="n">
        <x:v>-0.0684789738</x:v>
      </x:c>
      <x:c r="AI215" s="38" t="n">
        <x:v>-0.1748282232</x:v>
      </x:c>
      <x:c r="AJ215" s="38" t="n">
        <x:v>-0.0638290467</x:v>
      </x:c>
      <x:c r="AK215" s="38" t="n">
        <x:v>-0.0143625075</x:v>
      </x:c>
      <x:c r="AL215" s="38" t="n">
        <x:v>0.0324361188</x:v>
      </x:c>
      <x:c r="AM215" s="38" t="n">
        <x:v>-0.0424688424</x:v>
      </x:c>
      <x:c r="AN215" s="38" t="n">
        <x:v>0.0754996605</x:v>
      </x:c>
      <x:c r="AO215" s="38" t="n">
        <x:v>0.0104849741</x:v>
      </x:c>
      <x:c r="AP215" s="38" t="n">
        <x:v>-0.1227203704</x:v>
      </x:c>
      <x:c r="AQ215" s="38" t="n">
        <x:v>0.0227391063</x:v>
      </x:c>
      <x:c r="AR215" s="38" t="n">
        <x:v>-0.0843628359</x:v>
      </x:c>
      <x:c r="AS215" s="38" t="n">
        <x:v>-0.0522147718</x:v>
      </x:c>
    </x:row>
    <x:row r="216" ht="19" customHeight="1">
      <x:c r="A216" s="29" t="str">
        <x:v>Other FX</x:v>
      </x:c>
      <x:c r="B216" s="39" t="d">
        <x:v>2024-05-20T00:00:00.000Z</x:v>
      </x:c>
      <x:c r="C216" s="38" t="n">
        <x:v>0.3736769925</x:v>
      </x:c>
      <x:c r="D216" s="38" t="n">
        <x:v>-0.0061003136</x:v>
      </x:c>
      <x:c r="E216" s="38" t="n">
        <x:v>0.0319262408</x:v>
      </x:c>
      <x:c r="F216" s="38" t="n">
        <x:v>0.038660798</x:v>
      </x:c>
      <x:c r="G216" s="38" t="n">
        <x:v>-0.1297639109</x:v>
      </x:c>
      <x:c r="H216" s="38" t="n">
        <x:v>-0.0303132788</x:v>
      </x:c>
      <x:c r="I216" s="38" t="n">
        <x:v>0.0078931621</x:v>
      </x:c>
      <x:c r="J216" s="38" t="n">
        <x:v>0.0405913121</x:v>
      </x:c>
      <x:c r="K216" s="38" t="n">
        <x:v>-0.0095634425</x:v>
      </x:c>
      <x:c r="L216" s="38" t="n">
        <x:v>-0.0226628078</x:v>
      </x:c>
      <x:c r="M216" s="38" t="n">
        <x:v>-0.0291172474</x:v>
      </x:c>
      <x:c r="N216" s="38" t="n">
        <x:v>0.0973997075</x:v>
      </x:c>
      <x:c r="O216" s="38" t="n">
        <x:v>-0.0367802176</x:v>
      </x:c>
      <x:c r="P216" s="38" t="n">
        <x:v>-0.0405066916</x:v>
      </x:c>
      <x:c r="Q216" s="38" t="n">
        <x:v>-0.0668049854</x:v>
      </x:c>
      <x:c r="R216" s="38" t="n">
        <x:v>0.0846565247</x:v>
      </x:c>
      <x:c r="S216" s="38" t="n">
        <x:v>-0.0019330176</x:v>
      </x:c>
      <x:c r="T216" s="38" t="n">
        <x:v>-0.1793090695</x:v>
      </x:c>
      <x:c r="U216" s="38" t="n">
        <x:v>0.4124927424</x:v>
      </x:c>
      <x:c r="V216" s="38" t="n">
        <x:v>-0.1239400315</x:v>
      </x:c>
      <x:c r="W216" s="38" t="n">
        <x:v>0.1247363515</x:v>
      </x:c>
      <x:c r="X216" s="38" t="n">
        <x:v>-0.0225260168</x:v>
      </x:c>
      <x:c r="Y216" s="38" t="n">
        <x:v>0.0299699785</x:v>
      </x:c>
      <x:c r="Z216" s="38" t="n">
        <x:v>-0.0923572875</x:v>
      </x:c>
      <x:c r="AA216" s="38" t="n">
        <x:v>-0.0439755159</x:v>
      </x:c>
      <x:c r="AB216" s="38" t="n">
        <x:v>-0.0892191377</x:v>
      </x:c>
      <x:c r="AC216" s="38" t="n">
        <x:v>0.0509035626</x:v>
      </x:c>
      <x:c r="AD216" s="38" t="n">
        <x:v>0.0090191656</x:v>
      </x:c>
      <x:c r="AE216" s="38" t="n">
        <x:v>-0.1032651454</x:v>
      </x:c>
      <x:c r="AF216" s="38" t="n">
        <x:v>0.0767250558</x:v>
      </x:c>
      <x:c r="AG216" s="38" t="n">
        <x:v>-0.0130668665</x:v>
      </x:c>
      <x:c r="AH216" s="38" t="n">
        <x:v>-0.124577249</x:v>
      </x:c>
      <x:c r="AI216" s="38" t="n">
        <x:v>0.0341254438</x:v>
      </x:c>
      <x:c r="AJ216" s="38" t="n">
        <x:v>0.1075201435</x:v>
      </x:c>
      <x:c r="AK216" s="38" t="n">
        <x:v>0.0373152356</x:v>
      </x:c>
      <x:c r="AL216" s="38" t="n">
        <x:v>0.0351248575</x:v>
      </x:c>
      <x:c r="AM216" s="38" t="n">
        <x:v>0.053827064</x:v>
      </x:c>
      <x:c r="AN216" s="38" t="n">
        <x:v>0.0117292453</x:v>
      </x:c>
      <x:c r="AO216" s="38" t="n">
        <x:v>0.0889383696</x:v>
      </x:c>
      <x:c r="AP216" s="38" t="n">
        <x:v>-0.0587050796</x:v>
      </x:c>
      <x:c r="AQ216" s="38" t="n">
        <x:v>-0.0249861335</x:v>
      </x:c>
      <x:c r="AR216" s="38" t="n">
        <x:v>-0.0073775641</x:v>
      </x:c>
      <x:c r="AS216" s="38" t="n">
        <x:v>-0.0069096823</x:v>
      </x:c>
    </x:row>
    <x:row r="217" ht="19" customHeight="1">
      <x:c r="A217" s="29" t="str">
        <x:v>Other FX</x:v>
      </x:c>
      <x:c r="B217" s="39" t="d">
        <x:v>2024-06-17T00:00:00.000Z</x:v>
      </x:c>
      <x:c r="C217" s="38" t="n">
        <x:v>-0.1774972405</x:v>
      </x:c>
      <x:c r="D217" s="38" t="n">
        <x:v>-0.0693929616</x:v>
      </x:c>
      <x:c r="E217" s="38" t="n">
        <x:v>-0.0242383068</x:v>
      </x:c>
      <x:c r="F217" s="38" t="n">
        <x:v>-0.0345786786</x:v>
      </x:c>
      <x:c r="G217" s="38" t="n">
        <x:v>0.0159607653</x:v>
      </x:c>
      <x:c r="H217" s="38" t="n">
        <x:v>0.0140828865</x:v>
      </x:c>
      <x:c r="I217" s="38" t="n">
        <x:v>0.0387492341</x:v>
      </x:c>
      <x:c r="J217" s="38" t="n">
        <x:v>0.0246567733</x:v>
      </x:c>
      <x:c r="K217" s="38" t="n">
        <x:v>0.1566062672</x:v>
      </x:c>
      <x:c r="L217" s="38" t="n">
        <x:v>-0.0795153878</x:v>
      </x:c>
      <x:c r="M217" s="38" t="n">
        <x:v>-0.1714588638</x:v>
      </x:c>
      <x:c r="N217" s="38" t="n">
        <x:v>-0.1711443009</x:v>
      </x:c>
      <x:c r="O217" s="38" t="n">
        <x:v>0.0101200093</x:v>
      </x:c>
      <x:c r="P217" s="38" t="n">
        <x:v>0.0851219458</x:v>
      </x:c>
      <x:c r="Q217" s="38" t="n">
        <x:v>-0.021096405</x:v>
      </x:c>
      <x:c r="R217" s="38" t="n">
        <x:v>-0.0742634169</x:v>
      </x:c>
      <x:c r="S217" s="38" t="n">
        <x:v>-0.1061061608</x:v>
      </x:c>
      <x:c r="T217" s="38" t="n">
        <x:v>-0.0010569304</x:v>
      </x:c>
      <x:c r="U217" s="38" t="n">
        <x:v>-0.0056241463</x:v>
      </x:c>
      <x:c r="V217" s="38" t="n">
        <x:v>0.040737122</x:v>
      </x:c>
      <x:c r="W217" s="38" t="n">
        <x:v>0.0866170092</x:v>
      </x:c>
      <x:c r="X217" s="38" t="n">
        <x:v>0.0174160017</x:v>
      </x:c>
      <x:c r="Y217" s="38" t="n">
        <x:v>0.1711905703</x:v>
      </x:c>
      <x:c r="Z217" s="38" t="n">
        <x:v>-0.0206735016</x:v>
      </x:c>
      <x:c r="AA217" s="38" t="n">
        <x:v>0.0226755328</x:v>
      </x:c>
      <x:c r="AB217" s="38" t="n">
        <x:v>-0.0632364155</x:v>
      </x:c>
      <x:c r="AC217" s="38" t="n">
        <x:v>-0.0921229979</x:v>
      </x:c>
      <x:c r="AD217" s="38" t="n">
        <x:v>0.0225296902</x:v>
      </x:c>
      <x:c r="AE217" s="38" t="n">
        <x:v>0.0363685131</x:v>
      </x:c>
      <x:c r="AF217" s="38" t="n">
        <x:v>0.1493465005</x:v>
      </x:c>
      <x:c r="AG217" s="38" t="n">
        <x:v>0.1336153716</x:v>
      </x:c>
      <x:c r="AH217" s="38" t="n">
        <x:v>-0.0460193275</x:v>
      </x:c>
      <x:c r="AI217" s="38" t="n">
        <x:v>-0.0587076728</x:v>
      </x:c>
      <x:c r="AJ217" s="38" t="n">
        <x:v>0.1009525119</x:v>
      </x:c>
      <x:c r="AK217" s="38" t="n">
        <x:v>-0.0134621461</x:v>
      </x:c>
      <x:c r="AL217" s="38" t="n">
        <x:v>-0.0623089048</x:v>
      </x:c>
      <x:c r="AM217" s="38" t="n">
        <x:v>0.0478898082</x:v>
      </x:c>
      <x:c r="AN217" s="38" t="n">
        <x:v>-0.0151448617</x:v>
      </x:c>
      <x:c r="AO217" s="38" t="n">
        <x:v>0.0369144473</x:v>
      </x:c>
      <x:c r="AP217" s="38" t="n">
        <x:v>0.1168436749</x:v>
      </x:c>
      <x:c r="AQ217" s="38" t="n">
        <x:v>0.0218814893</x:v>
      </x:c>
      <x:c r="AR217" s="38" t="n">
        <x:v>0.0074528481</x:v>
      </x:c>
      <x:c r="AS217" s="38" t="n">
        <x:v>0.0065017649</x:v>
      </x:c>
    </x:row>
    <x:row r="218" ht="19" customHeight="1">
      <x:c r="A218" s="29" t="str">
        <x:v>Other FX</x:v>
      </x:c>
      <x:c r="B218" s="39" t="d">
        <x:v>2024-07-15T00:00:00.000Z</x:v>
      </x:c>
      <x:c r="C218" s="38" t="n">
        <x:v>-0.1441872539</x:v>
      </x:c>
      <x:c r="D218" s="38" t="n">
        <x:v>0.1024230562</x:v>
      </x:c>
      <x:c r="E218" s="38" t="n">
        <x:v>0.0537073111</x:v>
      </x:c>
      <x:c r="F218" s="38" t="n">
        <x:v>0.0488808641</x:v>
      </x:c>
      <x:c r="G218" s="38" t="n">
        <x:v>-0.083534536</x:v>
      </x:c>
      <x:c r="H218" s="38" t="n">
        <x:v>-0.2089471137</x:v>
      </x:c>
      <x:c r="I218" s="38" t="n">
        <x:v>-0.0553679273</x:v>
      </x:c>
      <x:c r="J218" s="38" t="n">
        <x:v>-0.0949502701</x:v>
      </x:c>
      <x:c r="K218" s="38" t="n">
        <x:v>-0.0150274853</x:v>
      </x:c>
      <x:c r="L218" s="38" t="n">
        <x:v>-0.0142544013</x:v>
      </x:c>
      <x:c r="M218" s="38" t="n">
        <x:v>-0.0470834393</x:v>
      </x:c>
      <x:c r="N218" s="38" t="n">
        <x:v>-0.0052223015</x:v>
      </x:c>
      <x:c r="O218" s="38" t="n">
        <x:v>0.0329030284</x:v>
      </x:c>
      <x:c r="P218" s="38" t="n">
        <x:v>-0.0816146062</x:v>
      </x:c>
      <x:c r="Q218" s="38" t="n">
        <x:v>0.0376978739</x:v>
      </x:c>
      <x:c r="R218" s="38" t="n">
        <x:v>-0.0353072348</x:v>
      </x:c>
      <x:c r="S218" s="38" t="n">
        <x:v>0.0107122841</x:v>
      </x:c>
      <x:c r="T218" s="38" t="n">
        <x:v>-0.004789816</x:v>
      </x:c>
      <x:c r="U218" s="38" t="n">
        <x:v>-0.105250696</x:v>
      </x:c>
      <x:c r="V218" s="38" t="n">
        <x:v>0.0042976174</x:v>
      </x:c>
      <x:c r="W218" s="38" t="n">
        <x:v>-0.1316730334</x:v>
      </x:c>
      <x:c r="X218" s="38" t="n">
        <x:v>0.0381921721</x:v>
      </x:c>
      <x:c r="Y218" s="38" t="n">
        <x:v>-0.2224352347</x:v>
      </x:c>
      <x:c r="Z218" s="38" t="n">
        <x:v>0.0964745035</x:v>
      </x:c>
      <x:c r="AA218" s="38" t="n">
        <x:v>0.0340315167</x:v>
      </x:c>
      <x:c r="AB218" s="38" t="n">
        <x:v>-0.0478301825</x:v>
      </x:c>
      <x:c r="AC218" s="38" t="n">
        <x:v>0.2726078992</x:v>
      </x:c>
      <x:c r="AD218" s="38" t="n">
        <x:v>-0.012379951</x:v>
      </x:c>
      <x:c r="AE218" s="38" t="n">
        <x:v>0.1727420148</x:v>
      </x:c>
      <x:c r="AF218" s="38" t="n">
        <x:v>-0.0240579117</x:v>
      </x:c>
      <x:c r="AG218" s="38" t="n">
        <x:v>-0.004316108</x:v>
      </x:c>
      <x:c r="AH218" s="38" t="n">
        <x:v>0.0500406774</x:v>
      </x:c>
      <x:c r="AI218" s="38" t="n">
        <x:v>-0.1330747273</x:v>
      </x:c>
      <x:c r="AJ218" s="38" t="n">
        <x:v>-0.0343325686</x:v>
      </x:c>
      <x:c r="AK218" s="38" t="n">
        <x:v>0.0294939549</x:v>
      </x:c>
      <x:c r="AL218" s="38" t="n">
        <x:v>-0.0344300396</x:v>
      </x:c>
      <x:c r="AM218" s="38" t="n">
        <x:v>-0.0645721884</x:v>
      </x:c>
      <x:c r="AN218" s="38" t="n">
        <x:v>-0.0281701961</x:v>
      </x:c>
      <x:c r="AO218" s="38" t="n">
        <x:v>-0.0296994928</x:v>
      </x:c>
      <x:c r="AP218" s="38" t="n">
        <x:v>0.0021401863</x:v>
      </x:c>
      <x:c r="AQ218" s="38" t="n">
        <x:v>0.0181617455</x:v>
      </x:c>
      <x:c r="AR218" s="38" t="n">
        <x:v>0.0236748799</x:v>
      </x:c>
      <x:c r="AS218" s="38" t="n">
        <x:v>0.0423321026</x:v>
      </x:c>
    </x:row>
    <x:row r="219" ht="19" customHeight="1">
      <x:c r="A219" s="29" t="str">
        <x:v>Other FX</x:v>
      </x:c>
      <x:c r="B219" s="39" t="d">
        <x:v>2024-08-12T00:00:00.000Z</x:v>
      </x:c>
      <x:c r="C219" s="38" t="n">
        <x:v>0.0424356674</x:v>
      </x:c>
      <x:c r="D219" s="38" t="n">
        <x:v>0.0047834524</x:v>
      </x:c>
      <x:c r="E219" s="38" t="n">
        <x:v>0.0069565189</x:v>
      </x:c>
      <x:c r="F219" s="38" t="n">
        <x:v>0.082778378</x:v>
      </x:c>
      <x:c r="G219" s="38" t="n">
        <x:v>-0.1222215542</x:v>
      </x:c>
      <x:c r="H219" s="38" t="n">
        <x:v>-0.0207551372</x:v>
      </x:c>
      <x:c r="I219" s="38" t="n">
        <x:v>-0.065665406</x:v>
      </x:c>
      <x:c r="J219" s="38" t="n">
        <x:v>0.1139698345</x:v>
      </x:c>
      <x:c r="K219" s="38" t="n">
        <x:v>-0.0195956015</x:v>
      </x:c>
      <x:c r="L219" s="38" t="n">
        <x:v>0.0190924039</x:v>
      </x:c>
      <x:c r="M219" s="38" t="n">
        <x:v>0.0938077455</x:v>
      </x:c>
      <x:c r="N219" s="38" t="n">
        <x:v>-0.0645634673</x:v>
      </x:c>
      <x:c r="O219" s="38" t="n">
        <x:v>-0.0193900234</x:v>
      </x:c>
      <x:c r="P219" s="38" t="n">
        <x:v>-0.0129975005</x:v>
      </x:c>
      <x:c r="Q219" s="38" t="n">
        <x:v>0.0080212651</x:v>
      </x:c>
      <x:c r="R219" s="38" t="n">
        <x:v>0.1545405061</x:v>
      </x:c>
      <x:c r="S219" s="38" t="n">
        <x:v>0.0030069538</x:v>
      </x:c>
      <x:c r="T219" s="38" t="n">
        <x:v>0.0188955937</x:v>
      </x:c>
      <x:c r="U219" s="38" t="n">
        <x:v>-0.2783677111</x:v>
      </x:c>
      <x:c r="V219" s="38" t="n">
        <x:v>0.062549771</x:v>
      </x:c>
      <x:c r="W219" s="38" t="n">
        <x:v>0.038009412</x:v>
      </x:c>
      <x:c r="X219" s="38" t="n">
        <x:v>-0.0722970777</x:v>
      </x:c>
      <x:c r="Y219" s="38" t="n">
        <x:v>0.0198900864</x:v>
      </x:c>
      <x:c r="Z219" s="38" t="n">
        <x:v>0.0708822116</x:v>
      </x:c>
      <x:c r="AA219" s="38" t="n">
        <x:v>0.0466788443</x:v>
      </x:c>
      <x:c r="AB219" s="38" t="n">
        <x:v>0.0450097314</x:v>
      </x:c>
      <x:c r="AC219" s="38" t="n">
        <x:v>0.2821590266</x:v>
      </x:c>
      <x:c r="AD219" s="38" t="n">
        <x:v>-0.0615144776</x:v>
      </x:c>
      <x:c r="AE219" s="38" t="n">
        <x:v>-0.2809549167</x:v>
      </x:c>
      <x:c r="AF219" s="38" t="n">
        <x:v>-0.1062110854</x:v>
      </x:c>
      <x:c r="AG219" s="38" t="n">
        <x:v>-0.0159562967</x:v>
      </x:c>
      <x:c r="AH219" s="38" t="n">
        <x:v>0.0261808724</x:v>
      </x:c>
      <x:c r="AI219" s="38" t="n">
        <x:v>-0.0953964734</x:v>
      </x:c>
      <x:c r="AJ219" s="38" t="n">
        <x:v>0.0850387321</x:v>
      </x:c>
      <x:c r="AK219" s="38" t="n">
        <x:v>0.0754420539</x:v>
      </x:c>
      <x:c r="AL219" s="38" t="n">
        <x:v>0.1030745134</x:v>
      </x:c>
      <x:c r="AM219" s="38" t="n">
        <x:v>-0.0840942007</x:v>
      </x:c>
      <x:c r="AN219" s="38" t="n">
        <x:v>-0.0558011553</x:v>
      </x:c>
      <x:c r="AO219" s="38" t="n">
        <x:v>-0.025801203</x:v>
      </x:c>
      <x:c r="AP219" s="38" t="n">
        <x:v>-0.0604795434</x:v>
      </x:c>
      <x:c r="AQ219" s="38" t="n">
        <x:v>0.0101838</x:v>
      </x:c>
      <x:c r="AR219" s="38" t="n">
        <x:v>-0.0032053735</x:v>
      </x:c>
      <x:c r="AS219" s="38" t="n">
        <x:v>0.0053587216</x:v>
      </x:c>
    </x:row>
    <x:row r="220" ht="19" customHeight="1">
      <x:c r="A220" s="29" t="str">
        <x:v>Other FX</x:v>
      </x:c>
      <x:c r="B220" s="39" t="d">
        <x:v>2024-09-09T00:00:00.000Z</x:v>
      </x:c>
      <x:c r="C220" s="38" t="n">
        <x:v>0.0875815923</x:v>
      </x:c>
      <x:c r="D220" s="38" t="n">
        <x:v>-0.0893763772</x:v>
      </x:c>
      <x:c r="E220" s="38" t="n">
        <x:v>0.045093905</x:v>
      </x:c>
      <x:c r="F220" s="38" t="n">
        <x:v>0.0903451188</x:v>
      </x:c>
      <x:c r="G220" s="38" t="n">
        <x:v>-0.0147556192</x:v>
      </x:c>
      <x:c r="H220" s="38" t="n">
        <x:v>0.0716699017</x:v>
      </x:c>
      <x:c r="I220" s="38" t="n">
        <x:v>0.0528394062</x:v>
      </x:c>
      <x:c r="J220" s="38" t="n">
        <x:v>0.0748286009</x:v>
      </x:c>
      <x:c r="K220" s="38" t="n">
        <x:v>-0.0400942497</x:v>
      </x:c>
      <x:c r="L220" s="38" t="n">
        <x:v>-0.1276557691</x:v>
      </x:c>
      <x:c r="M220" s="38" t="n">
        <x:v>-0.1196234194</x:v>
      </x:c>
      <x:c r="N220" s="38" t="n">
        <x:v>-0.0431084049</x:v>
      </x:c>
      <x:c r="O220" s="38" t="n">
        <x:v>-0.0396815008</x:v>
      </x:c>
      <x:c r="P220" s="38" t="n">
        <x:v>0.0482047126</x:v>
      </x:c>
      <x:c r="Q220" s="38" t="n">
        <x:v>-0.1916339739</x:v>
      </x:c>
      <x:c r="R220" s="38" t="n">
        <x:v>0.083145805</x:v>
      </x:c>
      <x:c r="S220" s="38" t="n">
        <x:v>0.0226958491</x:v>
      </x:c>
      <x:c r="T220" s="38" t="n">
        <x:v>-0.0741128188</x:v>
      </x:c>
      <x:c r="U220" s="38" t="n">
        <x:v>-0.1782527752</x:v>
      </x:c>
      <x:c r="V220" s="38" t="n">
        <x:v>-0.086770571</x:v>
      </x:c>
      <x:c r="W220" s="38" t="n">
        <x:v>0.0242930557</x:v>
      </x:c>
      <x:c r="X220" s="38" t="n">
        <x:v>-0.044249301</x:v>
      </x:c>
      <x:c r="Y220" s="38" t="n">
        <x:v>-0.1635333706</x:v>
      </x:c>
      <x:c r="Z220" s="38" t="n">
        <x:v>0.0491496062</x:v>
      </x:c>
      <x:c r="AA220" s="38" t="n">
        <x:v>0.0627674667</x:v>
      </x:c>
      <x:c r="AB220" s="38" t="n">
        <x:v>0.3930833657</x:v>
      </x:c>
      <x:c r="AC220" s="38" t="n">
        <x:v>0.0579377058</x:v>
      </x:c>
      <x:c r="AD220" s="38" t="n">
        <x:v>0.0156581963</x:v>
      </x:c>
      <x:c r="AE220" s="38" t="n">
        <x:v>0.0350275458</x:v>
      </x:c>
      <x:c r="AF220" s="38" t="n">
        <x:v>-0.0988588814</x:v>
      </x:c>
      <x:c r="AG220" s="38" t="n">
        <x:v>-0.1636531331</x:v>
      </x:c>
      <x:c r="AH220" s="38" t="n">
        <x:v>-0.0537929873</x:v>
      </x:c>
      <x:c r="AI220" s="38" t="n">
        <x:v>-0.0040770149</x:v>
      </x:c>
      <x:c r="AJ220" s="38" t="n">
        <x:v>0.0020056816</x:v>
      </x:c>
      <x:c r="AK220" s="38" t="n">
        <x:v>0.1017563349</x:v>
      </x:c>
      <x:c r="AL220" s="38" t="n">
        <x:v>0.0254793222</x:v>
      </x:c>
      <x:c r="AM220" s="38" t="n">
        <x:v>0.0212316003</x:v>
      </x:c>
      <x:c r="AN220" s="38" t="n">
        <x:v>-0.0051777765</x:v>
      </x:c>
      <x:c r="AO220" s="38" t="n">
        <x:v>-0.0033060967</x:v>
      </x:c>
      <x:c r="AP220" s="38" t="n">
        <x:v>0.0209159345</x:v>
      </x:c>
      <x:c r="AQ220" s="38" t="n">
        <x:v>0.0006540077</x:v>
      </x:c>
      <x:c r="AR220" s="38" t="n">
        <x:v>0.0219809305</x:v>
      </x:c>
      <x:c r="AS220" s="38" t="n">
        <x:v>-0.0060780625</x:v>
      </x:c>
    </x:row>
    <x:row r="221" ht="19" customHeight="1">
      <x:c r="A221" s="29" t="str">
        <x:v>Other FX</x:v>
      </x:c>
      <x:c r="B221" s="39" t="d">
        <x:v>2024-10-07T00:00:00.000Z</x:v>
      </x:c>
      <x:c r="C221" s="38" t="n">
        <x:v>0.4532663342</x:v>
      </x:c>
      <x:c r="D221" s="38" t="n">
        <x:v>0.0127385703</x:v>
      </x:c>
      <x:c r="E221" s="38" t="n">
        <x:v>-0.0656130637</x:v>
      </x:c>
      <x:c r="F221" s="38" t="n">
        <x:v>0.0325275596</x:v>
      </x:c>
      <x:c r="G221" s="38" t="n">
        <x:v>0.0597438518</x:v>
      </x:c>
      <x:c r="H221" s="38" t="n">
        <x:v>0.0433785462</x:v>
      </x:c>
      <x:c r="I221" s="38" t="n">
        <x:v>0.016427241</x:v>
      </x:c>
      <x:c r="J221" s="38" t="n">
        <x:v>0.1714067818</x:v>
      </x:c>
      <x:c r="K221" s="38" t="n">
        <x:v>0.0054788278</x:v>
      </x:c>
      <x:c r="L221" s="38" t="n">
        <x:v>0.0689989253</x:v>
      </x:c>
      <x:c r="M221" s="38" t="n">
        <x:v>0.1067005335</x:v>
      </x:c>
      <x:c r="N221" s="38" t="n">
        <x:v>0.0384724704</x:v>
      </x:c>
      <x:c r="O221" s="38" t="n">
        <x:v>0.0289295308</x:v>
      </x:c>
      <x:c r="P221" s="38" t="n">
        <x:v>-0.1055911502</x:v>
      </x:c>
      <x:c r="Q221" s="38" t="n">
        <x:v>0.0928271443</x:v>
      </x:c>
      <x:c r="R221" s="38" t="n">
        <x:v>0.101755655</x:v>
      </x:c>
      <x:c r="S221" s="38" t="n">
        <x:v>0.0272932273</x:v>
      </x:c>
      <x:c r="T221" s="38" t="n">
        <x:v>0.1700822515</x:v>
      </x:c>
      <x:c r="U221" s="38" t="n">
        <x:v>-0.1657834887</x:v>
      </x:c>
      <x:c r="V221" s="38" t="n">
        <x:v>0.1952388932</x:v>
      </x:c>
      <x:c r="W221" s="38" t="n">
        <x:v>0.0632463449</x:v>
      </x:c>
      <x:c r="X221" s="38" t="n">
        <x:v>0.0832576375</x:v>
      </x:c>
      <x:c r="Y221" s="38" t="n">
        <x:v>0.090170319</x:v>
      </x:c>
      <x:c r="Z221" s="38" t="n">
        <x:v>-0.0289022522</x:v>
      </x:c>
      <x:c r="AA221" s="38" t="n">
        <x:v>-0.0096384487</x:v>
      </x:c>
      <x:c r="AB221" s="38" t="n">
        <x:v>-0.0704418261</x:v>
      </x:c>
      <x:c r="AC221" s="38" t="n">
        <x:v>0.2896798607</x:v>
      </x:c>
      <x:c r="AD221" s="38" t="n">
        <x:v>-0.0102738711</x:v>
      </x:c>
      <x:c r="AE221" s="38" t="n">
        <x:v>-0.0134622294</x:v>
      </x:c>
      <x:c r="AF221" s="38" t="n">
        <x:v>0.2288314718</x:v>
      </x:c>
      <x:c r="AG221" s="38" t="n">
        <x:v>-0.020570357</x:v>
      </x:c>
      <x:c r="AH221" s="38" t="n">
        <x:v>-0.0329308871</x:v>
      </x:c>
      <x:c r="AI221" s="38" t="n">
        <x:v>0.1123042468</x:v>
      </x:c>
      <x:c r="AJ221" s="38" t="n">
        <x:v>0.0106247272</x:v>
      </x:c>
      <x:c r="AK221" s="38" t="n">
        <x:v>-0.0742567796</x:v>
      </x:c>
      <x:c r="AL221" s="38" t="n">
        <x:v>0.0318295051</x:v>
      </x:c>
      <x:c r="AM221" s="38" t="n">
        <x:v>-0.0301588551</x:v>
      </x:c>
      <x:c r="AN221" s="38" t="n">
        <x:v>0.0018369897</x:v>
      </x:c>
      <x:c r="AO221" s="38" t="n">
        <x:v>-0.0428112539</x:v>
      </x:c>
      <x:c r="AP221" s="38" t="n">
        <x:v>0.1080256222</x:v>
      </x:c>
      <x:c r="AQ221" s="38" t="n">
        <x:v>-0.0275492894</x:v>
      </x:c>
      <x:c r="AR221" s="38" t="n">
        <x:v>-0.033155623</x:v>
      </x:c>
      <x:c r="AS221" s="38" t="n">
        <x:v>0.032492799</x:v>
      </x:c>
    </x:row>
    <x:row r="222" ht="19" customHeight="1">
      <x:c r="A222" s="29" t="str">
        <x:v>Other FX</x:v>
      </x:c>
      <x:c r="B222" s="39" t="d">
        <x:v>2024-11-04T00:00:00.000Z</x:v>
      </x:c>
      <x:c r="C222" s="38" t="n">
        <x:v>0.1490706633</x:v>
      </x:c>
      <x:c r="D222" s="38" t="n">
        <x:v>-0.0724849474</x:v>
      </x:c>
      <x:c r="E222" s="38" t="n">
        <x:v>0.0147793783</x:v>
      </x:c>
      <x:c r="F222" s="38" t="n">
        <x:v>0.1573032157</x:v>
      </x:c>
      <x:c r="G222" s="38" t="n">
        <x:v>0.0985538689</x:v>
      </x:c>
      <x:c r="H222" s="38" t="n">
        <x:v>0.0348488027</x:v>
      </x:c>
      <x:c r="I222" s="38" t="n">
        <x:v>0.1028973385</x:v>
      </x:c>
      <x:c r="J222" s="38" t="n">
        <x:v>0.1763957358</x:v>
      </x:c>
      <x:c r="K222" s="38" t="n">
        <x:v>0.0339610856</x:v>
      </x:c>
      <x:c r="L222" s="38" t="n">
        <x:v>-0.0484996258</x:v>
      </x:c>
      <x:c r="M222" s="38" t="n">
        <x:v>-0.0905493222</x:v>
      </x:c>
      <x:c r="N222" s="38" t="n">
        <x:v>0.0307245298</x:v>
      </x:c>
      <x:c r="O222" s="38" t="n">
        <x:v>0.0768439196</x:v>
      </x:c>
      <x:c r="P222" s="38" t="n">
        <x:v>0.14481349</x:v>
      </x:c>
      <x:c r="Q222" s="38" t="n">
        <x:v>-0.0350743083</x:v>
      </x:c>
      <x:c r="R222" s="38" t="n">
        <x:v>-0.1588063417</x:v>
      </x:c>
      <x:c r="S222" s="38" t="n">
        <x:v>0.0416728708</x:v>
      </x:c>
      <x:c r="T222" s="38" t="n">
        <x:v>-0.1024140461</x:v>
      </x:c>
      <x:c r="U222" s="38" t="n">
        <x:v>-0.1115829184</x:v>
      </x:c>
      <x:c r="V222" s="38" t="n">
        <x:v>0.4161689106</x:v>
      </x:c>
      <x:c r="W222" s="38" t="n">
        <x:v>0.1506004581</x:v>
      </x:c>
      <x:c r="X222" s="38" t="n">
        <x:v>0.1345622811</x:v>
      </x:c>
      <x:c r="Y222" s="38" t="n">
        <x:v>0.1276595078</x:v>
      </x:c>
      <x:c r="Z222" s="38" t="n">
        <x:v>-0.1320106736</x:v>
      </x:c>
      <x:c r="AA222" s="38" t="n">
        <x:v>0.0447907339</x:v>
      </x:c>
      <x:c r="AB222" s="38" t="n">
        <x:v>-0.0227330835</x:v>
      </x:c>
      <x:c r="AC222" s="38" t="n">
        <x:v>0.6294521202</x:v>
      </x:c>
      <x:c r="AD222" s="38" t="n">
        <x:v>0.0050747835</x:v>
      </x:c>
      <x:c r="AE222" s="38" t="n">
        <x:v>0.1307033931</x:v>
      </x:c>
      <x:c r="AF222" s="38" t="n">
        <x:v>0.0768461422</x:v>
      </x:c>
      <x:c r="AG222" s="38" t="n">
        <x:v>0.1224770613</x:v>
      </x:c>
      <x:c r="AH222" s="38" t="n">
        <x:v>-0.2512666343</x:v>
      </x:c>
      <x:c r="AI222" s="38" t="n">
        <x:v>-0.1720578929</x:v>
      </x:c>
      <x:c r="AJ222" s="38" t="n">
        <x:v>-0.1366488016</x:v>
      </x:c>
      <x:c r="AK222" s="38" t="n">
        <x:v>0.1347203316</x:v>
      </x:c>
      <x:c r="AL222" s="38" t="n">
        <x:v>0.0509584228</x:v>
      </x:c>
      <x:c r="AM222" s="38" t="n">
        <x:v>0.0198086282</x:v>
      </x:c>
      <x:c r="AN222" s="38" t="n">
        <x:v>0.0686920153</x:v>
      </x:c>
      <x:c r="AO222" s="38" t="n">
        <x:v>0.0950978721</x:v>
      </x:c>
      <x:c r="AP222" s="38" t="n">
        <x:v>0.0247002884</x:v>
      </x:c>
      <x:c r="AQ222" s="38" t="n">
        <x:v>-0.0728182019</x:v>
      </x:c>
      <x:c r="AR222" s="38" t="n">
        <x:v>-0.0347462379</x:v>
      </x:c>
      <x:c r="AS222" s="38" t="n">
        <x:v>0.0153403967</x:v>
      </x:c>
    </x:row>
    <x:row r="223" ht="19" customHeight="1">
      <x:c r="A223" s="29" t="str">
        <x:v>Other FX</x:v>
      </x:c>
      <x:c r="B223" s="39" t="d">
        <x:v>2024-12-02T00:00:00.000Z</x:v>
      </x:c>
      <x:c r="C223" s="38" t="n">
        <x:v>0.145643113</x:v>
      </x:c>
      <x:c r="D223" s="38" t="n">
        <x:v>0.14748253</x:v>
      </x:c>
      <x:c r="E223" s="38" t="n">
        <x:v>0.0132498261</x:v>
      </x:c>
      <x:c r="F223" s="38" t="n">
        <x:v>0.0306564655</x:v>
      </x:c>
      <x:c r="G223" s="38" t="n">
        <x:v>0.2316300009</x:v>
      </x:c>
      <x:c r="H223" s="38" t="n">
        <x:v>0.1657644787</x:v>
      </x:c>
      <x:c r="I223" s="38" t="n">
        <x:v>0.1196957278</x:v>
      </x:c>
      <x:c r="J223" s="38" t="n">
        <x:v>0.0453923644</x:v>
      </x:c>
      <x:c r="K223" s="38" t="n">
        <x:v>-0.0418280141</x:v>
      </x:c>
      <x:c r="L223" s="38" t="n">
        <x:v>-0.0376396998</x:v>
      </x:c>
      <x:c r="M223" s="38" t="n">
        <x:v>0.0759413478</x:v>
      </x:c>
      <x:c r="N223" s="38" t="n">
        <x:v>0.0318657901</x:v>
      </x:c>
      <x:c r="O223" s="38" t="n">
        <x:v>0.0651565137</x:v>
      </x:c>
      <x:c r="P223" s="38" t="n">
        <x:v>0.0198584964</x:v>
      </x:c>
      <x:c r="Q223" s="38" t="n">
        <x:v>0.0850276512</x:v>
      </x:c>
      <x:c r="R223" s="38" t="n">
        <x:v>0.0515677147</x:v>
      </x:c>
      <x:c r="S223" s="38" t="n">
        <x:v>0.0874803737</x:v>
      </x:c>
      <x:c r="T223" s="38" t="n">
        <x:v>0.2403489227</x:v>
      </x:c>
      <x:c r="U223" s="38" t="n">
        <x:v>-0.0495993616</x:v>
      </x:c>
      <x:c r="V223" s="38" t="n">
        <x:v>0.1549768926</x:v>
      </x:c>
      <x:c r="W223" s="38" t="n">
        <x:v>0.2222042159</x:v>
      </x:c>
      <x:c r="X223" s="38" t="n">
        <x:v>0.0297549855</x:v>
      </x:c>
      <x:c r="Y223" s="38" t="n">
        <x:v>-0.1257908405</x:v>
      </x:c>
      <x:c r="Z223" s="38" t="n">
        <x:v>0.005442167</x:v>
      </x:c>
      <x:c r="AA223" s="38" t="n">
        <x:v>-0.0260587067</x:v>
      </x:c>
      <x:c r="AB223" s="38" t="n">
        <x:v>-0.2816487434</x:v>
      </x:c>
      <x:c r="AC223" s="38" t="n">
        <x:v>0.0223026546</x:v>
      </x:c>
      <x:c r="AD223" s="38" t="n">
        <x:v>0.0691011004</x:v>
      </x:c>
      <x:c r="AE223" s="38" t="n">
        <x:v>-0.0069971095</x:v>
      </x:c>
      <x:c r="AF223" s="38" t="n">
        <x:v>0.1009314758</x:v>
      </x:c>
      <x:c r="AG223" s="38" t="n">
        <x:v>0.0634992471</x:v>
      </x:c>
      <x:c r="AH223" s="38" t="n">
        <x:v>-0.0303064137</x:v>
      </x:c>
      <x:c r="AI223" s="38" t="n">
        <x:v>-0.0596099495</x:v>
      </x:c>
      <x:c r="AJ223" s="38" t="n">
        <x:v>-0.0050648751</x:v>
      </x:c>
      <x:c r="AK223" s="38" t="n">
        <x:v>-0.0331101474</x:v>
      </x:c>
      <x:c r="AL223" s="38" t="n">
        <x:v>-0.097218127</x:v>
      </x:c>
      <x:c r="AM223" s="38" t="n">
        <x:v>0.0840747273</x:v>
      </x:c>
      <x:c r="AN223" s="38" t="n">
        <x:v>-0.0108226654</x:v>
      </x:c>
      <x:c r="AO223" s="38" t="n">
        <x:v>0.0823283172</x:v>
      </x:c>
      <x:c r="AP223" s="38" t="n">
        <x:v>0.115050437</x:v>
      </x:c>
      <x:c r="AQ223" s="38" t="n">
        <x:v>0.0046219604</x:v>
      </x:c>
      <x:c r="AR223" s="38" t="n">
        <x:v>-0.0325299254</x:v>
      </x:c>
      <x:c r="AS223" s="38" t="n">
        <x:v>0.0196359004</x:v>
      </x:c>
    </x:row>
    <x:row r="224" ht="19" customHeight="1">
      <x:c r="A224" s="29" t="str">
        <x:v>Other FX</x:v>
      </x:c>
      <x:c r="B224" s="39" t="d">
        <x:v>2024-12-30T00:00:00.000Z</x:v>
      </x:c>
      <x:c r="C224" s="38" t="n">
        <x:v>0.0201833873</x:v>
      </x:c>
      <x:c r="D224" s="38" t="n">
        <x:v>-0.0599227315</x:v>
      </x:c>
      <x:c r="E224" s="38" t="n">
        <x:v>-0.0123891423</x:v>
      </x:c>
      <x:c r="F224" s="38" t="n">
        <x:v>0.0145417574</x:v>
      </x:c>
      <x:c r="G224" s="38" t="n">
        <x:v>-0.0045921512</x:v>
      </x:c>
      <x:c r="H224" s="38" t="n">
        <x:v>-0.077155833</x:v>
      </x:c>
      <x:c r="I224" s="38" t="n">
        <x:v>-0.0104371349</x:v>
      </x:c>
      <x:c r="J224" s="38" t="n">
        <x:v>-0.1257276214</x:v>
      </x:c>
      <x:c r="K224" s="38" t="n">
        <x:v>-0.0607911069</x:v>
      </x:c>
      <x:c r="L224" s="38" t="n">
        <x:v>-0.0699383844</x:v>
      </x:c>
      <x:c r="M224" s="38" t="n">
        <x:v>0.0031039502</x:v>
      </x:c>
      <x:c r="N224" s="38" t="n">
        <x:v>0.0349415856</x:v>
      </x:c>
      <x:c r="O224" s="38" t="n">
        <x:v>-0.0657375743</x:v>
      </x:c>
      <x:c r="P224" s="38" t="n">
        <x:v>-0.1339288016</x:v>
      </x:c>
      <x:c r="Q224" s="38" t="n">
        <x:v>0.0799800683</x:v>
      </x:c>
      <x:c r="R224" s="38" t="n">
        <x:v>-0.1446113991</x:v>
      </x:c>
      <x:c r="S224" s="38" t="n">
        <x:v>0.0304350158</x:v>
      </x:c>
      <x:c r="T224" s="38" t="n">
        <x:v>-0.0348221492</x:v>
      </x:c>
      <x:c r="U224" s="38" t="n">
        <x:v>0.0147892049</x:v>
      </x:c>
      <x:c r="V224" s="38" t="n">
        <x:v>-0.1114094314</x:v>
      </x:c>
      <x:c r="W224" s="38" t="n">
        <x:v>-0.0238020013</x:v>
      </x:c>
      <x:c r="X224" s="38" t="n">
        <x:v>-0.0890398887</x:v>
      </x:c>
      <x:c r="Y224" s="38" t="n">
        <x:v>-0.1401190651</x:v>
      </x:c>
      <x:c r="Z224" s="38" t="n">
        <x:v>0.0104151904</x:v>
      </x:c>
      <x:c r="AA224" s="38" t="n">
        <x:v>-0.0437331329</x:v>
      </x:c>
      <x:c r="AB224" s="38" t="n">
        <x:v>-0.1125470933</x:v>
      </x:c>
      <x:c r="AC224" s="38" t="n">
        <x:v>-0.1889920836</x:v>
      </x:c>
      <x:c r="AD224" s="38" t="n">
        <x:v>-0.0277729451</x:v>
      </x:c>
      <x:c r="AE224" s="38" t="n">
        <x:v>-0.0099249435</x:v>
      </x:c>
      <x:c r="AF224" s="38" t="n">
        <x:v>-0.1070318533</x:v>
      </x:c>
      <x:c r="AG224" s="38" t="n">
        <x:v>0.2232582372</x:v>
      </x:c>
      <x:c r="AH224" s="38" t="n">
        <x:v>0.0511001216</x:v>
      </x:c>
      <x:c r="AI224" s="38" t="n">
        <x:v>-0.1082645629</x:v>
      </x:c>
      <x:c r="AJ224" s="38" t="n">
        <x:v>-0.0685121992</x:v>
      </x:c>
      <x:c r="AK224" s="38" t="n">
        <x:v>-0.0326559765</x:v>
      </x:c>
      <x:c r="AL224" s="38" t="n">
        <x:v>0.0616488713</x:v>
      </x:c>
      <x:c r="AM224" s="38" t="n">
        <x:v>-0.0339867979</x:v>
      </x:c>
      <x:c r="AN224" s="38" t="n">
        <x:v>0.0857452577</x:v>
      </x:c>
      <x:c r="AO224" s="38" t="n">
        <x:v>-0.0618331283</x:v>
      </x:c>
      <x:c r="AP224" s="38" t="n">
        <x:v>-0.0694042791</x:v>
      </x:c>
      <x:c r="AQ224" s="38" t="n">
        <x:v>0.0261302659</x:v>
      </x:c>
      <x:c r="AR224" s="38" t="n">
        <x:v>-0.0250959857</x:v>
      </x:c>
      <x:c r="AS224" s="38" t="n">
        <x:v>-0.0339510568</x:v>
      </x:c>
    </x:row>
    <x:row r="225" ht="19" customHeight="1">
      <x:c r="A225" s="29" t="str">
        <x:v>Other FX</x:v>
      </x:c>
      <x:c r="B225" s="39" t="d">
        <x:v>2025-01-27T00:00:00.000Z</x:v>
      </x:c>
      <x:c r="C225" s="38" t="n">
        <x:v>0.0428795193</x:v>
      </x:c>
      <x:c r="D225" s="38" t="n">
        <x:v>-0.0402676341</x:v>
      </x:c>
      <x:c r="E225" s="38" t="n">
        <x:v>0.0542909758</x:v>
      </x:c>
      <x:c r="F225" s="38" t="n">
        <x:v>0.0696980512</x:v>
      </x:c>
      <x:c r="G225" s="38" t="n">
        <x:v>0.0010163595</x:v>
      </x:c>
      <x:c r="H225" s="38" t="n">
        <x:v>-0.0330236329</x:v>
      </x:c>
      <x:c r="I225" s="38" t="n">
        <x:v>0.0618853344</x:v>
      </x:c>
      <x:c r="J225" s="38" t="n">
        <x:v>-0.0737782208</x:v>
      </x:c>
      <x:c r="K225" s="38" t="n">
        <x:v>0.0281582945</x:v>
      </x:c>
      <x:c r="L225" s="38" t="n">
        <x:v>0.0950712859</x:v>
      </x:c>
      <x:c r="M225" s="38" t="n">
        <x:v>0.028605239</x:v>
      </x:c>
      <x:c r="N225" s="38" t="n">
        <x:v>0.1168413309</x:v>
      </x:c>
      <x:c r="O225" s="38" t="n">
        <x:v>0.1363024896</x:v>
      </x:c>
      <x:c r="P225" s="38" t="n">
        <x:v>-0.0054681282</x:v>
      </x:c>
      <x:c r="Q225" s="38" t="n">
        <x:v>-0.1047622376</x:v>
      </x:c>
      <x:c r="R225" s="38" t="n">
        <x:v>0.1867518194</x:v>
      </x:c>
      <x:c r="S225" s="38" t="n">
        <x:v>-0.0034652605</x:v>
      </x:c>
      <x:c r="T225" s="38" t="n">
        <x:v>0.2107097611</x:v>
      </x:c>
      <x:c r="U225" s="38" t="n">
        <x:v>-0.0652607848</x:v>
      </x:c>
      <x:c r="V225" s="38" t="n">
        <x:v>0.0249894905</x:v>
      </x:c>
      <x:c r="W225" s="38" t="n">
        <x:v>0.1125086266</x:v>
      </x:c>
      <x:c r="X225" s="38" t="n">
        <x:v>-0.1563212894</x:v>
      </x:c>
      <x:c r="Y225" s="38" t="n">
        <x:v>-0.0097527665</x:v>
      </x:c>
      <x:c r="Z225" s="38" t="n">
        <x:v>0.1148904068</x:v>
      </x:c>
      <x:c r="AA225" s="38" t="n">
        <x:v>0.0216451759</x:v>
      </x:c>
      <x:c r="AB225" s="38" t="n">
        <x:v>-0.5016280207</x:v>
      </x:c>
      <x:c r="AC225" s="38" t="n">
        <x:v>0.0211456258</x:v>
      </x:c>
      <x:c r="AD225" s="38" t="n">
        <x:v>-0.0155150606</x:v>
      </x:c>
      <x:c r="AE225" s="38" t="n">
        <x:v>0.0136331214</x:v>
      </x:c>
      <x:c r="AF225" s="38" t="n">
        <x:v>-0.0365979481</x:v>
      </x:c>
      <x:c r="AG225" s="38" t="n">
        <x:v>0.0221587157</x:v>
      </x:c>
      <x:c r="AH225" s="38" t="n">
        <x:v>0.0434730583</x:v>
      </x:c>
      <x:c r="AI225" s="38" t="n">
        <x:v>-0.136996272</x:v>
      </x:c>
      <x:c r="AJ225" s="38" t="n">
        <x:v>0.0456417036</x:v>
      </x:c>
      <x:c r="AK225" s="38" t="n">
        <x:v>0.0747287505</x:v>
      </x:c>
      <x:c r="AL225" s="38" t="n">
        <x:v>0.0130365751</x:v>
      </x:c>
      <x:c r="AM225" s="38" t="n">
        <x:v>-0.0403969246</x:v>
      </x:c>
      <x:c r="AN225" s="38" t="n">
        <x:v>0.0877098421</x:v>
      </x:c>
      <x:c r="AO225" s="38" t="n">
        <x:v>0.0404999575</x:v>
      </x:c>
      <x:c r="AP225" s="38" t="n">
        <x:v>0.0419789706</x:v>
      </x:c>
      <x:c r="AQ225" s="38" t="n">
        <x:v>0.0016906512</x:v>
      </x:c>
      <x:c r="AR225" s="38" t="n">
        <x:v>0.0428347725</x:v>
      </x:c>
      <x:c r="AS225" s="38" t="n">
        <x:v>0.0263056901</x:v>
      </x:c>
    </x:row>
    <x:row r="226" ht="19" customHeight="1">
      <x:c r="A226" s="29" t="str">
        <x:v>Other FX</x:v>
      </x:c>
      <x:c r="B226" s="39" t="d">
        <x:v>2025-02-24T00:00:00.000Z</x:v>
      </x:c>
      <x:c r="C226" s="38" t="n">
        <x:v>-0.2899232366</x:v>
      </x:c>
      <x:c r="D226" s="38" t="n">
        <x:v>-0.1130026692</x:v>
      </x:c>
      <x:c r="E226" s="38" t="n">
        <x:v>0.0897883731</x:v>
      </x:c>
      <x:c r="F226" s="38" t="n">
        <x:v>0.1030463009</x:v>
      </x:c>
      <x:c r="G226" s="38" t="n">
        <x:v>0.0000054212</x:v>
      </x:c>
      <x:c r="H226" s="38" t="n">
        <x:v>-0.0925697047</x:v>
      </x:c>
      <x:c r="I226" s="38" t="n">
        <x:v>-0.1628643398</x:v>
      </x:c>
      <x:c r="J226" s="38" t="n">
        <x:v>-0.2937620031</x:v>
      </x:c>
      <x:c r="K226" s="38" t="n">
        <x:v>0.0151761091</x:v>
      </x:c>
      <x:c r="L226" s="38" t="n">
        <x:v>-0.0218098367</x:v>
      </x:c>
      <x:c r="M226" s="38" t="n">
        <x:v>-0.1896558589</x:v>
      </x:c>
      <x:c r="N226" s="38" t="n">
        <x:v>0.0011714123</x:v>
      </x:c>
      <x:c r="O226" s="38" t="n">
        <x:v>-0.0258163681</x:v>
      </x:c>
      <x:c r="P226" s="38" t="n">
        <x:v>-0.0432044028</x:v>
      </x:c>
      <x:c r="Q226" s="38" t="n">
        <x:v>0.2167166816</x:v>
      </x:c>
      <x:c r="R226" s="38" t="n">
        <x:v>0.0411672056</x:v>
      </x:c>
      <x:c r="S226" s="38" t="n">
        <x:v>0.0736182911</x:v>
      </x:c>
      <x:c r="T226" s="38" t="n">
        <x:v>0.0195707892</x:v>
      </x:c>
      <x:c r="U226" s="38" t="n">
        <x:v>-0.3160583942</x:v>
      </x:c>
      <x:c r="V226" s="38" t="n">
        <x:v>-0.32949972</x:v>
      </x:c>
      <x:c r="W226" s="38" t="n">
        <x:v>-0.0058463064</x:v>
      </x:c>
      <x:c r="X226" s="38" t="n">
        <x:v>0.0723955289</x:v>
      </x:c>
      <x:c r="Y226" s="38" t="n">
        <x:v>-0.0064177259</x:v>
      </x:c>
      <x:c r="Z226" s="38" t="n">
        <x:v>0.0114528964</x:v>
      </x:c>
      <x:c r="AA226" s="38" t="n">
        <x:v>0.1539887953</x:v>
      </x:c>
      <x:c r="AB226" s="38" t="n">
        <x:v>-0.3178967064</x:v>
      </x:c>
      <x:c r="AC226" s="38" t="n">
        <x:v>0.0134002017</x:v>
      </x:c>
      <x:c r="AD226" s="38" t="n">
        <x:v>0.0554605244</x:v>
      </x:c>
      <x:c r="AE226" s="38" t="n">
        <x:v>-0.0344594464</x:v>
      </x:c>
      <x:c r="AF226" s="38" t="n">
        <x:v>-0.0853166164</x:v>
      </x:c>
      <x:c r="AG226" s="38" t="n">
        <x:v>-0.0358779294</x:v>
      </x:c>
      <x:c r="AH226" s="38" t="n">
        <x:v>-0.1357312666</x:v>
      </x:c>
      <x:c r="AI226" s="38" t="n">
        <x:v>-0.2398857846</x:v>
      </x:c>
      <x:c r="AJ226" s="38" t="n">
        <x:v>0.1626880389</x:v>
      </x:c>
      <x:c r="AK226" s="38" t="n">
        <x:v>0.140602423</x:v>
      </x:c>
      <x:c r="AL226" s="38" t="n">
        <x:v>0.0439009057</x:v>
      </x:c>
      <x:c r="AM226" s="38" t="n">
        <x:v>-0.0749010456</x:v>
      </x:c>
      <x:c r="AN226" s="38" t="n">
        <x:v>-0.2335647639</x:v>
      </x:c>
      <x:c r="AO226" s="38" t="n">
        <x:v>0.0605923722</x:v>
      </x:c>
      <x:c r="AP226" s="38" t="n">
        <x:v>-0.0627124514</x:v>
      </x:c>
      <x:c r="AQ226" s="38" t="n">
        <x:v>0.125338166</x:v>
      </x:c>
      <x:c r="AR226" s="38" t="n">
        <x:v>0.0958154663</x:v>
      </x:c>
      <x:c r="AS226" s="38" t="n">
        <x:v>0.1046012204</x:v>
      </x:c>
    </x:row>
    <x:row r="227" ht="19" customHeight="1">
      <x:c r="A227" s="29" t="str">
        <x:v>Other FX</x:v>
      </x:c>
      <x:c r="B227" s="39" t="d">
        <x:v>2025-03-24T00:00:00.000Z</x:v>
      </x:c>
      <x:c r="C227" s="38" t="n">
        <x:v>-0.1465156714</x:v>
      </x:c>
      <x:c r="D227" s="38" t="n">
        <x:v>-0.1222623078</x:v>
      </x:c>
      <x:c r="E227" s="38" t="n">
        <x:v>-0.015698596</x:v>
      </x:c>
      <x:c r="F227" s="38" t="n">
        <x:v>-0.0434024164</x:v>
      </x:c>
      <x:c r="G227" s="38" t="n">
        <x:v>-0.2093195632</x:v>
      </x:c>
      <x:c r="H227" s="38" t="n">
        <x:v>-0.1215050687</x:v>
      </x:c>
      <x:c r="I227" s="38" t="n">
        <x:v>-0.0759029109</x:v>
      </x:c>
      <x:c r="J227" s="38" t="n">
        <x:v>-0.2090862283</x:v>
      </x:c>
      <x:c r="K227" s="38" t="n">
        <x:v>-0.1310724535</x:v>
      </x:c>
      <x:c r="L227" s="38" t="n">
        <x:v>0.0073502252</x:v>
      </x:c>
      <x:c r="M227" s="38" t="n">
        <x:v>-0.0595807063</x:v>
      </x:c>
      <x:c r="N227" s="38" t="n">
        <x:v>-0.0120663013</x:v>
      </x:c>
      <x:c r="O227" s="38" t="n">
        <x:v>-0.0731170445</x:v>
      </x:c>
      <x:c r="P227" s="38" t="n">
        <x:v>-0.1482069926</x:v>
      </x:c>
      <x:c r="Q227" s="38" t="n">
        <x:v>-0.0684893436</x:v>
      </x:c>
      <x:c r="R227" s="38" t="n">
        <x:v>-0.2908460718</x:v>
      </x:c>
      <x:c r="S227" s="38" t="n">
        <x:v>0.0250944738</x:v>
      </x:c>
      <x:c r="T227" s="38" t="n">
        <x:v>-0.1546779799</x:v>
      </x:c>
      <x:c r="U227" s="38" t="n">
        <x:v>-0.0081998442</x:v>
      </x:c>
      <x:c r="V227" s="38" t="n">
        <x:v>-0.0215919489</x:v>
      </x:c>
      <x:c r="W227" s="38" t="n">
        <x:v>-0.1666490864</x:v>
      </x:c>
      <x:c r="X227" s="38" t="n">
        <x:v>0.0029852512</x:v>
      </x:c>
      <x:c r="Y227" s="38" t="n">
        <x:v>-0.0040265806</x:v>
      </x:c>
      <x:c r="Z227" s="38" t="n">
        <x:v>0.0731323024</x:v>
      </x:c>
      <x:c r="AA227" s="38" t="n">
        <x:v>-0.0369742165</x:v>
      </x:c>
      <x:c r="AB227" s="38" t="n">
        <x:v>0.2299732458</x:v>
      </x:c>
      <x:c r="AC227" s="38" t="n">
        <x:v>-0.1929121276</x:v>
      </x:c>
      <x:c r="AD227" s="38" t="n">
        <x:v>-0.0741782412</x:v>
      </x:c>
      <x:c r="AE227" s="38" t="n">
        <x:v>-0.0244651435</x:v>
      </x:c>
      <x:c r="AF227" s="38" t="n">
        <x:v>-0.2810942217</x:v>
      </x:c>
      <x:c r="AG227" s="38" t="n">
        <x:v>-0.0482673125</x:v>
      </x:c>
      <x:c r="AH227" s="38" t="n">
        <x:v>0.1572703208</x:v>
      </x:c>
      <x:c r="AI227" s="38" t="n">
        <x:v>0.0589699028</x:v>
      </x:c>
      <x:c r="AJ227" s="38" t="n">
        <x:v>-0.1448046283</x:v>
      </x:c>
      <x:c r="AK227" s="38" t="n">
        <x:v>-0.0474240434</x:v>
      </x:c>
      <x:c r="AL227" s="38" t="n">
        <x:v>0.064671577</x:v>
      </x:c>
      <x:c r="AM227" s="38" t="n">
        <x:v>-0.057720087</x:v>
      </x:c>
      <x:c r="AN227" s="38" t="n">
        <x:v>-0.0980077132</x:v>
      </x:c>
      <x:c r="AO227" s="38" t="n">
        <x:v>-0.129293774</x:v>
      </x:c>
      <x:c r="AP227" s="38" t="n">
        <x:v>-0.1496085923</x:v>
      </x:c>
      <x:c r="AQ227" s="38" t="n">
        <x:v>-0.0365323872</x:v>
      </x:c>
      <x:c r="AR227" s="38" t="n">
        <x:v>-0.0333441899</x:v>
      </x:c>
      <x:c r="AS227" s="38" t="n">
        <x:v>-0.0224446066</x:v>
      </x:c>
    </x:row>
    <x:row r="228" ht="19" customHeight="1">
      <x:c r="A228" s="29" t="str">
        <x:v>Other FX</x:v>
      </x:c>
      <x:c r="B228" s="39" t="d">
        <x:v>2025-04-21T00:00:00.000Z</x:v>
      </x:c>
      <x:c r="C228" s="38" t="n">
        <x:v>0.080540274</x:v>
      </x:c>
      <x:c r="D228" s="38" t="n">
        <x:v>-0.0265181883</x:v>
      </x:c>
      <x:c r="E228" s="38" t="n">
        <x:v>-0.0560296263</x:v>
      </x:c>
      <x:c r="F228" s="38" t="n">
        <x:v>0.0030837883</x:v>
      </x:c>
      <x:c r="G228" s="38" t="n">
        <x:v>-0.154468361</x:v>
      </x:c>
      <x:c r="H228" s="38" t="n">
        <x:v>0.0249967139</x:v>
      </x:c>
      <x:c r="I228" s="38" t="n">
        <x:v>-0.1229271351</x:v>
      </x:c>
      <x:c r="J228" s="38" t="n">
        <x:v>0.1194188209</x:v>
      </x:c>
      <x:c r="K228" s="38" t="n">
        <x:v>-0.0882176565</x:v>
      </x:c>
      <x:c r="L228" s="38" t="n">
        <x:v>-0.1873878546</x:v>
      </x:c>
      <x:c r="M228" s="38" t="n">
        <x:v>-0.029547637</x:v>
      </x:c>
      <x:c r="N228" s="38" t="n">
        <x:v>0.0728898426</x:v>
      </x:c>
      <x:c r="O228" s="38" t="n">
        <x:v>-0.0274180084</x:v>
      </x:c>
      <x:c r="P228" s="38" t="n">
        <x:v>-0.0080533343</x:v>
      </x:c>
      <x:c r="Q228" s="38" t="n">
        <x:v>0.0183558218</x:v>
      </x:c>
      <x:c r="R228" s="38" t="n">
        <x:v>-0.1374266054</x:v>
      </x:c>
      <x:c r="S228" s="38" t="n">
        <x:v>-0.0254746936</x:v>
      </x:c>
      <x:c r="T228" s="38" t="n">
        <x:v>-0.006549316</x:v>
      </x:c>
      <x:c r="U228" s="38" t="n">
        <x:v>-0.3093127176</x:v>
      </x:c>
      <x:c r="V228" s="38" t="n">
        <x:v>0.0386157037</x:v>
      </x:c>
      <x:c r="W228" s="38" t="n">
        <x:v>0.0967334026</x:v>
      </x:c>
      <x:c r="X228" s="38" t="n">
        <x:v>-0.1542747059</x:v>
      </x:c>
      <x:c r="Y228" s="38" t="n">
        <x:v>-0.1734098721</x:v>
      </x:c>
      <x:c r="Z228" s="38" t="n">
        <x:v>0.0607559698</x:v>
      </x:c>
      <x:c r="AA228" s="38" t="n">
        <x:v>-0.1051712348</x:v>
      </x:c>
      <x:c r="AB228" s="38" t="n">
        <x:v>-0.201103439</x:v>
      </x:c>
      <x:c r="AC228" s="38" t="n">
        <x:v>-0.2160272652</x:v>
      </x:c>
      <x:c r="AD228" s="38" t="n">
        <x:v>-0.0664264848</x:v>
      </x:c>
      <x:c r="AE228" s="38" t="n">
        <x:v>-0.0509355069</x:v>
      </x:c>
      <x:c r="AF228" s="38" t="n">
        <x:v>0.0366189572</x:v>
      </x:c>
      <x:c r="AG228" s="38" t="n">
        <x:v>-0.0997479656</x:v>
      </x:c>
      <x:c r="AH228" s="38" t="n">
        <x:v>0.0783485253</x:v>
      </x:c>
      <x:c r="AI228" s="38" t="n">
        <x:v>-0.3077498599</x:v>
      </x:c>
      <x:c r="AJ228" s="38" t="n">
        <x:v>0.094747337</x:v>
      </x:c>
      <x:c r="AK228" s="38" t="n">
        <x:v>-0.1050247179</x:v>
      </x:c>
      <x:c r="AL228" s="38" t="n">
        <x:v>-0.0961814611</x:v>
      </x:c>
      <x:c r="AM228" s="38" t="n">
        <x:v>-0.0860549827</x:v>
      </x:c>
      <x:c r="AN228" s="38" t="n">
        <x:v>-0.0314532445</x:v>
      </x:c>
      <x:c r="AO228" s="38" t="n">
        <x:v>0.0386213504</x:v>
      </x:c>
      <x:c r="AP228" s="38" t="n">
        <x:v>-0.0637560275</x:v>
      </x:c>
      <x:c r="AQ228" s="38" t="n">
        <x:v>-0.0326065813</x:v>
      </x:c>
      <x:c r="AR228" s="38" t="n">
        <x:v>-0.1149328536</x:v>
      </x:c>
      <x:c r="AS228" s="38" t="n">
        <x:v>-0.0405355156</x:v>
      </x:c>
    </x:row>
    <x:row r="229" ht="19" customHeight="1">
      <x:c r="A229" s="29" t="str">
        <x:v>Other FX</x:v>
      </x:c>
      <x:c r="B229" s="39" t="d">
        <x:v>2025-05-19T00:00:00.000Z</x:v>
      </x:c>
      <x:c r="C229" s="38" t="n">
        <x:v>0.293747019</x:v>
      </x:c>
      <x:c r="D229" s="38" t="n">
        <x:v>0.0101192952</x:v>
      </x:c>
      <x:c r="E229" s="38" t="n">
        <x:v>-0.0933473098</x:v>
      </x:c>
      <x:c r="F229" s="38" t="n">
        <x:v>-0.0187145081</x:v>
      </x:c>
      <x:c r="G229" s="38" t="n">
        <x:v>0.2078675957</x:v>
      </x:c>
      <x:c r="H229" s="38" t="n">
        <x:v>-0.0485086772</x:v>
      </x:c>
      <x:c r="I229" s="38" t="n">
        <x:v>0.0204021172</x:v>
      </x:c>
      <x:c r="J229" s="38" t="n">
        <x:v>0.1502276652</x:v>
      </x:c>
      <x:c r="K229" s="38" t="n">
        <x:v>0.1814226553</x:v>
      </x:c>
      <x:c r="L229" s="38" t="n">
        <x:v>0.1714280134</x:v>
      </x:c>
      <x:c r="M229" s="38" t="n">
        <x:v>0.1903784385</x:v>
      </x:c>
      <x:c r="N229" s="38" t="n">
        <x:v>0.1155102275</x:v>
      </x:c>
      <x:c r="O229" s="38" t="n">
        <x:v>0.045060481</x:v>
      </x:c>
      <x:c r="P229" s="38" t="n">
        <x:v>0.1433184984</x:v>
      </x:c>
      <x:c r="Q229" s="38" t="n">
        <x:v>-0.0285741969</x:v>
      </x:c>
      <x:c r="R229" s="38" t="n">
        <x:v>-0.1242909142</x:v>
      </x:c>
      <x:c r="S229" s="38" t="n">
        <x:v>0.0372274284</x:v>
      </x:c>
      <x:c r="T229" s="38" t="n">
        <x:v>0.2421220009</x:v>
      </x:c>
      <x:c r="U229" s="38" t="n">
        <x:v>-0.0812371367</x:v>
      </x:c>
      <x:c r="V229" s="38" t="n">
        <x:v>0.1160646579</x:v>
      </x:c>
      <x:c r="W229" s="38" t="n">
        <x:v>0.0894569104</x:v>
      </x:c>
      <x:c r="X229" s="38" t="n">
        <x:v>-0.0463502591</x:v>
      </x:c>
      <x:c r="Y229" s="38" t="n">
        <x:v>0.0751384499</x:v>
      </x:c>
      <x:c r="Z229" s="38" t="n">
        <x:v>-0.0825907399</x:v>
      </x:c>
      <x:c r="AA229" s="38" t="n">
        <x:v>0.0187533104</x:v>
      </x:c>
      <x:c r="AB229" s="38" t="n">
        <x:v>0.2183407491</x:v>
      </x:c>
      <x:c r="AC229" s="38" t="n">
        <x:v>-0.2650004821</x:v>
      </x:c>
      <x:c r="AD229" s="38" t="n">
        <x:v>-0.0366113641</x:v>
      </x:c>
      <x:c r="AE229" s="38" t="n">
        <x:v>0.0097358767</x:v>
      </x:c>
      <x:c r="AF229" s="38" t="n">
        <x:v>0.0927023056</x:v>
      </x:c>
      <x:c r="AG229" s="38" t="n">
        <x:v>0.0777081779</x:v>
      </x:c>
      <x:c r="AH229" s="38" t="n">
        <x:v>-0.0477960437</x:v>
      </x:c>
      <x:c r="AI229" s="38" t="n">
        <x:v>0.0598098469</x:v>
      </x:c>
      <x:c r="AJ229" s="38" t="n">
        <x:v>-0.2809064427</x:v>
      </x:c>
      <x:c r="AK229" s="38" t="n">
        <x:v>-0.0182128516</x:v>
      </x:c>
      <x:c r="AL229" s="38" t="n">
        <x:v>0.0849150415</x:v>
      </x:c>
      <x:c r="AM229" s="38" t="n">
        <x:v>0.1300131104</x:v>
      </x:c>
      <x:c r="AN229" s="38" t="n">
        <x:v>0.0424220838</x:v>
      </x:c>
      <x:c r="AO229" s="38" t="n">
        <x:v>-0.0614457602</x:v>
      </x:c>
      <x:c r="AP229" s="38" t="n">
        <x:v>-0.0468641159</x:v>
      </x:c>
      <x:c r="AQ229" s="38" t="n">
        <x:v>-0.0668427735</x:v>
      </x:c>
      <x:c r="AR229" s="38" t="n">
        <x:v>-0.0562038797</x:v>
      </x:c>
      <x:c r="AS229" s="38" t="n">
        <x:v>-0.0788693989</x:v>
      </x:c>
    </x:row>
    <x:row r="230" ht="19" customHeight="1">
      <x:c r="A230" s="29" t="str">
        <x:v>Other FX</x:v>
      </x:c>
      <x:c r="B230" s="39" t="d">
        <x:v>2025-06-16T00:00:00.000Z</x:v>
      </x:c>
      <x:c r="C230" s="38" t="n">
        <x:v>0.2125294656</x:v>
      </x:c>
      <x:c r="D230" s="38" t="n">
        <x:v>-0.0011227547</x:v>
      </x:c>
      <x:c r="E230" s="38" t="n">
        <x:v>-0.0246934301</x:v>
      </x:c>
      <x:c r="F230" s="38" t="n">
        <x:v>-0.0302808818</x:v>
      </x:c>
      <x:c r="G230" s="38" t="n">
        <x:v>0.093031926</x:v>
      </x:c>
      <x:c r="H230" s="38" t="n">
        <x:v>0.0571963329</x:v>
      </x:c>
      <x:c r="I230" s="38" t="n">
        <x:v>0.0223299469</x:v>
      </x:c>
      <x:c r="J230" s="38" t="n">
        <x:v>0.0244231056</x:v>
      </x:c>
      <x:c r="K230" s="38" t="n">
        <x:v>0.219124885</x:v>
      </x:c>
      <x:c r="L230" s="38" t="n">
        <x:v>0.1248603276</x:v>
      </x:c>
      <x:c r="M230" s="38" t="n">
        <x:v>0.0713808252</x:v>
      </x:c>
      <x:c r="N230" s="38" t="n">
        <x:v>-0.0237046725</x:v>
      </x:c>
      <x:c r="O230" s="38" t="n">
        <x:v>-0.0232990575</x:v>
      </x:c>
      <x:c r="P230" s="38" t="n">
        <x:v>0.2392134796</x:v>
      </x:c>
      <x:c r="Q230" s="38" t="n">
        <x:v>0.0927451261</x:v>
      </x:c>
      <x:c r="R230" s="38" t="n">
        <x:v>-0.0305146559</x:v>
      </x:c>
      <x:c r="S230" s="38" t="n">
        <x:v>-0.0516208321</x:v>
      </x:c>
      <x:c r="T230" s="38" t="n">
        <x:v>0.1286410504</x:v>
      </x:c>
      <x:c r="U230" s="38" t="n">
        <x:v>-0.0193479598</x:v>
      </x:c>
      <x:c r="V230" s="38" t="n">
        <x:v>0.0526038049</x:v>
      </x:c>
      <x:c r="W230" s="38" t="n">
        <x:v>0.0110249911</x:v>
      </x:c>
      <x:c r="X230" s="38" t="n">
        <x:v>0.0037179745</x:v>
      </x:c>
      <x:c r="Y230" s="38" t="n">
        <x:v>0.380920553</x:v>
      </x:c>
      <x:c r="Z230" s="38" t="n">
        <x:v>0.1079087091</x:v>
      </x:c>
      <x:c r="AA230" s="38" t="n">
        <x:v>-0.0881227349</x:v>
      </x:c>
      <x:c r="AB230" s="38" t="n">
        <x:v>0.0692479625</x:v>
      </x:c>
      <x:c r="AC230" s="38" t="n">
        <x:v>0.2685419926</x:v>
      </x:c>
      <x:c r="AD230" s="38" t="n">
        <x:v>-0.0229896437</x:v>
      </x:c>
      <x:c r="AE230" s="38" t="n">
        <x:v>0.0191230578</x:v>
      </x:c>
      <x:c r="AF230" s="38" t="n">
        <x:v>0.050690276</x:v>
      </x:c>
      <x:c r="AG230" s="38" t="n">
        <x:v>-0.0308311763</x:v>
      </x:c>
      <x:c r="AH230" s="38" t="n">
        <x:v>0.0591496851</x:v>
      </x:c>
      <x:c r="AI230" s="38" t="n">
        <x:v>0.1147761826</x:v>
      </x:c>
      <x:c r="AJ230" s="38" t="n">
        <x:v>0.0890398801</x:v>
      </x:c>
      <x:c r="AK230" s="38" t="n">
        <x:v>-0.0013292281</x:v>
      </x:c>
      <x:c r="AL230" s="38" t="n">
        <x:v>-0.0783099836</x:v>
      </x:c>
      <x:c r="AM230" s="38" t="n">
        <x:v>0.0335229546</x:v>
      </x:c>
      <x:c r="AN230" s="38" t="n">
        <x:v>-0.0665078305</x:v>
      </x:c>
      <x:c r="AO230" s="38" t="n">
        <x:v>-0.0320072615</x:v>
      </x:c>
      <x:c r="AP230" s="38" t="n">
        <x:v>-0.0456583304</x:v>
      </x:c>
      <x:c r="AQ230" s="38" t="n">
        <x:v>-0.0581687307</x:v>
      </x:c>
      <x:c r="AR230" s="38" t="n">
        <x:v>-0.0288257045</x:v>
      </x:c>
      <x:c r="AS230" s="38" t="n">
        <x:v>-0.07362809</x:v>
      </x:c>
    </x:row>
    <x:row r="231" ht="19" customHeight="1">
      <x:c r="A231" s="29" t="str">
        <x:v>Other FX</x:v>
      </x:c>
      <x:c r="B231" s="39" t="d">
        <x:v>2025-07-14T00:00:00.000Z</x:v>
      </x:c>
      <x:c r="C231" s="38" t="n">
        <x:v>0.056886716</x:v>
      </x:c>
      <x:c r="D231" s="38" t="n">
        <x:v>-0.2242844417</x:v>
      </x:c>
      <x:c r="E231" s="38" t="n">
        <x:v>0.0629686363</x:v>
      </x:c>
      <x:c r="F231" s="38" t="n">
        <x:v>0.0882399685</x:v>
      </x:c>
      <x:c r="G231" s="38" t="n">
        <x:v>0.0479692744</x:v>
      </x:c>
      <x:c r="H231" s="38" t="n">
        <x:v>0.017505686</x:v>
      </x:c>
      <x:c r="I231" s="38" t="n">
        <x:v>0.1006973398</x:v>
      </x:c>
      <x:c r="J231" s="38" t="n">
        <x:v>0.0409753967</x:v>
      </x:c>
      <x:c r="K231" s="38" t="n">
        <x:v>0.1064218385</x:v>
      </x:c>
      <x:c r="L231" s="38" t="n">
        <x:v>0.0478041218</x:v>
      </x:c>
      <x:c r="M231" s="38" t="n">
        <x:v>-0.0714692202</x:v>
      </x:c>
      <x:c r="N231" s="38" t="n">
        <x:v>0.0056739119</x:v>
      </x:c>
      <x:c r="O231" s="38" t="n">
        <x:v>0.0115509437</x:v>
      </x:c>
      <x:c r="P231" s="38" t="n">
        <x:v>0.0969921574</x:v>
      </x:c>
      <x:c r="Q231" s="38" t="n">
        <x:v>-0.0739366162</x:v>
      </x:c>
      <x:c r="R231" s="38" t="n">
        <x:v>0.1032983729</x:v>
      </x:c>
      <x:c r="S231" s="38" t="n">
        <x:v>-0.0063058952</x:v>
      </x:c>
      <x:c r="T231" s="38" t="n">
        <x:v>0.1296539138</x:v>
      </x:c>
      <x:c r="U231" s="38" t="n">
        <x:v>0.1900352155</x:v>
      </x:c>
      <x:c r="V231" s="38" t="n">
        <x:v>-0.0417084373</x:v>
      </x:c>
      <x:c r="W231" s="38" t="n">
        <x:v>-0.0505008412</x:v>
      </x:c>
      <x:c r="X231" s="38" t="n">
        <x:v>0.0151655663</x:v>
      </x:c>
      <x:c r="Y231" s="38" t="n">
        <x:v>-0.202313871</x:v>
      </x:c>
      <x:c r="Z231" s="38" t="n">
        <x:v>-0.0530686668</x:v>
      </x:c>
      <x:c r="AA231" s="38" t="n">
        <x:v>-0.0954011277</x:v>
      </x:c>
      <x:c r="AB231" s="38" t="n">
        <x:v>0.2252870881</x:v>
      </x:c>
      <x:c r="AC231" s="38" t="n">
        <x:v>0.4526442794</x:v>
      </x:c>
      <x:c r="AD231" s="38" t="n">
        <x:v>-0.0415359596</x:v>
      </x:c>
      <x:c r="AE231" s="38" t="n">
        <x:v>0.0188314525</x:v>
      </x:c>
      <x:c r="AF231" s="38" t="n">
        <x:v>0.2196857047</x:v>
      </x:c>
      <x:c r="AG231" s="38" t="n">
        <x:v>0.157085579</x:v>
      </x:c>
      <x:c r="AH231" s="38" t="n">
        <x:v>0.0826283636</x:v>
      </x:c>
      <x:c r="AI231" s="38" t="n">
        <x:v>0.246005306</x:v>
      </x:c>
      <x:c r="AJ231" s="38" t="n">
        <x:v>0.0159120243</x:v>
      </x:c>
      <x:c r="AK231" s="38" t="n">
        <x:v>0.0328044752</x:v>
      </x:c>
      <x:c r="AL231" s="38" t="n">
        <x:v>-0.1269174899</x:v>
      </x:c>
      <x:c r="AM231" s="38" t="n">
        <x:v>0.0786212271</x:v>
      </x:c>
      <x:c r="AN231" s="38" t="n">
        <x:v>0.1105690183</x:v>
      </x:c>
      <x:c r="AO231" s="38" t="n">
        <x:v>-0.0434507898</x:v>
      </x:c>
      <x:c r="AP231" s="38" t="n">
        <x:v>0.0320151997</x:v>
      </x:c>
      <x:c r="AQ231" s="38" t="n">
        <x:v>0.0073193645</x:v>
      </x:c>
      <x:c r="AR231" s="38" t="n">
        <x:v>0.1079593264</x:v>
      </x:c>
      <x:c r="AS231" s="38" t="n">
        <x:v>-0.0502939322</x:v>
      </x:c>
    </x:row>
    <x:row r="232" ht="19" customHeight="1">
      <x:c r="A232" s="29" t="str">
        <x:v>Other FX</x:v>
      </x:c>
      <x:c r="B232" s="39" t="d">
        <x:v>2025-08-11T00:00:00.000Z</x:v>
      </x:c>
      <x:c r="C232" s="38" t="n">
        <x:v>0.0305192617</x:v>
      </x:c>
      <x:c r="D232" s="38" t="n">
        <x:v>-0.1336299369</x:v>
      </x:c>
      <x:c r="E232" s="38" t="n">
        <x:v>0.0544155955</x:v>
      </x:c>
      <x:c r="F232" s="38" t="n">
        <x:v>0.0518674874</x:v>
      </x:c>
      <x:c r="G232" s="38" t="n">
        <x:v>-0.0755350984</x:v>
      </x:c>
      <x:c r="H232" s="38" t="n">
        <x:v>-0.2716640463</x:v>
      </x:c>
      <x:c r="I232" s="38" t="n">
        <x:v>0.0058069711</x:v>
      </x:c>
      <x:c r="J232" s="38" t="n">
        <x:v>0.2378105149</x:v>
      </x:c>
      <x:c r="K232" s="38" t="n">
        <x:v>0.0428478233</x:v>
      </x:c>
      <x:c r="L232" s="38" t="n">
        <x:v>-0.0799291632</x:v>
      </x:c>
      <x:c r="M232" s="38" t="n">
        <x:v>-0.1023221928</x:v>
      </x:c>
      <x:c r="N232" s="38" t="n">
        <x:v>-0.0392018212</x:v>
      </x:c>
      <x:c r="O232" s="38" t="n">
        <x:v>0.0098246314</x:v>
      </x:c>
      <x:c r="P232" s="38" t="n">
        <x:v>0.1434176952</x:v>
      </x:c>
      <x:c r="Q232" s="38" t="n">
        <x:v>0.1951265631</x:v>
      </x:c>
      <x:c r="R232" s="38" t="n">
        <x:v>0.069224944</x:v>
      </x:c>
      <x:c r="S232" s="38" t="n">
        <x:v>-0.0171733761</x:v>
      </x:c>
      <x:c r="T232" s="38" t="n">
        <x:v>-0.0128275474</x:v>
      </x:c>
      <x:c r="U232" s="38" t="n">
        <x:v>-0.1410993944</x:v>
      </x:c>
      <x:c r="V232" s="38" t="n">
        <x:v>-0.0602265923</x:v>
      </x:c>
      <x:c r="W232" s="38" t="n">
        <x:v>0.009799642</x:v>
      </x:c>
      <x:c r="X232" s="38" t="n">
        <x:v>-0.0483459031</x:v>
      </x:c>
      <x:c r="Y232" s="38" t="n">
        <x:v>0.0781485891</x:v>
      </x:c>
      <x:c r="Z232" s="38" t="n">
        <x:v>0.2539381831</x:v>
      </x:c>
      <x:c r="AA232" s="38" t="n">
        <x:v>-0.0109102262</x:v>
      </x:c>
      <x:c r="AB232" s="38" t="n">
        <x:v>0.1083773618</x:v>
      </x:c>
      <x:c r="AC232" s="38" t="n">
        <x:v>-0.3101657991</x:v>
      </x:c>
      <x:c r="AD232" s="38" t="n">
        <x:v>-0.0231034527</x:v>
      </x:c>
      <x:c r="AE232" s="38" t="n">
        <x:v>0.0548486542</x:v>
      </x:c>
      <x:c r="AF232" s="38" t="n">
        <x:v>0.0032616649</x:v>
      </x:c>
      <x:c r="AG232" s="38" t="n">
        <x:v>0.026204688</x:v>
      </x:c>
      <x:c r="AH232" s="38" t="n">
        <x:v>0.0664890002</x:v>
      </x:c>
      <x:c r="AI232" s="38" t="n">
        <x:v>0.1065683432</x:v>
      </x:c>
      <x:c r="AJ232" s="38" t="n">
        <x:v>-0.1290214338</x:v>
      </x:c>
      <x:c r="AK232" s="38" t="n">
        <x:v>0.0266771274</x:v>
      </x:c>
      <x:c r="AL232" s="38" t="n">
        <x:v>-0.175623124</x:v>
      </x:c>
      <x:c r="AM232" s="38" t="n">
        <x:v>-0.0024547375</x:v>
      </x:c>
      <x:c r="AN232" s="38" t="n">
        <x:v>0.1173201059</x:v>
      </x:c>
      <x:c r="AO232" s="38" t="n">
        <x:v>0.0191015184</x:v>
      </x:c>
      <x:c r="AP232" s="38" t="n">
        <x:v>0.1345493906</x:v>
      </x:c>
      <x:c r="AQ232" s="38" t="n">
        <x:v>-0.0157330128</x:v>
      </x:c>
      <x:c r="AR232" s="38" t="n">
        <x:v>0.0895064373</x:v>
      </x:c>
      <x:c r="AS232" s="38" t="n">
        <x:v>-0.0071440192</x:v>
      </x:c>
    </x:row>
    <x:row r="233" ht="19" customHeight="1">
      <x:c r="A233" s="29" t="str">
        <x:v>Other FX</x:v>
      </x:c>
      <x:c r="B233" s="39" t="d">
        <x:v>2025-09-08T00:00:00.000Z</x:v>
      </x:c>
      <x:c r="C233" s="38" t="n">
        <x:v>0.0850183949</x:v>
      </x:c>
      <x:c r="D233" s="38" t="n">
        <x:v>-0.2477811629</x:v>
      </x:c>
      <x:c r="E233" s="38" t="n">
        <x:v>-0.0321563155</x:v>
      </x:c>
      <x:c r="F233" s="38" t="n">
        <x:v>0.0182381207</x:v>
      </x:c>
      <x:c r="G233" s="38" t="n">
        <x:v>0.0169398333</x:v>
      </x:c>
      <x:c r="H233" s="38" t="n">
        <x:v>-0.2042268768</x:v>
      </x:c>
      <x:c r="I233" s="38" t="n">
        <x:v>-0.033383523</x:v>
      </x:c>
      <x:c r="J233" s="38" t="n">
        <x:v>0.0562831812</x:v>
      </x:c>
      <x:c r="K233" s="38" t="n">
        <x:v>0.2372952202</x:v>
      </x:c>
      <x:c r="L233" s="38" t="n">
        <x:v>0.1900885677</x:v>
      </x:c>
      <x:c r="M233" s="38" t="n">
        <x:v>0.0030542384</x:v>
      </x:c>
      <x:c r="N233" s="38" t="n">
        <x:v>-0.0338637649</x:v>
      </x:c>
      <x:c r="O233" s="38" t="n">
        <x:v>0.0189857029</x:v>
      </x:c>
      <x:c r="P233" s="38" t="n">
        <x:v>0.2440589373</x:v>
      </x:c>
      <x:c r="Q233" s="38" t="n">
        <x:v>-0.0328001336</x:v>
      </x:c>
      <x:c r="R233" s="38" t="n">
        <x:v>0.1951967974</x:v>
      </x:c>
      <x:c r="S233" s="38" t="n">
        <x:v>-0.0551723597</x:v>
      </x:c>
      <x:c r="T233" s="38" t="n">
        <x:v>0.1009330202</x:v>
      </x:c>
      <x:c r="U233" s="38" t="n">
        <x:v>-0.2921260026</x:v>
      </x:c>
      <x:c r="V233" s="38" t="n">
        <x:v>0.0511486967</x:v>
      </x:c>
      <x:c r="W233" s="38" t="n">
        <x:v>-0.0708015618</x:v>
      </x:c>
      <x:c r="X233" s="38" t="n">
        <x:v>0.0022620406</x:v>
      </x:c>
      <x:c r="Y233" s="38" t="n">
        <x:v>0.2376010721</x:v>
      </x:c>
      <x:c r="Z233" s="38" t="n">
        <x:v>0.1091189206</x:v>
      </x:c>
      <x:c r="AA233" s="38" t="n">
        <x:v>0.0003315929</x:v>
      </x:c>
      <x:c r="AB233" s="38" t="n">
        <x:v>-0.1577050831</x:v>
      </x:c>
      <x:c r="AC233" s="38" t="n">
        <x:v>-0.0318704699</x:v>
      </x:c>
      <x:c r="AD233" s="38" t="n">
        <x:v>0.0398026361</x:v>
      </x:c>
      <x:c r="AE233" s="38" t="n">
        <x:v>-0.0295218872</x:v>
      </x:c>
      <x:c r="AF233" s="38" t="n">
        <x:v>0.2180044066</x:v>
      </x:c>
      <x:c r="AG233" s="38" t="n">
        <x:v>-0.1330613062</x:v>
      </x:c>
      <x:c r="AH233" s="38" t="n">
        <x:v>0.0069428987</x:v>
      </x:c>
      <x:c r="AI233" s="38" t="n">
        <x:v>-0.2030975875</x:v>
      </x:c>
      <x:c r="AJ233" s="38" t="n">
        <x:v>0.1040326654</x:v>
      </x:c>
      <x:c r="AK233" s="38" t="n">
        <x:v>0.005890092</x:v>
      </x:c>
      <x:c r="AL233" s="38" t="n">
        <x:v>0.080529454</x:v>
      </x:c>
      <x:c r="AM233" s="38" t="n">
        <x:v>-0.0439889609</x:v>
      </x:c>
      <x:c r="AN233" s="38" t="n">
        <x:v>0.1516681434</x:v>
      </x:c>
      <x:c r="AO233" s="38" t="n">
        <x:v>0.0008343349</x:v>
      </x:c>
      <x:c r="AP233" s="38" t="n">
        <x:v>0.0952383921</x:v>
      </x:c>
      <x:c r="AQ233" s="38" t="n">
        <x:v>-0.0603116394</x:v>
      </x:c>
      <x:c r="AR233" s="38" t="n">
        <x:v>0.0152414198</x:v>
      </x:c>
      <x:c r="AS233" s="38" t="n">
        <x:v>0.0347620569</x:v>
      </x:c>
    </x:row>
    <x:row r="234" ht="19" customHeight="1">
      <x:c r="A234" s="29" t="str">
        <x:v>Other FX</x:v>
      </x:c>
      <x:c r="B234" s="39" t="d">
        <x:v>2025-10-06T00:00:00.000Z</x:v>
      </x:c>
      <x:c r="C234" s="38" t="n">
        <x:v>-0.0880816772</x:v>
      </x:c>
      <x:c r="D234" s="38" t="n">
        <x:v>0.0221101815</x:v>
      </x:c>
      <x:c r="E234" s="38" t="n">
        <x:v>0.1141538177</x:v>
      </x:c>
      <x:c r="F234" s="38" t="n">
        <x:v>0.0759904748</x:v>
      </x:c>
      <x:c r="G234" s="38" t="n">
        <x:v>-0.0545743731</x:v>
      </x:c>
      <x:c r="H234" s="38" t="n">
        <x:v>0.0589739905</x:v>
      </x:c>
      <x:c r="I234" s="38" t="n">
        <x:v>-0.0722438189</x:v>
      </x:c>
      <x:c r="J234" s="38" t="n">
        <x:v>0.0877874159</x:v>
      </x:c>
      <x:c r="K234" s="38" t="n">
        <x:v>0.1453056024</x:v>
      </x:c>
      <x:c r="L234" s="38" t="n">
        <x:v>0.011715451</x:v>
      </x:c>
      <x:c r="M234" s="38" t="n">
        <x:v>0.0213620319</x:v>
      </x:c>
      <x:c r="N234" s="38" t="n">
        <x:v>0.0902619247</x:v>
      </x:c>
      <x:c r="O234" s="38" t="n">
        <x:v>-0.0410885788</x:v>
      </x:c>
      <x:c r="P234" s="38" t="n">
        <x:v>0.2108909589</x:v>
      </x:c>
      <x:c r="Q234" s="38" t="n">
        <x:v>0.0985940615</x:v>
      </x:c>
      <x:c r="R234" s="38" t="n">
        <x:v>0.0621936525</x:v>
      </x:c>
      <x:c r="S234" s="38" t="n">
        <x:v>0.0635934598</x:v>
      </x:c>
      <x:c r="T234" s="38" t="n">
        <x:v>-0.0813015625</x:v>
      </x:c>
      <x:c r="U234" s="38" t="n">
        <x:v>0.2291584593</x:v>
      </x:c>
      <x:c r="V234" s="38" t="n">
        <x:v>-0.0683450264</x:v>
      </x:c>
      <x:c r="W234" s="38" t="n">
        <x:v>0.0572935895</x:v>
      </x:c>
      <x:c r="X234" s="38" t="n">
        <x:v>-0.0991537552</x:v>
      </x:c>
      <x:c r="Y234" s="38" t="n">
        <x:v>0.1831408475</x:v>
      </x:c>
      <x:c r="Z234" s="38" t="n">
        <x:v>0.1416279876</x:v>
      </x:c>
      <x:c r="AA234" s="38" t="n">
        <x:v>-0.0414516606</x:v>
      </x:c>
      <x:c r="AB234" s="38" t="n">
        <x:v>0.5688523316</x:v>
      </x:c>
      <x:c r="AC234" s="38" t="n">
        <x:v>-0.3270341679</x:v>
      </x:c>
      <x:c r="AD234" s="38" t="n">
        <x:v>-0.0530174711</x:v>
      </x:c>
      <x:c r="AE234" s="38" t="n">
        <x:v>-0.0075783328</x:v>
      </x:c>
      <x:c r="AF234" s="38" t="n">
        <x:v>-0.0115770774</x:v>
      </x:c>
      <x:c r="AG234" s="38" t="n">
        <x:v>0.0222976103</x:v>
      </x:c>
      <x:c r="AH234" s="38" t="n">
        <x:v>0.0601992644</x:v>
      </x:c>
      <x:c r="AI234" s="38" t="n">
        <x:v>0.430088488</x:v>
      </x:c>
      <x:c r="AJ234" s="38" t="n">
        <x:v>0.1395306169</x:v>
      </x:c>
      <x:c r="AK234" s="38" t="n">
        <x:v>-0.0294723497</x:v>
      </x:c>
      <x:c r="AL234" s="38" t="n">
        <x:v>0.2218132747</x:v>
      </x:c>
      <x:c r="AM234" s="38" t="n">
        <x:v>0.0134384028</x:v>
      </x:c>
      <x:c r="AN234" s="38" t="n">
        <x:v>-0.0579532477</x:v>
      </x:c>
      <x:c r="AO234" s="38" t="n">
        <x:v>-0.034532801</x:v>
      </x:c>
      <x:c r="AP234" s="38" t="n">
        <x:v>-0.1334906648</x:v>
      </x:c>
      <x:c r="AQ234" s="38" t="n">
        <x:v>0.032486756</x:v>
      </x:c>
      <x:c r="AR234" s="38" t="n">
        <x:v>0.1036308055</x:v>
      </x:c>
      <x:c r="AS234" s="38" t="n">
        <x:v>-0.0138155897</x:v>
      </x:c>
    </x:row>
    <x:row r="235" ht="19" customHeight="1">
      <x:c r="A235" s="29" t="str">
        <x:v>Other FX</x:v>
      </x:c>
      <x:c r="B235" s="39" t="d">
        <x:v>2025-11-03T00:00:00.000Z</x:v>
      </x:c>
      <x:c r="C235" s="38" t="n">
        <x:v>-0.0434647777</x:v>
      </x:c>
      <x:c r="D235" s="38" t="n">
        <x:v>0.334606808</x:v>
      </x:c>
      <x:c r="E235" s="38" t="n">
        <x:v>0.0518730404</x:v>
      </x:c>
      <x:c r="F235" s="38" t="n">
        <x:v>0.0288493178</x:v>
      </x:c>
      <x:c r="G235" s="38" t="n">
        <x:v>0.0293801612</x:v>
      </x:c>
      <x:c r="H235" s="38" t="n">
        <x:v>-0.3693834568</x:v>
      </x:c>
      <x:c r="I235" s="38" t="n">
        <x:v>0.1878065209</x:v>
      </x:c>
      <x:c r="J235" s="38" t="n">
        <x:v>0.1611090613</x:v>
      </x:c>
      <x:c r="K235" s="38" t="n">
        <x:v>0.3316737327</x:v>
      </x:c>
      <x:c r="L235" s="38" t="n">
        <x:v>0.1518871187</x:v>
      </x:c>
      <x:c r="M235" s="38" t="n">
        <x:v>-0.0767988711</x:v>
      </x:c>
      <x:c r="N235" s="38" t="n">
        <x:v>-0.0566224517</x:v>
      </x:c>
      <x:c r="O235" s="38" t="n">
        <x:v>-0.2520808085</x:v>
      </x:c>
      <x:c r="P235" s="38" t="n">
        <x:v>0.4369720723</x:v>
      </x:c>
      <x:c r="Q235" s="38" t="n">
        <x:v>-0.0882911695</x:v>
      </x:c>
      <x:c r="R235" s="38" t="n">
        <x:v>0.4068166639</x:v>
      </x:c>
      <x:c r="S235" s="38" t="n">
        <x:v>0.0245421238</x:v>
      </x:c>
      <x:c r="T235" s="38" t="n">
        <x:v>0.1164751198</x:v>
      </x:c>
      <x:c r="U235" s="38" t="n">
        <x:v>-0.1453281487</x:v>
      </x:c>
      <x:c r="V235" s="38" t="n">
        <x:v>-0.2398914241</x:v>
      </x:c>
      <x:c r="W235" s="38" t="n">
        <x:v>-0.1371859519</x:v>
      </x:c>
      <x:c r="X235" s="38" t="n">
        <x:v>-0.0896299794</x:v>
      </x:c>
      <x:c r="Y235" s="38" t="n">
        <x:v>0.3277514438</x:v>
      </x:c>
      <x:c r="Z235" s="38" t="n">
        <x:v>-0.0100048566</x:v>
      </x:c>
      <x:c r="AA235" s="38" t="n">
        <x:v>-0.1497090861</x:v>
      </x:c>
      <x:c r="AB235" s="38" t="n">
        <x:v>0.1585411834</x:v>
      </x:c>
      <x:c r="AC235" s="38" t="n">
        <x:v>-0.2490179057</x:v>
      </x:c>
      <x:c r="AD235" s="38" t="n">
        <x:v>-0.0184287591</x:v>
      </x:c>
      <x:c r="AE235" s="38" t="n">
        <x:v>0.2230297838</x:v>
      </x:c>
      <x:c r="AF235" s="38" t="n">
        <x:v>-0.0571189479</x:v>
      </x:c>
      <x:c r="AG235" s="38" t="n">
        <x:v>-0.1153229715</x:v>
      </x:c>
      <x:c r="AH235" s="38" t="n">
        <x:v>0.1370296191</x:v>
      </x:c>
      <x:c r="AI235" s="38" t="n">
        <x:v>0.1281855233</x:v>
      </x:c>
      <x:c r="AJ235" s="38" t="n">
        <x:v>0.148851844</x:v>
      </x:c>
      <x:c r="AK235" s="38" t="n">
        <x:v>0.1869291521</x:v>
      </x:c>
      <x:c r="AL235" s="38" t="n">
        <x:v>0.3459520238</x:v>
      </x:c>
      <x:c r="AM235" s="38" t="n">
        <x:v>-0.0264709377</x:v>
      </x:c>
      <x:c r="AN235" s="38" t="n">
        <x:v>0.2452579021</x:v>
      </x:c>
      <x:c r="AO235" s="38" t="n">
        <x:v>-0.0151897203</x:v>
      </x:c>
      <x:c r="AP235" s="38" t="n">
        <x:v>-0.0110247694</x:v>
      </x:c>
      <x:c r="AQ235" s="38" t="n">
        <x:v>0.0715328008</x:v>
      </x:c>
      <x:c r="AR235" s="38" t="n">
        <x:v>-0.0383888421</x:v>
      </x:c>
      <x:c r="AS235" s="38" t="n">
        <x:v>0.0226317865</x:v>
      </x:c>
    </x:row>
    <x:row r="236" ht="19" customHeight="1">
      <x:c r="A236" s="29" t="str">
        <x:v>Other FX</x:v>
      </x:c>
      <x:c r="B236" s="39" t="d">
        <x:v>2025-12-01T00:00:00.000Z</x:v>
      </x:c>
      <x:c r="C236" s="38" t="n">
        <x:v>-0.1943939573</x:v>
      </x:c>
      <x:c r="D236" s="38" t="n">
        <x:v>0.0443687848</x:v>
      </x:c>
      <x:c r="E236" s="38" t="n">
        <x:v>-0.0548032396</x:v>
      </x:c>
      <x:c r="F236" s="38" t="n">
        <x:v>-0.035569581</x:v>
      </x:c>
      <x:c r="G236" s="38" t="n">
        <x:v>-0.0832195755</x:v>
      </x:c>
      <x:c r="H236" s="38" t="n">
        <x:v>0.1135430048</x:v>
      </x:c>
      <x:c r="I236" s="38" t="n">
        <x:v>-0.1106417516</x:v>
      </x:c>
      <x:c r="J236" s="38" t="n">
        <x:v>-0.0146867789</x:v>
      </x:c>
      <x:c r="K236" s="38" t="n">
        <x:v>-0.1508928266</x:v>
      </x:c>
      <x:c r="L236" s="38" t="n">
        <x:v>-0.0031757738</x:v>
      </x:c>
      <x:c r="M236" s="38" t="n">
        <x:v>-0.0770204864</x:v>
      </x:c>
      <x:c r="N236" s="38" t="n">
        <x:v>0.025400656</x:v>
      </x:c>
      <x:c r="O236" s="38" t="n">
        <x:v>0.0953745358</x:v>
      </x:c>
      <x:c r="P236" s="38" t="n">
        <x:v>-0.0921742574</x:v>
      </x:c>
      <x:c r="Q236" s="38" t="n">
        <x:v>0.0377338129</x:v>
      </x:c>
      <x:c r="R236" s="38" t="n">
        <x:v>-0.0352094358</x:v>
      </x:c>
      <x:c r="S236" s="38" t="n">
        <x:v>-0.04673478</x:v>
      </x:c>
      <x:c r="T236" s="38" t="n">
        <x:v>-0.2448542298</x:v>
      </x:c>
      <x:c r="U236" s="38" t="n">
        <x:v>0.1318662132</x:v>
      </x:c>
      <x:c r="V236" s="38" t="n">
        <x:v>-0.1077037961</x:v>
      </x:c>
      <x:c r="W236" s="38" t="n">
        <x:v>-0.1637333777</x:v>
      </x:c>
      <x:c r="X236" s="38" t="n">
        <x:v>-0.0128554634</x:v>
      </x:c>
      <x:c r="Y236" s="38" t="n">
        <x:v>-0.1551742697</x:v>
      </x:c>
      <x:c r="Z236" s="38" t="n">
        <x:v>-0.0276720479</x:v>
      </x:c>
      <x:c r="AA236" s="38" t="n">
        <x:v>0.0196087645</x:v>
      </x:c>
      <x:c r="AB236" s="38" t="n">
        <x:v>0.0049876265</x:v>
      </x:c>
      <x:c r="AC236" s="38" t="n">
        <x:v>0.2628113094</x:v>
      </x:c>
      <x:c r="AD236" s="38" t="n">
        <x:v>-0.0445160884</x:v>
      </x:c>
      <x:c r="AE236" s="38" t="n">
        <x:v>-0.1020696469</x:v>
      </x:c>
      <x:c r="AF236" s="38" t="n">
        <x:v>-0.0074838746</x:v>
      </x:c>
      <x:c r="AG236" s="38" t="n">
        <x:v>0.0131672743</x:v>
      </x:c>
      <x:c r="AH236" s="38" t="n">
        <x:v>-0.0895330772</x:v>
      </x:c>
      <x:c r="AI236" s="38" t="n">
        <x:v>-0.1557709343</x:v>
      </x:c>
      <x:c r="AJ236" s="38" t="n">
        <x:v>0.1318222539</x:v>
      </x:c>
      <x:c r="AK236" s="38" t="n">
        <x:v>0.0426527072</x:v>
      </x:c>
      <x:c r="AL236" s="38" t="n">
        <x:v>-0.1955229873</x:v>
      </x:c>
      <x:c r="AM236" s="38" t="n">
        <x:v>-0.0632327322</x:v>
      </x:c>
      <x:c r="AN236" s="38" t="n">
        <x:v>0.1298394422</x:v>
      </x:c>
      <x:c r="AO236" s="38" t="n">
        <x:v>-0.0656531234</x:v>
      </x:c>
      <x:c r="AP236" s="38" t="n">
        <x:v>-0.0732710526</x:v>
      </x:c>
      <x:c r="AQ236" s="38" t="n">
        <x:v>-0.0230141183</x:v>
      </x:c>
      <x:c r="AR236" s="38" t="n">
        <x:v>0.1065937353</x:v>
      </x:c>
      <x:c r="AS236" s="38" t="n">
        <x:v>-0.0017569993</x:v>
      </x:c>
    </x:row>
    <x:row r="237" ht="19" customHeight="1">
      <x:c r="A237" s="29" t="str">
        <x:v>Other FX</x:v>
      </x:c>
      <x:c r="B237" s="39" t="d">
        <x:v>2025-12-29T00:00:00.000Z</x:v>
      </x:c>
      <x:c r="C237" s="38" t="n">
        <x:v>-0.0152080045</x:v>
      </x:c>
      <x:c r="D237" s="38" t="n">
        <x:v>-0.0990445755</x:v>
      </x:c>
      <x:c r="E237" s="38" t="n">
        <x:v>-0.0495845033</x:v>
      </x:c>
      <x:c r="F237" s="38" t="n">
        <x:v>-0.0056636164</x:v>
      </x:c>
      <x:c r="G237" s="38" t="n">
        <x:v>0.0800416162</x:v>
      </x:c>
      <x:c r="H237" s="38" t="n">
        <x:v>0.1358574308</x:v>
      </x:c>
      <x:c r="I237" s="38" t="n">
        <x:v>-0.020669129</x:v>
      </x:c>
      <x:c r="J237" s="38" t="n">
        <x:v>-0.0813620505</x:v>
      </x:c>
      <x:c r="K237" s="38" t="n">
        <x:v>-0.0551768699</x:v>
      </x:c>
      <x:c r="L237" s="38" t="n">
        <x:v>-0.0769860592</x:v>
      </x:c>
      <x:c r="M237" s="38" t="n">
        <x:v>-0.0222082592</x:v>
      </x:c>
      <x:c r="N237" s="38" t="n">
        <x:v>-0.0072978692</x:v>
      </x:c>
      <x:c r="O237" s="38" t="n">
        <x:v>0.0075675057</x:v>
      </x:c>
      <x:c r="P237" s="38" t="n">
        <x:v>0.0795801986</x:v>
      </x:c>
      <x:c r="Q237" s="38" t="n">
        <x:v>0.0375107178</x:v>
      </x:c>
      <x:c r="R237" s="38" t="n">
        <x:v>0.0203813531</x:v>
      </x:c>
      <x:c r="S237" s="38" t="n">
        <x:v>-0.0238506804</x:v>
      </x:c>
      <x:c r="T237" s="38" t="n">
        <x:v>-0.0382021805</x:v>
      </x:c>
      <x:c r="U237" s="38" t="n">
        <x:v>0.1149411347</x:v>
      </x:c>
      <x:c r="V237" s="38" t="n">
        <x:v>-0.0269688079</x:v>
      </x:c>
      <x:c r="W237" s="38" t="n">
        <x:v>-0.1665318612</x:v>
      </x:c>
      <x:c r="X237" s="38" t="n">
        <x:v>0.0913434058</x:v>
      </x:c>
      <x:c r="Y237" s="38" t="n">
        <x:v>0.3380736967</x:v>
      </x:c>
      <x:c r="Z237" s="38" t="n">
        <x:v>0.1272199527</x:v>
      </x:c>
      <x:c r="AA237" s="38" t="n">
        <x:v>-0.0053603288</x:v>
      </x:c>
      <x:c r="AB237" s="38" t="n">
        <x:v>-0.1193394061</x:v>
      </x:c>
      <x:c r="AC237" s="38" t="n">
        <x:v>0.0169786023</x:v>
      </x:c>
      <x:c r="AD237" s="38" t="n">
        <x:v>-0.0121094961</x:v>
      </x:c>
      <x:c r="AE237" s="38" t="n">
        <x:v>-0.0094748204</x:v>
      </x:c>
      <x:c r="AF237" s="38" t="n">
        <x:v>0.0612020618</x:v>
      </x:c>
      <x:c r="AG237" s="38" t="n">
        <x:v>0.1245890348</x:v>
      </x:c>
      <x:c r="AH237" s="38" t="n">
        <x:v>0.1770356667</x:v>
      </x:c>
      <x:c r="AI237" s="38" t="n">
        <x:v>0.0104340388</x:v>
      </x:c>
      <x:c r="AJ237" s="38" t="n">
        <x:v>0.0991778149</x:v>
      </x:c>
      <x:c r="AK237" s="38" t="n">
        <x:v>-0.1665216778</x:v>
      </x:c>
      <x:c r="AL237" s="38" t="n">
        <x:v>0.0817619189</x:v>
      </x:c>
      <x:c r="AM237" s="38" t="n">
        <x:v>-0.0411909371</x:v>
      </x:c>
      <x:c r="AN237" s="38" t="n">
        <x:v>-0.0200701605</x:v>
      </x:c>
      <x:c r="AO237" s="38" t="n">
        <x:v>-0.1036426819</x:v>
      </x:c>
      <x:c r="AP237" s="38" t="n">
        <x:v>-0.065114904</x:v>
      </x:c>
      <x:c r="AQ237" s="38" t="n">
        <x:v>-0.0505438912</x:v>
      </x:c>
      <x:c r="AR237" s="38" t="n">
        <x:v>0.0154620199</x:v>
      </x:c>
      <x:c r="AS237" s="38" t="n">
        <x:v>-0.0401117702</x:v>
      </x:c>
    </x:row>
    <x:row r="238" ht="19" customHeight="1">
      <x:c r="A238" s="29" t="str">
        <x:v>Other FX</x:v>
      </x:c>
      <x:c r="B238" s="39" t="d">
        <x:v>2026-01-26T00:00:00.000Z</x:v>
      </x:c>
      <x:c r="C238" s="38" t="n">
        <x:v>-0.0638151392</x:v>
      </x:c>
      <x:c r="D238" s="38" t="n">
        <x:v>0.2828601573</x:v>
      </x:c>
      <x:c r="E238" s="38" t="n">
        <x:v>0.0101944334</x:v>
      </x:c>
      <x:c r="F238" s="38" t="n">
        <x:v>0.0321057662</x:v>
      </x:c>
      <x:c r="G238" s="38" t="n">
        <x:v>-0.0200968763</x:v>
      </x:c>
      <x:c r="H238" s="38" t="n">
        <x:v>-0.0074345247</x:v>
      </x:c>
      <x:c r="I238" s="38" t="n">
        <x:v>0.0416683839</x:v>
      </x:c>
      <x:c r="J238" s="38" t="n">
        <x:v>0.0827801279</x:v>
      </x:c>
      <x:c r="K238" s="38" t="n">
        <x:v>0.2778193641</x:v>
      </x:c>
      <x:c r="L238" s="38" t="n">
        <x:v>0.1396131378</x:v>
      </x:c>
      <x:c r="M238" s="38" t="n">
        <x:v>0.2500994629</x:v>
      </x:c>
      <x:c r="N238" s="38" t="n">
        <x:v>0.0619658177</x:v>
      </x:c>
      <x:c r="O238" s="38" t="n">
        <x:v>0.0163829015</x:v>
      </x:c>
      <x:c r="P238" s="38" t="n">
        <x:v>0.2193756655</x:v>
      </x:c>
      <x:c r="Q238" s="38" t="n">
        <x:v>0.0637349219</x:v>
      </x:c>
      <x:c r="R238" s="38" t="n">
        <x:v>0.1810451952</x:v>
      </x:c>
      <x:c r="S238" s="38" t="n">
        <x:v>0.0693587954</x:v>
      </x:c>
      <x:c r="T238" s="38" t="n">
        <x:v>-0.203679554</x:v>
      </x:c>
      <x:c r="U238" s="38" t="n">
        <x:v>0.4510638664</x:v>
      </x:c>
      <x:c r="V238" s="38" t="n">
        <x:v>-0.227959667</x:v>
      </x:c>
      <x:c r="W238" s="38" t="n">
        <x:v>-0.1658221981</x:v>
      </x:c>
      <x:c r="X238" s="38" t="n">
        <x:v>0.0804857986</x:v>
      </x:c>
      <x:c r="Y238" s="38" t="n">
        <x:v>0.1910130092</x:v>
      </x:c>
      <x:c r="Z238" s="38" t="n">
        <x:v>-0.0611725795</x:v>
      </x:c>
      <x:c r="AA238" s="38" t="n">
        <x:v>-0.0605779115</x:v>
      </x:c>
      <x:c r="AB238" s="38" t="n">
        <x:v>0.135053476</x:v>
      </x:c>
      <x:c r="AC238" s="38" t="n">
        <x:v>-0.3203612571</x:v>
      </x:c>
      <x:c r="AD238" s="38" t="n">
        <x:v>0.0666019176</x:v>
      </x:c>
      <x:c r="AE238" s="38" t="n">
        <x:v>-0.0699122116</x:v>
      </x:c>
      <x:c r="AF238" s="38" t="n">
        <x:v>-0.1742466422</x:v>
      </x:c>
      <x:c r="AG238" s="38" t="n">
        <x:v>-0.0522481789</x:v>
      </x:c>
      <x:c r="AH238" s="38" t="n">
        <x:v>0.164623231</x:v>
      </x:c>
      <x:c r="AI238" s="38" t="n">
        <x:v>-0.0092655628</x:v>
      </x:c>
      <x:c r="AJ238" s="38" t="n">
        <x:v>-0.0612451696</x:v>
      </x:c>
      <x:c r="AK238" s="38" t="n">
        <x:v>-0.083934257</x:v>
      </x:c>
      <x:c r="AL238" s="38" t="n">
        <x:v>-0.0422037003</x:v>
      </x:c>
      <x:c r="AM238" s="38" t="n">
        <x:v>-0.1912542297</x:v>
      </x:c>
      <x:c r="AN238" s="38" t="n">
        <x:v>0.0067603781</x:v>
      </x:c>
      <x:c r="AO238" s="38" t="n">
        <x:v>0.0921090189</x:v>
      </x:c>
      <x:c r="AP238" s="38" t="n">
        <x:v>0.0752302998</x:v>
      </x:c>
      <x:c r="AQ238" s="38" t="n">
        <x:v>0.0725067582</x:v>
      </x:c>
      <x:c r="AR238" s="38" t="n">
        <x:v>0.1056420896</x:v>
      </x:c>
      <x:c r="AS238" s="38" t="n">
        <x:v>-0.0716047378</x:v>
      </x:c>
    </x:row>
    <x:row r="239" ht="19" customHeight="1">
      <x:c r="A239" s="29" t="str">
        <x:v>Other FX</x:v>
      </x:c>
      <x:c r="B239" s="39" t="d">
        <x:v>2026-02-23T00:00:00.000Z</x:v>
      </x:c>
      <x:c r="C239" s="38" t="n">
        <x:v>0.1424594139</x:v>
      </x:c>
      <x:c r="D239" s="38" t="n">
        <x:v>-0.1082263053</x:v>
      </x:c>
      <x:c r="E239" s="38" t="n">
        <x:v>0.1613287423</x:v>
      </x:c>
      <x:c r="F239" s="38" t="n">
        <x:v>0.1783640917</x:v>
      </x:c>
      <x:c r="G239" s="38" t="n">
        <x:v>-0.1043835111</x:v>
      </x:c>
      <x:c r="H239" s="38" t="n">
        <x:v>-0.0987937825</x:v>
      </x:c>
      <x:c r="I239" s="38" t="n">
        <x:v>-0.1945242879</x:v>
      </x:c>
      <x:c r="J239" s="38" t="n">
        <x:v>0.2600596805</x:v>
      </x:c>
      <x:c r="K239" s="38" t="n">
        <x:v>-0.189582199</x:v>
      </x:c>
      <x:c r="L239" s="38" t="n">
        <x:v>0.1924712913</x:v>
      </x:c>
      <x:c r="M239" s="38" t="n">
        <x:v>0.1052374539</x:v>
      </x:c>
      <x:c r="N239" s="38" t="n">
        <x:v>0.0657408106</x:v>
      </x:c>
      <x:c r="O239" s="38" t="n">
        <x:v>0.1029625165</x:v>
      </x:c>
      <x:c r="P239" s="38" t="n">
        <x:v>-0.0068157372</x:v>
      </x:c>
      <x:c r="Q239" s="38" t="n">
        <x:v>0.0427376142</x:v>
      </x:c>
      <x:c r="R239" s="38" t="n">
        <x:v>0.022147993</x:v>
      </x:c>
      <x:c r="S239" s="38" t="n">
        <x:v>0.1351686394</x:v>
      </x:c>
      <x:c r="T239" s="38" t="n">
        <x:v>-0.0612963113</x:v>
      </x:c>
      <x:c r="U239" s="38" t="n">
        <x:v>0.2568102034</x:v>
      </x:c>
      <x:c r="V239" s="38" t="n">
        <x:v>0.184955262</x:v>
      </x:c>
      <x:c r="W239" s="38" t="n">
        <x:v>0.2200497379</x:v>
      </x:c>
      <x:c r="X239" s="38" t="n">
        <x:v>0.0490591429</x:v>
      </x:c>
      <x:c r="Y239" s="38" t="n">
        <x:v>-0.1862837148</x:v>
      </x:c>
      <x:c r="Z239" s="38" t="n">
        <x:v>0.1002397191</x:v>
      </x:c>
      <x:c r="AA239" s="38" t="n">
        <x:v>0.0228618292</x:v>
      </x:c>
      <x:c r="AB239" s="38" t="n">
        <x:v>-0.1153687203</x:v>
      </x:c>
      <x:c r="AC239" s="38" t="n">
        <x:v>-0.5023509554</x:v>
      </x:c>
      <x:c r="AD239" s="38" t="n">
        <x:v>0.1329921824</x:v>
      </x:c>
      <x:c r="AE239" s="38" t="n">
        <x:v>-0.0337143012</x:v>
      </x:c>
      <x:c r="AF239" s="38" t="n">
        <x:v>-0.0035398006</x:v>
      </x:c>
      <x:c r="AG239" s="38" t="n">
        <x:v>-0.0799886174</x:v>
      </x:c>
      <x:c r="AH239" s="38" t="n">
        <x:v>0.0257645248</x:v>
      </x:c>
      <x:c r="AI239" s="38" t="n">
        <x:v>-0.2610984856</x:v>
      </x:c>
      <x:c r="AJ239" s="38" t="n">
        <x:v>0.024157368</x:v>
      </x:c>
      <x:c r="AK239" s="38" t="n">
        <x:v>0.0891270571</x:v>
      </x:c>
      <x:c r="AL239" s="38" t="n">
        <x:v>0.2622274709</x:v>
      </x:c>
      <x:c r="AM239" s="38" t="n">
        <x:v>-0.1300922206</x:v>
      </x:c>
      <x:c r="AN239" s="38" t="n">
        <x:v>-0.1556357296</x:v>
      </x:c>
      <x:c r="AO239" s="38" t="n">
        <x:v>0.0718015669</x:v>
      </x:c>
      <x:c r="AP239" s="38" t="n">
        <x:v>0.0076333735</x:v>
      </x:c>
      <x:c r="AQ239" s="38" t="n">
        <x:v>0.1090205463</x:v>
      </x:c>
      <x:c r="AR239" s="38" t="n">
        <x:v>0.1252683793</x:v>
      </x:c>
      <x:c r="AS239" s="38" t="n">
        <x:v>0.06823375</x:v>
      </x:c>
    </x:row>
    <x:row r="240" ht="19" customHeight="1">
      <x:c r="A240" s="29" t="str">
        <x:v>Other FX</x:v>
      </x:c>
      <x:c r="B240" s="39" t="d">
        <x:v>2026-03-23T00:00:00.000Z</x:v>
      </x:c>
      <x:c r="C240" s="38" t="n">
        <x:v>-0.170607414</x:v>
      </x:c>
      <x:c r="D240" s="38" t="n">
        <x:v>0.3592576881</x:v>
      </x:c>
      <x:c r="E240" s="38" t="n">
        <x:v>0.0100018336</x:v>
      </x:c>
      <x:c r="F240" s="38" t="n">
        <x:v>0.0394058562</x:v>
      </x:c>
      <x:c r="G240" s="38" t="n">
        <x:v>-0.1448458412</x:v>
      </x:c>
      <x:c r="H240" s="38" t="n">
        <x:v>-0.2388812936</x:v>
      </x:c>
      <x:c r="I240" s="38" t="n">
        <x:v>0.0060150933</x:v>
      </x:c>
      <x:c r="J240" s="38" t="n">
        <x:v>0.0216075954</x:v>
      </x:c>
      <x:c r="K240" s="38" t="n">
        <x:v>0.0793997529</x:v>
      </x:c>
      <x:c r="L240" s="38" t="n">
        <x:v>0.3354362564</x:v>
      </x:c>
      <x:c r="M240" s="38" t="n">
        <x:v>0.3838279268</x:v>
      </x:c>
      <x:c r="N240" s="38" t="n">
        <x:v>0.0217024831</x:v>
      </x:c>
      <x:c r="O240" s="38" t="n">
        <x:v>-0.1430845792</x:v>
      </x:c>
      <x:c r="P240" s="38" t="n">
        <x:v>0.0919939385</x:v>
      </x:c>
      <x:c r="Q240" s="38" t="n">
        <x:v>-0.0922962997</x:v>
      </x:c>
      <x:c r="R240" s="38" t="n">
        <x:v>0.5759807236</x:v>
      </x:c>
      <x:c r="S240" s="38" t="n">
        <x:v>-0.0494560253</x:v>
      </x:c>
      <x:c r="T240" s="38" t="n">
        <x:v>0.3145536269</x:v>
      </x:c>
      <x:c r="U240" s="38" t="n">
        <x:v>0.0890085489</x:v>
      </x:c>
      <x:c r="V240" s="38" t="n">
        <x:v>-0.2833671166</x:v>
      </x:c>
      <x:c r="W240" s="38" t="n">
        <x:v>0.0215535621</x:v>
      </x:c>
      <x:c r="X240" s="38" t="n">
        <x:v>-0.0333165377</x:v>
      </x:c>
      <x:c r="Y240" s="38" t="n">
        <x:v>-0.0878035499</x:v>
      </x:c>
      <x:c r="Z240" s="38" t="n">
        <x:v>-0.2156553613</x:v>
      </x:c>
      <x:c r="AA240" s="38" t="n">
        <x:v>-0.0834315269</x:v>
      </x:c>
      <x:c r="AB240" s="38" t="n">
        <x:v>0.2981382455</x:v>
      </x:c>
      <x:c r="AC240" s="38" t="n">
        <x:v>0.1700794618</x:v>
      </x:c>
      <x:c r="AD240" s="38" t="n">
        <x:v>-0.1637900765</x:v>
      </x:c>
      <x:c r="AE240" s="38" t="n">
        <x:v>-0.1964658873</x:v>
      </x:c>
      <x:c r="AF240" s="38" t="n">
        <x:v>0.1779829794</x:v>
      </x:c>
      <x:c r="AG240" s="38" t="n">
        <x:v>-0.08803466</x:v>
      </x:c>
      <x:c r="AH240" s="38" t="n">
        <x:v>-0.1591582622</x:v>
      </x:c>
      <x:c r="AI240" s="38" t="n">
        <x:v>0.1664486039</x:v>
      </x:c>
      <x:c r="AJ240" s="38" t="n">
        <x:v>-0.2786063582</x:v>
      </x:c>
      <x:c r="AK240" s="38" t="n">
        <x:v>-0.0483407314</x:v>
      </x:c>
      <x:c r="AL240" s="38" t="n">
        <x:v>0.0467779311</x:v>
      </x:c>
      <x:c r="AM240" s="38" t="n">
        <x:v>-0.0468100809</x:v>
      </x:c>
      <x:c r="AN240" s="38" t="n">
        <x:v>-0.1359818247</x:v>
      </x:c>
      <x:c r="AO240" s="38" t="n">
        <x:v>0.0188014258</x:v>
      </x:c>
      <x:c r="AP240" s="38" t="n">
        <x:v>-0.171479344</x:v>
      </x:c>
      <x:c r="AQ240" s="38" t="n">
        <x:v>-0.0445679657</x:v>
      </x:c>
      <x:c r="AR240" s="38" t="n">
        <x:v>-0.0222310337</x:v>
      </x:c>
      <x:c r="AS240" s="38" t="n">
        <x:v>-0.1010440997</x:v>
      </x:c>
    </x:row>
    <x:row r="241" ht="19" customHeight="1">
      <x:c r="A241" s="29" t="str">
        <x:v>Other FX</x:v>
      </x:c>
      <x:c r="B241" s="39" t="d">
        <x:v>2026-04-20T00:00:00.000Z</x:v>
      </x:c>
      <x:c r="C241" s="38" t="n">
        <x:v>0.0868435644</x:v>
      </x:c>
      <x:c r="D241" s="38" t="n">
        <x:v>-0.1133984139</x:v>
      </x:c>
      <x:c r="E241" s="38" t="n">
        <x:v>0.0109177345</x:v>
      </x:c>
      <x:c r="F241" s="38" t="n">
        <x:v>0.0526664131</x:v>
      </x:c>
      <x:c r="G241" s="38" t="n">
        <x:v>0.1271087286</x:v>
      </x:c>
      <x:c r="H241" s="38" t="n">
        <x:v>0.102858831</x:v>
      </x:c>
      <x:c r="I241" s="38" t="n">
        <x:v>0.3405599809</x:v>
      </x:c>
      <x:c r="J241" s="38" t="n">
        <x:v>0.2048141159</x:v>
      </x:c>
      <x:c r="K241" s="38" t="n">
        <x:v>0.4168660057</x:v>
      </x:c>
      <x:c r="L241" s="38" t="n">
        <x:v>-0.1180177782</x:v>
      </x:c>
      <x:c r="M241" s="38" t="n">
        <x:v>-0.1562921146</x:v>
      </x:c>
      <x:c r="N241" s="38" t="n">
        <x:v>-0.1436681274</x:v>
      </x:c>
      <x:c r="O241" s="38" t="n">
        <x:v>-0.1594550722</x:v>
      </x:c>
      <x:c r="P241" s="38" t="n">
        <x:v>0.3668325578</x:v>
      </x:c>
      <x:c r="Q241" s="38" t="n">
        <x:v>0.05360987</x:v>
      </x:c>
      <x:c r="R241" s="38" t="n">
        <x:v>0.2449096406</x:v>
      </x:c>
      <x:c r="S241" s="38" t="n">
        <x:v>-0.0848049153</x:v>
      </x:c>
      <x:c r="T241" s="38" t="n">
        <x:v>-0.0977092936</x:v>
      </x:c>
      <x:c r="U241" s="38" t="n">
        <x:v>-0.1190055493</x:v>
      </x:c>
      <x:c r="V241" s="38" t="n">
        <x:v>-0.1404978691</x:v>
      </x:c>
      <x:c r="W241" s="38" t="n">
        <x:v>-0.074413317</x:v>
      </x:c>
      <x:c r="X241" s="38" t="n">
        <x:v>-0.0754171855</x:v>
      </x:c>
      <x:c r="Y241" s="38" t="n">
        <x:v>0.2683630382</x:v>
      </x:c>
      <x:c r="Z241" s="38" t="n">
        <x:v>0.0549409845</x:v>
      </x:c>
      <x:c r="AA241" s="38" t="n">
        <x:v>-0.0164319064</x:v>
      </x:c>
      <x:c r="AB241" s="38" t="n">
        <x:v>0.5660536222</x:v>
      </x:c>
      <x:c r="AC241" s="38" t="n">
        <x:v>0.1894986716</x:v>
      </x:c>
      <x:c r="AD241" s="38" t="n">
        <x:v>0.0301771299</x:v>
      </x:c>
      <x:c r="AE241" s="38" t="n">
        <x:v>-0.0176480351</x:v>
      </x:c>
      <x:c r="AF241" s="38" t="n">
        <x:v>0.2541256054</x:v>
      </x:c>
      <x:c r="AG241" s="38" t="n">
        <x:v>0.1819609256</x:v>
      </x:c>
      <x:c r="AH241" s="38" t="n">
        <x:v>-0.2015223134</x:v>
      </x:c>
      <x:c r="AI241" s="38" t="n">
        <x:v>0.6527643742</x:v>
      </x:c>
      <x:c r="AJ241" s="38" t="n">
        <x:v>0.0101616843</x:v>
      </x:c>
      <x:c r="AK241" s="38" t="n">
        <x:v>0.0090470123</x:v>
      </x:c>
      <x:c r="AL241" s="38" t="n">
        <x:v>0.3969120041</x:v>
      </x:c>
      <x:c r="AM241" s="38" t="n">
        <x:v>0.1641545116</x:v>
      </x:c>
      <x:c r="AN241" s="38" t="n">
        <x:v>0.1963653014</x:v>
      </x:c>
      <x:c r="AO241" s="38" t="n">
        <x:v>-0.0074693539</x:v>
      </x:c>
      <x:c r="AP241" s="38" t="n">
        <x:v>0.0186211833</x:v>
      </x:c>
      <x:c r="AQ241" s="38" t="n">
        <x:v>-0.0311633429</x:v>
      </x:c>
      <x:c r="AR241" s="38" t="n">
        <x:v>-0.1207183855</x:v>
      </x:c>
      <x:c r="AS241" s="38" t="n">
        <x:v>-0.0243944097</x:v>
      </x:c>
    </x:row>
    <x:row r="242" ht="19" customHeight="1">
      <x:c r="A242" s="29" t="str">
        <x:v>Other FX</x:v>
      </x:c>
      <x:c r="B242" s="39" t="d">
        <x:v>2026-05-18T00:00:00.000Z</x:v>
      </x:c>
      <x:c r="C242" s="38" t="n">
        <x:v>-0.0800308211</x:v>
      </x:c>
      <x:c r="D242" s="38" t="n">
        <x:v>0.0622003868</x:v>
      </x:c>
      <x:c r="E242" s="38" t="n">
        <x:v>-0.0238047357</x:v>
      </x:c>
      <x:c r="F242" s="38" t="n">
        <x:v>-0.0087771024</x:v>
      </x:c>
      <x:c r="G242" s="38" t="n">
        <x:v>0.0187301511</x:v>
      </x:c>
      <x:c r="H242" s="38" t="n">
        <x:v>-0.0629688204</x:v>
      </x:c>
      <x:c r="I242" s="38" t="n">
        <x:v>0.018649521</x:v>
      </x:c>
      <x:c r="J242" s="38" t="n">
        <x:v>0.0378807827</x:v>
      </x:c>
      <x:c r="K242" s="38" t="n">
        <x:v>0.4268492168</x:v>
      </x:c>
      <x:c r="L242" s="38" t="n">
        <x:v>0.080598002</x:v>
      </x:c>
      <x:c r="M242" s="38" t="n">
        <x:v>0.0211371223</x:v>
      </x:c>
      <x:c r="N242" s="38" t="n">
        <x:v>-0.0437789211</x:v>
      </x:c>
      <x:c r="O242" s="38" t="n">
        <x:v>0.0207840485</x:v>
      </x:c>
      <x:c r="P242" s="38" t="n">
        <x:v>0.183966648</x:v>
      </x:c>
      <x:c r="Q242" s="38" t="n">
        <x:v>0.1205253529</x:v>
      </x:c>
      <x:c r="R242" s="38" t="n">
        <x:v>0.8087011623</x:v>
      </x:c>
      <x:c r="S242" s="38" t="n">
        <x:v>0.0347228622</x:v>
      </x:c>
      <x:c r="T242" s="38" t="n">
        <x:v>0.0362826893</x:v>
      </x:c>
      <x:c r="U242" s="38" t="n">
        <x:v>-0.1257011277</x:v>
      </x:c>
      <x:c r="V242" s="38" t="n">
        <x:v>-0.0315075715</x:v>
      </x:c>
      <x:c r="W242" s="38" t="n">
        <x:v>-0.0445361</x:v>
      </x:c>
      <x:c r="X242" s="38" t="n">
        <x:v>-0.1191076714</x:v>
      </x:c>
      <x:c r="Y242" s="38" t="n">
        <x:v>0.5555743538</x:v>
      </x:c>
      <x:c r="Z242" s="38" t="n">
        <x:v>-0.196434703</x:v>
      </x:c>
      <x:c r="AA242" s="38" t="n">
        <x:v>-0.0155231591</x:v>
      </x:c>
      <x:c r="AB242" s="38" t="n">
        <x:v>-0.2882801864</x:v>
      </x:c>
      <x:c r="AC242" s="38" t="n">
        <x:v>-0.2043355082</x:v>
      </x:c>
      <x:c r="AD242" s="38" t="n">
        <x:v>-0.0375924757</x:v>
      </x:c>
      <x:c r="AE242" s="38" t="n">
        <x:v>0.3042955158</x:v>
      </x:c>
      <x:c r="AF242" s="38" t="n">
        <x:v>0.4581048376</x:v>
      </x:c>
      <x:c r="AG242" s="38" t="n">
        <x:v>-0.0827254882</x:v>
      </x:c>
      <x:c r="AH242" s="38" t="n">
        <x:v>-0.1901693007</x:v>
      </x:c>
      <x:c r="AI242" s="38" t="n">
        <x:v>0.4725586879</x:v>
      </x:c>
      <x:c r="AJ242" s="38" t="n">
        <x:v>0.2985110499</x:v>
      </x:c>
      <x:c r="AK242" s="38" t="n">
        <x:v>0.0387208037</x:v>
      </x:c>
      <x:c r="AL242" s="38" t="n">
        <x:v>0.6093853344</x:v>
      </x:c>
      <x:c r="AM242" s="38" t="n">
        <x:v>-0.0062484845</x:v>
      </x:c>
      <x:c r="AN242" s="38" t="n">
        <x:v>0.1481396837</x:v>
      </x:c>
      <x:c r="AO242" s="38" t="n">
        <x:v>0.0175459966</x:v>
      </x:c>
      <x:c r="AP242" s="38" t="n">
        <x:v>-0.1006057658</x:v>
      </x:c>
      <x:c r="AQ242" s="38" t="n">
        <x:v>0.0992026283</x:v>
      </x:c>
      <x:c r="AR242" s="38" t="n">
        <x:v>0.0423465915</x:v>
      </x:c>
      <x:c r="AS242" s="38" t="n">
        <x:v>0.0572192572</x:v>
      </x:c>
    </x:row>
    <x:row r="243" ht="19" customHeight="1">
      <x:c r="A243" s="29" t="str">
        <x:v>Other FX</x:v>
      </x:c>
      <x:c r="B243" s="39" t="d">
        <x:v>2026-06-15T00:00:00.000Z</x:v>
      </x:c>
      <x:c r="C243" s="38" t="n">
        <x:v>0.0752784602</x:v>
      </x:c>
      <x:c r="D243" s="38" t="n">
        <x:v>-0.1888908411</x:v>
      </x:c>
      <x:c r="E243" s="38" t="n">
        <x:v>-0.0291216446</x:v>
      </x:c>
      <x:c r="F243" s="38" t="n">
        <x:v>-0.0185851604</x:v>
      </x:c>
      <x:c r="G243" s="38" t="n">
        <x:v>0.0447166986</x:v>
      </x:c>
      <x:c r="H243" s="38" t="n">
        <x:v>0.0099213391</x:v>
      </x:c>
      <x:c r="I243" s="38" t="n">
        <x:v>-0.118591115</x:v>
      </x:c>
      <x:c r="J243" s="38" t="n">
        <x:v>0.0749583885</x:v>
      </x:c>
      <x:c r="K243" s="38" t="n">
        <x:v>0.4545775279</x:v>
      </x:c>
      <x:c r="L243" s="38" t="n">
        <x:v>-0.0710419278</x:v>
      </x:c>
      <x:c r="M243" s="38" t="n">
        <x:v>-0.2349763907</x:v>
      </x:c>
      <x:c r="N243" s="38" t="n">
        <x:v>-0.1153748517</x:v>
      </x:c>
      <x:c r="O243" s="38" t="n">
        <x:v>0.1688072302</x:v>
      </x:c>
      <x:c r="P243" s="38" t="n">
        <x:v>0.6704605401</x:v>
      </x:c>
      <x:c r="Q243" s="38" t="n">
        <x:v>-0.104898365</x:v>
      </x:c>
      <x:c r="R243" s="38" t="n">
        <x:v>0.1438555084</x:v>
      </x:c>
      <x:c r="S243" s="38" t="n">
        <x:v>-0.2458693968</x:v>
      </x:c>
      <x:c r="T243" s="38" t="n">
        <x:v>0.0448553415</x:v>
      </x:c>
      <x:c r="U243" s="38" t="n">
        <x:v>0.5155654935</x:v>
      </x:c>
      <x:c r="V243" s="38" t="n">
        <x:v>0.1563657609</x:v>
      </x:c>
      <x:c r="W243" s="38" t="n">
        <x:v>-0.1894363682</x:v>
      </x:c>
      <x:c r="X243" s="38" t="n">
        <x:v>-0.1385556183</x:v>
      </x:c>
      <x:c r="Y243" s="38" t="n">
        <x:v>0.64031393</x:v>
      </x:c>
      <x:c r="Z243" s="38" t="n">
        <x:v>0.030470022</x:v>
      </x:c>
      <x:c r="AA243" s="38" t="n">
        <x:v>0.0488336847</x:v>
      </x:c>
      <x:c r="AB243" s="38" t="n">
        <x:v>0.2551603943</x:v>
      </x:c>
      <x:c r="AC243" s="38" t="n">
        <x:v>0.3033495489</x:v>
      </x:c>
      <x:c r="AD243" s="38" t="n">
        <x:v>0.0733380915</x:v>
      </x:c>
      <x:c r="AE243" s="38" t="n">
        <x:v>-0.0612712103</x:v>
      </x:c>
      <x:c r="AF243" s="38" t="n">
        <x:v>0.3788150144</x:v>
      </x:c>
      <x:c r="AG243" s="38" t="n">
        <x:v>0.0718851645</x:v>
      </x:c>
      <x:c r="AH243" s="38" t="n">
        <x:v>-0.1393182692</x:v>
      </x:c>
      <x:c r="AI243" s="38" t="n">
        <x:v>0.2537841655</x:v>
      </x:c>
      <x:c r="AJ243" s="38" t="n">
        <x:v>0.0499667706</x:v>
      </x:c>
      <x:c r="AK243" s="38" t="n">
        <x:v>-0.0586283939</x:v>
      </x:c>
      <x:c r="AL243" s="38" t="n">
        <x:v>-0.2315214987</x:v>
      </x:c>
      <x:c r="AM243" s="38" t="n">
        <x:v>-0.1297450528</x:v>
      </x:c>
      <x:c r="AN243" s="38" t="n">
        <x:v>-0.051708717</x:v>
      </x:c>
      <x:c r="AO243" s="38" t="n">
        <x:v>-0.1070903001</x:v>
      </x:c>
      <x:c r="AP243" s="38" t="n">
        <x:v>0.1511796254</x:v>
      </x:c>
      <x:c r="AQ243" s="38" t="n">
        <x:v>-0.0103235651</x:v>
      </x:c>
      <x:c r="AR243" s="38" t="n">
        <x:v>-0.0258761648</x:v>
      </x:c>
      <x:c r="AS243" s="38" t="n">
        <x:v>0.0122996146</x:v>
      </x:c>
    </x:row>
    <x:row r="244" ht="19" customHeight="1">
      <x:c r="A244" s="29" t="str">
        <x:v>Other FX</x:v>
      </x:c>
      <x:c r="B244" s="39" t="d">
        <x:v>2026-07-13T00:00:00.000Z</x:v>
      </x:c>
      <x:c r="C244" s="38" t="n">
        <x:v>-0.0827582749</x:v>
      </x:c>
      <x:c r="D244" s="38" t="n">
        <x:v>-0.145322325</x:v>
      </x:c>
      <x:c r="E244" s="38" t="n">
        <x:v>0.0468920646</x:v>
      </x:c>
      <x:c r="F244" s="38" t="n">
        <x:v>0.031006744</x:v>
      </x:c>
      <x:c r="G244" s="38" t="n">
        <x:v>-0.0877254638</x:v>
      </x:c>
      <x:c r="H244" s="38" t="n">
        <x:v>0.1034235501</x:v>
      </x:c>
      <x:c r="I244" s="38" t="n">
        <x:v>0.0044531293</x:v>
      </x:c>
      <x:c r="J244" s="38" t="n">
        <x:v>-0.2767255933</x:v>
      </x:c>
      <x:c r="K244" s="38" t="n">
        <x:v>-0.5175834672</x:v>
      </x:c>
      <x:c r="L244" s="38" t="n">
        <x:v>0.4414398616</x:v>
      </x:c>
      <x:c r="M244" s="38" t="n">
        <x:v>0.265515645</x:v>
      </x:c>
      <x:c r="N244" s="38" t="n">
        <x:v>0.1574222422</x:v>
      </x:c>
      <x:c r="O244" s="38" t="n">
        <x:v>-0.0504213054</x:v>
      </x:c>
      <x:c r="P244" s="38" t="n">
        <x:v>-0.7319212526</x:v>
      </x:c>
      <x:c r="Q244" s="38" t="n">
        <x:v>0.193888791</x:v>
      </x:c>
      <x:c r="R244" s="38" t="n">
        <x:v>-0.6147623806</x:v>
      </x:c>
      <x:c r="S244" s="38" t="n">
        <x:v>-0.0174506518</x:v>
      </x:c>
      <x:c r="T244" s="38" t="n">
        <x:v>0.3049155981</x:v>
      </x:c>
      <x:c r="U244" s="38" t="n">
        <x:v>0.0036032665</x:v>
      </x:c>
      <x:c r="V244" s="38" t="n">
        <x:v>0.2645788034</x:v>
      </x:c>
      <x:c r="W244" s="38" t="n">
        <x:v>-0.185554073</x:v>
      </x:c>
      <x:c r="X244" s="38" t="n">
        <x:v>0.1228865378</x:v>
      </x:c>
      <x:c r="Y244" s="38" t="n">
        <x:v>-0.471897526</x:v>
      </x:c>
      <x:c r="Z244" s="38" t="n">
        <x:v>-0.2238354332</x:v>
      </x:c>
      <x:c r="AA244" s="38" t="n">
        <x:v>0.0135202478</x:v>
      </x:c>
      <x:c r="AB244" s="38" t="n">
        <x:v>0.4135322691</x:v>
      </x:c>
      <x:c r="AC244" s="38" t="n">
        <x:v>-0.1645895208</x:v>
      </x:c>
      <x:c r="AD244" s="38" t="n">
        <x:v>-0.0246892094</x:v>
      </x:c>
      <x:c r="AE244" s="38" t="n">
        <x:v>0.0405833148</x:v>
      </x:c>
      <x:c r="AF244" s="38" t="n">
        <x:v>-0.0557023776</x:v>
      </x:c>
      <x:c r="AG244" s="38" t="n">
        <x:v>-0.0427270552</x:v>
      </x:c>
      <x:c r="AH244" s="38" t="n">
        <x:v>-0.090818571</x:v>
      </x:c>
      <x:c r="AI244" s="38" t="n">
        <x:v>-0.1678487294</x:v>
      </x:c>
      <x:c r="AJ244" s="38" t="n">
        <x:v>0.1155289701</x:v>
      </x:c>
      <x:c r="AK244" s="38" t="n">
        <x:v>0.2545920603</x:v>
      </x:c>
      <x:c r="AL244" s="38" t="n">
        <x:v>-0.4850857735</x:v>
      </x:c>
      <x:c r="AM244" s="38" t="n">
        <x:v>0.0496598962</x:v>
      </x:c>
      <x:c r="AN244" s="38" t="n">
        <x:v>-0.1067312268</x:v>
      </x:c>
      <x:c r="AO244" s="38" t="n">
        <x:v>-0.0383073053</x:v>
      </x:c>
      <x:c r="AP244" s="38" t="n">
        <x:v>0.0186822187</x:v>
      </x:c>
      <x:c r="AQ244" s="38" t="n">
        <x:v>0.0331906849</x:v>
      </x:c>
      <x:c r="AR244" s="38" t="n">
        <x:v>0.1555285077</x:v>
      </x:c>
      <x:c r="AS244" s="38" t="n">
        <x:v>-0.0018488476</x:v>
      </x:c>
    </x:row>
    <x:row r="245" ht="19" customHeight="1">
      <x:c r="A245" s="29" t="str">
        <x:v>Other FX</x:v>
      </x:c>
      <x:c r="B245" s="39" t="d">
        <x:v>2026-08-10T00:00:00.000Z</x:v>
      </x:c>
      <x:c r="C245" s="38" t="n">
        <x:v>-0.0797728912</x:v>
      </x:c>
      <x:c r="D245" s="38" t="n">
        <x:v>0.0671452481</x:v>
      </x:c>
      <x:c r="E245" s="38" t="n">
        <x:v>-0.1067429387</x:v>
      </x:c>
      <x:c r="F245" s="38" t="n">
        <x:v>-0.0710610298</x:v>
      </x:c>
      <x:c r="G245" s="38" t="n">
        <x:v>0.1214605695</x:v>
      </x:c>
      <x:c r="H245" s="38" t="n">
        <x:v>-0.0677390756</x:v>
      </x:c>
      <x:c r="I245" s="38" t="n">
        <x:v>0.0623197506</x:v>
      </x:c>
      <x:c r="J245" s="38" t="n">
        <x:v>-0.0364569107</x:v>
      </x:c>
      <x:c r="K245" s="38" t="n">
        <x:v>0.1902376228</x:v>
      </x:c>
      <x:c r="L245" s="38" t="n">
        <x:v>0.1693516199</x:v>
      </x:c>
      <x:c r="M245" s="38" t="n">
        <x:v>-0.0528142451</x:v>
      </x:c>
      <x:c r="N245" s="38" t="n">
        <x:v>-0.0385471644</x:v>
      </x:c>
      <x:c r="O245" s="38" t="n">
        <x:v>-0.0351459704</x:v>
      </x:c>
      <x:c r="P245" s="38" t="n">
        <x:v>-0.0263790382</x:v>
      </x:c>
      <x:c r="Q245" s="38" t="n">
        <x:v>-0.1067864454</x:v>
      </x:c>
      <x:c r="R245" s="38" t="n">
        <x:v>0.1466498678</x:v>
      </x:c>
      <x:c r="S245" s="38" t="n">
        <x:v>0.1288663511</x:v>
      </x:c>
      <x:c r="T245" s="38" t="n">
        <x:v>0.1676964632</x:v>
      </x:c>
      <x:c r="U245" s="38" t="n">
        <x:v>-0.0762848537</x:v>
      </x:c>
      <x:c r="V245" s="38" t="n">
        <x:v>0.240267286</x:v>
      </x:c>
      <x:c r="W245" s="38" t="n">
        <x:v>0.1668780144</x:v>
      </x:c>
      <x:c r="X245" s="38" t="n">
        <x:v>0.1217358553</x:v>
      </x:c>
      <x:c r="Y245" s="38" t="n">
        <x:v>0.077897417</x:v>
      </x:c>
      <x:c r="Z245" s="38" t="n">
        <x:v>0.3650449544</x:v>
      </x:c>
      <x:c r="AA245" s="38" t="n">
        <x:v>-0.0148490271</x:v>
      </x:c>
      <x:c r="AB245" s="38" t="n">
        <x:v>0.2972653312</x:v>
      </x:c>
      <x:c r="AC245" s="38" t="n">
        <x:v>-0.0248922987</x:v>
      </x:c>
      <x:c r="AD245" s="38" t="n">
        <x:v>-0.0613048717</x:v>
      </x:c>
      <x:c r="AE245" s="38" t="n">
        <x:v>-0.0508455066</x:v>
      </x:c>
      <x:c r="AF245" s="38" t="n">
        <x:v>0.4105268767</x:v>
      </x:c>
      <x:c r="AG245" s="38" t="n">
        <x:v>0.0330275868</x:v>
      </x:c>
      <x:c r="AH245" s="38" t="n">
        <x:v>0.2808632017</x:v>
      </x:c>
      <x:c r="AI245" s="38" t="n">
        <x:v>-0.0317580592</x:v>
      </x:c>
      <x:c r="AJ245" s="38" t="n">
        <x:v>0.0038456525</x:v>
      </x:c>
      <x:c r="AK245" s="38" t="n">
        <x:v>-0.0949794379</x:v>
      </x:c>
      <x:c r="AL245" s="38" t="n">
        <x:v>0.0769532006</x:v>
      </x:c>
      <x:c r="AM245" s="38" t="n">
        <x:v>0.3316033368</x:v>
      </x:c>
      <x:c r="AN245" s="38" t="n">
        <x:v>-0.0457099703</x:v>
      </x:c>
      <x:c r="AO245" s="38" t="n">
        <x:v>-0.003027592</x:v>
      </x:c>
      <x:c r="AP245" s="38" t="n">
        <x:v>-0.0379871729</x:v>
      </x:c>
      <x:c r="AQ245" s="38" t="n">
        <x:v>0.0799992991</x:v>
      </x:c>
      <x:c r="AR245" s="38" t="n">
        <x:v>0.0185859293</x:v>
      </x:c>
      <x:c r="AS245" s="38" t="n">
        <x:v>0.0204089874</x:v>
      </x:c>
    </x:row>
    <x:row r="246" ht="19" customHeight="1">
      <x:c r="A246" s="29" t="str">
        <x:v>SPY</x:v>
      </x:c>
      <x:c r="B246" s="39" t="d">
        <x:v>2020-07-20T00:00:00.000Z</x:v>
      </x:c>
      <x:c r="C246" s="38" t="n">
        <x:v>-0.0309367254</x:v>
      </x:c>
      <x:c r="D246" s="38" t="n">
        <x:v>0.056567317</x:v>
      </x:c>
      <x:c r="E246" s="38" t="n">
        <x:v>0.0488101852</x:v>
      </x:c>
      <x:c r="F246" s="38" t="n">
        <x:v>0.0382309238</x:v>
      </x:c>
      <x:c r="G246" s="38" t="n">
        <x:v>0.0098961913</x:v>
      </x:c>
      <x:c r="H246" s="38" t="n">
        <x:v>0.0160184048</x:v>
      </x:c>
      <x:c r="I246" s="38" t="n">
        <x:v>-0.0076920646</x:v>
      </x:c>
      <x:c r="J246" s="38" t="n">
        <x:v>-0.0644716036</x:v>
      </x:c>
      <x:c r="K246" s="38" t="n">
        <x:v>-0.0704747216</x:v>
      </x:c>
      <x:c r="L246" s="38" t="n">
        <x:v>-0.0108335625</x:v>
      </x:c>
      <x:c r="M246" s="38" t="n">
        <x:v>0.0678724318</x:v>
      </x:c>
      <x:c r="N246" s="38" t="n">
        <x:v>0.0026482757</x:v>
      </x:c>
      <x:c r="O246" s="38" t="n">
        <x:v>0.082187487</x:v>
      </x:c>
      <x:c r="P246" s="38" t="n">
        <x:v>-0.057018544</x:v>
      </x:c>
      <x:c r="Q246" s="38" t="n">
        <x:v>-0.0728672455</x:v>
      </x:c>
      <x:c r="R246" s="38"/>
      <x:c r="S246" s="38" t="n">
        <x:v>0.0084666385</x:v>
      </x:c>
      <x:c r="T246" s="38" t="n">
        <x:v>-0.0650108505</x:v>
      </x:c>
      <x:c r="U246" s="38" t="n">
        <x:v>0.0594652382</x:v>
      </x:c>
      <x:c r="V246" s="38" t="n">
        <x:v>-0.0878974661</x:v>
      </x:c>
      <x:c r="W246" s="38" t="n">
        <x:v>-0.0198566026</x:v>
      </x:c>
      <x:c r="X246" s="38" t="n">
        <x:v>0.0578908678</x:v>
      </x:c>
      <x:c r="Y246" s="38" t="n">
        <x:v>-0.0743824855</x:v>
      </x:c>
      <x:c r="Z246" s="38" t="n">
        <x:v>-0.004464458</x:v>
      </x:c>
      <x:c r="AA246" s="38" t="n">
        <x:v>0.0486451322</x:v>
      </x:c>
      <x:c r="AB246" s="38" t="n">
        <x:v>-0.0741496433</x:v>
      </x:c>
      <x:c r="AC246" s="38"/>
      <x:c r="AD246" s="38" t="n">
        <x:v>0.0345683769</x:v>
      </x:c>
      <x:c r="AE246" s="38" t="n">
        <x:v>0.0147461456</x:v>
      </x:c>
      <x:c r="AF246" s="38" t="n">
        <x:v>-0.053723141</x:v>
      </x:c>
      <x:c r="AG246" s="38" t="n">
        <x:v>-0.0311612408</x:v>
      </x:c>
      <x:c r="AH246" s="38" t="n">
        <x:v>-0.0102211884</x:v>
      </x:c>
      <x:c r="AI246" s="38" t="n">
        <x:v>0.0360195428</x:v>
      </x:c>
      <x:c r="AJ246" s="38" t="n">
        <x:v>-0.0456272525</x:v>
      </x:c>
      <x:c r="AK246" s="38" t="n">
        <x:v>-0.0329619703</x:v>
      </x:c>
      <x:c r="AL246" s="38" t="n">
        <x:v>-0.0532686263</x:v>
      </x:c>
      <x:c r="AM246" s="38" t="n">
        <x:v>-0.0589098269</x:v>
      </x:c>
      <x:c r="AN246" s="38" t="n">
        <x:v>-0.0472034284</x:v>
      </x:c>
      <x:c r="AO246" s="38" t="n">
        <x:v>0.0411747648</x:v>
      </x:c>
      <x:c r="AP246" s="38" t="n">
        <x:v>0.0255003121</x:v>
      </x:c>
      <x:c r="AQ246" s="38" t="n">
        <x:v>0.039107168</x:v>
      </x:c>
      <x:c r="AR246" s="38" t="n">
        <x:v>0.0253709276</x:v>
      </x:c>
      <x:c r="AS246" s="38" t="n">
        <x:v>0.0251057238</x:v>
      </x:c>
    </x:row>
    <x:row r="247" ht="19" customHeight="1">
      <x:c r="A247" s="29" t="str">
        <x:v>SPY</x:v>
      </x:c>
      <x:c r="B247" s="39" t="d">
        <x:v>2020-08-17T00:00:00.000Z</x:v>
      </x:c>
      <x:c r="C247" s="38" t="n">
        <x:v>-0.0407294014</x:v>
      </x:c>
      <x:c r="D247" s="38" t="n">
        <x:v>-0.1379190707</x:v>
      </x:c>
      <x:c r="E247" s="38" t="n">
        <x:v>-0.072117469</x:v>
      </x:c>
      <x:c r="F247" s="38" t="n">
        <x:v>-0.0413032267</x:v>
      </x:c>
      <x:c r="G247" s="38" t="n">
        <x:v>0.0183067304</x:v>
      </x:c>
      <x:c r="H247" s="38" t="n">
        <x:v>0.0363498279</x:v>
      </x:c>
      <x:c r="I247" s="38" t="n">
        <x:v>0.016690383</x:v>
      </x:c>
      <x:c r="J247" s="38" t="n">
        <x:v>0.0552717809</x:v>
      </x:c>
      <x:c r="K247" s="38" t="n">
        <x:v>-0.1319177533</x:v>
      </x:c>
      <x:c r="L247" s="38" t="n">
        <x:v>-0.0708334399</x:v>
      </x:c>
      <x:c r="M247" s="38" t="n">
        <x:v>0.0034498488</x:v>
      </x:c>
      <x:c r="N247" s="38" t="n">
        <x:v>0.0413220557</x:v>
      </x:c>
      <x:c r="O247" s="38" t="n">
        <x:v>0.0030887969</x:v>
      </x:c>
      <x:c r="P247" s="38" t="n">
        <x:v>-0.2116477709</x:v>
      </x:c>
      <x:c r="Q247" s="38" t="n">
        <x:v>-0.0104752556</x:v>
      </x:c>
      <x:c r="R247" s="38"/>
      <x:c r="S247" s="38" t="n">
        <x:v>0.0032379921</x:v>
      </x:c>
      <x:c r="T247" s="38" t="n">
        <x:v>0.0086455968</x:v>
      </x:c>
      <x:c r="U247" s="38" t="n">
        <x:v>-0.0625127775</x:v>
      </x:c>
      <x:c r="V247" s="38" t="n">
        <x:v>-0.0610489064</x:v>
      </x:c>
      <x:c r="W247" s="38" t="n">
        <x:v>-0.018132586</x:v>
      </x:c>
      <x:c r="X247" s="38" t="n">
        <x:v>-0.0118921582</x:v>
      </x:c>
      <x:c r="Y247" s="38" t="n">
        <x:v>-0.1703298327</x:v>
      </x:c>
      <x:c r="Z247" s="38" t="n">
        <x:v>-0.0501127547</x:v>
      </x:c>
      <x:c r="AA247" s="38" t="n">
        <x:v>0.0067939739</x:v>
      </x:c>
      <x:c r="AB247" s="38" t="n">
        <x:v>-0.1544877818</x:v>
      </x:c>
      <x:c r="AC247" s="38"/>
      <x:c r="AD247" s="38" t="n">
        <x:v>0.0445918084</x:v>
      </x:c>
      <x:c r="AE247" s="38" t="n">
        <x:v>-0.0592937503</x:v>
      </x:c>
      <x:c r="AF247" s="38" t="n">
        <x:v>-0.0704598454</x:v>
      </x:c>
      <x:c r="AG247" s="38" t="n">
        <x:v>-0.0487515557</x:v>
      </x:c>
      <x:c r="AH247" s="38" t="n">
        <x:v>-0.0773809569</x:v>
      </x:c>
      <x:c r="AI247" s="38" t="n">
        <x:v>0.0326041292</x:v>
      </x:c>
      <x:c r="AJ247" s="38" t="n">
        <x:v>-0.0663149172</x:v>
      </x:c>
      <x:c r="AK247" s="38" t="n">
        <x:v>0.015614884</x:v>
      </x:c>
      <x:c r="AL247" s="38" t="n">
        <x:v>0.0421226036</x:v>
      </x:c>
      <x:c r="AM247" s="38" t="n">
        <x:v>0.0014490367</x:v>
      </x:c>
      <x:c r="AN247" s="38" t="n">
        <x:v>-0.0152519043</x:v>
      </x:c>
      <x:c r="AO247" s="38" t="n">
        <x:v>0.0064989131</x:v>
      </x:c>
      <x:c r="AP247" s="38" t="n">
        <x:v>0.0118071136</x:v>
      </x:c>
      <x:c r="AQ247" s="38" t="n">
        <x:v>-0.0335619556</x:v>
      </x:c>
      <x:c r="AR247" s="38" t="n">
        <x:v>0.0022223897</x:v>
      </x:c>
      <x:c r="AS247" s="38" t="n">
        <x:v>0.0154462932</x:v>
      </x:c>
    </x:row>
    <x:row r="248" ht="19" customHeight="1">
      <x:c r="A248" s="29" t="str">
        <x:v>SPY</x:v>
      </x:c>
      <x:c r="B248" s="39" t="d">
        <x:v>2020-09-14T00:00:00.000Z</x:v>
      </x:c>
      <x:c r="C248" s="38" t="n">
        <x:v>-0.0257715936</x:v>
      </x:c>
      <x:c r="D248" s="38" t="n">
        <x:v>-0.1768142203</x:v>
      </x:c>
      <x:c r="E248" s="38" t="n">
        <x:v>-0.0158764766</x:v>
      </x:c>
      <x:c r="F248" s="38" t="n">
        <x:v>-0.0215720327</x:v>
      </x:c>
      <x:c r="G248" s="38" t="n">
        <x:v>0.0260087612</x:v>
      </x:c>
      <x:c r="H248" s="38" t="n">
        <x:v>-0.009110285</x:v>
      </x:c>
      <x:c r="I248" s="38" t="n">
        <x:v>-0.0469281806</x:v>
      </x:c>
      <x:c r="J248" s="38" t="n">
        <x:v>-0.0517593509</x:v>
      </x:c>
      <x:c r="K248" s="38" t="n">
        <x:v>-0.0200328747</x:v>
      </x:c>
      <x:c r="L248" s="38" t="n">
        <x:v>-0.0735379087</x:v>
      </x:c>
      <x:c r="M248" s="38" t="n">
        <x:v>0.0149573128</x:v>
      </x:c>
      <x:c r="N248" s="38" t="n">
        <x:v>0.0320419288</x:v>
      </x:c>
      <x:c r="O248" s="38" t="n">
        <x:v>-0.0228245064</x:v>
      </x:c>
      <x:c r="P248" s="38" t="n">
        <x:v>-0.0092834948</x:v>
      </x:c>
      <x:c r="Q248" s="38" t="n">
        <x:v>0.0200316229</x:v>
      </x:c>
      <x:c r="R248" s="38"/>
      <x:c r="S248" s="38" t="n">
        <x:v>-0.0287777351</x:v>
      </x:c>
      <x:c r="T248" s="38" t="n">
        <x:v>-0.0420731929</x:v>
      </x:c>
      <x:c r="U248" s="38" t="n">
        <x:v>-0.0143458241</x:v>
      </x:c>
      <x:c r="V248" s="38" t="n">
        <x:v>-0.008177228</x:v>
      </x:c>
      <x:c r="W248" s="38" t="n">
        <x:v>-0.0162998258</x:v>
      </x:c>
      <x:c r="X248" s="38" t="n">
        <x:v>0.0245874823</x:v>
      </x:c>
      <x:c r="Y248" s="38" t="n">
        <x:v>0.0264534459</x:v>
      </x:c>
      <x:c r="Z248" s="38" t="n">
        <x:v>-0.0503229517</x:v>
      </x:c>
      <x:c r="AA248" s="38" t="n">
        <x:v>0.0163985617</x:v>
      </x:c>
      <x:c r="AB248" s="38" t="n">
        <x:v>-0.0725784394</x:v>
      </x:c>
      <x:c r="AC248" s="38"/>
      <x:c r="AD248" s="38" t="n">
        <x:v>-0.0020807686</x:v>
      </x:c>
      <x:c r="AE248" s="38" t="n">
        <x:v>0.0254424506</x:v>
      </x:c>
      <x:c r="AF248" s="38" t="n">
        <x:v>0.0195672265</x:v>
      </x:c>
      <x:c r="AG248" s="38" t="n">
        <x:v>-0.0438750498</x:v>
      </x:c>
      <x:c r="AH248" s="38" t="n">
        <x:v>-0.0633737487</x:v>
      </x:c>
      <x:c r="AI248" s="38" t="n">
        <x:v>-0.064067228</x:v>
      </x:c>
      <x:c r="AJ248" s="38" t="n">
        <x:v>0.0040031721</x:v>
      </x:c>
      <x:c r="AK248" s="38" t="n">
        <x:v>-0.0195013215</x:v>
      </x:c>
      <x:c r="AL248" s="38" t="n">
        <x:v>-0.1025685011</x:v>
      </x:c>
      <x:c r="AM248" s="38" t="n">
        <x:v>-0.0315231628</x:v>
      </x:c>
      <x:c r="AN248" s="38" t="n">
        <x:v>-0.053749792</x:v>
      </x:c>
      <x:c r="AO248" s="38" t="n">
        <x:v>-0.0281537974</x:v>
      </x:c>
      <x:c r="AP248" s="38" t="n">
        <x:v>-0.0091077136</x:v>
      </x:c>
      <x:c r="AQ248" s="38" t="n">
        <x:v>0.0237207032</x:v>
      </x:c>
      <x:c r="AR248" s="38" t="n">
        <x:v>-0.0278088451</x:v>
      </x:c>
      <x:c r="AS248" s="38" t="n">
        <x:v>0.0233594686</x:v>
      </x:c>
    </x:row>
    <x:row r="249" ht="19" customHeight="1">
      <x:c r="A249" s="29" t="str">
        <x:v>SPY</x:v>
      </x:c>
      <x:c r="B249" s="39" t="d">
        <x:v>2020-10-12T00:00:00.000Z</x:v>
      </x:c>
      <x:c r="C249" s="38" t="n">
        <x:v>-0.0158273004</x:v>
      </x:c>
      <x:c r="D249" s="38" t="n">
        <x:v>-0.058593327</x:v>
      </x:c>
      <x:c r="E249" s="38" t="n">
        <x:v>0.0753747521</x:v>
      </x:c>
      <x:c r="F249" s="38" t="n">
        <x:v>0.0428378196</x:v>
      </x:c>
      <x:c r="G249" s="38" t="n">
        <x:v>-0.0225906862</x:v>
      </x:c>
      <x:c r="H249" s="38" t="n">
        <x:v>0.0636722852</x:v>
      </x:c>
      <x:c r="I249" s="38" t="n">
        <x:v>0.0380848194</x:v>
      </x:c>
      <x:c r="J249" s="38" t="n">
        <x:v>-0.02668996</x:v>
      </x:c>
      <x:c r="K249" s="38" t="n">
        <x:v>-0.0135352873</x:v>
      </x:c>
      <x:c r="L249" s="38" t="n">
        <x:v>-0.135913327</x:v>
      </x:c>
      <x:c r="M249" s="38" t="n">
        <x:v>-0.1064788616</x:v>
      </x:c>
      <x:c r="N249" s="38" t="n">
        <x:v>-0.0067207762</x:v>
      </x:c>
      <x:c r="O249" s="38" t="n">
        <x:v>0.0444375128</x:v>
      </x:c>
      <x:c r="P249" s="38" t="n">
        <x:v>-0.0250656147</x:v>
      </x:c>
      <x:c r="Q249" s="38" t="n">
        <x:v>0.0324184174</x:v>
      </x:c>
      <x:c r="R249" s="38"/>
      <x:c r="S249" s="38" t="n">
        <x:v>-0.0107256265</x:v>
      </x:c>
      <x:c r="T249" s="38" t="n">
        <x:v>0.2141321505</x:v>
      </x:c>
      <x:c r="U249" s="38" t="n">
        <x:v>0.0428195664</x:v>
      </x:c>
      <x:c r="V249" s="38" t="n">
        <x:v>0.0888260446</x:v>
      </x:c>
      <x:c r="W249" s="38" t="n">
        <x:v>0.0624737927</x:v>
      </x:c>
      <x:c r="X249" s="38" t="n">
        <x:v>0.0105274183</x:v>
      </x:c>
      <x:c r="Y249" s="38" t="n">
        <x:v>-0.0262406605</x:v>
      </x:c>
      <x:c r="Z249" s="38" t="n">
        <x:v>0.0307520752</x:v>
      </x:c>
      <x:c r="AA249" s="38" t="n">
        <x:v>-0.0139388834</x:v>
      </x:c>
      <x:c r="AB249" s="38" t="n">
        <x:v>-0.0758797235</x:v>
      </x:c>
      <x:c r="AC249" s="38"/>
      <x:c r="AD249" s="38" t="n">
        <x:v>0.0257491342</x:v>
      </x:c>
      <x:c r="AE249" s="38" t="n">
        <x:v>0.0398735406</x:v>
      </x:c>
      <x:c r="AF249" s="38" t="n">
        <x:v>-0.050634634</x:v>
      </x:c>
      <x:c r="AG249" s="38" t="n">
        <x:v>0.0149868416</x:v>
      </x:c>
      <x:c r="AH249" s="38" t="n">
        <x:v>0.0226949035</x:v>
      </x:c>
      <x:c r="AI249" s="38" t="n">
        <x:v>0.0162717689</x:v>
      </x:c>
      <x:c r="AJ249" s="38" t="n">
        <x:v>-0.0613423027</x:v>
      </x:c>
      <x:c r="AK249" s="38" t="n">
        <x:v>-0.0274630616</x:v>
      </x:c>
      <x:c r="AL249" s="38" t="n">
        <x:v>-0.0382845584</x:v>
      </x:c>
      <x:c r="AM249" s="38" t="n">
        <x:v>0.0393821486</x:v>
      </x:c>
      <x:c r="AN249" s="38" t="n">
        <x:v>0.0507484771</x:v>
      </x:c>
      <x:c r="AO249" s="38" t="n">
        <x:v>0.0469695696</x:v>
      </x:c>
      <x:c r="AP249" s="38" t="n">
        <x:v>0.0128211197</x:v>
      </x:c>
      <x:c r="AQ249" s="38" t="n">
        <x:v>-0.0157275939</x:v>
      </x:c>
      <x:c r="AR249" s="38" t="n">
        <x:v>-0.0143737192</x:v>
      </x:c>
      <x:c r="AS249" s="38" t="n">
        <x:v>-0.026965416</x:v>
      </x:c>
    </x:row>
    <x:row r="250" ht="19" customHeight="1">
      <x:c r="A250" s="29" t="str">
        <x:v>SPY</x:v>
      </x:c>
      <x:c r="B250" s="39" t="d">
        <x:v>2020-11-09T00:00:00.000Z</x:v>
      </x:c>
      <x:c r="C250" s="38" t="n">
        <x:v>-0.0115107046</x:v>
      </x:c>
      <x:c r="D250" s="38" t="n">
        <x:v>0.0001650877</x:v>
      </x:c>
      <x:c r="E250" s="38" t="n">
        <x:v>-0.0213306378</x:v>
      </x:c>
      <x:c r="F250" s="38" t="n">
        <x:v>0.0017228688</x:v>
      </x:c>
      <x:c r="G250" s="38" t="n">
        <x:v>0.0393729903</x:v>
      </x:c>
      <x:c r="H250" s="38" t="n">
        <x:v>-0.0551457277</x:v>
      </x:c>
      <x:c r="I250" s="38" t="n">
        <x:v>-0.0364907827</x:v>
      </x:c>
      <x:c r="J250" s="38" t="n">
        <x:v>-0.1473229215</x:v>
      </x:c>
      <x:c r="K250" s="38" t="n">
        <x:v>-0.0696038341</x:v>
      </x:c>
      <x:c r="L250" s="38" t="n">
        <x:v>0.1076322111</x:v>
      </x:c>
      <x:c r="M250" s="38" t="n">
        <x:v>0.0290861876</x:v>
      </x:c>
      <x:c r="N250" s="38" t="n">
        <x:v>-0.0039309765</x:v>
      </x:c>
      <x:c r="O250" s="38" t="n">
        <x:v>0.0407535405</x:v>
      </x:c>
      <x:c r="P250" s="38" t="n">
        <x:v>-0.0486444181</x:v>
      </x:c>
      <x:c r="Q250" s="38" t="n">
        <x:v>0.0097152275</x:v>
      </x:c>
      <x:c r="R250" s="38"/>
      <x:c r="S250" s="38" t="n">
        <x:v>-0.0204503006</x:v>
      </x:c>
      <x:c r="T250" s="38" t="n">
        <x:v>0.0322146747</x:v>
      </x:c>
      <x:c r="U250" s="38" t="n">
        <x:v>0.0683317964</x:v>
      </x:c>
      <x:c r="V250" s="38" t="n">
        <x:v>0.0389458307</x:v>
      </x:c>
      <x:c r="W250" s="38" t="n">
        <x:v>-0.0733127307</x:v>
      </x:c>
      <x:c r="X250" s="38" t="n">
        <x:v>0.0362800972</x:v>
      </x:c>
      <x:c r="Y250" s="38" t="n">
        <x:v>-0.0385578528</x:v>
      </x:c>
      <x:c r="Z250" s="38" t="n">
        <x:v>-0.0283296194</x:v>
      </x:c>
      <x:c r="AA250" s="38" t="n">
        <x:v>-0.0209739231</x:v>
      </x:c>
      <x:c r="AB250" s="38" t="n">
        <x:v>-0.0760822491</x:v>
      </x:c>
      <x:c r="AC250" s="38"/>
      <x:c r="AD250" s="38" t="n">
        <x:v>-0.0039557903</x:v>
      </x:c>
      <x:c r="AE250" s="38" t="n">
        <x:v>0.0132445764</x:v>
      </x:c>
      <x:c r="AF250" s="38" t="n">
        <x:v>0.0024079332</x:v>
      </x:c>
      <x:c r="AG250" s="38" t="n">
        <x:v>0.028806239</x:v>
      </x:c>
      <x:c r="AH250" s="38" t="n">
        <x:v>0.0304074827</x:v>
      </x:c>
      <x:c r="AI250" s="38" t="n">
        <x:v>-0.0500583872</x:v>
      </x:c>
      <x:c r="AJ250" s="38" t="n">
        <x:v>-0.0386319364</x:v>
      </x:c>
      <x:c r="AK250" s="38" t="n">
        <x:v>0.0763370783</x:v>
      </x:c>
      <x:c r="AL250" s="38" t="n">
        <x:v>-0.05660211</x:v>
      </x:c>
      <x:c r="AM250" s="38" t="n">
        <x:v>-0.0224418671</x:v>
      </x:c>
      <x:c r="AN250" s="38" t="n">
        <x:v>0.0414171105</x:v>
      </x:c>
      <x:c r="AO250" s="38" t="n">
        <x:v>-0.023084308</x:v>
      </x:c>
      <x:c r="AP250" s="38" t="n">
        <x:v>-0.0359401255</x:v>
      </x:c>
      <x:c r="AQ250" s="38" t="n">
        <x:v>0.020002414</x:v>
      </x:c>
      <x:c r="AR250" s="38" t="n">
        <x:v>-0.0084499268</x:v>
      </x:c>
      <x:c r="AS250" s="38" t="n">
        <x:v>0.0249077011</x:v>
      </x:c>
    </x:row>
    <x:row r="251" ht="19" customHeight="1">
      <x:c r="A251" s="29" t="str">
        <x:v>SPY</x:v>
      </x:c>
      <x:c r="B251" s="39" t="d">
        <x:v>2020-12-07T00:00:00.000Z</x:v>
      </x:c>
      <x:c r="C251" s="38" t="n">
        <x:v>-0.0723455675</x:v>
      </x:c>
      <x:c r="D251" s="38" t="n">
        <x:v>0.0599491358</x:v>
      </x:c>
      <x:c r="E251" s="38" t="n">
        <x:v>-0.0643956613</x:v>
      </x:c>
      <x:c r="F251" s="38" t="n">
        <x:v>-0.0503539702</x:v>
      </x:c>
      <x:c r="G251" s="38" t="n">
        <x:v>0.1322412528</x:v>
      </x:c>
      <x:c r="H251" s="38" t="n">
        <x:v>-0.0015328123</x:v>
      </x:c>
      <x:c r="I251" s="38" t="n">
        <x:v>-0.0368604273</x:v>
      </x:c>
      <x:c r="J251" s="38" t="n">
        <x:v>-0.0507165147</x:v>
      </x:c>
      <x:c r="K251" s="38" t="n">
        <x:v>0.0254257016</x:v>
      </x:c>
      <x:c r="L251" s="38" t="n">
        <x:v>0.0681844175</x:v>
      </x:c>
      <x:c r="M251" s="38" t="n">
        <x:v>0.1086634319</x:v>
      </x:c>
      <x:c r="N251" s="38" t="n">
        <x:v>0.0499944795</x:v>
      </x:c>
      <x:c r="O251" s="38" t="n">
        <x:v>0.0115715509</x:v>
      </x:c>
      <x:c r="P251" s="38" t="n">
        <x:v>0.0523889113</x:v>
      </x:c>
      <x:c r="Q251" s="38" t="n">
        <x:v>0.0237759395</x:v>
      </x:c>
      <x:c r="R251" s="38"/>
      <x:c r="S251" s="38" t="n">
        <x:v>0.0362983719</x:v>
      </x:c>
      <x:c r="T251" s="38" t="n">
        <x:v>0.1020091631</x:v>
      </x:c>
      <x:c r="U251" s="38" t="n">
        <x:v>0.320289538</x:v>
      </x:c>
      <x:c r="V251" s="38" t="n">
        <x:v>0.0116369476</x:v>
      </x:c>
      <x:c r="W251" s="38" t="n">
        <x:v>-0.0078175852</x:v>
      </x:c>
      <x:c r="X251" s="38" t="n">
        <x:v>0.0157033585</x:v>
      </x:c>
      <x:c r="Y251" s="38" t="n">
        <x:v>0.0400199176</x:v>
      </x:c>
      <x:c r="Z251" s="38" t="n">
        <x:v>-0.1518245084</x:v>
      </x:c>
      <x:c r="AA251" s="38" t="n">
        <x:v>-0.0239117285</x:v>
      </x:c>
      <x:c r="AB251" s="38" t="n">
        <x:v>-0.042356473</x:v>
      </x:c>
      <x:c r="AC251" s="38"/>
      <x:c r="AD251" s="38" t="n">
        <x:v>-0.0346769542</x:v>
      </x:c>
      <x:c r="AE251" s="38" t="n">
        <x:v>-0.0166362631</x:v>
      </x:c>
      <x:c r="AF251" s="38" t="n">
        <x:v>0.0729731155</x:v>
      </x:c>
      <x:c r="AG251" s="38" t="n">
        <x:v>0.1014787209</x:v>
      </x:c>
      <x:c r="AH251" s="38" t="n">
        <x:v>0.0024556217</x:v>
      </x:c>
      <x:c r="AI251" s="38" t="n">
        <x:v>-0.0146299864</x:v>
      </x:c>
      <x:c r="AJ251" s="38" t="n">
        <x:v>0.0433949446</x:v>
      </x:c>
      <x:c r="AK251" s="38" t="n">
        <x:v>-0.0617626417</x:v>
      </x:c>
      <x:c r="AL251" s="38" t="n">
        <x:v>0.014235004</x:v>
      </x:c>
      <x:c r="AM251" s="38" t="n">
        <x:v>-0.0493885534</x:v>
      </x:c>
      <x:c r="AN251" s="38" t="n">
        <x:v>-0.0781218266</x:v>
      </x:c>
      <x:c r="AO251" s="38" t="n">
        <x:v>-0.0022231423</x:v>
      </x:c>
      <x:c r="AP251" s="38" t="n">
        <x:v>-0.0371785214</x:v>
      </x:c>
      <x:c r="AQ251" s="38" t="n">
        <x:v>-0.0155719541</x:v>
      </x:c>
      <x:c r="AR251" s="38" t="n">
        <x:v>-0.0006737475</x:v>
      </x:c>
      <x:c r="AS251" s="38" t="n">
        <x:v>-0.0224895103</x:v>
      </x:c>
    </x:row>
    <x:row r="252" ht="19" customHeight="1">
      <x:c r="A252" s="29" t="str">
        <x:v>SPY</x:v>
      </x:c>
      <x:c r="B252" s="39" t="d">
        <x:v>2021-01-04T00:00:00.000Z</x:v>
      </x:c>
      <x:c r="C252" s="38" t="n">
        <x:v>0.0443608246</x:v>
      </x:c>
      <x:c r="D252" s="38" t="n">
        <x:v>-0.0583226113</x:v>
      </x:c>
      <x:c r="E252" s="38" t="n">
        <x:v>-0.0438273961</x:v>
      </x:c>
      <x:c r="F252" s="38" t="n">
        <x:v>-0.0632620691</x:v>
      </x:c>
      <x:c r="G252" s="38" t="n">
        <x:v>-0.0115171752</x:v>
      </x:c>
      <x:c r="H252" s="38" t="n">
        <x:v>0.0164261164</x:v>
      </x:c>
      <x:c r="I252" s="38" t="n">
        <x:v>-0.0183394724</x:v>
      </x:c>
      <x:c r="J252" s="38" t="n">
        <x:v>-0.0016563672</x:v>
      </x:c>
      <x:c r="K252" s="38" t="n">
        <x:v>-0.1574238681</x:v>
      </x:c>
      <x:c r="L252" s="38" t="n">
        <x:v>-0.0407917461</x:v>
      </x:c>
      <x:c r="M252" s="38" t="n">
        <x:v>0.0393350614</x:v>
      </x:c>
      <x:c r="N252" s="38" t="n">
        <x:v>0.0051395207</x:v>
      </x:c>
      <x:c r="O252" s="38" t="n">
        <x:v>0.0965876644</x:v>
      </x:c>
      <x:c r="P252" s="38" t="n">
        <x:v>-0.0861071439</x:v>
      </x:c>
      <x:c r="Q252" s="38" t="n">
        <x:v>-0.0530865939</x:v>
      </x:c>
      <x:c r="R252" s="38"/>
      <x:c r="S252" s="38" t="n">
        <x:v>0.0546984965</x:v>
      </x:c>
      <x:c r="T252" s="38" t="n">
        <x:v>-0.0666772432</x:v>
      </x:c>
      <x:c r="U252" s="38" t="n">
        <x:v>-0.193550354</x:v>
      </x:c>
      <x:c r="V252" s="38" t="n">
        <x:v>-0.0065383406</x:v>
      </x:c>
      <x:c r="W252" s="38" t="n">
        <x:v>-0.0182312703</x:v>
      </x:c>
      <x:c r="X252" s="38" t="n">
        <x:v>0.0009584706</x:v>
      </x:c>
      <x:c r="Y252" s="38" t="n">
        <x:v>-0.0412283976</x:v>
      </x:c>
      <x:c r="Z252" s="38" t="n">
        <x:v>-0.039339877</x:v>
      </x:c>
      <x:c r="AA252" s="38" t="n">
        <x:v>0.0114247597</x:v>
      </x:c>
      <x:c r="AB252" s="38" t="n">
        <x:v>-0.1100300102</x:v>
      </x:c>
      <x:c r="AC252" s="38"/>
      <x:c r="AD252" s="38" t="n">
        <x:v>-0.0049254177</x:v>
      </x:c>
      <x:c r="AE252" s="38" t="n">
        <x:v>-0.0506046335</x:v>
      </x:c>
      <x:c r="AF252" s="38" t="n">
        <x:v>-0.0527754592</x:v>
      </x:c>
      <x:c r="AG252" s="38" t="n">
        <x:v>-0.0769001783</x:v>
      </x:c>
      <x:c r="AH252" s="38" t="n">
        <x:v>-0.0664379176</x:v>
      </x:c>
      <x:c r="AI252" s="38" t="n">
        <x:v>-0.0512450241</x:v>
      </x:c>
      <x:c r="AJ252" s="38" t="n">
        <x:v>-0.0071439015</x:v>
      </x:c>
      <x:c r="AK252" s="38" t="n">
        <x:v>-0.064733511</x:v>
      </x:c>
      <x:c r="AL252" s="38" t="n">
        <x:v>-0.051865112</x:v>
      </x:c>
      <x:c r="AM252" s="38" t="n">
        <x:v>-0.0133069606</x:v>
      </x:c>
      <x:c r="AN252" s="38" t="n">
        <x:v>-0.0495678521</x:v>
      </x:c>
      <x:c r="AO252" s="38" t="n">
        <x:v>-0.0343594913</x:v>
      </x:c>
      <x:c r="AP252" s="38" t="n">
        <x:v>-0.0118704487</x:v>
      </x:c>
      <x:c r="AQ252" s="38" t="n">
        <x:v>-0.0458152334</x:v>
      </x:c>
      <x:c r="AR252" s="38" t="n">
        <x:v>0.0112149391</x:v>
      </x:c>
      <x:c r="AS252" s="38" t="n">
        <x:v>0.0016721781</x:v>
      </x:c>
    </x:row>
    <x:row r="253" ht="19" customHeight="1">
      <x:c r="A253" s="29" t="str">
        <x:v>SPY</x:v>
      </x:c>
      <x:c r="B253" s="39" t="d">
        <x:v>2021-02-01T00:00:00.000Z</x:v>
      </x:c>
      <x:c r="C253" s="38" t="n">
        <x:v>-0.0227042464</x:v>
      </x:c>
      <x:c r="D253" s="38" t="n">
        <x:v>-0.0439829235</x:v>
      </x:c>
      <x:c r="E253" s="38" t="n">
        <x:v>0.0205406541</x:v>
      </x:c>
      <x:c r="F253" s="38" t="n">
        <x:v>-0.0068729331</x:v>
      </x:c>
      <x:c r="G253" s="38" t="n">
        <x:v>0.0195352657</x:v>
      </x:c>
      <x:c r="H253" s="38" t="n">
        <x:v>0.0581918641</x:v>
      </x:c>
      <x:c r="I253" s="38" t="n">
        <x:v>0.025472952</x:v>
      </x:c>
      <x:c r="J253" s="38" t="n">
        <x:v>-0.0261308502</x:v>
      </x:c>
      <x:c r="K253" s="38" t="n">
        <x:v>0.0697710365</x:v>
      </x:c>
      <x:c r="L253" s="38" t="n">
        <x:v>0.0116742223</x:v>
      </x:c>
      <x:c r="M253" s="38" t="n">
        <x:v>-0.0196178855</x:v>
      </x:c>
      <x:c r="N253" s="38" t="n">
        <x:v>0.0278193548</x:v>
      </x:c>
      <x:c r="O253" s="38" t="n">
        <x:v>0.0351348301</x:v>
      </x:c>
      <x:c r="P253" s="38" t="n">
        <x:v>0.0559777921</x:v>
      </x:c>
      <x:c r="Q253" s="38" t="n">
        <x:v>-0.063918485</x:v>
      </x:c>
      <x:c r="R253" s="38"/>
      <x:c r="S253" s="38" t="n">
        <x:v>-0.028455321</x:v>
      </x:c>
      <x:c r="T253" s="38" t="n">
        <x:v>0.0068789232</x:v>
      </x:c>
      <x:c r="U253" s="38" t="n">
        <x:v>0.2867081774</x:v>
      </x:c>
      <x:c r="V253" s="38" t="n">
        <x:v>0.1822381386</x:v>
      </x:c>
      <x:c r="W253" s="38" t="n">
        <x:v>0.0574979034</x:v>
      </x:c>
      <x:c r="X253" s="38" t="n">
        <x:v>0.0109861895</x:v>
      </x:c>
      <x:c r="Y253" s="38" t="n">
        <x:v>-0.0005757533</x:v>
      </x:c>
      <x:c r="Z253" s="38" t="n">
        <x:v>-0.0041895693</x:v>
      </x:c>
      <x:c r="AA253" s="38" t="n">
        <x:v>-0.0533427163</x:v>
      </x:c>
      <x:c r="AB253" s="38" t="n">
        <x:v>0.0574153409</x:v>
      </x:c>
      <x:c r="AC253" s="38" t="n">
        <x:v>0.2208415522</x:v>
      </x:c>
      <x:c r="AD253" s="38" t="n">
        <x:v>-0.0325554943</x:v>
      </x:c>
      <x:c r="AE253" s="38" t="n">
        <x:v>0.1631086732</x:v>
      </x:c>
      <x:c r="AF253" s="38" t="n">
        <x:v>0.0339076045</x:v>
      </x:c>
      <x:c r="AG253" s="38" t="n">
        <x:v>0.0099158321</x:v>
      </x:c>
      <x:c r="AH253" s="38" t="n">
        <x:v>-0.0065308446</x:v>
      </x:c>
      <x:c r="AI253" s="38" t="n">
        <x:v>-0.0635514136</x:v>
      </x:c>
      <x:c r="AJ253" s="38" t="n">
        <x:v>0.0921127891</x:v>
      </x:c>
      <x:c r="AK253" s="38" t="n">
        <x:v>0.0079243514</x:v>
      </x:c>
      <x:c r="AL253" s="38" t="n">
        <x:v>0.0312637346</x:v>
      </x:c>
      <x:c r="AM253" s="38" t="n">
        <x:v>0.0571391905</x:v>
      </x:c>
      <x:c r="AN253" s="38" t="n">
        <x:v>0.0839519262</x:v>
      </x:c>
      <x:c r="AO253" s="38" t="n">
        <x:v>-0.0333015153</x:v>
      </x:c>
      <x:c r="AP253" s="38" t="n">
        <x:v>0.0288967929</x:v>
      </x:c>
      <x:c r="AQ253" s="38" t="n">
        <x:v>-0.0198751406</x:v>
      </x:c>
      <x:c r="AR253" s="38" t="n">
        <x:v>0.0086735216</x:v>
      </x:c>
      <x:c r="AS253" s="38" t="n">
        <x:v>-0.00052794</x:v>
      </x:c>
    </x:row>
    <x:row r="254" ht="19" customHeight="1">
      <x:c r="A254" s="29" t="str">
        <x:v>SPY</x:v>
      </x:c>
      <x:c r="B254" s="39" t="d">
        <x:v>2021-03-01T00:00:00.000Z</x:v>
      </x:c>
      <x:c r="C254" s="38" t="n">
        <x:v>-0.1079604877</x:v>
      </x:c>
      <x:c r="D254" s="38" t="n">
        <x:v>-0.0118325016</x:v>
      </x:c>
      <x:c r="E254" s="38" t="n">
        <x:v>-0.0169020374</x:v>
      </x:c>
      <x:c r="F254" s="38" t="n">
        <x:v>-0.0512460501</x:v>
      </x:c>
      <x:c r="G254" s="38" t="n">
        <x:v>0.0610017171</x:v>
      </x:c>
      <x:c r="H254" s="38" t="n">
        <x:v>-0.0716797641</x:v>
      </x:c>
      <x:c r="I254" s="38" t="n">
        <x:v>-0.045842843</x:v>
      </x:c>
      <x:c r="J254" s="38" t="n">
        <x:v>0.15056142</x:v>
      </x:c>
      <x:c r="K254" s="38" t="n">
        <x:v>0.0515517324</x:v>
      </x:c>
      <x:c r="L254" s="38" t="n">
        <x:v>0.129871731</x:v>
      </x:c>
      <x:c r="M254" s="38" t="n">
        <x:v>-0.0323399035</x:v>
      </x:c>
      <x:c r="N254" s="38" t="n">
        <x:v>-0.0447471426</x:v>
      </x:c>
      <x:c r="O254" s="38" t="n">
        <x:v>0.0477551205</x:v>
      </x:c>
      <x:c r="P254" s="38" t="n">
        <x:v>0.0897662979</x:v>
      </x:c>
      <x:c r="Q254" s="38" t="n">
        <x:v>-0.0228280759</x:v>
      </x:c>
      <x:c r="R254" s="38"/>
      <x:c r="S254" s="38" t="n">
        <x:v>0.0660575955</x:v>
      </x:c>
      <x:c r="T254" s="38" t="n">
        <x:v>-0.1576851215</x:v>
      </x:c>
      <x:c r="U254" s="38" t="n">
        <x:v>-0.0720001593</x:v>
      </x:c>
      <x:c r="V254" s="38" t="n">
        <x:v>-0.08772729</x:v>
      </x:c>
      <x:c r="W254" s="38" t="n">
        <x:v>-0.0174877417</x:v>
      </x:c>
      <x:c r="X254" s="38" t="n">
        <x:v>0.0681021885</x:v>
      </x:c>
      <x:c r="Y254" s="38" t="n">
        <x:v>0.0716783884</x:v>
      </x:c>
      <x:c r="Z254" s="38" t="n">
        <x:v>-0.0678154574</x:v>
      </x:c>
      <x:c r="AA254" s="38" t="n">
        <x:v>0.0107173498</x:v>
      </x:c>
      <x:c r="AB254" s="38" t="n">
        <x:v>-0.1873482993</x:v>
      </x:c>
      <x:c r="AC254" s="38" t="n">
        <x:v>-0.1796624988</x:v>
      </x:c>
      <x:c r="AD254" s="38" t="n">
        <x:v>0.010046553</x:v>
      </x:c>
      <x:c r="AE254" s="38" t="n">
        <x:v>0.0652746644</x:v>
      </x:c>
      <x:c r="AF254" s="38" t="n">
        <x:v>0.0503598728</x:v>
      </x:c>
      <x:c r="AG254" s="38" t="n">
        <x:v>0.110182831</x:v>
      </x:c>
      <x:c r="AH254" s="38" t="n">
        <x:v>0.0476060484</x:v>
      </x:c>
      <x:c r="AI254" s="38" t="n">
        <x:v>-0.0473349267</x:v>
      </x:c>
      <x:c r="AJ254" s="38" t="n">
        <x:v>0.0012487255</x:v>
      </x:c>
      <x:c r="AK254" s="38" t="n">
        <x:v>0.036277353</x:v>
      </x:c>
      <x:c r="AL254" s="38" t="n">
        <x:v>-0.0473785521</x:v>
      </x:c>
      <x:c r="AM254" s="38" t="n">
        <x:v>-0.0075373429</x:v>
      </x:c>
      <x:c r="AN254" s="38" t="n">
        <x:v>-0.0239407387</x:v>
      </x:c>
      <x:c r="AO254" s="38" t="n">
        <x:v>-0.0641425323</x:v>
      </x:c>
      <x:c r="AP254" s="38" t="n">
        <x:v>-0.036050226</x:v>
      </x:c>
      <x:c r="AQ254" s="38" t="n">
        <x:v>0.0151456238</x:v>
      </x:c>
      <x:c r="AR254" s="38" t="n">
        <x:v>-0.0350712965</x:v>
      </x:c>
      <x:c r="AS254" s="38" t="n">
        <x:v>0.0442998624</x:v>
      </x:c>
    </x:row>
    <x:row r="255" ht="19" customHeight="1">
      <x:c r="A255" s="29" t="str">
        <x:v>SPY</x:v>
      </x:c>
      <x:c r="B255" s="39" t="d">
        <x:v>2021-03-29T00:00:00.000Z</x:v>
      </x:c>
      <x:c r="C255" s="38" t="n">
        <x:v>-0.043083405</x:v>
      </x:c>
      <x:c r="D255" s="38" t="n">
        <x:v>-0.0616256989</x:v>
      </x:c>
      <x:c r="E255" s="38" t="n">
        <x:v>0.0430936722</x:v>
      </x:c>
      <x:c r="F255" s="38" t="n">
        <x:v>0.0481664583</x:v>
      </x:c>
      <x:c r="G255" s="38" t="n">
        <x:v>-0.0156658428</x:v>
      </x:c>
      <x:c r="H255" s="38" t="n">
        <x:v>0.044882452</x:v>
      </x:c>
      <x:c r="I255" s="38" t="n">
        <x:v>0.0087378043</x:v>
      </x:c>
      <x:c r="J255" s="38" t="n">
        <x:v>-0.0625720724</x:v>
      </x:c>
      <x:c r="K255" s="38" t="n">
        <x:v>-0.0800186091</x:v>
      </x:c>
      <x:c r="L255" s="38" t="n">
        <x:v>-0.0570589599</x:v>
      </x:c>
      <x:c r="M255" s="38" t="n">
        <x:v>-0.0042054364</x:v>
      </x:c>
      <x:c r="N255" s="38" t="n">
        <x:v>-0.0072202316</x:v>
      </x:c>
      <x:c r="O255" s="38" t="n">
        <x:v>0.0301566499</x:v>
      </x:c>
      <x:c r="P255" s="38" t="n">
        <x:v>-0.1005384619</x:v>
      </x:c>
      <x:c r="Q255" s="38" t="n">
        <x:v>-0.0824081388</x:v>
      </x:c>
      <x:c r="R255" s="38"/>
      <x:c r="S255" s="38" t="n">
        <x:v>-0.025063913</x:v>
      </x:c>
      <x:c r="T255" s="38" t="n">
        <x:v>-0.0079435177</x:v>
      </x:c>
      <x:c r="U255" s="38" t="n">
        <x:v>-0.064031175</x:v>
      </x:c>
      <x:c r="V255" s="38" t="n">
        <x:v>-0.0397572553</x:v>
      </x:c>
      <x:c r="W255" s="38" t="n">
        <x:v>0.023471378</x:v>
      </x:c>
      <x:c r="X255" s="38" t="n">
        <x:v>0.0046499951</x:v>
      </x:c>
      <x:c r="Y255" s="38" t="n">
        <x:v>-0.1086415262</x:v>
      </x:c>
      <x:c r="Z255" s="38" t="n">
        <x:v>0.0675030774</x:v>
      </x:c>
      <x:c r="AA255" s="38" t="n">
        <x:v>0.0291793446</x:v>
      </x:c>
      <x:c r="AB255" s="38" t="n">
        <x:v>-0.0684103584</x:v>
      </x:c>
      <x:c r="AC255" s="38" t="n">
        <x:v>0.6407024025</x:v>
      </x:c>
      <x:c r="AD255" s="38" t="n">
        <x:v>0.0406198325</x:v>
      </x:c>
      <x:c r="AE255" s="38" t="n">
        <x:v>-0.0415742126</x:v>
      </x:c>
      <x:c r="AF255" s="38" t="n">
        <x:v>0.0077735159</x:v>
      </x:c>
      <x:c r="AG255" s="38" t="n">
        <x:v>0.039479834</x:v>
      </x:c>
      <x:c r="AH255" s="38" t="n">
        <x:v>0.0692220248</x:v>
      </x:c>
      <x:c r="AI255" s="38" t="n">
        <x:v>-0.0269800581</x:v>
      </x:c>
      <x:c r="AJ255" s="38" t="n">
        <x:v>-0.0996197518</x:v>
      </x:c>
      <x:c r="AK255" s="38" t="n">
        <x:v>0.0077911027</x:v>
      </x:c>
      <x:c r="AL255" s="38" t="n">
        <x:v>-0.0110827476</x:v>
      </x:c>
      <x:c r="AM255" s="38" t="n">
        <x:v>0.0137984086</x:v>
      </x:c>
      <x:c r="AN255" s="38" t="n">
        <x:v>-0.009651137</x:v>
      </x:c>
      <x:c r="AO255" s="38" t="n">
        <x:v>0.0462571553</x:v>
      </x:c>
      <x:c r="AP255" s="38" t="n">
        <x:v>0.1144618567</x:v>
      </x:c>
      <x:c r="AQ255" s="38" t="n">
        <x:v>0.0179509474</x:v>
      </x:c>
      <x:c r="AR255" s="38" t="n">
        <x:v>0.0177525884</x:v>
      </x:c>
      <x:c r="AS255" s="38" t="n">
        <x:v>0.0032775998</x:v>
      </x:c>
    </x:row>
    <x:row r="256" ht="19" customHeight="1">
      <x:c r="A256" s="29" t="str">
        <x:v>SPY</x:v>
      </x:c>
      <x:c r="B256" s="39" t="d">
        <x:v>2021-04-26T00:00:00.000Z</x:v>
      </x:c>
      <x:c r="C256" s="38" t="n">
        <x:v>-0.0719261759</x:v>
      </x:c>
      <x:c r="D256" s="38" t="n">
        <x:v>-0.0367460866</x:v>
      </x:c>
      <x:c r="E256" s="38" t="n">
        <x:v>0.0016608775</x:v>
      </x:c>
      <x:c r="F256" s="38" t="n">
        <x:v>0.0383696654</x:v>
      </x:c>
      <x:c r="G256" s="38" t="n">
        <x:v>-0.0343319557</x:v>
      </x:c>
      <x:c r="H256" s="38" t="n">
        <x:v>0.0059284858</x:v>
      </x:c>
      <x:c r="I256" s="38" t="n">
        <x:v>0.0186289442</x:v>
      </x:c>
      <x:c r="J256" s="38" t="n">
        <x:v>-0.0139566222</x:v>
      </x:c>
      <x:c r="K256" s="38" t="n">
        <x:v>0.0468634185</x:v>
      </x:c>
      <x:c r="L256" s="38" t="n">
        <x:v>-0.038700733</x:v>
      </x:c>
      <x:c r="M256" s="38" t="n">
        <x:v>0.0020137067</x:v>
      </x:c>
      <x:c r="N256" s="38" t="n">
        <x:v>-0.0102233264</x:v>
      </x:c>
      <x:c r="O256" s="38" t="n">
        <x:v>-0.0210848905</x:v>
      </x:c>
      <x:c r="P256" s="38" t="n">
        <x:v>-0.044696704</x:v>
      </x:c>
      <x:c r="Q256" s="38" t="n">
        <x:v>0.0411731897</x:v>
      </x:c>
      <x:c r="R256" s="38" t="n">
        <x:v>-0.0488412828</x:v>
      </x:c>
      <x:c r="S256" s="38" t="n">
        <x:v>-0.0296207045</x:v>
      </x:c>
      <x:c r="T256" s="38" t="n">
        <x:v>0.0596035087</x:v>
      </x:c>
      <x:c r="U256" s="38" t="n">
        <x:v>0.1922419223</x:v>
      </x:c>
      <x:c r="V256" s="38" t="n">
        <x:v>-0.0141759399</x:v>
      </x:c>
      <x:c r="W256" s="38" t="n">
        <x:v>-0.0718152886</x:v>
      </x:c>
      <x:c r="X256" s="38" t="n">
        <x:v>0.0044002149</x:v>
      </x:c>
      <x:c r="Y256" s="38" t="n">
        <x:v>-0.0877133241</x:v>
      </x:c>
      <x:c r="Z256" s="38" t="n">
        <x:v>-0.0347736758</x:v>
      </x:c>
      <x:c r="AA256" s="38" t="n">
        <x:v>0.0141479702</x:v>
      </x:c>
      <x:c r="AB256" s="38" t="n">
        <x:v>-0.0720885936</x:v>
      </x:c>
      <x:c r="AC256" s="38" t="n">
        <x:v>-0.2241633795</x:v>
      </x:c>
      <x:c r="AD256" s="38" t="n">
        <x:v>-0.010880038</x:v>
      </x:c>
      <x:c r="AE256" s="38" t="n">
        <x:v>-0.0654429506</x:v>
      </x:c>
      <x:c r="AF256" s="38" t="n">
        <x:v>-0.0338562366</x:v>
      </x:c>
      <x:c r="AG256" s="38" t="n">
        <x:v>-0.0736169939</x:v>
      </x:c>
      <x:c r="AH256" s="38" t="n">
        <x:v>0.005552207</x:v>
      </x:c>
      <x:c r="AI256" s="38" t="n">
        <x:v>-0.0859262588</x:v>
      </x:c>
      <x:c r="AJ256" s="38" t="n">
        <x:v>-0.0383711521</x:v>
      </x:c>
      <x:c r="AK256" s="38" t="n">
        <x:v>-0.0215937246</x:v>
      </x:c>
      <x:c r="AL256" s="38" t="n">
        <x:v>0.0633208077</x:v>
      </x:c>
      <x:c r="AM256" s="38" t="n">
        <x:v>-0.0190203751</x:v>
      </x:c>
      <x:c r="AN256" s="38" t="n">
        <x:v>0.016934506</x:v>
      </x:c>
      <x:c r="AO256" s="38" t="n">
        <x:v>0.0078336889</x:v>
      </x:c>
      <x:c r="AP256" s="38" t="n">
        <x:v>0.0054525282</x:v>
      </x:c>
      <x:c r="AQ256" s="38" t="n">
        <x:v>-0.0067269173</x:v>
      </x:c>
      <x:c r="AR256" s="38" t="n">
        <x:v>-0.0182775352</x:v>
      </x:c>
      <x:c r="AS256" s="38" t="n">
        <x:v>0.0159646952</x:v>
      </x:c>
    </x:row>
    <x:row r="257" ht="19" customHeight="1">
      <x:c r="A257" s="29" t="str">
        <x:v>SPY</x:v>
      </x:c>
      <x:c r="B257" s="39" t="d">
        <x:v>2021-05-24T00:00:00.000Z</x:v>
      </x:c>
      <x:c r="C257" s="38" t="n">
        <x:v>-0.044934469</x:v>
      </x:c>
      <x:c r="D257" s="38" t="n">
        <x:v>0.1512180668</x:v>
      </x:c>
      <x:c r="E257" s="38" t="n">
        <x:v>-0.0276634516</x:v>
      </x:c>
      <x:c r="F257" s="38" t="n">
        <x:v>-0.0301949172</x:v>
      </x:c>
      <x:c r="G257" s="38" t="n">
        <x:v>-0.0207843003</x:v>
      </x:c>
      <x:c r="H257" s="38" t="n">
        <x:v>-0.0496428273</x:v>
      </x:c>
      <x:c r="I257" s="38" t="n">
        <x:v>-0.0517542356</x:v>
      </x:c>
      <x:c r="J257" s="38" t="n">
        <x:v>-0.0482149121</x:v>
      </x:c>
      <x:c r="K257" s="38" t="n">
        <x:v>-0.0041899837</x:v>
      </x:c>
      <x:c r="L257" s="38" t="n">
        <x:v>0.0318960206</x:v>
      </x:c>
      <x:c r="M257" s="38" t="n">
        <x:v>0.0083141313</x:v>
      </x:c>
      <x:c r="N257" s="38" t="n">
        <x:v>0.0380386956</x:v>
      </x:c>
      <x:c r="O257" s="38" t="n">
        <x:v>-0.0074383009</x:v>
      </x:c>
      <x:c r="P257" s="38" t="n">
        <x:v>0.015880706</x:v>
      </x:c>
      <x:c r="Q257" s="38" t="n">
        <x:v>-0.0629778903</x:v>
      </x:c>
      <x:c r="R257" s="38" t="n">
        <x:v>-0.035157439</x:v>
      </x:c>
      <x:c r="S257" s="38" t="n">
        <x:v>0.0372690158</x:v>
      </x:c>
      <x:c r="T257" s="38" t="n">
        <x:v>-0.0380641664</x:v>
      </x:c>
      <x:c r="U257" s="38" t="n">
        <x:v>0.0081566415</x:v>
      </x:c>
      <x:c r="V257" s="38" t="n">
        <x:v>-0.0759582286</x:v>
      </x:c>
      <x:c r="W257" s="38" t="n">
        <x:v>-0.0285591402</x:v>
      </x:c>
      <x:c r="X257" s="38" t="n">
        <x:v>0.0110868951</x:v>
      </x:c>
      <x:c r="Y257" s="38" t="n">
        <x:v>-0.0447467753</x:v>
      </x:c>
      <x:c r="Z257" s="38" t="n">
        <x:v>0.08218423</x:v>
      </x:c>
      <x:c r="AA257" s="38" t="n">
        <x:v>-0.0244320525</x:v>
      </x:c>
      <x:c r="AB257" s="38" t="n">
        <x:v>-0.0037816148</x:v>
      </x:c>
      <x:c r="AC257" s="38" t="n">
        <x:v>0.19820099</x:v>
      </x:c>
      <x:c r="AD257" s="38" t="n">
        <x:v>0.0186277173</x:v>
      </x:c>
      <x:c r="AE257" s="38" t="n">
        <x:v>0.132932695</x:v>
      </x:c>
      <x:c r="AF257" s="38" t="n">
        <x:v>-0.0213685857</x:v>
      </x:c>
      <x:c r="AG257" s="38" t="n">
        <x:v>0.0191570173</x:v>
      </x:c>
      <x:c r="AH257" s="38" t="n">
        <x:v>-0.0007560385</x:v>
      </x:c>
      <x:c r="AI257" s="38" t="n">
        <x:v>-0.0456253844</x:v>
      </x:c>
      <x:c r="AJ257" s="38" t="n">
        <x:v>0.0381272611</x:v>
      </x:c>
      <x:c r="AK257" s="38" t="n">
        <x:v>-0.017958053</x:v>
      </x:c>
      <x:c r="AL257" s="38" t="n">
        <x:v>0.0495598638</x:v>
      </x:c>
      <x:c r="AM257" s="38" t="n">
        <x:v>-0.0193211766</x:v>
      </x:c>
      <x:c r="AN257" s="38" t="n">
        <x:v>-0.0153779756</x:v>
      </x:c>
      <x:c r="AO257" s="38" t="n">
        <x:v>0.0016296782</x:v>
      </x:c>
      <x:c r="AP257" s="38" t="n">
        <x:v>-0.0137662185</x:v>
      </x:c>
      <x:c r="AQ257" s="38" t="n">
        <x:v>-0.0007654703</x:v>
      </x:c>
      <x:c r="AR257" s="38" t="n">
        <x:v>0.0131315043</x:v>
      </x:c>
      <x:c r="AS257" s="38" t="n">
        <x:v>0.0182062636</x:v>
      </x:c>
    </x:row>
    <x:row r="258" ht="19" customHeight="1">
      <x:c r="A258" s="29" t="str">
        <x:v>SPY</x:v>
      </x:c>
      <x:c r="B258" s="39" t="d">
        <x:v>2021-06-21T00:00:00.000Z</x:v>
      </x:c>
      <x:c r="C258" s="38" t="n">
        <x:v>0.0615043125</x:v>
      </x:c>
      <x:c r="D258" s="38" t="n">
        <x:v>0.0125918167</x:v>
      </x:c>
      <x:c r="E258" s="38" t="n">
        <x:v>0.0011532418</x:v>
      </x:c>
      <x:c r="F258" s="38" t="n">
        <x:v>-0.0376316372</x:v>
      </x:c>
      <x:c r="G258" s="38" t="n">
        <x:v>0.0213104313</x:v>
      </x:c>
      <x:c r="H258" s="38" t="n">
        <x:v>0.0792888178</x:v>
      </x:c>
      <x:c r="I258" s="38" t="n">
        <x:v>0.0366466111</x:v>
      </x:c>
      <x:c r="J258" s="38" t="n">
        <x:v>-0.0786138625</x:v>
      </x:c>
      <x:c r="K258" s="38" t="n">
        <x:v>-0.0980719611</x:v>
      </x:c>
      <x:c r="L258" s="38" t="n">
        <x:v>-0.0150893529</x:v>
      </x:c>
      <x:c r="M258" s="38" t="n">
        <x:v>-0.0084048761</x:v>
      </x:c>
      <x:c r="N258" s="38" t="n">
        <x:v>0.0099550387</x:v>
      </x:c>
      <x:c r="O258" s="38" t="n">
        <x:v>0.0049177777</x:v>
      </x:c>
      <x:c r="P258" s="38" t="n">
        <x:v>-0.0991758213</x:v>
      </x:c>
      <x:c r="Q258" s="38" t="n">
        <x:v>0.0285096717</x:v>
      </x:c>
      <x:c r="R258" s="38" t="n">
        <x:v>0.1024407321</x:v>
      </x:c>
      <x:c r="S258" s="38" t="n">
        <x:v>0.0082917263</x:v>
      </x:c>
      <x:c r="T258" s="38" t="n">
        <x:v>0.1238942383</x:v>
      </x:c>
      <x:c r="U258" s="38" t="n">
        <x:v>0.1145404165</x:v>
      </x:c>
      <x:c r="V258" s="38" t="n">
        <x:v>0.1434070456</x:v>
      </x:c>
      <x:c r="W258" s="38" t="n">
        <x:v>0.0499272516</x:v>
      </x:c>
      <x:c r="X258" s="38" t="n">
        <x:v>0.0250644619</x:v>
      </x:c>
      <x:c r="Y258" s="38" t="n">
        <x:v>-0.0742520129</x:v>
      </x:c>
      <x:c r="Z258" s="38" t="n">
        <x:v>-0.066913447</x:v>
      </x:c>
      <x:c r="AA258" s="38" t="n">
        <x:v>-0.014021325</x:v>
      </x:c>
      <x:c r="AB258" s="38" t="n">
        <x:v>-0.0363204229</x:v>
      </x:c>
      <x:c r="AC258" s="38" t="n">
        <x:v>-0.0878700073</x:v>
      </x:c>
      <x:c r="AD258" s="38" t="n">
        <x:v>0.0091253389</x:v>
      </x:c>
      <x:c r="AE258" s="38" t="n">
        <x:v>0.0371003959</x:v>
      </x:c>
      <x:c r="AF258" s="38" t="n">
        <x:v>-0.0754645113</x:v>
      </x:c>
      <x:c r="AG258" s="38" t="n">
        <x:v>0.0297678038</x:v>
      </x:c>
      <x:c r="AH258" s="38" t="n">
        <x:v>0.0042849256</x:v>
      </x:c>
      <x:c r="AI258" s="38" t="n">
        <x:v>0.0398867031</x:v>
      </x:c>
      <x:c r="AJ258" s="38" t="n">
        <x:v>0.0670933096</x:v>
      </x:c>
      <x:c r="AK258" s="38" t="n">
        <x:v>0.0696982126</x:v>
      </x:c>
      <x:c r="AL258" s="38" t="n">
        <x:v>0.0235537093</x:v>
      </x:c>
      <x:c r="AM258" s="38" t="n">
        <x:v>0.0473830329</x:v>
      </x:c>
      <x:c r="AN258" s="38" t="n">
        <x:v>0.004685888</x:v>
      </x:c>
      <x:c r="AO258" s="38" t="n">
        <x:v>0.0337848039</x:v>
      </x:c>
      <x:c r="AP258" s="38" t="n">
        <x:v>0.0151193901</x:v>
      </x:c>
      <x:c r="AQ258" s="38" t="n">
        <x:v>0.0045254856</x:v>
      </x:c>
      <x:c r="AR258" s="38" t="n">
        <x:v>-0.0189855279</x:v>
      </x:c>
      <x:c r="AS258" s="38" t="n">
        <x:v>-0.0257250194</x:v>
      </x:c>
    </x:row>
    <x:row r="259" ht="19" customHeight="1">
      <x:c r="A259" s="29" t="str">
        <x:v>SPY</x:v>
      </x:c>
      <x:c r="B259" s="39" t="d">
        <x:v>2021-07-19T00:00:00.000Z</x:v>
      </x:c>
      <x:c r="C259" s="38" t="n">
        <x:v>-0.0105141746</x:v>
      </x:c>
      <x:c r="D259" s="38" t="n">
        <x:v>0.0037848606</x:v>
      </x:c>
      <x:c r="E259" s="38" t="n">
        <x:v>0.0163544727</x:v>
      </x:c>
      <x:c r="F259" s="38" t="n">
        <x:v>-0.0101442768</x:v>
      </x:c>
      <x:c r="G259" s="38" t="n">
        <x:v>0.0028312259</x:v>
      </x:c>
      <x:c r="H259" s="38" t="n">
        <x:v>0.1374317856</x:v>
      </x:c>
      <x:c r="I259" s="38" t="n">
        <x:v>0.0335293423</x:v>
      </x:c>
      <x:c r="J259" s="38" t="n">
        <x:v>-0.073790275</x:v>
      </x:c>
      <x:c r="K259" s="38" t="n">
        <x:v>-0.0082392279</x:v>
      </x:c>
      <x:c r="L259" s="38" t="n">
        <x:v>-0.1934123444</x:v>
      </x:c>
      <x:c r="M259" s="38" t="n">
        <x:v>-0.0407243607</x:v>
      </x:c>
      <x:c r="N259" s="38" t="n">
        <x:v>0.0295607191</x:v>
      </x:c>
      <x:c r="O259" s="38" t="n">
        <x:v>0.0060491817</x:v>
      </x:c>
      <x:c r="P259" s="38" t="n">
        <x:v>-0.085215269</x:v>
      </x:c>
      <x:c r="Q259" s="38" t="n">
        <x:v>-0.1319532521</x:v>
      </x:c>
      <x:c r="R259" s="38" t="n">
        <x:v>0.0048676287</x:v>
      </x:c>
      <x:c r="S259" s="38" t="n">
        <x:v>-0.013103327</x:v>
      </x:c>
      <x:c r="T259" s="38" t="n">
        <x:v>0.0289392849</x:v>
      </x:c>
      <x:c r="U259" s="38" t="n">
        <x:v>0.3317609253</x:v>
      </x:c>
      <x:c r="V259" s="38" t="n">
        <x:v>0.0243414902</x:v>
      </x:c>
      <x:c r="W259" s="38" t="n">
        <x:v>-0.0098596181</x:v>
      </x:c>
      <x:c r="X259" s="38" t="n">
        <x:v>0.0552003148</x:v>
      </x:c>
      <x:c r="Y259" s="38" t="n">
        <x:v>-0.065734525</x:v>
      </x:c>
      <x:c r="Z259" s="38" t="n">
        <x:v>0.026612848</x:v>
      </x:c>
      <x:c r="AA259" s="38" t="n">
        <x:v>-0.0155576304</x:v>
      </x:c>
      <x:c r="AB259" s="38" t="n">
        <x:v>-0.1481861853</x:v>
      </x:c>
      <x:c r="AC259" s="38" t="n">
        <x:v>-0.022201371</x:v>
      </x:c>
      <x:c r="AD259" s="38" t="n">
        <x:v>0.026762333</x:v>
      </x:c>
      <x:c r="AE259" s="38" t="n">
        <x:v>-0.0398401653</x:v>
      </x:c>
      <x:c r="AF259" s="38" t="n">
        <x:v>-0.0684616325</x:v>
      </x:c>
      <x:c r="AG259" s="38" t="n">
        <x:v>-0.0438775514</x:v>
      </x:c>
      <x:c r="AH259" s="38" t="n">
        <x:v>-0.0025351045</x:v>
      </x:c>
      <x:c r="AI259" s="38" t="n">
        <x:v>0.0166386385</x:v>
      </x:c>
      <x:c r="AJ259" s="38" t="n">
        <x:v>0.0106750627</x:v>
      </x:c>
      <x:c r="AK259" s="38" t="n">
        <x:v>0.0281788838</x:v>
      </x:c>
      <x:c r="AL259" s="38" t="n">
        <x:v>0.0138569238</x:v>
      </x:c>
      <x:c r="AM259" s="38" t="n">
        <x:v>0.0514532367</x:v>
      </x:c>
      <x:c r="AN259" s="38" t="n">
        <x:v>0.0336124161</x:v>
      </x:c>
      <x:c r="AO259" s="38" t="n">
        <x:v>0.0501576506</x:v>
      </x:c>
      <x:c r="AP259" s="38" t="n">
        <x:v>0.0526468959</x:v>
      </x:c>
      <x:c r="AQ259" s="38" t="n">
        <x:v>0.0391872391</x:v>
      </x:c>
      <x:c r="AR259" s="38" t="n">
        <x:v>0.0288882869</x:v>
      </x:c>
      <x:c r="AS259" s="38" t="n">
        <x:v>-0.0057179135</x:v>
      </x:c>
    </x:row>
    <x:row r="260" ht="19" customHeight="1">
      <x:c r="A260" s="29" t="str">
        <x:v>SPY</x:v>
      </x:c>
      <x:c r="B260" s="39" t="d">
        <x:v>2021-08-16T00:00:00.000Z</x:v>
      </x:c>
      <x:c r="C260" s="38" t="n">
        <x:v>-0.0536010926</x:v>
      </x:c>
      <x:c r="D260" s="38" t="n">
        <x:v>-0.0225107098</x:v>
      </x:c>
      <x:c r="E260" s="38" t="n">
        <x:v>0.0394792789</x:v>
      </x:c>
      <x:c r="F260" s="38" t="n">
        <x:v>0.065935367</x:v>
      </x:c>
      <x:c r="G260" s="38" t="n">
        <x:v>0.0098054545</x:v>
      </x:c>
      <x:c r="H260" s="38" t="n">
        <x:v>0.0484620952</x:v>
      </x:c>
      <x:c r="I260" s="38" t="n">
        <x:v>-0.0848499961</x:v>
      </x:c>
      <x:c r="J260" s="38" t="n">
        <x:v>-0.0269007687</x:v>
      </x:c>
      <x:c r="K260" s="38" t="n">
        <x:v>0.0530581436</x:v>
      </x:c>
      <x:c r="L260" s="38" t="n">
        <x:v>-0.0570760518</x:v>
      </x:c>
      <x:c r="M260" s="38" t="n">
        <x:v>-0.09223734</x:v>
      </x:c>
      <x:c r="N260" s="38" t="n">
        <x:v>-0.0022556716</x:v>
      </x:c>
      <x:c r="O260" s="38" t="n">
        <x:v>0.0326125623</x:v>
      </x:c>
      <x:c r="P260" s="38" t="n">
        <x:v>-0.0111303094</x:v>
      </x:c>
      <x:c r="Q260" s="38" t="n">
        <x:v>0.0220746473</x:v>
      </x:c>
      <x:c r="R260" s="38" t="n">
        <x:v>-0.0317872806</x:v>
      </x:c>
      <x:c r="S260" s="38" t="n">
        <x:v>-0.0493598123</x:v>
      </x:c>
      <x:c r="T260" s="38" t="n">
        <x:v>-0.0079061241</x:v>
      </x:c>
      <x:c r="U260" s="38" t="n">
        <x:v>0.0997166544</x:v>
      </x:c>
      <x:c r="V260" s="38" t="n">
        <x:v>-0.0342641786</x:v>
      </x:c>
      <x:c r="W260" s="38" t="n">
        <x:v>0.0471123185</x:v>
      </x:c>
      <x:c r="X260" s="38" t="n">
        <x:v>0.0240378982</x:v>
      </x:c>
      <x:c r="Y260" s="38" t="n">
        <x:v>-0.0235641441</x:v>
      </x:c>
      <x:c r="Z260" s="38" t="n">
        <x:v>0.0152097908</x:v>
      </x:c>
      <x:c r="AA260" s="38" t="n">
        <x:v>0.0113432245</x:v>
      </x:c>
      <x:c r="AB260" s="38" t="n">
        <x:v>0.0238720064</x:v>
      </x:c>
      <x:c r="AC260" s="38" t="n">
        <x:v>0.3708364014</x:v>
      </x:c>
      <x:c r="AD260" s="38" t="n">
        <x:v>0.0397992773</x:v>
      </x:c>
      <x:c r="AE260" s="38" t="n">
        <x:v>-0.0245415203</x:v>
      </x:c>
      <x:c r="AF260" s="38" t="n">
        <x:v>0.001935254</x:v>
      </x:c>
      <x:c r="AG260" s="38" t="n">
        <x:v>-0.0042928777</x:v>
      </x:c>
      <x:c r="AH260" s="38" t="n">
        <x:v>0.0213628696</x:v>
      </x:c>
      <x:c r="AI260" s="38" t="n">
        <x:v>0.0754548451</x:v>
      </x:c>
      <x:c r="AJ260" s="38" t="n">
        <x:v>0.0495704433</x:v>
      </x:c>
      <x:c r="AK260" s="38" t="n">
        <x:v>-0.0152260918</x:v>
      </x:c>
      <x:c r="AL260" s="38" t="n">
        <x:v>0.0086115872</x:v>
      </x:c>
      <x:c r="AM260" s="38" t="n">
        <x:v>0.0366208576</x:v>
      </x:c>
      <x:c r="AN260" s="38" t="n">
        <x:v>0.0418696555</x:v>
      </x:c>
      <x:c r="AO260" s="38" t="n">
        <x:v>0.0470541753</x:v>
      </x:c>
      <x:c r="AP260" s="38" t="n">
        <x:v>-0.0001242062</x:v>
      </x:c>
      <x:c r="AQ260" s="38" t="n">
        <x:v>-0.009975575</x:v>
      </x:c>
      <x:c r="AR260" s="38" t="n">
        <x:v>0.0190589975</x:v>
      </x:c>
      <x:c r="AS260" s="38" t="n">
        <x:v>0.0104969199</x:v>
      </x:c>
    </x:row>
    <x:row r="261" ht="19" customHeight="1">
      <x:c r="A261" s="29" t="str">
        <x:v>SPY</x:v>
      </x:c>
      <x:c r="B261" s="39" t="d">
        <x:v>2021-09-13T00:00:00.000Z</x:v>
      </x:c>
      <x:c r="C261" s="38" t="n">
        <x:v>-0.019738092</x:v>
      </x:c>
      <x:c r="D261" s="38" t="n">
        <x:v>0.0161068467</x:v>
      </x:c>
      <x:c r="E261" s="38" t="n">
        <x:v>-0.0740319832</x:v>
      </x:c>
      <x:c r="F261" s="38" t="n">
        <x:v>-0.0313194171</x:v>
      </x:c>
      <x:c r="G261" s="38" t="n">
        <x:v>0.0334467544</x:v>
      </x:c>
      <x:c r="H261" s="38" t="n">
        <x:v>0.0000878546</x:v>
      </x:c>
      <x:c r="I261" s="38" t="n">
        <x:v>0.0592290325</x:v>
      </x:c>
      <x:c r="J261" s="38" t="n">
        <x:v>-0.0956709717</x:v>
      </x:c>
      <x:c r="K261" s="38" t="n">
        <x:v>-0.1403350496</x:v>
      </x:c>
      <x:c r="L261" s="38" t="n">
        <x:v>0.0282373018</x:v>
      </x:c>
      <x:c r="M261" s="38" t="n">
        <x:v>0.0585676135</x:v>
      </x:c>
      <x:c r="N261" s="38" t="n">
        <x:v>0.0160929392</x:v>
      </x:c>
      <x:c r="O261" s="38" t="n">
        <x:v>-0.0548542743</x:v>
      </x:c>
      <x:c r="P261" s="38" t="n">
        <x:v>-0.1003928307</x:v>
      </x:c>
      <x:c r="Q261" s="38" t="n">
        <x:v>0.1894905189</x:v>
      </x:c>
      <x:c r="R261" s="38" t="n">
        <x:v>0.2879791638</x:v>
      </x:c>
      <x:c r="S261" s="38" t="n">
        <x:v>-0.0505899254</x:v>
      </x:c>
      <x:c r="T261" s="38" t="n">
        <x:v>0.0460167059</x:v>
      </x:c>
      <x:c r="U261" s="38" t="n">
        <x:v>0.0610787062</x:v>
      </x:c>
      <x:c r="V261" s="38" t="n">
        <x:v>-0.076208815</x:v>
      </x:c>
      <x:c r="W261" s="38" t="n">
        <x:v>0.0522361236</x:v>
      </x:c>
      <x:c r="X261" s="38" t="n">
        <x:v>-0.0401458539</x:v>
      </x:c>
      <x:c r="Y261" s="38" t="n">
        <x:v>-0.041850311</x:v>
      </x:c>
      <x:c r="Z261" s="38" t="n">
        <x:v>-0.0723535735</x:v>
      </x:c>
      <x:c r="AA261" s="38" t="n">
        <x:v>-0.0531994556</x:v>
      </x:c>
      <x:c r="AB261" s="38" t="n">
        <x:v>0.0201944425</x:v>
      </x:c>
      <x:c r="AC261" s="38" t="n">
        <x:v>0.3184881594</x:v>
      </x:c>
      <x:c r="AD261" s="38" t="n">
        <x:v>-0.0218458439</x:v>
      </x:c>
      <x:c r="AE261" s="38" t="n">
        <x:v>0.0212830465</x:v>
      </x:c>
      <x:c r="AF261" s="38" t="n">
        <x:v>-0.0562756366</x:v>
      </x:c>
      <x:c r="AG261" s="38" t="n">
        <x:v>-0.0227100583</x:v>
      </x:c>
      <x:c r="AH261" s="38" t="n">
        <x:v>-0.0616706979</x:v>
      </x:c>
      <x:c r="AI261" s="38" t="n">
        <x:v>-0.0144669911</x:v>
      </x:c>
      <x:c r="AJ261" s="38" t="n">
        <x:v>-0.1286449689</x:v>
      </x:c>
      <x:c r="AK261" s="38" t="n">
        <x:v>-0.0219298745</x:v>
      </x:c>
      <x:c r="AL261" s="38" t="n">
        <x:v>-0.0519912692</x:v>
      </x:c>
      <x:c r="AM261" s="38" t="n">
        <x:v>-0.0100377599</x:v>
      </x:c>
      <x:c r="AN261" s="38" t="n">
        <x:v>0.0095338834</x:v>
      </x:c>
      <x:c r="AO261" s="38" t="n">
        <x:v>-0.0288188727</x:v>
      </x:c>
      <x:c r="AP261" s="38" t="n">
        <x:v>0.0053456454</x:v>
      </x:c>
      <x:c r="AQ261" s="38" t="n">
        <x:v>-0.0458009338</x:v>
      </x:c>
      <x:c r="AR261" s="38" t="n">
        <x:v>-0.0743913903</x:v>
      </x:c>
      <x:c r="AS261" s="38" t="n">
        <x:v>-0.0282537343</x:v>
      </x:c>
    </x:row>
    <x:row r="262" ht="19" customHeight="1">
      <x:c r="A262" s="29" t="str">
        <x:v>SPY</x:v>
      </x:c>
      <x:c r="B262" s="39" t="d">
        <x:v>2021-10-11T00:00:00.000Z</x:v>
      </x:c>
      <x:c r="C262" s="38" t="n">
        <x:v>0.0478317128</x:v>
      </x:c>
      <x:c r="D262" s="38" t="n">
        <x:v>0.2050127999</x:v>
      </x:c>
      <x:c r="E262" s="38" t="n">
        <x:v>-0.0108081804</x:v>
      </x:c>
      <x:c r="F262" s="38" t="n">
        <x:v>-0.069041388</x:v>
      </x:c>
      <x:c r="G262" s="38" t="n">
        <x:v>-0.0163573413</x:v>
      </x:c>
      <x:c r="H262" s="38" t="n">
        <x:v>-0.036423359</x:v>
      </x:c>
      <x:c r="I262" s="38" t="n">
        <x:v>-0.0010282304</x:v>
      </x:c>
      <x:c r="J262" s="38" t="n">
        <x:v>0.0787687934</x:v>
      </x:c>
      <x:c r="K262" s="38" t="n">
        <x:v>-0.07642117</x:v>
      </x:c>
      <x:c r="L262" s="38" t="n">
        <x:v>0.0948108705</x:v>
      </x:c>
      <x:c r="M262" s="38" t="n">
        <x:v>0.0702132244</x:v>
      </x:c>
      <x:c r="N262" s="38" t="n">
        <x:v>0.0321627804</x:v>
      </x:c>
      <x:c r="O262" s="38" t="n">
        <x:v>0.0310945166</x:v>
      </x:c>
      <x:c r="P262" s="38" t="n">
        <x:v>-0.0956534185</x:v>
      </x:c>
      <x:c r="Q262" s="38" t="n">
        <x:v>-0.0088994422</x:v>
      </x:c>
      <x:c r="R262" s="38" t="n">
        <x:v>0.038257962</x:v>
      </x:c>
      <x:c r="S262" s="38" t="n">
        <x:v>0.0724064341</x:v>
      </x:c>
      <x:c r="T262" s="38" t="n">
        <x:v>0.148601484</x:v>
      </x:c>
      <x:c r="U262" s="38" t="n">
        <x:v>-0.1535442153</x:v>
      </x:c>
      <x:c r="V262" s="38" t="n">
        <x:v>0.0361963868</x:v>
      </x:c>
      <x:c r="W262" s="38" t="n">
        <x:v>0.0567291394</x:v>
      </x:c>
      <x:c r="X262" s="38" t="n">
        <x:v>-0.0252530077</x:v>
      </x:c>
      <x:c r="Y262" s="38" t="n">
        <x:v>-0.1252135063</x:v>
      </x:c>
      <x:c r="Z262" s="38" t="n">
        <x:v>-0.0317691766</x:v>
      </x:c>
      <x:c r="AA262" s="38" t="n">
        <x:v>-0.0186554756</x:v>
      </x:c>
      <x:c r="AB262" s="38" t="n">
        <x:v>-0.1638301648</x:v>
      </x:c>
      <x:c r="AC262" s="38" t="n">
        <x:v>0.2228484032</x:v>
      </x:c>
      <x:c r="AD262" s="38" t="n">
        <x:v>0.0129103121</x:v>
      </x:c>
      <x:c r="AE262" s="38" t="n">
        <x:v>0.0899662196</x:v>
      </x:c>
      <x:c r="AF262" s="38" t="n">
        <x:v>0.0535728408</x:v>
      </x:c>
      <x:c r="AG262" s="38" t="n">
        <x:v>0.0317173439</x:v>
      </x:c>
      <x:c r="AH262" s="38" t="n">
        <x:v>0.0210969168</x:v>
      </x:c>
      <x:c r="AI262" s="38" t="n">
        <x:v>0.0559250325</x:v>
      </x:c>
      <x:c r="AJ262" s="38" t="n">
        <x:v>0.0004798507</x:v>
      </x:c>
      <x:c r="AK262" s="38" t="n">
        <x:v>-0.0474716923</x:v>
      </x:c>
      <x:c r="AL262" s="38" t="n">
        <x:v>0.0389280591</x:v>
      </x:c>
      <x:c r="AM262" s="38" t="n">
        <x:v>0.0205090586</x:v>
      </x:c>
      <x:c r="AN262" s="38" t="n">
        <x:v>-0.0194527421</x:v>
      </x:c>
      <x:c r="AO262" s="38" t="n">
        <x:v>-0.0255940531</x:v>
      </x:c>
      <x:c r="AP262" s="38" t="n">
        <x:v>0.0332555203</x:v>
      </x:c>
      <x:c r="AQ262" s="38" t="n">
        <x:v>-0.0069632452</x:v>
      </x:c>
      <x:c r="AR262" s="38" t="n">
        <x:v>-0.0250407656</x:v>
      </x:c>
      <x:c r="AS262" s="38" t="n">
        <x:v>0.0145000528</x:v>
      </x:c>
    </x:row>
    <x:row r="263" ht="19" customHeight="1">
      <x:c r="A263" s="29" t="str">
        <x:v>SPY</x:v>
      </x:c>
      <x:c r="B263" s="39" t="d">
        <x:v>2021-11-08T00:00:00.000Z</x:v>
      </x:c>
      <x:c r="C263" s="38" t="n">
        <x:v>-0.0495989717</x:v>
      </x:c>
      <x:c r="D263" s="38" t="n">
        <x:v>-0.0783865522</x:v>
      </x:c>
      <x:c r="E263" s="38" t="n">
        <x:v>-0.0112364271</x:v>
      </x:c>
      <x:c r="F263" s="38" t="n">
        <x:v>-0.0195389859</x:v>
      </x:c>
      <x:c r="G263" s="38" t="n">
        <x:v>-0.0837256039</x:v>
      </x:c>
      <x:c r="H263" s="38" t="n">
        <x:v>0.0109772892</x:v>
      </x:c>
      <x:c r="I263" s="38" t="n">
        <x:v>-0.009777213</x:v>
      </x:c>
      <x:c r="J263" s="38" t="n">
        <x:v>0.0944905571</x:v>
      </x:c>
      <x:c r="K263" s="38" t="n">
        <x:v>0.1255646894</x:v>
      </x:c>
      <x:c r="L263" s="38" t="n">
        <x:v>-0.0454562328</x:v>
      </x:c>
      <x:c r="M263" s="38" t="n">
        <x:v>0.0405968381</x:v>
      </x:c>
      <x:c r="N263" s="38" t="n">
        <x:v>-0.033624803</x:v>
      </x:c>
      <x:c r="O263" s="38" t="n">
        <x:v>-0.012144283</x:v>
      </x:c>
      <x:c r="P263" s="38" t="n">
        <x:v>0.0039919719</x:v>
      </x:c>
      <x:c r="Q263" s="38" t="n">
        <x:v>-0.0280560255</x:v>
      </x:c>
      <x:c r="R263" s="38" t="n">
        <x:v>0.1723462457</x:v>
      </x:c>
      <x:c r="S263" s="38" t="n">
        <x:v>0.037963115</x:v>
      </x:c>
      <x:c r="T263" s="38" t="n">
        <x:v>0.074838637</x:v>
      </x:c>
      <x:c r="U263" s="38" t="n">
        <x:v>-0.2074794342</x:v>
      </x:c>
      <x:c r="V263" s="38" t="n">
        <x:v>-0.0749193613</x:v>
      </x:c>
      <x:c r="W263" s="38" t="n">
        <x:v>0.0522698197</x:v>
      </x:c>
      <x:c r="X263" s="38" t="n">
        <x:v>0.0040030488</x:v>
      </x:c>
      <x:c r="Y263" s="38" t="n">
        <x:v>0.0372764838</x:v>
      </x:c>
      <x:c r="Z263" s="38" t="n">
        <x:v>0.0480468448</x:v>
      </x:c>
      <x:c r="AA263" s="38" t="n">
        <x:v>0.02621057</x:v>
      </x:c>
      <x:c r="AB263" s="38" t="n">
        <x:v>-0.0876655407</x:v>
      </x:c>
      <x:c r="AC263" s="38" t="n">
        <x:v>-0.2912435846</x:v>
      </x:c>
      <x:c r="AD263" s="38" t="n">
        <x:v>0.0161394265</x:v>
      </x:c>
      <x:c r="AE263" s="38" t="n">
        <x:v>0.1490467536</x:v>
      </x:c>
      <x:c r="AF263" s="38" t="n">
        <x:v>-0.078939162</x:v>
      </x:c>
      <x:c r="AG263" s="38" t="n">
        <x:v>0.0177504718</x:v>
      </x:c>
      <x:c r="AH263" s="38" t="n">
        <x:v>-0.0456131029</x:v>
      </x:c>
      <x:c r="AI263" s="38" t="n">
        <x:v>0.1301865102</x:v>
      </x:c>
      <x:c r="AJ263" s="38" t="n">
        <x:v>0.0299261931</x:v>
      </x:c>
      <x:c r="AK263" s="38" t="n">
        <x:v>-0.0029731515</x:v>
      </x:c>
      <x:c r="AL263" s="38" t="n">
        <x:v>-0.0592650661</x:v>
      </x:c>
      <x:c r="AM263" s="38" t="n">
        <x:v>0.0487746594</x:v>
      </x:c>
      <x:c r="AN263" s="38" t="n">
        <x:v>0.0092931202</x:v>
      </x:c>
      <x:c r="AO263" s="38" t="n">
        <x:v>0.0710438566</x:v>
      </x:c>
      <x:c r="AP263" s="38" t="n">
        <x:v>0.0332644695</x:v>
      </x:c>
      <x:c r="AQ263" s="38" t="n">
        <x:v>0.0204506364</x:v>
      </x:c>
      <x:c r="AR263" s="38" t="n">
        <x:v>0.0087693642</x:v>
      </x:c>
      <x:c r="AS263" s="38" t="n">
        <x:v>-0.004800241</x:v>
      </x:c>
    </x:row>
    <x:row r="264" ht="19" customHeight="1">
      <x:c r="A264" s="29" t="str">
        <x:v>SPY</x:v>
      </x:c>
      <x:c r="B264" s="39" t="d">
        <x:v>2021-12-06T00:00:00.000Z</x:v>
      </x:c>
      <x:c r="C264" s="38" t="n">
        <x:v>0.0280900983</x:v>
      </x:c>
      <x:c r="D264" s="38" t="n">
        <x:v>-0.0552005241</x:v>
      </x:c>
      <x:c r="E264" s="38" t="n">
        <x:v>0.0206530528</x:v>
      </x:c>
      <x:c r="F264" s="38" t="n">
        <x:v>0.0267110102</x:v>
      </x:c>
      <x:c r="G264" s="38" t="n">
        <x:v>-0.0086982221</x:v>
      </x:c>
      <x:c r="H264" s="38" t="n">
        <x:v>-0.0385274451</x:v>
      </x:c>
      <x:c r="I264" s="38" t="n">
        <x:v>-0.0121834724</x:v>
      </x:c>
      <x:c r="J264" s="38" t="n">
        <x:v>-0.0370606032</x:v>
      </x:c>
      <x:c r="K264" s="38" t="n">
        <x:v>-0.0193749142</x:v>
      </x:c>
      <x:c r="L264" s="38" t="n">
        <x:v>-0.0746427557</x:v>
      </x:c>
      <x:c r="M264" s="38" t="n">
        <x:v>-0.0427281533</x:v>
      </x:c>
      <x:c r="N264" s="38" t="n">
        <x:v>0.0469387702</x:v>
      </x:c>
      <x:c r="O264" s="38" t="n">
        <x:v>-0.0286855346</x:v>
      </x:c>
      <x:c r="P264" s="38" t="n">
        <x:v>-0.0354196905</x:v>
      </x:c>
      <x:c r="Q264" s="38" t="n">
        <x:v>-0.07663377</x:v>
      </x:c>
      <x:c r="R264" s="38" t="n">
        <x:v>-0.2853145248</x:v>
      </x:c>
      <x:c r="S264" s="38" t="n">
        <x:v>0.0149438538</x:v>
      </x:c>
      <x:c r="T264" s="38" t="n">
        <x:v>-0.2916524547</x:v>
      </x:c>
      <x:c r="U264" s="38" t="n">
        <x:v>0.1177301287</x:v>
      </x:c>
      <x:c r="V264" s="38" t="n">
        <x:v>-0.1317024888</x:v>
      </x:c>
      <x:c r="W264" s="38" t="n">
        <x:v>-0.06270454</x:v>
      </x:c>
      <x:c r="X264" s="38" t="n">
        <x:v>-0.0442453133</x:v>
      </x:c>
      <x:c r="Y264" s="38" t="n">
        <x:v>0.0691421745</x:v>
      </x:c>
      <x:c r="Z264" s="38" t="n">
        <x:v>-0.000375434</x:v>
      </x:c>
      <x:c r="AA264" s="38" t="n">
        <x:v>-0.0112255384</x:v>
      </x:c>
      <x:c r="AB264" s="38" t="n">
        <x:v>-0.0739919677</x:v>
      </x:c>
      <x:c r="AC264" s="38" t="n">
        <x:v>-0.3204979056</x:v>
      </x:c>
      <x:c r="AD264" s="38" t="n">
        <x:v>0.0421326455</x:v>
      </x:c>
      <x:c r="AE264" s="38" t="n">
        <x:v>0.0963982461</x:v>
      </x:c>
      <x:c r="AF264" s="38" t="n">
        <x:v>0.0118754771</x:v>
      </x:c>
      <x:c r="AG264" s="38" t="n">
        <x:v>-0.0146680182</x:v>
      </x:c>
      <x:c r="AH264" s="38" t="n">
        <x:v>-0.0100524307</x:v>
      </x:c>
      <x:c r="AI264" s="38" t="n">
        <x:v>-0.0507709809</x:v>
      </x:c>
      <x:c r="AJ264" s="38" t="n">
        <x:v>-0.0646362867</x:v>
      </x:c>
      <x:c r="AK264" s="38" t="n">
        <x:v>-0.0233252326</x:v>
      </x:c>
      <x:c r="AL264" s="38" t="n">
        <x:v>0.0336155805</x:v>
      </x:c>
      <x:c r="AM264" s="38" t="n">
        <x:v>0.018839472</x:v>
      </x:c>
      <x:c r="AN264" s="38" t="n">
        <x:v>-0.0146970649</x:v>
      </x:c>
      <x:c r="AO264" s="38" t="n">
        <x:v>0.0576235438</x:v>
      </x:c>
      <x:c r="AP264" s="38" t="n">
        <x:v>0.0968588994</x:v>
      </x:c>
      <x:c r="AQ264" s="38" t="n">
        <x:v>0.0049247595</x:v>
      </x:c>
      <x:c r="AR264" s="38" t="n">
        <x:v>0.0020729747</x:v>
      </x:c>
      <x:c r="AS264" s="38" t="n">
        <x:v>0.0025897118</x:v>
      </x:c>
    </x:row>
    <x:row r="265" ht="19" customHeight="1">
      <x:c r="A265" s="29" t="str">
        <x:v>SPY</x:v>
      </x:c>
      <x:c r="B265" s="39" t="d">
        <x:v>2022-01-03T00:00:00.000Z</x:v>
      </x:c>
      <x:c r="C265" s="38" t="n">
        <x:v>0.0515068628</x:v>
      </x:c>
      <x:c r="D265" s="38" t="n">
        <x:v>-0.0562059407</x:v>
      </x:c>
      <x:c r="E265" s="38" t="n">
        <x:v>0.0412013578</x:v>
      </x:c>
      <x:c r="F265" s="38" t="n">
        <x:v>0.0217722759</x:v>
      </x:c>
      <x:c r="G265" s="38" t="n">
        <x:v>0.0359497136</x:v>
      </x:c>
      <x:c r="H265" s="38" t="n">
        <x:v>-0.0425571481</x:v>
      </x:c>
      <x:c r="I265" s="38" t="n">
        <x:v>-0.022428339</x:v>
      </x:c>
      <x:c r="J265" s="38" t="n">
        <x:v>-0.0634818486</x:v>
      </x:c>
      <x:c r="K265" s="38" t="n">
        <x:v>-0.0006297483</x:v>
      </x:c>
      <x:c r="L265" s="38" t="n">
        <x:v>0.065401673</x:v>
      </x:c>
      <x:c r="M265" s="38" t="n">
        <x:v>0.0748794049</x:v>
      </x:c>
      <x:c r="N265" s="38" t="n">
        <x:v>-0.0216694419</x:v>
      </x:c>
      <x:c r="O265" s="38" t="n">
        <x:v>-0.0630189236</x:v>
      </x:c>
      <x:c r="P265" s="38" t="n">
        <x:v>0.0468721729</x:v>
      </x:c>
      <x:c r="Q265" s="38" t="n">
        <x:v>-0.1353586712</x:v>
      </x:c>
      <x:c r="R265" s="38" t="n">
        <x:v>-0.1230462372</x:v>
      </x:c>
      <x:c r="S265" s="38" t="n">
        <x:v>-0.015640714</x:v>
      </x:c>
      <x:c r="T265" s="38" t="n">
        <x:v>-0.1914265386</x:v>
      </x:c>
      <x:c r="U265" s="38" t="n">
        <x:v>-0.1623726283</x:v>
      </x:c>
      <x:c r="V265" s="38" t="n">
        <x:v>-0.0101449837</x:v>
      </x:c>
      <x:c r="W265" s="38" t="n">
        <x:v>-0.0834667943</x:v>
      </x:c>
      <x:c r="X265" s="38" t="n">
        <x:v>0.0228430048</x:v>
      </x:c>
      <x:c r="Y265" s="38" t="n">
        <x:v>0.0207160941</x:v>
      </x:c>
      <x:c r="Z265" s="38" t="n">
        <x:v>0.0220423643</x:v>
      </x:c>
      <x:c r="AA265" s="38" t="n">
        <x:v>0.0954539623</x:v>
      </x:c>
      <x:c r="AB265" s="38" t="n">
        <x:v>-0.0941221012</x:v>
      </x:c>
      <x:c r="AC265" s="38" t="n">
        <x:v>-0.1697087521</x:v>
      </x:c>
      <x:c r="AD265" s="38" t="n">
        <x:v>0.0277145392</x:v>
      </x:c>
      <x:c r="AE265" s="38" t="n">
        <x:v>0.0809258324</x:v>
      </x:c>
      <x:c r="AF265" s="38" t="n">
        <x:v>0.076708472</x:v>
      </x:c>
      <x:c r="AG265" s="38" t="n">
        <x:v>0.014420012</x:v>
      </x:c>
      <x:c r="AH265" s="38" t="n">
        <x:v>0.0090961019</x:v>
      </x:c>
      <x:c r="AI265" s="38" t="n">
        <x:v>-0.0250860441</x:v>
      </x:c>
      <x:c r="AJ265" s="38" t="n">
        <x:v>0.0259550594</x:v>
      </x:c>
      <x:c r="AK265" s="38" t="n">
        <x:v>0.0261907051</x:v>
      </x:c>
      <x:c r="AL265" s="38" t="n">
        <x:v>0.0077090181</x:v>
      </x:c>
      <x:c r="AM265" s="38" t="n">
        <x:v>-0.0521236951</x:v>
      </x:c>
      <x:c r="AN265" s="38" t="n">
        <x:v>-0.0389510482</x:v>
      </x:c>
      <x:c r="AO265" s="38" t="n">
        <x:v>-0.0449396936</x:v>
      </x:c>
      <x:c r="AP265" s="38" t="n">
        <x:v>-0.0391190953</x:v>
      </x:c>
      <x:c r="AQ265" s="38" t="n">
        <x:v>0.032080243</x:v>
      </x:c>
      <x:c r="AR265" s="38" t="n">
        <x:v>0.0179449999</x:v>
      </x:c>
      <x:c r="AS265" s="38" t="n">
        <x:v>0.0660325591</x:v>
      </x:c>
    </x:row>
    <x:row r="266" ht="19" customHeight="1">
      <x:c r="A266" s="29" t="str">
        <x:v>SPY</x:v>
      </x:c>
      <x:c r="B266" s="39" t="d">
        <x:v>2022-01-31T00:00:00.000Z</x:v>
      </x:c>
      <x:c r="C266" s="38" t="n">
        <x:v>-0.0124011178</x:v>
      </x:c>
      <x:c r="D266" s="38" t="n">
        <x:v>0.0457385472</x:v>
      </x:c>
      <x:c r="E266" s="38" t="n">
        <x:v>-0.0255235832</x:v>
      </x:c>
      <x:c r="F266" s="38" t="n">
        <x:v>-0.0086204471</x:v>
      </x:c>
      <x:c r="G266" s="38" t="n">
        <x:v>-0.0392419325</x:v>
      </x:c>
      <x:c r="H266" s="38" t="n">
        <x:v>-0.0231096168</x:v>
      </x:c>
      <x:c r="I266" s="38" t="n">
        <x:v>0.0199215975</x:v>
      </x:c>
      <x:c r="J266" s="38" t="n">
        <x:v>-0.0727694906</x:v>
      </x:c>
      <x:c r="K266" s="38" t="n">
        <x:v>0.0352642969</x:v>
      </x:c>
      <x:c r="L266" s="38" t="n">
        <x:v>0.0257348216</x:v>
      </x:c>
      <x:c r="M266" s="38" t="n">
        <x:v>0.0039628351</x:v>
      </x:c>
      <x:c r="N266" s="38" t="n">
        <x:v>0.0220225133</x:v>
      </x:c>
      <x:c r="O266" s="38" t="n">
        <x:v>-0.0631409119</x:v>
      </x:c>
      <x:c r="P266" s="38" t="n">
        <x:v>-0.1109517546</x:v>
      </x:c>
      <x:c r="Q266" s="38" t="n">
        <x:v>0.0276785848</x:v>
      </x:c>
      <x:c r="R266" s="38" t="n">
        <x:v>-0.1164457326</x:v>
      </x:c>
      <x:c r="S266" s="38" t="n">
        <x:v>0.0478411142</x:v>
      </x:c>
      <x:c r="T266" s="38" t="n">
        <x:v>-0.0036188136</x:v>
      </x:c>
      <x:c r="U266" s="38" t="n">
        <x:v>-0.1555926107</x:v>
      </x:c>
      <x:c r="V266" s="38" t="n">
        <x:v>-0.0329332009</x:v>
      </x:c>
      <x:c r="W266" s="38" t="n">
        <x:v>-0.1830346907</x:v>
      </x:c>
      <x:c r="X266" s="38" t="n">
        <x:v>-0.0117748602</x:v>
      </x:c>
      <x:c r="Y266" s="38" t="n">
        <x:v>-0.0517971811</x:v>
      </x:c>
      <x:c r="Z266" s="38" t="n">
        <x:v>0.0132317637</x:v>
      </x:c>
      <x:c r="AA266" s="38" t="n">
        <x:v>-0.0128136783</x:v>
      </x:c>
      <x:c r="AB266" s="38" t="n">
        <x:v>-0.0404023589</x:v>
      </x:c>
      <x:c r="AC266" s="38" t="n">
        <x:v>-0.049975049</x:v>
      </x:c>
      <x:c r="AD266" s="38" t="n">
        <x:v>0.0015274963</x:v>
      </x:c>
      <x:c r="AE266" s="38" t="n">
        <x:v>-0.1799322727</x:v>
      </x:c>
      <x:c r="AF266" s="38" t="n">
        <x:v>0.0092748582</x:v>
      </x:c>
      <x:c r="AG266" s="38" t="n">
        <x:v>-0.0076184744</x:v>
      </x:c>
      <x:c r="AH266" s="38" t="n">
        <x:v>-0.0568297948</x:v>
      </x:c>
      <x:c r="AI266" s="38" t="n">
        <x:v>-0.0045322819</x:v>
      </x:c>
      <x:c r="AJ266" s="38" t="n">
        <x:v>-0.0574054734</x:v>
      </x:c>
      <x:c r="AK266" s="38" t="n">
        <x:v>-0.0655341672</x:v>
      </x:c>
      <x:c r="AL266" s="38" t="n">
        <x:v>-0.0280699081</x:v>
      </x:c>
      <x:c r="AM266" s="38" t="n">
        <x:v>0.0055012943</x:v>
      </x:c>
      <x:c r="AN266" s="38" t="n">
        <x:v>0.0716549411</x:v>
      </x:c>
      <x:c r="AO266" s="38" t="n">
        <x:v>-0.0250277771</x:v>
      </x:c>
      <x:c r="AP266" s="38" t="n">
        <x:v>-0.0512249911</x:v>
      </x:c>
      <x:c r="AQ266" s="38" t="n">
        <x:v>-0.008685375</x:v>
      </x:c>
      <x:c r="AR266" s="38" t="n">
        <x:v>-0.0291005715</x:v>
      </x:c>
      <x:c r="AS266" s="38" t="n">
        <x:v>-0.014381786</x:v>
      </x:c>
    </x:row>
    <x:row r="267" ht="19" customHeight="1">
      <x:c r="A267" s="29" t="str">
        <x:v>SPY</x:v>
      </x:c>
      <x:c r="B267" s="39" t="d">
        <x:v>2022-02-28T00:00:00.000Z</x:v>
      </x:c>
      <x:c r="C267" s="38" t="n">
        <x:v>0.0385444598</x:v>
      </x:c>
      <x:c r="D267" s="38" t="n">
        <x:v>0.1337861046</x:v>
      </x:c>
      <x:c r="E267" s="38" t="n">
        <x:v>0.0690872778</x:v>
      </x:c>
      <x:c r="F267" s="38" t="n">
        <x:v>0.0147756742</x:v>
      </x:c>
      <x:c r="G267" s="38" t="n">
        <x:v>0.0501326795</x:v>
      </x:c>
      <x:c r="H267" s="38" t="n">
        <x:v>-0.0180913739</x:v>
      </x:c>
      <x:c r="I267" s="38" t="n">
        <x:v>0.0159871461</x:v>
      </x:c>
      <x:c r="J267" s="38" t="n">
        <x:v>0.0195108624</x:v>
      </x:c>
      <x:c r="K267" s="38" t="n">
        <x:v>-0.158494436</x:v>
      </x:c>
      <x:c r="L267" s="38" t="n">
        <x:v>-0.0375905999</x:v>
      </x:c>
      <x:c r="M267" s="38" t="n">
        <x:v>0.0918805057</x:v>
      </x:c>
      <x:c r="N267" s="38" t="n">
        <x:v>0.096276673</x:v>
      </x:c>
      <x:c r="O267" s="38" t="n">
        <x:v>0.0890881643</x:v>
      </x:c>
      <x:c r="P267" s="38" t="n">
        <x:v>-0.1568792706</x:v>
      </x:c>
      <x:c r="Q267" s="38" t="n">
        <x:v>-0.0841285022</x:v>
      </x:c>
      <x:c r="R267" s="38" t="n">
        <x:v>-0.0424514501</x:v>
      </x:c>
      <x:c r="S267" s="38" t="n">
        <x:v>-0.0083680888</x:v>
      </x:c>
      <x:c r="T267" s="38" t="n">
        <x:v>-0.0025981089</x:v>
      </x:c>
      <x:c r="U267" s="38" t="n">
        <x:v>-0.0925592787</x:v>
      </x:c>
      <x:c r="V267" s="38" t="n">
        <x:v>0.0699650459</x:v>
      </x:c>
      <x:c r="W267" s="38" t="n">
        <x:v>-0.0059682064</x:v>
      </x:c>
      <x:c r="X267" s="38" t="n">
        <x:v>-0.0037743006</x:v>
      </x:c>
      <x:c r="Y267" s="38" t="n">
        <x:v>-0.1184163255</x:v>
      </x:c>
      <x:c r="Z267" s="38" t="n">
        <x:v>0.0472553818</x:v>
      </x:c>
      <x:c r="AA267" s="38" t="n">
        <x:v>-0.0130869363</x:v>
      </x:c>
      <x:c r="AB267" s="38" t="n">
        <x:v>-0.1159425342</x:v>
      </x:c>
      <x:c r="AC267" s="38" t="n">
        <x:v>0.3493545225</x:v>
      </x:c>
      <x:c r="AD267" s="38" t="n">
        <x:v>-0.0012456752</x:v>
      </x:c>
      <x:c r="AE267" s="38" t="n">
        <x:v>-0.0487179746</x:v>
      </x:c>
      <x:c r="AF267" s="38" t="n">
        <x:v>0.0031590127</x:v>
      </x:c>
      <x:c r="AG267" s="38" t="n">
        <x:v>-0.0464363045</x:v>
      </x:c>
      <x:c r="AH267" s="38" t="n">
        <x:v>0.0703374038</x:v>
      </x:c>
      <x:c r="AI267" s="38" t="n">
        <x:v>0.0282580438</x:v>
      </x:c>
      <x:c r="AJ267" s="38" t="n">
        <x:v>0.0548342201</x:v>
      </x:c>
      <x:c r="AK267" s="38" t="n">
        <x:v>0.0278598876</x:v>
      </x:c>
      <x:c r="AL267" s="38" t="n">
        <x:v>-0.0930718546</x:v>
      </x:c>
      <x:c r="AM267" s="38" t="n">
        <x:v>0.0406854534</x:v>
      </x:c>
      <x:c r="AN267" s="38" t="n">
        <x:v>-0.0522509492</x:v>
      </x:c>
      <x:c r="AO267" s="38" t="n">
        <x:v>-0.0056199797</x:v>
      </x:c>
      <x:c r="AP267" s="38" t="n">
        <x:v>-0.0373987383</x:v>
      </x:c>
      <x:c r="AQ267" s="38" t="n">
        <x:v>0.0240246379</x:v>
      </x:c>
      <x:c r="AR267" s="38" t="n">
        <x:v>-0.0119834891</x:v>
      </x:c>
      <x:c r="AS267" s="38" t="n">
        <x:v>0.046806522</x:v>
      </x:c>
    </x:row>
    <x:row r="268" ht="19" customHeight="1">
      <x:c r="A268" s="29" t="str">
        <x:v>SPY</x:v>
      </x:c>
      <x:c r="B268" s="39" t="d">
        <x:v>2022-03-28T00:00:00.000Z</x:v>
      </x:c>
      <x:c r="C268" s="38" t="n">
        <x:v>-0.0179384169</x:v>
      </x:c>
      <x:c r="D268" s="38" t="n">
        <x:v>0.0540967931</x:v>
      </x:c>
      <x:c r="E268" s="38" t="n">
        <x:v>0.0297767432</x:v>
      </x:c>
      <x:c r="F268" s="38" t="n">
        <x:v>0.026526103</x:v>
      </x:c>
      <x:c r="G268" s="38" t="n">
        <x:v>-0.0428142356</x:v>
      </x:c>
      <x:c r="H268" s="38" t="n">
        <x:v>0.0447400383</x:v>
      </x:c>
      <x:c r="I268" s="38" t="n">
        <x:v>0.0223621566</x:v>
      </x:c>
      <x:c r="J268" s="38" t="n">
        <x:v>-0.0976384924</x:v>
      </x:c>
      <x:c r="K268" s="38" t="n">
        <x:v>-0.2486499755</x:v>
      </x:c>
      <x:c r="L268" s="38" t="n">
        <x:v>0.094770123</x:v>
      </x:c>
      <x:c r="M268" s="38" t="n">
        <x:v>0.0794173535</x:v>
      </x:c>
      <x:c r="N268" s="38" t="n">
        <x:v>0.039541222</x:v>
      </x:c>
      <x:c r="O268" s="38" t="n">
        <x:v>0.0749134484</x:v>
      </x:c>
      <x:c r="P268" s="38" t="n">
        <x:v>-0.1914468855</x:v>
      </x:c>
      <x:c r="Q268" s="38" t="n">
        <x:v>0.0530951136</x:v>
      </x:c>
      <x:c r="R268" s="38" t="n">
        <x:v>0.0464502388</x:v>
      </x:c>
      <x:c r="S268" s="38" t="n">
        <x:v>-0.0142187143</x:v>
      </x:c>
      <x:c r="T268" s="38" t="n">
        <x:v>0.0679948437</x:v>
      </x:c>
      <x:c r="U268" s="38" t="n">
        <x:v>0.1000596833</x:v>
      </x:c>
      <x:c r="V268" s="38" t="n">
        <x:v>-0.0011929838</x:v>
      </x:c>
      <x:c r="W268" s="38" t="n">
        <x:v>-0.0154093125</x:v>
      </x:c>
      <x:c r="X268" s="38" t="n">
        <x:v>0.0126455127</x:v>
      </x:c>
      <x:c r="Y268" s="38" t="n">
        <x:v>-0.2240319142</x:v>
      </x:c>
      <x:c r="Z268" s="38" t="n">
        <x:v>0.029730174</x:v>
      </x:c>
      <x:c r="AA268" s="38" t="n">
        <x:v>0.04083118</x:v>
      </x:c>
      <x:c r="AB268" s="38" t="n">
        <x:v>-0.044034283</x:v>
      </x:c>
      <x:c r="AC268" s="38" t="n">
        <x:v>-0.224408587</x:v>
      </x:c>
      <x:c r="AD268" s="38" t="n">
        <x:v>0.0027258001</x:v>
      </x:c>
      <x:c r="AE268" s="38" t="n">
        <x:v>-0.0912639479</x:v>
      </x:c>
      <x:c r="AF268" s="38" t="n">
        <x:v>-0.0617290976</x:v>
      </x:c>
      <x:c r="AG268" s="38" t="n">
        <x:v>-0.0163494723</x:v>
      </x:c>
      <x:c r="AH268" s="38" t="n">
        <x:v>-0.0771084436</x:v>
      </x:c>
      <x:c r="AI268" s="38" t="n">
        <x:v>-0.1247003966</x:v>
      </x:c>
      <x:c r="AJ268" s="38" t="n">
        <x:v>0.044848667</x:v>
      </x:c>
      <x:c r="AK268" s="38" t="n">
        <x:v>0.0394996776</x:v>
      </x:c>
      <x:c r="AL268" s="38" t="n">
        <x:v>0.0641264083</x:v>
      </x:c>
      <x:c r="AM268" s="38" t="n">
        <x:v>-0.0106596324</x:v>
      </x:c>
      <x:c r="AN268" s="38" t="n">
        <x:v>-0.0568853901</x:v>
      </x:c>
      <x:c r="AO268" s="38" t="n">
        <x:v>0.0557560597</x:v>
      </x:c>
      <x:c r="AP268" s="38" t="n">
        <x:v>-0.0650517882</x:v>
      </x:c>
      <x:c r="AQ268" s="38" t="n">
        <x:v>-0.0007864006</x:v>
      </x:c>
      <x:c r="AR268" s="38" t="n">
        <x:v>0.0285100101</x:v>
      </x:c>
      <x:c r="AS268" s="38" t="n">
        <x:v>0.0366245108</x:v>
      </x:c>
    </x:row>
    <x:row r="269" ht="19" customHeight="1">
      <x:c r="A269" s="29" t="str">
        <x:v>SPY</x:v>
      </x:c>
      <x:c r="B269" s="39" t="d">
        <x:v>2022-04-25T00:00:00.000Z</x:v>
      </x:c>
      <x:c r="C269" s="38" t="n">
        <x:v>0.1124700695</x:v>
      </x:c>
      <x:c r="D269" s="38" t="n">
        <x:v>-0.1046878131</x:v>
      </x:c>
      <x:c r="E269" s="38" t="n">
        <x:v>0.0082340122</x:v>
      </x:c>
      <x:c r="F269" s="38" t="n">
        <x:v>0.0070977088</x:v>
      </x:c>
      <x:c r="G269" s="38" t="n">
        <x:v>-0.0328158135</x:v>
      </x:c>
      <x:c r="H269" s="38" t="n">
        <x:v>0.0291017878</x:v>
      </x:c>
      <x:c r="I269" s="38" t="n">
        <x:v>-0.0833874529</x:v>
      </x:c>
      <x:c r="J269" s="38" t="n">
        <x:v>0.0336112066</x:v>
      </x:c>
      <x:c r="K269" s="38" t="n">
        <x:v>0.0685940272</x:v>
      </x:c>
      <x:c r="L269" s="38" t="n">
        <x:v>0.037402841</x:v>
      </x:c>
      <x:c r="M269" s="38" t="n">
        <x:v>-0.0766221231</x:v>
      </x:c>
      <x:c r="N269" s="38" t="n">
        <x:v>-0.0367424705</x:v>
      </x:c>
      <x:c r="O269" s="38" t="n">
        <x:v>-0.0456374647</x:v>
      </x:c>
      <x:c r="P269" s="38" t="n">
        <x:v>0.1662462248</x:v>
      </x:c>
      <x:c r="Q269" s="38" t="n">
        <x:v>-0.1375988534</x:v>
      </x:c>
      <x:c r="R269" s="38" t="n">
        <x:v>-0.2062157632</x:v>
      </x:c>
      <x:c r="S269" s="38" t="n">
        <x:v>-0.0574841998</x:v>
      </x:c>
      <x:c r="T269" s="38" t="n">
        <x:v>-0.2224686057</x:v>
      </x:c>
      <x:c r="U269" s="38" t="n">
        <x:v>-0.1391023114</x:v>
      </x:c>
      <x:c r="V269" s="38" t="n">
        <x:v>-0.1162435479</x:v>
      </x:c>
      <x:c r="W269" s="38" t="n">
        <x:v>-0.3828879322</x:v>
      </x:c>
      <x:c r="X269" s="38" t="n">
        <x:v>-0.0733833581</x:v>
      </x:c>
      <x:c r="Y269" s="38" t="n">
        <x:v>0.0201841488</x:v>
      </x:c>
      <x:c r="Z269" s="38" t="n">
        <x:v>0.0213090297</x:v>
      </x:c>
      <x:c r="AA269" s="38" t="n">
        <x:v>-0.038436136</x:v>
      </x:c>
      <x:c r="AB269" s="38" t="n">
        <x:v>0.0924923069</x:v>
      </x:c>
      <x:c r="AC269" s="38" t="n">
        <x:v>-0.0823154367</x:v>
      </x:c>
      <x:c r="AD269" s="38" t="n">
        <x:v>0.0790388044</x:v>
      </x:c>
      <x:c r="AE269" s="38" t="n">
        <x:v>0.018175676</x:v>
      </x:c>
      <x:c r="AF269" s="38" t="n">
        <x:v>0.0361130942</x:v>
      </x:c>
      <x:c r="AG269" s="38" t="n">
        <x:v>-0.0766016731</x:v>
      </x:c>
      <x:c r="AH269" s="38" t="n">
        <x:v>0.0674424969</x:v>
      </x:c>
      <x:c r="AI269" s="38" t="n">
        <x:v>0.0242733703</x:v>
      </x:c>
      <x:c r="AJ269" s="38" t="n">
        <x:v>0.0089913929</x:v>
      </x:c>
      <x:c r="AK269" s="38" t="n">
        <x:v>0.0037979561</x:v>
      </x:c>
      <x:c r="AL269" s="38" t="n">
        <x:v>0.0047956593</x:v>
      </x:c>
      <x:c r="AM269" s="38" t="n">
        <x:v>0.0338812572</x:v>
      </x:c>
      <x:c r="AN269" s="38" t="n">
        <x:v>-0.0355710033</x:v>
      </x:c>
      <x:c r="AO269" s="38" t="n">
        <x:v>-0.027157</x:v>
      </x:c>
      <x:c r="AP269" s="38" t="n">
        <x:v>0.08440021</x:v>
      </x:c>
      <x:c r="AQ269" s="38" t="n">
        <x:v>0.0464126253</x:v>
      </x:c>
      <x:c r="AR269" s="38" t="n">
        <x:v>0.0089922992</x:v>
      </x:c>
      <x:c r="AS269" s="38" t="n">
        <x:v>-0.0282136198</x:v>
      </x:c>
    </x:row>
    <x:row r="270" ht="19" customHeight="1">
      <x:c r="A270" s="29" t="str">
        <x:v>SPY</x:v>
      </x:c>
      <x:c r="B270" s="39" t="d">
        <x:v>2022-05-23T00:00:00.000Z</x:v>
      </x:c>
      <x:c r="C270" s="38" t="n">
        <x:v>0.0183074147</x:v>
      </x:c>
      <x:c r="D270" s="38" t="n">
        <x:v>0.0604235646</x:v>
      </x:c>
      <x:c r="E270" s="38" t="n">
        <x:v>0.0205491527</x:v>
      </x:c>
      <x:c r="F270" s="38" t="n">
        <x:v>0.0082065047</x:v>
      </x:c>
      <x:c r="G270" s="38" t="n">
        <x:v>-0.0189603315</x:v>
      </x:c>
      <x:c r="H270" s="38" t="n">
        <x:v>-0.0228587874</x:v>
      </x:c>
      <x:c r="I270" s="38" t="n">
        <x:v>-0.0654760388</x:v>
      </x:c>
      <x:c r="J270" s="38" t="n">
        <x:v>-0.0278921145</x:v>
      </x:c>
      <x:c r="K270" s="38" t="n">
        <x:v>0.0028692399</x:v>
      </x:c>
      <x:c r="L270" s="38" t="n">
        <x:v>0.1050085111</x:v>
      </x:c>
      <x:c r="M270" s="38" t="n">
        <x:v>0.0065381284</x:v>
      </x:c>
      <x:c r="N270" s="38" t="n">
        <x:v>-0.009294404</x:v>
      </x:c>
      <x:c r="O270" s="38" t="n">
        <x:v>-0.050644681</x:v>
      </x:c>
      <x:c r="P270" s="38" t="n">
        <x:v>0.0775238658</x:v>
      </x:c>
      <x:c r="Q270" s="38" t="n">
        <x:v>-0.0398951927</x:v>
      </x:c>
      <x:c r="R270" s="38" t="n">
        <x:v>0.1745871326</x:v>
      </x:c>
      <x:c r="S270" s="38" t="n">
        <x:v>-0.088538364</x:v>
      </x:c>
      <x:c r="T270" s="38" t="n">
        <x:v>-0.3017414328</x:v>
      </x:c>
      <x:c r="U270" s="38" t="n">
        <x:v>0.0056144953</x:v>
      </x:c>
      <x:c r="V270" s="38" t="n">
        <x:v>-0.1224572875</x:v>
      </x:c>
      <x:c r="W270" s="38" t="n">
        <x:v>-0.0057094333</x:v>
      </x:c>
      <x:c r="X270" s="38" t="n">
        <x:v>0.0688297379</x:v>
      </x:c>
      <x:c r="Y270" s="38" t="n">
        <x:v>0.0004410852</x:v>
      </x:c>
      <x:c r="Z270" s="38" t="n">
        <x:v>-0.0555038701</x:v>
      </x:c>
      <x:c r="AA270" s="38" t="n">
        <x:v>0.0695275942</x:v>
      </x:c>
      <x:c r="AB270" s="38" t="n">
        <x:v>0.0422170294</x:v>
      </x:c>
      <x:c r="AC270" s="38" t="n">
        <x:v>-0.2993010105</x:v>
      </x:c>
      <x:c r="AD270" s="38" t="n">
        <x:v>-0.0741074581</x:v>
      </x:c>
      <x:c r="AE270" s="38" t="n">
        <x:v>-0.0584013758</x:v>
      </x:c>
      <x:c r="AF270" s="38" t="n">
        <x:v>-0.0027931895</x:v>
      </x:c>
      <x:c r="AG270" s="38" t="n">
        <x:v>-0.1381968733</x:v>
      </x:c>
      <x:c r="AH270" s="38" t="n">
        <x:v>0.0005384939</x:v>
      </x:c>
      <x:c r="AI270" s="38" t="n">
        <x:v>0.0963233497</x:v>
      </x:c>
      <x:c r="AJ270" s="38" t="n">
        <x:v>0.058488186</x:v>
      </x:c>
      <x:c r="AK270" s="38" t="n">
        <x:v>-0.0179896455</x:v>
      </x:c>
      <x:c r="AL270" s="38" t="n">
        <x:v>0.0021525543</x:v>
      </x:c>
      <x:c r="AM270" s="38" t="n">
        <x:v>-0.0289981464</x:v>
      </x:c>
      <x:c r="AN270" s="38" t="n">
        <x:v>-0.0146777147</x:v>
      </x:c>
      <x:c r="AO270" s="38" t="n">
        <x:v>-0.1071368823</x:v>
      </x:c>
      <x:c r="AP270" s="38" t="n">
        <x:v>0.0073664642</x:v>
      </x:c>
      <x:c r="AQ270" s="38" t="n">
        <x:v>-0.0215188735</x:v>
      </x:c>
      <x:c r="AR270" s="38" t="n">
        <x:v>-0.0116091108</x:v>
      </x:c>
      <x:c r="AS270" s="38" t="n">
        <x:v>-0.0270669179</x:v>
      </x:c>
    </x:row>
    <x:row r="271" ht="19" customHeight="1">
      <x:c r="A271" s="29" t="str">
        <x:v>SPY</x:v>
      </x:c>
      <x:c r="B271" s="39" t="d">
        <x:v>2022-06-20T00:00:00.000Z</x:v>
      </x:c>
      <x:c r="C271" s="38" t="n">
        <x:v>-0.0497091058</x:v>
      </x:c>
      <x:c r="D271" s="38" t="n">
        <x:v>-0.271640791</x:v>
      </x:c>
      <x:c r="E271" s="38" t="n">
        <x:v>-0.0644547647</x:v>
      </x:c>
      <x:c r="F271" s="38" t="n">
        <x:v>-0.0647697798</x:v>
      </x:c>
      <x:c r="G271" s="38" t="n">
        <x:v>-0.0040526902</x:v>
      </x:c>
      <x:c r="H271" s="38" t="n">
        <x:v>0.0189186807</x:v>
      </x:c>
      <x:c r="I271" s="38" t="n">
        <x:v>0.0864520865</x:v>
      </x:c>
      <x:c r="J271" s="38" t="n">
        <x:v>-0.037477205</x:v>
      </x:c>
      <x:c r="K271" s="38" t="n">
        <x:v>-0.026863946</x:v>
      </x:c>
      <x:c r="L271" s="38" t="n">
        <x:v>-0.216642521</x:v>
      </x:c>
      <x:c r="M271" s="38" t="n">
        <x:v>-0.1411801155</x:v>
      </x:c>
      <x:c r="N271" s="38" t="n">
        <x:v>-0.1231517905</x:v>
      </x:c>
      <x:c r="O271" s="38" t="n">
        <x:v>0.0044634189</x:v>
      </x:c>
      <x:c r="P271" s="38" t="n">
        <x:v>-0.1463935739</x:v>
      </x:c>
      <x:c r="Q271" s="38" t="n">
        <x:v>0.0374032832</x:v>
      </x:c>
      <x:c r="R271" s="38" t="n">
        <x:v>0.0190833368</x:v>
      </x:c>
      <x:c r="S271" s="38" t="n">
        <x:v>0.0446586772</x:v>
      </x:c>
      <x:c r="T271" s="38" t="n">
        <x:v>-0.064825751</x:v>
      </x:c>
      <x:c r="U271" s="38" t="n">
        <x:v>0.0249199271</x:v>
      </x:c>
      <x:c r="V271" s="38" t="n">
        <x:v>-0.0157583206</x:v>
      </x:c>
      <x:c r="W271" s="38" t="n">
        <x:v>0.0466573831</x:v>
      </x:c>
      <x:c r="X271" s="38" t="n">
        <x:v>-0.0448370019</x:v>
      </x:c>
      <x:c r="Y271" s="38" t="n">
        <x:v>-0.1057757716</x:v>
      </x:c>
      <x:c r="Z271" s="38" t="n">
        <x:v>0.0082601974</x:v>
      </x:c>
      <x:c r="AA271" s="38" t="n">
        <x:v>-0.0234269461</x:v>
      </x:c>
      <x:c r="AB271" s="38" t="n">
        <x:v>0.0067384536</x:v>
      </x:c>
      <x:c r="AC271" s="38" t="n">
        <x:v>-0.0271983528</x:v>
      </x:c>
      <x:c r="AD271" s="38" t="n">
        <x:v>0.0044735392</x:v>
      </x:c>
      <x:c r="AE271" s="38" t="n">
        <x:v>-0.0189496596</x:v>
      </x:c>
      <x:c r="AF271" s="38" t="n">
        <x:v>-0.0391513897</x:v>
      </x:c>
      <x:c r="AG271" s="38" t="n">
        <x:v>0.1234247473</x:v>
      </x:c>
      <x:c r="AH271" s="38" t="n">
        <x:v>0.0107680204</x:v>
      </x:c>
      <x:c r="AI271" s="38" t="n">
        <x:v>-0.0110850932</x:v>
      </x:c>
      <x:c r="AJ271" s="38" t="n">
        <x:v>0.0045730339</x:v>
      </x:c>
      <x:c r="AK271" s="38" t="n">
        <x:v>-0.0342396569</x:v>
      </x:c>
      <x:c r="AL271" s="38" t="n">
        <x:v>-0.0076738476</x:v>
      </x:c>
      <x:c r="AM271" s="38" t="n">
        <x:v>0.0495147568</x:v>
      </x:c>
      <x:c r="AN271" s="38" t="n">
        <x:v>0.0960847167</x:v>
      </x:c>
      <x:c r="AO271" s="38" t="n">
        <x:v>0.0496565296</x:v>
      </x:c>
      <x:c r="AP271" s="38" t="n">
        <x:v>-0.0039911933</x:v>
      </x:c>
      <x:c r="AQ271" s="38" t="n">
        <x:v>-0.0014430618</x:v>
      </x:c>
      <x:c r="AR271" s="38" t="n">
        <x:v>0.0001462727</x:v>
      </x:c>
      <x:c r="AS271" s="38" t="n">
        <x:v>-0.091669473</x:v>
      </x:c>
    </x:row>
    <x:row r="272" ht="19" customHeight="1">
      <x:c r="A272" s="29" t="str">
        <x:v>SPY</x:v>
      </x:c>
      <x:c r="B272" s="39" t="d">
        <x:v>2022-07-18T00:00:00.000Z</x:v>
      </x:c>
      <x:c r="C272" s="38" t="n">
        <x:v>-0.0375459678</x:v>
      </x:c>
      <x:c r="D272" s="38" t="n">
        <x:v>-0.1591517828</x:v>
      </x:c>
      <x:c r="E272" s="38" t="n">
        <x:v>0.0004149054</x:v>
      </x:c>
      <x:c r="F272" s="38" t="n">
        <x:v>-0.0223928241</x:v>
      </x:c>
      <x:c r="G272" s="38" t="n">
        <x:v>0.045754102</x:v>
      </x:c>
      <x:c r="H272" s="38" t="n">
        <x:v>0.0024542273</x:v>
      </x:c>
      <x:c r="I272" s="38" t="n">
        <x:v>0.0548757823</x:v>
      </x:c>
      <x:c r="J272" s="38" t="n">
        <x:v>0.0782105898</x:v>
      </x:c>
      <x:c r="K272" s="38" t="n">
        <x:v>-0.0863254304</x:v>
      </x:c>
      <x:c r="L272" s="38" t="n">
        <x:v>-0.0279640086</x:v>
      </x:c>
      <x:c r="M272" s="38" t="n">
        <x:v>-0.0385569152</x:v>
      </x:c>
      <x:c r="N272" s="38" t="n">
        <x:v>-0.0739832398</x:v>
      </x:c>
      <x:c r="O272" s="38" t="n">
        <x:v>0.0959313822</x:v>
      </x:c>
      <x:c r="P272" s="38" t="n">
        <x:v>-0.0930984363</x:v>
      </x:c>
      <x:c r="Q272" s="38" t="n">
        <x:v>-0.0117341108</x:v>
      </x:c>
      <x:c r="R272" s="38" t="n">
        <x:v>-0.1770877063</x:v>
      </x:c>
      <x:c r="S272" s="38" t="n">
        <x:v>-0.0272487815</x:v>
      </x:c>
      <x:c r="T272" s="38" t="n">
        <x:v>-0.0359111573</x:v>
      </x:c>
      <x:c r="U272" s="38" t="n">
        <x:v>0.1770961268</x:v>
      </x:c>
      <x:c r="V272" s="38" t="n">
        <x:v>0.0566068774</x:v>
      </x:c>
      <x:c r="W272" s="38" t="n">
        <x:v>0.1566389301</x:v>
      </x:c>
      <x:c r="X272" s="38" t="n">
        <x:v>0.0728395711</x:v>
      </x:c>
      <x:c r="Y272" s="38" t="n">
        <x:v>-0.0454786231</x:v>
      </x:c>
      <x:c r="Z272" s="38" t="n">
        <x:v>-0.2219119485</x:v>
      </x:c>
      <x:c r="AA272" s="38" t="n">
        <x:v>-0.0419306181</x:v>
      </x:c>
      <x:c r="AB272" s="38" t="n">
        <x:v>-0.1021197969</x:v>
      </x:c>
      <x:c r="AC272" s="38" t="n">
        <x:v>-0.2856578559</x:v>
      </x:c>
      <x:c r="AD272" s="38" t="n">
        <x:v>0.0008774795</x:v>
      </x:c>
      <x:c r="AE272" s="38" t="n">
        <x:v>0.0553371488</x:v>
      </x:c>
      <x:c r="AF272" s="38" t="n">
        <x:v>-0.0428610291</x:v>
      </x:c>
      <x:c r="AG272" s="38" t="n">
        <x:v>0.1244710094</x:v>
      </x:c>
      <x:c r="AH272" s="38" t="n">
        <x:v>-0.0514749213</x:v>
      </x:c>
      <x:c r="AI272" s="38" t="n">
        <x:v>0.0375953385</x:v>
      </x:c>
      <x:c r="AJ272" s="38" t="n">
        <x:v>-0.0159820903</x:v>
      </x:c>
      <x:c r="AK272" s="38" t="n">
        <x:v>-0.0377400984</x:v>
      </x:c>
      <x:c r="AL272" s="38" t="n">
        <x:v>0.0408690726</x:v>
      </x:c>
      <x:c r="AM272" s="38" t="n">
        <x:v>0.0074102669</x:v>
      </x:c>
      <x:c r="AN272" s="38" t="n">
        <x:v>-0.0726858577</x:v>
      </x:c>
      <x:c r="AO272" s="38" t="n">
        <x:v>0.0328129609</x:v>
      </x:c>
      <x:c r="AP272" s="38" t="n">
        <x:v>0.0650901713</x:v>
      </x:c>
      <x:c r="AQ272" s="38" t="n">
        <x:v>-0.0255999223</x:v>
      </x:c>
      <x:c r="AR272" s="38" t="n">
        <x:v>-0.0552336664</x:v>
      </x:c>
      <x:c r="AS272" s="38" t="n">
        <x:v>0.0297498592</x:v>
      </x:c>
    </x:row>
    <x:row r="273" ht="19" customHeight="1">
      <x:c r="A273" s="29" t="str">
        <x:v>SPY</x:v>
      </x:c>
      <x:c r="B273" s="39" t="d">
        <x:v>2022-08-15T00:00:00.000Z</x:v>
      </x:c>
      <x:c r="C273" s="38" t="n">
        <x:v>0.003775069</x:v>
      </x:c>
      <x:c r="D273" s="38" t="n">
        <x:v>0.253853946</x:v>
      </x:c>
      <x:c r="E273" s="38" t="n">
        <x:v>0.0836427009</x:v>
      </x:c>
      <x:c r="F273" s="38" t="n">
        <x:v>0.062250677</x:v>
      </x:c>
      <x:c r="G273" s="38" t="n">
        <x:v>0.0882816437</x:v>
      </x:c>
      <x:c r="H273" s="38" t="n">
        <x:v>0.1594493399</x:v>
      </x:c>
      <x:c r="I273" s="38" t="n">
        <x:v>0.0338688861</x:v>
      </x:c>
      <x:c r="J273" s="38" t="n">
        <x:v>-0.0014763755</x:v>
      </x:c>
      <x:c r="K273" s="38" t="n">
        <x:v>-0.1114645362</x:v>
      </x:c>
      <x:c r="L273" s="38" t="n">
        <x:v>0.0855594564</x:v>
      </x:c>
      <x:c r="M273" s="38" t="n">
        <x:v>0.1613844137</x:v>
      </x:c>
      <x:c r="N273" s="38" t="n">
        <x:v>0.1058553195</x:v>
      </x:c>
      <x:c r="O273" s="38" t="n">
        <x:v>0.1344369947</x:v>
      </x:c>
      <x:c r="P273" s="38" t="n">
        <x:v>-0.126588323</x:v>
      </x:c>
      <x:c r="Q273" s="38" t="n">
        <x:v>0.0233047793</x:v>
      </x:c>
      <x:c r="R273" s="38" t="n">
        <x:v>-0.0062606604</x:v>
      </x:c>
      <x:c r="S273" s="38" t="n">
        <x:v>-0.0112631078</x:v>
      </x:c>
      <x:c r="T273" s="38" t="n">
        <x:v>0.1272276932</x:v>
      </x:c>
      <x:c r="U273" s="38" t="n">
        <x:v>-0.1155643908</x:v>
      </x:c>
      <x:c r="V273" s="38" t="n">
        <x:v>0.1314736003</x:v>
      </x:c>
      <x:c r="W273" s="38" t="n">
        <x:v>0.0573438651</x:v>
      </x:c>
      <x:c r="X273" s="38" t="n">
        <x:v>-0.0686669733</x:v>
      </x:c>
      <x:c r="Y273" s="38" t="n">
        <x:v>-0.1418626709</x:v>
      </x:c>
      <x:c r="Z273" s="38" t="n">
        <x:v>-0.0957559623</x:v>
      </x:c>
      <x:c r="AA273" s="38" t="n">
        <x:v>0.0967608959</x:v>
      </x:c>
      <x:c r="AB273" s="38" t="n">
        <x:v>-0.0173915286</x:v>
      </x:c>
      <x:c r="AC273" s="38" t="n">
        <x:v>0.0020380147</x:v>
      </x:c>
      <x:c r="AD273" s="38" t="n">
        <x:v>0.0349407394</x:v>
      </x:c>
      <x:c r="AE273" s="38" t="n">
        <x:v>0.1460336584</x:v>
      </x:c>
      <x:c r="AF273" s="38" t="n">
        <x:v>-0.0207542264</x:v>
      </x:c>
      <x:c r="AG273" s="38" t="n">
        <x:v>-0.0053020862</x:v>
      </x:c>
      <x:c r="AH273" s="38" t="n">
        <x:v>0.1245529005</x:v>
      </x:c>
      <x:c r="AI273" s="38" t="n">
        <x:v>-0.0363063524</x:v>
      </x:c>
      <x:c r="AJ273" s="38" t="n">
        <x:v>-0.0532942396</x:v>
      </x:c>
      <x:c r="AK273" s="38" t="n">
        <x:v>-0.0517181568</x:v>
      </x:c>
      <x:c r="AL273" s="38" t="n">
        <x:v>-0.0574021125</x:v>
      </x:c>
      <x:c r="AM273" s="38" t="n">
        <x:v>0.0354222739</x:v>
      </x:c>
      <x:c r="AN273" s="38" t="n">
        <x:v>0.0204307239</x:v>
      </x:c>
      <x:c r="AO273" s="38" t="n">
        <x:v>0.0019080537</x:v>
      </x:c>
      <x:c r="AP273" s="38" t="n">
        <x:v>0.0148194014</x:v>
      </x:c>
      <x:c r="AQ273" s="38" t="n">
        <x:v>0.0376095349</x:v>
      </x:c>
      <x:c r="AR273" s="38" t="n">
        <x:v>-0.0184824165</x:v>
      </x:c>
      <x:c r="AS273" s="38" t="n">
        <x:v>0.0194505332</x:v>
      </x:c>
    </x:row>
    <x:row r="274" ht="19" customHeight="1">
      <x:c r="A274" s="29" t="str">
        <x:v>SPY</x:v>
      </x:c>
      <x:c r="B274" s="39" t="d">
        <x:v>2022-09-12T00:00:00.000Z</x:v>
      </x:c>
      <x:c r="C274" s="38" t="n">
        <x:v>0.0638464993</x:v>
      </x:c>
      <x:c r="D274" s="38" t="n">
        <x:v>0.0485031554</x:v>
      </x:c>
      <x:c r="E274" s="38" t="n">
        <x:v>-0.0203236079</x:v>
      </x:c>
      <x:c r="F274" s="38" t="n">
        <x:v>-0.0280048985</x:v>
      </x:c>
      <x:c r="G274" s="38" t="n">
        <x:v>0.0244942141</x:v>
      </x:c>
      <x:c r="H274" s="38" t="n">
        <x:v>0.0773645858</x:v>
      </x:c>
      <x:c r="I274" s="38" t="n">
        <x:v>0.0054645246</x:v>
      </x:c>
      <x:c r="J274" s="38" t="n">
        <x:v>-0.0054542014</x:v>
      </x:c>
      <x:c r="K274" s="38" t="n">
        <x:v>-0.0649014766</x:v>
      </x:c>
      <x:c r="L274" s="38" t="n">
        <x:v>-0.1368158162</x:v>
      </x:c>
      <x:c r="M274" s="38" t="n">
        <x:v>-0.0801221723</x:v>
      </x:c>
      <x:c r="N274" s="38" t="n">
        <x:v>-0.0454349368</x:v>
      </x:c>
      <x:c r="O274" s="38" t="n">
        <x:v>-0.0380199547</x:v>
      </x:c>
      <x:c r="P274" s="38" t="n">
        <x:v>-0.1177284384</x:v>
      </x:c>
      <x:c r="Q274" s="38" t="n">
        <x:v>0.1355471916</x:v>
      </x:c>
      <x:c r="R274" s="38" t="n">
        <x:v>0.0675338323</x:v>
      </x:c>
      <x:c r="S274" s="38" t="n">
        <x:v>-0.038039403</x:v>
      </x:c>
      <x:c r="T274" s="38" t="n">
        <x:v>-0.0639975098</x:v>
      </x:c>
      <x:c r="U274" s="38" t="n">
        <x:v>-0.0474164326</x:v>
      </x:c>
      <x:c r="V274" s="38" t="n">
        <x:v>-0.0084782414</x:v>
      </x:c>
      <x:c r="W274" s="38" t="n">
        <x:v>0.0597615808</x:v>
      </x:c>
      <x:c r="X274" s="38" t="n">
        <x:v>-0.0491860998</x:v>
      </x:c>
      <x:c r="Y274" s="38" t="n">
        <x:v>-0.034246417</x:v>
      </x:c>
      <x:c r="Z274" s="38" t="n">
        <x:v>0.0341148688</x:v>
      </x:c>
      <x:c r="AA274" s="38" t="n">
        <x:v>-0.0093646988</x:v>
      </x:c>
      <x:c r="AB274" s="38" t="n">
        <x:v>-0.0369511244</x:v>
      </x:c>
      <x:c r="AC274" s="38" t="n">
        <x:v>0.0097528919</x:v>
      </x:c>
      <x:c r="AD274" s="38" t="n">
        <x:v>-0.0221601551</x:v>
      </x:c>
      <x:c r="AE274" s="38" t="n">
        <x:v>0.0074029841</x:v>
      </x:c>
      <x:c r="AF274" s="38" t="n">
        <x:v>-0.0207992039</x:v>
      </x:c>
      <x:c r="AG274" s="38" t="n">
        <x:v>-0.0348825591</x:v>
      </x:c>
      <x:c r="AH274" s="38" t="n">
        <x:v>-0.0254890876</x:v>
      </x:c>
      <x:c r="AI274" s="38" t="n">
        <x:v>-0.0507088181</x:v>
      </x:c>
      <x:c r="AJ274" s="38" t="n">
        <x:v>-0.0256597685</x:v>
      </x:c>
      <x:c r="AK274" s="38" t="n">
        <x:v>-0.0413251872</x:v>
      </x:c>
      <x:c r="AL274" s="38" t="n">
        <x:v>-0.0048353056</x:v>
      </x:c>
      <x:c r="AM274" s="38" t="n">
        <x:v>-0.0565415397</x:v>
      </x:c>
      <x:c r="AN274" s="38" t="n">
        <x:v>-0.0589267316</x:v>
      </x:c>
      <x:c r="AO274" s="38" t="n">
        <x:v>-0.0269237821</x:v>
      </x:c>
      <x:c r="AP274" s="38" t="n">
        <x:v>-0.0439611479</x:v>
      </x:c>
      <x:c r="AQ274" s="38" t="n">
        <x:v>-0.0529991122</x:v>
      </x:c>
      <x:c r="AR274" s="38" t="n">
        <x:v>-0.0098698117</x:v>
      </x:c>
      <x:c r="AS274" s="38" t="n">
        <x:v>-0.0502391562</x:v>
      </x:c>
    </x:row>
    <x:row r="275" ht="19" customHeight="1">
      <x:c r="A275" s="29" t="str">
        <x:v>SPY</x:v>
      </x:c>
      <x:c r="B275" s="39" t="d">
        <x:v>2022-10-10T00:00:00.000Z</x:v>
      </x:c>
      <x:c r="C275" s="38" t="n">
        <x:v>-0.0776898488</x:v>
      </x:c>
      <x:c r="D275" s="38" t="n">
        <x:v>0.0675437145</x:v>
      </x:c>
      <x:c r="E275" s="38" t="n">
        <x:v>-0.1331589821</x:v>
      </x:c>
      <x:c r="F275" s="38" t="n">
        <x:v>-0.1058080021</x:v>
      </x:c>
      <x:c r="G275" s="38" t="n">
        <x:v>-0.0096072493</x:v>
      </x:c>
      <x:c r="H275" s="38" t="n">
        <x:v>0.0152137127</x:v>
      </x:c>
      <x:c r="I275" s="38" t="n">
        <x:v>-0.0110521354</x:v>
      </x:c>
      <x:c r="J275" s="38" t="n">
        <x:v>0.0524299768</x:v>
      </x:c>
      <x:c r="K275" s="38" t="n">
        <x:v>0.0034575959</x:v>
      </x:c>
      <x:c r="L275" s="38" t="n">
        <x:v>0.0382883503</x:v>
      </x:c>
      <x:c r="M275" s="38" t="n">
        <x:v>0.0373805565</x:v>
      </x:c>
      <x:c r="N275" s="38" t="n">
        <x:v>0.0383134392</x:v>
      </x:c>
      <x:c r="O275" s="38" t="n">
        <x:v>0.0223240666</x:v>
      </x:c>
      <x:c r="P275" s="38" t="n">
        <x:v>0.0488668643</x:v>
      </x:c>
      <x:c r="Q275" s="38" t="n">
        <x:v>0.0312575263</x:v>
      </x:c>
      <x:c r="R275" s="38" t="n">
        <x:v>-0.0865828382</x:v>
      </x:c>
      <x:c r="S275" s="38" t="n">
        <x:v>-0.085650017</x:v>
      </x:c>
      <x:c r="T275" s="38" t="n">
        <x:v>-0.1592132883</x:v>
      </x:c>
      <x:c r="U275" s="38" t="n">
        <x:v>-0.0035593943</x:v>
      </x:c>
      <x:c r="V275" s="38" t="n">
        <x:v>-0.0183202847</x:v>
      </x:c>
      <x:c r="W275" s="38" t="n">
        <x:v>0.0617463298</x:v>
      </x:c>
      <x:c r="X275" s="38" t="n">
        <x:v>-0.061172774</x:v>
      </x:c>
      <x:c r="Y275" s="38" t="n">
        <x:v>0.128269497</x:v>
      </x:c>
      <x:c r="Z275" s="38" t="n">
        <x:v>0.1235948521</x:v>
      </x:c>
      <x:c r="AA275" s="38" t="n">
        <x:v>-0.0527529668</x:v>
      </x:c>
      <x:c r="AB275" s="38" t="n">
        <x:v>0.0377691106</x:v>
      </x:c>
      <x:c r="AC275" s="38" t="n">
        <x:v>0.1264936372</x:v>
      </x:c>
      <x:c r="AD275" s="38" t="n">
        <x:v>-0.0818065301</x:v>
      </x:c>
      <x:c r="AE275" s="38" t="n">
        <x:v>-0.0525994131</x:v>
      </x:c>
      <x:c r="AF275" s="38" t="n">
        <x:v>0.0354539966</x:v>
      </x:c>
      <x:c r="AG275" s="38" t="n">
        <x:v>0.0051867129</x:v>
      </x:c>
      <x:c r="AH275" s="38" t="n">
        <x:v>0.0338640998</x:v>
      </x:c>
      <x:c r="AI275" s="38" t="n">
        <x:v>-0.088240814</x:v>
      </x:c>
      <x:c r="AJ275" s="38" t="n">
        <x:v>0.0638863104</x:v>
      </x:c>
      <x:c r="AK275" s="38" t="n">
        <x:v>-0.1097110729</x:v>
      </x:c>
      <x:c r="AL275" s="38" t="n">
        <x:v>0.0313413395</x:v>
      </x:c>
      <x:c r="AM275" s="38" t="n">
        <x:v>0.0401265928</x:v>
      </x:c>
      <x:c r="AN275" s="38" t="n">
        <x:v>0.0978376867</x:v>
      </x:c>
      <x:c r="AO275" s="38" t="n">
        <x:v>-0.0597081637</x:v>
      </x:c>
      <x:c r="AP275" s="38" t="n">
        <x:v>0.0723710437</x:v>
      </x:c>
      <x:c r="AQ275" s="38" t="n">
        <x:v>-0.0492062722</x:v>
      </x:c>
      <x:c r="AR275" s="38" t="n">
        <x:v>-0.0205162883</x:v>
      </x:c>
      <x:c r="AS275" s="38" t="n">
        <x:v>0.0199388062</x:v>
      </x:c>
    </x:row>
    <x:row r="276" ht="19" customHeight="1">
      <x:c r="A276" s="29" t="str">
        <x:v>SPY</x:v>
      </x:c>
      <x:c r="B276" s="39" t="d">
        <x:v>2022-11-07T00:00:00.000Z</x:v>
      </x:c>
      <x:c r="C276" s="38" t="n">
        <x:v>-0.0131247751</x:v>
      </x:c>
      <x:c r="D276" s="38" t="n">
        <x:v>0.1486646248</x:v>
      </x:c>
      <x:c r="E276" s="38" t="n">
        <x:v>0.0007948954</x:v>
      </x:c>
      <x:c r="F276" s="38" t="n">
        <x:v>0.0497366148</x:v>
      </x:c>
      <x:c r="G276" s="38" t="n">
        <x:v>-0.1336342314</x:v>
      </x:c>
      <x:c r="H276" s="38" t="n">
        <x:v>-0.1056644306</x:v>
      </x:c>
      <x:c r="I276" s="38" t="n">
        <x:v>-0.175055717</x:v>
      </x:c>
      <x:c r="J276" s="38" t="n">
        <x:v>-0.0219486225</x:v>
      </x:c>
      <x:c r="K276" s="38" t="n">
        <x:v>-0.1425307947</x:v>
      </x:c>
      <x:c r="L276" s="38" t="n">
        <x:v>0.110466807</x:v>
      </x:c>
      <x:c r="M276" s="38" t="n">
        <x:v>0.0413023267</x:v>
      </x:c>
      <x:c r="N276" s="38" t="n">
        <x:v>-0.0406036623</x:v>
      </x:c>
      <x:c r="O276" s="38" t="n">
        <x:v>0.030973754</x:v>
      </x:c>
      <x:c r="P276" s="38" t="n">
        <x:v>-0.0077447194</x:v>
      </x:c>
      <x:c r="Q276" s="38" t="n">
        <x:v>0.0969391858</x:v>
      </x:c>
      <x:c r="R276" s="38" t="n">
        <x:v>-0.1571465457</x:v>
      </x:c>
      <x:c r="S276" s="38" t="n">
        <x:v>-0.0366503275</x:v>
      </x:c>
      <x:c r="T276" s="38" t="n">
        <x:v>0.0707845088</x:v>
      </x:c>
      <x:c r="U276" s="38" t="n">
        <x:v>0.1500021542</x:v>
      </x:c>
      <x:c r="V276" s="38" t="n">
        <x:v>0.2102649278</x:v>
      </x:c>
      <x:c r="W276" s="38" t="n">
        <x:v>0.0318583328</x:v>
      </x:c>
      <x:c r="X276" s="38" t="n">
        <x:v>0.0141703675</x:v>
      </x:c>
      <x:c r="Y276" s="38" t="n">
        <x:v>-0.0176935366</x:v>
      </x:c>
      <x:c r="Z276" s="38" t="n">
        <x:v>-0.0741029061</x:v>
      </x:c>
      <x:c r="AA276" s="38" t="n">
        <x:v>0.0189625418</x:v>
      </x:c>
      <x:c r="AB276" s="38" t="n">
        <x:v>-0.0432441987</x:v>
      </x:c>
      <x:c r="AC276" s="38" t="n">
        <x:v>-0.1507642899</x:v>
      </x:c>
      <x:c r="AD276" s="38" t="n">
        <x:v>0.0254358092</x:v>
      </x:c>
      <x:c r="AE276" s="38" t="n">
        <x:v>0.0143262375</x:v>
      </x:c>
      <x:c r="AF276" s="38" t="n">
        <x:v>0.0321552797</x:v>
      </x:c>
      <x:c r="AG276" s="38" t="n">
        <x:v>0.090235864</x:v>
      </x:c>
      <x:c r="AH276" s="38" t="n">
        <x:v>-0.0548711174</x:v>
      </x:c>
      <x:c r="AI276" s="38" t="n">
        <x:v>-0.0408801233</x:v>
      </x:c>
      <x:c r="AJ276" s="38" t="n">
        <x:v>-0.0059885051</x:v>
      </x:c>
      <x:c r="AK276" s="38" t="n">
        <x:v>0.0624127503</x:v>
      </x:c>
      <x:c r="AL276" s="38" t="n">
        <x:v>-0.0543036968</x:v>
      </x:c>
      <x:c r="AM276" s="38" t="n">
        <x:v>-0.0708851063</x:v>
      </x:c>
      <x:c r="AN276" s="38" t="n">
        <x:v>-0.1183406449</x:v>
      </x:c>
      <x:c r="AO276" s="38" t="n">
        <x:v>0.0253522069</x:v>
      </x:c>
      <x:c r="AP276" s="38" t="n">
        <x:v>-0.0150396293</x:v>
      </x:c>
      <x:c r="AQ276" s="38" t="n">
        <x:v>0.0151219849</x:v>
      </x:c>
      <x:c r="AR276" s="38" t="n">
        <x:v>-0.0159716419</x:v>
      </x:c>
      <x:c r="AS276" s="38" t="n">
        <x:v>0.0372257356</x:v>
      </x:c>
    </x:row>
    <x:row r="277" ht="19" customHeight="1">
      <x:c r="A277" s="29" t="str">
        <x:v>SPY</x:v>
      </x:c>
      <x:c r="B277" s="39" t="d">
        <x:v>2022-12-05T00:00:00.000Z</x:v>
      </x:c>
      <x:c r="C277" s="38" t="n">
        <x:v>-0.0095931049</x:v>
      </x:c>
      <x:c r="D277" s="38" t="n">
        <x:v>-0.1647531876</x:v>
      </x:c>
      <x:c r="E277" s="38" t="n">
        <x:v>0.0359651741</x:v>
      </x:c>
      <x:c r="F277" s="38" t="n">
        <x:v>0.0397253822</x:v>
      </x:c>
      <x:c r="G277" s="38" t="n">
        <x:v>-0.0056370021</x:v>
      </x:c>
      <x:c r="H277" s="38" t="n">
        <x:v>0.0144005427</x:v>
      </x:c>
      <x:c r="I277" s="38" t="n">
        <x:v>-0.0988134765</x:v>
      </x:c>
      <x:c r="J277" s="38" t="n">
        <x:v>-0.0040200845</x:v>
      </x:c>
      <x:c r="K277" s="38" t="n">
        <x:v>-0.0423154251</x:v>
      </x:c>
      <x:c r="L277" s="38" t="n">
        <x:v>-0.1553909711</x:v>
      </x:c>
      <x:c r="M277" s="38" t="n">
        <x:v>-0.0650176608</x:v>
      </x:c>
      <x:c r="N277" s="38" t="n">
        <x:v>-0.0009800238</x:v>
      </x:c>
      <x:c r="O277" s="38" t="n">
        <x:v>0.0046155591</x:v>
      </x:c>
      <x:c r="P277" s="38" t="n">
        <x:v>-0.059535018</x:v>
      </x:c>
      <x:c r="Q277" s="38" t="n">
        <x:v>-0.1151677624</x:v>
      </x:c>
      <x:c r="R277" s="38" t="n">
        <x:v>-0.0876663085</x:v>
      </x:c>
      <x:c r="S277" s="38" t="n">
        <x:v>0.0026412183</x:v>
      </x:c>
      <x:c r="T277" s="38" t="n">
        <x:v>-0.0943711234</x:v>
      </x:c>
      <x:c r="U277" s="38" t="n">
        <x:v>0.0720214549</x:v>
      </x:c>
      <x:c r="V277" s="38" t="n">
        <x:v>-0.1012174753</x:v>
      </x:c>
      <x:c r="W277" s="38" t="n">
        <x:v>0.0697090062</x:v>
      </x:c>
      <x:c r="X277" s="38" t="n">
        <x:v>0.0128182217</x:v>
      </x:c>
      <x:c r="Y277" s="38" t="n">
        <x:v>-0.0841664503</x:v>
      </x:c>
      <x:c r="Z277" s="38" t="n">
        <x:v>-0.0498116152</x:v>
      </x:c>
      <x:c r="AA277" s="38" t="n">
        <x:v>0.0010420567</x:v>
      </x:c>
      <x:c r="AB277" s="38" t="n">
        <x:v>0.0738185523</x:v>
      </x:c>
      <x:c r="AC277" s="38" t="n">
        <x:v>-0.2353408512</x:v>
      </x:c>
      <x:c r="AD277" s="38" t="n">
        <x:v>0.0347930979</x:v>
      </x:c>
      <x:c r="AE277" s="38" t="n">
        <x:v>-0.0678427118</x:v>
      </x:c>
      <x:c r="AF277" s="38" t="n">
        <x:v>0.0467077778</x:v>
      </x:c>
      <x:c r="AG277" s="38" t="n">
        <x:v>0.0111079602</x:v>
      </x:c>
      <x:c r="AH277" s="38" t="n">
        <x:v>-0.0128815673</x:v>
      </x:c>
      <x:c r="AI277" s="38" t="n">
        <x:v>-0.0674054414</x:v>
      </x:c>
      <x:c r="AJ277" s="38" t="n">
        <x:v>0.0081803411</x:v>
      </x:c>
      <x:c r="AK277" s="38" t="n">
        <x:v>-0.0799157212</x:v>
      </x:c>
      <x:c r="AL277" s="38" t="n">
        <x:v>0.0250034462</x:v>
      </x:c>
      <x:c r="AM277" s="38" t="n">
        <x:v>-0.0150008042</x:v>
      </x:c>
      <x:c r="AN277" s="38" t="n">
        <x:v>-0.0380028251</x:v>
      </x:c>
      <x:c r="AO277" s="38" t="n">
        <x:v>-0.0731579558</x:v>
      </x:c>
      <x:c r="AP277" s="38" t="n">
        <x:v>0.0101261947</x:v>
      </x:c>
      <x:c r="AQ277" s="38" t="n">
        <x:v>0.0024078181</x:v>
      </x:c>
      <x:c r="AR277" s="38" t="n">
        <x:v>0.0127102571</x:v>
      </x:c>
      <x:c r="AS277" s="38" t="n">
        <x:v>-0.0228931717</x:v>
      </x:c>
    </x:row>
    <x:row r="278" ht="19" customHeight="1">
      <x:c r="A278" s="29" t="str">
        <x:v>SPY</x:v>
      </x:c>
      <x:c r="B278" s="39" t="d">
        <x:v>2023-01-02T00:00:00.000Z</x:v>
      </x:c>
      <x:c r="C278" s="38" t="n">
        <x:v>-0.048332075</x:v>
      </x:c>
      <x:c r="D278" s="38" t="n">
        <x:v>0.1382066431</x:v>
      </x:c>
      <x:c r="E278" s="38" t="n">
        <x:v>-0.0283312366</x:v>
      </x:c>
      <x:c r="F278" s="38" t="n">
        <x:v>-0.0776810173</x:v>
      </x:c>
      <x:c r="G278" s="38" t="n">
        <x:v>0.0056877693</x:v>
      </x:c>
      <x:c r="H278" s="38" t="n">
        <x:v>-0.0699901467</x:v>
      </x:c>
      <x:c r="I278" s="38" t="n">
        <x:v>-0.0142358036</x:v>
      </x:c>
      <x:c r="J278" s="38" t="n">
        <x:v>-0.1223831282</x:v>
      </x:c>
      <x:c r="K278" s="38" t="n">
        <x:v>-0.0521711884</x:v>
      </x:c>
      <x:c r="L278" s="38" t="n">
        <x:v>0.0611181481</x:v>
      </x:c>
      <x:c r="M278" s="38" t="n">
        <x:v>-0.1356119869</x:v>
      </x:c>
      <x:c r="N278" s="38" t="n">
        <x:v>-0.0088975727</x:v>
      </x:c>
      <x:c r="O278" s="38" t="n">
        <x:v>-0.1317399033</x:v>
      </x:c>
      <x:c r="P278" s="38" t="n">
        <x:v>-0.0306101049</x:v>
      </x:c>
      <x:c r="Q278" s="38" t="n">
        <x:v>0.0567513054</x:v>
      </x:c>
      <x:c r="R278" s="38" t="n">
        <x:v>-0.1558740307</x:v>
      </x:c>
      <x:c r="S278" s="38" t="n">
        <x:v>-0.022660146</x:v>
      </x:c>
      <x:c r="T278" s="38" t="n">
        <x:v>-0.1611037462</x:v>
      </x:c>
      <x:c r="U278" s="38" t="n">
        <x:v>-0.0451207652</x:v>
      </x:c>
      <x:c r="V278" s="38" t="n">
        <x:v>-0.0397170094</x:v>
      </x:c>
      <x:c r="W278" s="38" t="n">
        <x:v>-0.0180249155</x:v>
      </x:c>
      <x:c r="X278" s="38" t="n">
        <x:v>0.041119571</x:v>
      </x:c>
      <x:c r="Y278" s="38" t="n">
        <x:v>-0.0428136065</x:v>
      </x:c>
      <x:c r="Z278" s="38" t="n">
        <x:v>0.0566645181</x:v>
      </x:c>
      <x:c r="AA278" s="38" t="n">
        <x:v>0.0119592823</x:v>
      </x:c>
      <x:c r="AB278" s="38" t="n">
        <x:v>0.1484844538</x:v>
      </x:c>
      <x:c r="AC278" s="38" t="n">
        <x:v>-0.1868378254</x:v>
      </x:c>
      <x:c r="AD278" s="38" t="n">
        <x:v>-0.0056217775</x:v>
      </x:c>
      <x:c r="AE278" s="38" t="n">
        <x:v>-0.0733493569</x:v>
      </x:c>
      <x:c r="AF278" s="38" t="n">
        <x:v>0.0515116701</x:v>
      </x:c>
      <x:c r="AG278" s="38" t="n">
        <x:v>0.092573492</x:v>
      </x:c>
      <x:c r="AH278" s="38" t="n">
        <x:v>-0.0466016122</x:v>
      </x:c>
      <x:c r="AI278" s="38" t="n">
        <x:v>-0.061389585</x:v>
      </x:c>
      <x:c r="AJ278" s="38" t="n">
        <x:v>-0.0116053811</x:v>
      </x:c>
      <x:c r="AK278" s="38" t="n">
        <x:v>0.0117397473</x:v>
      </x:c>
      <x:c r="AL278" s="38" t="n">
        <x:v>-0.011836575</x:v>
      </x:c>
      <x:c r="AM278" s="38" t="n">
        <x:v>-0.0729395344</x:v>
      </x:c>
      <x:c r="AN278" s="38" t="n">
        <x:v>-0.0310030595</x:v>
      </x:c>
      <x:c r="AO278" s="38" t="n">
        <x:v>-0.0329088685</x:v>
      </x:c>
      <x:c r="AP278" s="38" t="n">
        <x:v>-0.025102945</x:v>
      </x:c>
      <x:c r="AQ278" s="38" t="n">
        <x:v>-0.0293383197</x:v>
      </x:c>
      <x:c r="AR278" s="38" t="n">
        <x:v>-0.0049890149</x:v>
      </x:c>
      <x:c r="AS278" s="38" t="n">
        <x:v>0.0220332671</x:v>
      </x:c>
    </x:row>
    <x:row r="279" ht="19" customHeight="1">
      <x:c r="A279" s="29" t="str">
        <x:v>SPY</x:v>
      </x:c>
      <x:c r="B279" s="39" t="d">
        <x:v>2023-01-30T00:00:00.000Z</x:v>
      </x:c>
      <x:c r="C279" s="38" t="n">
        <x:v>-0.0561835514</x:v>
      </x:c>
      <x:c r="D279" s="38" t="n">
        <x:v>0.0126152851</x:v>
      </x:c>
      <x:c r="E279" s="38" t="n">
        <x:v>-0.0669018799</x:v>
      </x:c>
      <x:c r="F279" s="38" t="n">
        <x:v>-0.0258793033</x:v>
      </x:c>
      <x:c r="G279" s="38" t="n">
        <x:v>0.0858429899</x:v>
      </x:c>
      <x:c r="H279" s="38" t="n">
        <x:v>0.1314220707</x:v>
      </x:c>
      <x:c r="I279" s="38" t="n">
        <x:v>0.1122758791</x:v>
      </x:c>
      <x:c r="J279" s="38" t="n">
        <x:v>-0.0401592388</x:v>
      </x:c>
      <x:c r="K279" s="38" t="n">
        <x:v>0.0943947096</x:v>
      </x:c>
      <x:c r="L279" s="38" t="n">
        <x:v>0.0024441503</x:v>
      </x:c>
      <x:c r="M279" s="38" t="n">
        <x:v>-0.0057787612</x:v>
      </x:c>
      <x:c r="N279" s="38" t="n">
        <x:v>0.0461011936</x:v>
      </x:c>
      <x:c r="O279" s="38" t="n">
        <x:v>0.0109386397</x:v>
      </x:c>
      <x:c r="P279" s="38" t="n">
        <x:v>0.0517251643</x:v>
      </x:c>
      <x:c r="Q279" s="38" t="n">
        <x:v>-0.107735984</x:v>
      </x:c>
      <x:c r="R279" s="38" t="n">
        <x:v>0.1228780231</x:v>
      </x:c>
      <x:c r="S279" s="38" t="n">
        <x:v>-0.01061396</x:v>
      </x:c>
      <x:c r="T279" s="38" t="n">
        <x:v>0.3111769714</x:v>
      </x:c>
      <x:c r="U279" s="38" t="n">
        <x:v>-0.0446033243</x:v>
      </x:c>
      <x:c r="V279" s="38" t="n">
        <x:v>0.0417644761</x:v>
      </x:c>
      <x:c r="W279" s="38" t="n">
        <x:v>0.070092552</x:v>
      </x:c>
      <x:c r="X279" s="38" t="n">
        <x:v>0.0241524536</x:v>
      </x:c>
      <x:c r="Y279" s="38" t="n">
        <x:v>-0.0017230488</x:v>
      </x:c>
      <x:c r="Z279" s="38" t="n">
        <x:v>-0.0763868996</x:v>
      </x:c>
      <x:c r="AA279" s="38" t="n">
        <x:v>-0.0130752213</x:v>
      </x:c>
      <x:c r="AB279" s="38" t="n">
        <x:v>-0.1098663927</x:v>
      </x:c>
      <x:c r="AC279" s="38" t="n">
        <x:v>0.4578176179</x:v>
      </x:c>
      <x:c r="AD279" s="38" t="n">
        <x:v>-0.081307341</x:v>
      </x:c>
      <x:c r="AE279" s="38" t="n">
        <x:v>-0.0101714795</x:v>
      </x:c>
      <x:c r="AF279" s="38" t="n">
        <x:v>-0.1215477057</x:v>
      </x:c>
      <x:c r="AG279" s="38" t="n">
        <x:v>-0.0791568561</x:v>
      </x:c>
      <x:c r="AH279" s="38" t="n">
        <x:v>-0.0550083021</x:v>
      </x:c>
      <x:c r="AI279" s="38" t="n">
        <x:v>0.1596614291</x:v>
      </x:c>
      <x:c r="AJ279" s="38" t="n">
        <x:v>-0.1000896705</x:v>
      </x:c>
      <x:c r="AK279" s="38" t="n">
        <x:v>0.0287539225</x:v>
      </x:c>
      <x:c r="AL279" s="38" t="n">
        <x:v>-0.064149281</x:v>
      </x:c>
      <x:c r="AM279" s="38" t="n">
        <x:v>0.0759034636</x:v>
      </x:c>
      <x:c r="AN279" s="38" t="n">
        <x:v>0.1292798744</x:v>
      </x:c>
      <x:c r="AO279" s="38" t="n">
        <x:v>0.0170952128</x:v>
      </x:c>
      <x:c r="AP279" s="38" t="n">
        <x:v>-0.010203795</x:v>
      </x:c>
      <x:c r="AQ279" s="38" t="n">
        <x:v>-0.0790802908</x:v>
      </x:c>
      <x:c r="AR279" s="38" t="n">
        <x:v>-0.0962092461</x:v>
      </x:c>
      <x:c r="AS279" s="38" t="n">
        <x:v>-0.0583519939</x:v>
      </x:c>
    </x:row>
    <x:row r="280" ht="19" customHeight="1">
      <x:c r="A280" s="29" t="str">
        <x:v>SPY</x:v>
      </x:c>
      <x:c r="B280" s="39" t="d">
        <x:v>2023-02-27T00:00:00.000Z</x:v>
      </x:c>
      <x:c r="C280" s="38" t="n">
        <x:v>-0.0528783509</x:v>
      </x:c>
      <x:c r="D280" s="38" t="n">
        <x:v>0.1486552221</x:v>
      </x:c>
      <x:c r="E280" s="38" t="n">
        <x:v>0.0000046381</x:v>
      </x:c>
      <x:c r="F280" s="38" t="n">
        <x:v>-0.0200338914</x:v>
      </x:c>
      <x:c r="G280" s="38" t="n">
        <x:v>-0.016372589</x:v>
      </x:c>
      <x:c r="H280" s="38" t="n">
        <x:v>-0.0596675132</x:v>
      </x:c>
      <x:c r="I280" s="38" t="n">
        <x:v>-0.0599818427</x:v>
      </x:c>
      <x:c r="J280" s="38" t="n">
        <x:v>0.0892157979</x:v>
      </x:c>
      <x:c r="K280" s="38" t="n">
        <x:v>-0.1118116094</x:v>
      </x:c>
      <x:c r="L280" s="38" t="n">
        <x:v>0.0364199752</x:v>
      </x:c>
      <x:c r="M280" s="38" t="n">
        <x:v>0.0488535271</x:v>
      </x:c>
      <x:c r="N280" s="38" t="n">
        <x:v>0.0154191188</x:v>
      </x:c>
      <x:c r="O280" s="38" t="n">
        <x:v>0.0430638651</x:v>
      </x:c>
      <x:c r="P280" s="38" t="n">
        <x:v>-0.1936739628</x:v>
      </x:c>
      <x:c r="Q280" s="38" t="n">
        <x:v>-0.0062199739</x:v>
      </x:c>
      <x:c r="R280" s="38" t="n">
        <x:v>0.1344159842</x:v>
      </x:c>
      <x:c r="S280" s="38" t="n">
        <x:v>0.0549739323</x:v>
      </x:c>
      <x:c r="T280" s="38" t="n">
        <x:v>-0.0079295529</x:v>
      </x:c>
      <x:c r="U280" s="38" t="n">
        <x:v>-0.2769250615</x:v>
      </x:c>
      <x:c r="V280" s="38" t="n">
        <x:v>0.142522684</x:v>
      </x:c>
      <x:c r="W280" s="38" t="n">
        <x:v>-0.0895506168</x:v>
      </x:c>
      <x:c r="X280" s="38" t="n">
        <x:v>-0.0102905501</x:v>
      </x:c>
      <x:c r="Y280" s="38" t="n">
        <x:v>-0.1829944139</x:v>
      </x:c>
      <x:c r="Z280" s="38" t="n">
        <x:v>-0.0436027902</x:v>
      </x:c>
      <x:c r="AA280" s="38" t="n">
        <x:v>0.0664323748</x:v>
      </x:c>
      <x:c r="AB280" s="38" t="n">
        <x:v>-0.0897662359</x:v>
      </x:c>
      <x:c r="AC280" s="38" t="n">
        <x:v>-0.1449479735</x:v>
      </x:c>
      <x:c r="AD280" s="38" t="n">
        <x:v>0.0226481884</x:v>
      </x:c>
      <x:c r="AE280" s="38" t="n">
        <x:v>0.0444034595</x:v>
      </x:c>
      <x:c r="AF280" s="38" t="n">
        <x:v>-0.049445104</x:v>
      </x:c>
      <x:c r="AG280" s="38" t="n">
        <x:v>0.039351164</x:v>
      </x:c>
      <x:c r="AH280" s="38" t="n">
        <x:v>0.0257833053</x:v>
      </x:c>
      <x:c r="AI280" s="38" t="n">
        <x:v>-0.0325904686</x:v>
      </x:c>
      <x:c r="AJ280" s="38" t="n">
        <x:v>-0.0643309825</x:v>
      </x:c>
      <x:c r="AK280" s="38" t="n">
        <x:v>0.0156508273</x:v>
      </x:c>
      <x:c r="AL280" s="38" t="n">
        <x:v>0.0229502789</x:v>
      </x:c>
      <x:c r="AM280" s="38" t="n">
        <x:v>0.0068464271</x:v>
      </x:c>
      <x:c r="AN280" s="38" t="n">
        <x:v>-0.1240263366</x:v>
      </x:c>
      <x:c r="AO280" s="38" t="n">
        <x:v>-0.0372724035</x:v>
      </x:c>
      <x:c r="AP280" s="38" t="n">
        <x:v>-0.0396463856</x:v>
      </x:c>
      <x:c r="AQ280" s="38" t="n">
        <x:v>0.01639302</x:v>
      </x:c>
      <x:c r="AR280" s="38" t="n">
        <x:v>-0.0486995225</x:v>
      </x:c>
      <x:c r="AS280" s="38" t="n">
        <x:v>0.0190203649</x:v>
      </x:c>
    </x:row>
    <x:row r="281" ht="19" customHeight="1">
      <x:c r="A281" s="29" t="str">
        <x:v>SPY</x:v>
      </x:c>
      <x:c r="B281" s="39" t="d">
        <x:v>2023-03-27T00:00:00.000Z</x:v>
      </x:c>
      <x:c r="C281" s="38" t="n">
        <x:v>0.0792454759</x:v>
      </x:c>
      <x:c r="D281" s="38" t="n">
        <x:v>-0.0126881915</x:v>
      </x:c>
      <x:c r="E281" s="38" t="n">
        <x:v>-0.006043761</x:v>
      </x:c>
      <x:c r="F281" s="38" t="n">
        <x:v>0.0066788102</x:v>
      </x:c>
      <x:c r="G281" s="38" t="n">
        <x:v>-0.0267845477</x:v>
      </x:c>
      <x:c r="H281" s="38" t="n">
        <x:v>0.115841498</x:v>
      </x:c>
      <x:c r="I281" s="38" t="n">
        <x:v>0.079872238</x:v>
      </x:c>
      <x:c r="J281" s="38" t="n">
        <x:v>-0.0718674562</x:v>
      </x:c>
      <x:c r="K281" s="38" t="n">
        <x:v>0.0404024485</x:v>
      </x:c>
      <x:c r="L281" s="38" t="n">
        <x:v>-0.0382399375</x:v>
      </x:c>
      <x:c r="M281" s="38" t="n">
        <x:v>-0.1676474537</x:v>
      </x:c>
      <x:c r="N281" s="38" t="n">
        <x:v>-0.0623558946</x:v>
      </x:c>
      <x:c r="O281" s="38" t="n">
        <x:v>-0.055777968</x:v>
      </x:c>
      <x:c r="P281" s="38" t="n">
        <x:v>0.0188090737</x:v>
      </x:c>
      <x:c r="Q281" s="38" t="n">
        <x:v>-0.079169359</x:v>
      </x:c>
      <x:c r="R281" s="38" t="n">
        <x:v>0.0645173635</x:v>
      </x:c>
      <x:c r="S281" s="38" t="n">
        <x:v>0.0132778802</x:v>
      </x:c>
      <x:c r="T281" s="38" t="n">
        <x:v>0.0202097825</x:v>
      </x:c>
      <x:c r="U281" s="38" t="n">
        <x:v>0.081335344</x:v>
      </x:c>
      <x:c r="V281" s="38" t="n">
        <x:v>-0.0737514693</x:v>
      </x:c>
      <x:c r="W281" s="38" t="n">
        <x:v>0.0452072615</x:v>
      </x:c>
      <x:c r="X281" s="38" t="n">
        <x:v>-0.0041893409</x:v>
      </x:c>
      <x:c r="Y281" s="38" t="n">
        <x:v>0.087139995</x:v>
      </x:c>
      <x:c r="Z281" s="38" t="n">
        <x:v>0.1011870045</x:v>
      </x:c>
      <x:c r="AA281" s="38" t="n">
        <x:v>-0.0371767436</x:v>
      </x:c>
      <x:c r="AB281" s="38" t="n">
        <x:v>0.0029080866</x:v>
      </x:c>
      <x:c r="AC281" s="38" t="n">
        <x:v>-0.0773222975</x:v>
      </x:c>
      <x:c r="AD281" s="38" t="n">
        <x:v>0.0188751559</x:v>
      </x:c>
      <x:c r="AE281" s="38" t="n">
        <x:v>-0.0297754561</x:v>
      </x:c>
      <x:c r="AF281" s="38" t="n">
        <x:v>0.012178933</x:v>
      </x:c>
      <x:c r="AG281" s="38" t="n">
        <x:v>-0.0319061885</x:v>
      </x:c>
      <x:c r="AH281" s="38" t="n">
        <x:v>-0.0442621545</x:v>
      </x:c>
      <x:c r="AI281" s="38" t="n">
        <x:v>0.1411209357</x:v>
      </x:c>
      <x:c r="AJ281" s="38" t="n">
        <x:v>0.0418099359</x:v>
      </x:c>
      <x:c r="AK281" s="38" t="n">
        <x:v>-0.0575877061</x:v>
      </x:c>
      <x:c r="AL281" s="38" t="n">
        <x:v>-0.0097064575</x:v>
      </x:c>
      <x:c r="AM281" s="38" t="n">
        <x:v>0.0991733616</x:v>
      </x:c>
      <x:c r="AN281" s="38" t="n">
        <x:v>0.126474915</x:v>
      </x:c>
      <x:c r="AO281" s="38" t="n">
        <x:v>0.0175516099</x:v>
      </x:c>
      <x:c r="AP281" s="38" t="n">
        <x:v>-0.0287554479</x:v>
      </x:c>
      <x:c r="AQ281" s="38" t="n">
        <x:v>0.0161918837</x:v>
      </x:c>
      <x:c r="AR281" s="38" t="n">
        <x:v>-0.016057677</x:v>
      </x:c>
      <x:c r="AS281" s="38" t="n">
        <x:v>-0.0342071948</x:v>
      </x:c>
    </x:row>
    <x:row r="282" ht="19" customHeight="1">
      <x:c r="A282" s="29" t="str">
        <x:v>SPY</x:v>
      </x:c>
      <x:c r="B282" s="39" t="d">
        <x:v>2023-04-24T00:00:00.000Z</x:v>
      </x:c>
      <x:c r="C282" s="38" t="n">
        <x:v>-0.03429156</x:v>
      </x:c>
      <x:c r="D282" s="38" t="n">
        <x:v>0.0147238584</x:v>
      </x:c>
      <x:c r="E282" s="38" t="n">
        <x:v>0.0121205028</x:v>
      </x:c>
      <x:c r="F282" s="38" t="n">
        <x:v>-0.0168475058</x:v>
      </x:c>
      <x:c r="G282" s="38" t="n">
        <x:v>0.0281258503</x:v>
      </x:c>
      <x:c r="H282" s="38" t="n">
        <x:v>0.1854947657</x:v>
      </x:c>
      <x:c r="I282" s="38" t="n">
        <x:v>0.0966147061</x:v>
      </x:c>
      <x:c r="J282" s="38" t="n">
        <x:v>-0.0270288011</x:v>
      </x:c>
      <x:c r="K282" s="38" t="n">
        <x:v>-0.0278557516</x:v>
      </x:c>
      <x:c r="L282" s="38" t="n">
        <x:v>-0.2059983207</x:v>
      </x:c>
      <x:c r="M282" s="38" t="n">
        <x:v>-0.0482305956</x:v>
      </x:c>
      <x:c r="N282" s="38" t="n">
        <x:v>-0.0421272774</x:v>
      </x:c>
      <x:c r="O282" s="38" t="n">
        <x:v>-0.1963379898</x:v>
      </x:c>
      <x:c r="P282" s="38" t="n">
        <x:v>-0.0216598803</x:v>
      </x:c>
      <x:c r="Q282" s="38" t="n">
        <x:v>-0.4074180022</x:v>
      </x:c>
      <x:c r="R282" s="38" t="n">
        <x:v>-0.2238550255</x:v>
      </x:c>
      <x:c r="S282" s="38" t="n">
        <x:v>-0.0300743099</x:v>
      </x:c>
      <x:c r="T282" s="38" t="n">
        <x:v>-0.111571709</x:v>
      </x:c>
      <x:c r="U282" s="38" t="n">
        <x:v>-0.1213834373</x:v>
      </x:c>
      <x:c r="V282" s="38" t="n">
        <x:v>-0.0880969909</x:v>
      </x:c>
      <x:c r="W282" s="38" t="n">
        <x:v>-0.0738269751</x:v>
      </x:c>
      <x:c r="X282" s="38" t="n">
        <x:v>0.1016980483</x:v>
      </x:c>
      <x:c r="Y282" s="38" t="n">
        <x:v>0.1101663309</x:v>
      </x:c>
      <x:c r="Z282" s="38" t="n">
        <x:v>0.0027830622</x:v>
      </x:c>
      <x:c r="AA282" s="38" t="n">
        <x:v>-0.0496269054</x:v>
      </x:c>
      <x:c r="AB282" s="38" t="n">
        <x:v>0.0041072342</x:v>
      </x:c>
      <x:c r="AC282" s="38" t="n">
        <x:v>0.2056614761</x:v>
      </x:c>
      <x:c r="AD282" s="38" t="n">
        <x:v>0.0665373468</x:v>
      </x:c>
      <x:c r="AE282" s="38" t="n">
        <x:v>-0.0319424119</x:v>
      </x:c>
      <x:c r="AF282" s="38" t="n">
        <x:v>-0.1282786791</x:v>
      </x:c>
      <x:c r="AG282" s="38" t="n">
        <x:v>-0.0148331316</x:v>
      </x:c>
      <x:c r="AH282" s="38" t="n">
        <x:v>-0.008674814</x:v>
      </x:c>
      <x:c r="AI282" s="38" t="n">
        <x:v>0.0124322882</x:v>
      </x:c>
      <x:c r="AJ282" s="38" t="n">
        <x:v>0.1030710731</x:v>
      </x:c>
      <x:c r="AK282" s="38" t="n">
        <x:v>0.0847983933</x:v>
      </x:c>
      <x:c r="AL282" s="38" t="n">
        <x:v>-0.1629345167</x:v>
      </x:c>
      <x:c r="AM282" s="38" t="n">
        <x:v>0.1139620155</x:v>
      </x:c>
      <x:c r="AN282" s="38" t="n">
        <x:v>0.1157571041</x:v>
      </x:c>
      <x:c r="AO282" s="38" t="n">
        <x:v>0.0354016475</x:v>
      </x:c>
      <x:c r="AP282" s="38" t="n">
        <x:v>0.0214920277</x:v>
      </x:c>
      <x:c r="AQ282" s="38" t="n">
        <x:v>0.0275423217</x:v>
      </x:c>
      <x:c r="AR282" s="38" t="n">
        <x:v>0.0421786616</x:v>
      </x:c>
      <x:c r="AS282" s="38" t="n">
        <x:v>0.030554928</x:v>
      </x:c>
    </x:row>
    <x:row r="283" ht="19" customHeight="1">
      <x:c r="A283" s="29" t="str">
        <x:v>SPY</x:v>
      </x:c>
      <x:c r="B283" s="39" t="d">
        <x:v>2023-05-22T00:00:00.000Z</x:v>
      </x:c>
      <x:c r="C283" s="38" t="n">
        <x:v>-0.0008481367</x:v>
      </x:c>
      <x:c r="D283" s="38" t="n">
        <x:v>-0.0259973207</x:v>
      </x:c>
      <x:c r="E283" s="38" t="n">
        <x:v>-0.0874252378</x:v>
      </x:c>
      <x:c r="F283" s="38" t="n">
        <x:v>-0.1010685131</x:v>
      </x:c>
      <x:c r="G283" s="38" t="n">
        <x:v>-0.11054024</x:v>
      </x:c>
      <x:c r="H283" s="38" t="n">
        <x:v>0.0212015836</x:v>
      </x:c>
      <x:c r="I283" s="38" t="n">
        <x:v>0.0000300522</x:v>
      </x:c>
      <x:c r="J283" s="38" t="n">
        <x:v>-0.0703021718</x:v>
      </x:c>
      <x:c r="K283" s="38" t="n">
        <x:v>-0.0675067947</x:v>
      </x:c>
      <x:c r="L283" s="38" t="n">
        <x:v>-0.0271024544</x:v>
      </x:c>
      <x:c r="M283" s="38" t="n">
        <x:v>-0.1220060946</x:v>
      </x:c>
      <x:c r="N283" s="38" t="n">
        <x:v>-0.2228214693</x:v>
      </x:c>
      <x:c r="O283" s="38" t="n">
        <x:v>0.0148830713</x:v>
      </x:c>
      <x:c r="P283" s="38" t="n">
        <x:v>-0.0118604655</x:v>
      </x:c>
      <x:c r="Q283" s="38" t="n">
        <x:v>0.2375353251</x:v>
      </x:c>
      <x:c r="R283" s="38" t="n">
        <x:v>0.1012615859</x:v>
      </x:c>
      <x:c r="S283" s="38" t="n">
        <x:v>-0.0383735045</x:v>
      </x:c>
      <x:c r="T283" s="38" t="n">
        <x:v>-0.006153354</x:v>
      </x:c>
      <x:c r="U283" s="38" t="n">
        <x:v>-0.084015781</x:v>
      </x:c>
      <x:c r="V283" s="38" t="n">
        <x:v>-0.062399651</x:v>
      </x:c>
      <x:c r="W283" s="38" t="n">
        <x:v>0.1670075546</x:v>
      </x:c>
      <x:c r="X283" s="38" t="n">
        <x:v>-0.0063745846</x:v>
      </x:c>
      <x:c r="Y283" s="38" t="n">
        <x:v>-0.0098138806</x:v>
      </x:c>
      <x:c r="Z283" s="38" t="n">
        <x:v>-0.0971501367</x:v>
      </x:c>
      <x:c r="AA283" s="38" t="n">
        <x:v>-0.0535570662</x:v>
      </x:c>
      <x:c r="AB283" s="38" t="n">
        <x:v>-0.0087034201</x:v>
      </x:c>
      <x:c r="AC283" s="38" t="n">
        <x:v>0.1312102644</x:v>
      </x:c>
      <x:c r="AD283" s="38" t="n">
        <x:v>-0.0377946393</x:v>
      </x:c>
      <x:c r="AE283" s="38" t="n">
        <x:v>0.017790512</x:v>
      </x:c>
      <x:c r="AF283" s="38" t="n">
        <x:v>0.0378632902</x:v>
      </x:c>
      <x:c r="AG283" s="38" t="n">
        <x:v>-0.004220418</x:v>
      </x:c>
      <x:c r="AH283" s="38" t="n">
        <x:v>0.0222291614</x:v>
      </x:c>
      <x:c r="AI283" s="38" t="n">
        <x:v>0.1338494301</x:v>
      </x:c>
      <x:c r="AJ283" s="38" t="n">
        <x:v>0.0460959507</x:v>
      </x:c>
      <x:c r="AK283" s="38" t="n">
        <x:v>-0.0607991986</x:v>
      </x:c>
      <x:c r="AL283" s="38" t="n">
        <x:v>-0.0392751198</x:v>
      </x:c>
      <x:c r="AM283" s="38" t="n">
        <x:v>-0.0148611889</x:v>
      </x:c>
      <x:c r="AN283" s="38" t="n">
        <x:v>-0.0179083668</x:v>
      </x:c>
      <x:c r="AO283" s="38" t="n">
        <x:v>-0.0049382139</x:v>
      </x:c>
      <x:c r="AP283" s="38" t="n">
        <x:v>0.0012344174</x:v>
      </x:c>
      <x:c r="AQ283" s="38" t="n">
        <x:v>-0.0455970322</x:v>
      </x:c>
      <x:c r="AR283" s="38" t="n">
        <x:v>-0.0465113181</x:v>
      </x:c>
      <x:c r="AS283" s="38" t="n">
        <x:v>-0.008624624</x:v>
      </x:c>
    </x:row>
    <x:row r="284" ht="19" customHeight="1">
      <x:c r="A284" s="29" t="str">
        <x:v>SPY</x:v>
      </x:c>
      <x:c r="B284" s="39" t="d">
        <x:v>2023-06-19T00:00:00.000Z</x:v>
      </x:c>
      <x:c r="C284" s="38" t="n">
        <x:v>-0.0163361719</x:v>
      </x:c>
      <x:c r="D284" s="38" t="n">
        <x:v>0.0535203041</x:v>
      </x:c>
      <x:c r="E284" s="38" t="n">
        <x:v>0.005916194</x:v>
      </x:c>
      <x:c r="F284" s="38" t="n">
        <x:v>-0.0186922723</x:v>
      </x:c>
      <x:c r="G284" s="38" t="n">
        <x:v>-0.0189904478</x:v>
      </x:c>
      <x:c r="H284" s="38" t="n">
        <x:v>-0.0518347718</x:v>
      </x:c>
      <x:c r="I284" s="38" t="n">
        <x:v>0.0602515446</x:v>
      </x:c>
      <x:c r="J284" s="38" t="n">
        <x:v>-0.0474936569</x:v>
      </x:c>
      <x:c r="K284" s="38" t="n">
        <x:v>-0.1215123738</x:v>
      </x:c>
      <x:c r="L284" s="38" t="n">
        <x:v>-0.0477564283</x:v>
      </x:c>
      <x:c r="M284" s="38" t="n">
        <x:v>0.0797943799</x:v>
      </x:c>
      <x:c r="N284" s="38" t="n">
        <x:v>-0.0145227042</x:v>
      </x:c>
      <x:c r="O284" s="38" t="n">
        <x:v>0.0387570993</x:v>
      </x:c>
      <x:c r="P284" s="38" t="n">
        <x:v>-0.1685574813</x:v>
      </x:c>
      <x:c r="Q284" s="38" t="n">
        <x:v>-0.0439804108</x:v>
      </x:c>
      <x:c r="R284" s="38" t="n">
        <x:v>0.0094880774</x:v>
      </x:c>
      <x:c r="S284" s="38" t="n">
        <x:v>0.0263446959</x:v>
      </x:c>
      <x:c r="T284" s="38" t="n">
        <x:v>0.04621473</x:v>
      </x:c>
      <x:c r="U284" s="38" t="n">
        <x:v>-0.1118454311</x:v>
      </x:c>
      <x:c r="V284" s="38" t="n">
        <x:v>-0.0048292719</x:v>
      </x:c>
      <x:c r="W284" s="38" t="n">
        <x:v>0.0571457005</x:v>
      </x:c>
      <x:c r="X284" s="38" t="n">
        <x:v>0.0208609373</x:v>
      </x:c>
      <x:c r="Y284" s="38" t="n">
        <x:v>-0.2477670142</x:v>
      </x:c>
      <x:c r="Z284" s="38" t="n">
        <x:v>-0.0708774169</x:v>
      </x:c>
      <x:c r="AA284" s="38" t="n">
        <x:v>0.0187709155</x:v>
      </x:c>
      <x:c r="AB284" s="38" t="n">
        <x:v>-0.1786123785</x:v>
      </x:c>
      <x:c r="AC284" s="38" t="n">
        <x:v>0.2565292489</x:v>
      </x:c>
      <x:c r="AD284" s="38" t="n">
        <x:v>0.0354111901</x:v>
      </x:c>
      <x:c r="AE284" s="38" t="n">
        <x:v>0.0538351846</x:v>
      </x:c>
      <x:c r="AF284" s="38" t="n">
        <x:v>0.0205797125</x:v>
      </x:c>
      <x:c r="AG284" s="38" t="n">
        <x:v>-0.0268862762</x:v>
      </x:c>
      <x:c r="AH284" s="38" t="n">
        <x:v>0.0228768003</x:v>
      </x:c>
      <x:c r="AI284" s="38" t="n">
        <x:v>-0.1746651921</x:v>
      </x:c>
      <x:c r="AJ284" s="38" t="n">
        <x:v>0.0367236161</x:v>
      </x:c>
      <x:c r="AK284" s="38" t="n">
        <x:v>-0.0268109459</x:v>
      </x:c>
      <x:c r="AL284" s="38" t="n">
        <x:v>-0.0519987917</x:v>
      </x:c>
      <x:c r="AM284" s="38" t="n">
        <x:v>-0.0104739675</x:v>
      </x:c>
      <x:c r="AN284" s="38" t="n">
        <x:v>-0.0826699635</x:v>
      </x:c>
      <x:c r="AO284" s="38" t="n">
        <x:v>0.0348188416</x:v>
      </x:c>
      <x:c r="AP284" s="38" t="n">
        <x:v>0.0191759864</x:v>
      </x:c>
      <x:c r="AQ284" s="38" t="n">
        <x:v>0.0124734726</x:v>
      </x:c>
      <x:c r="AR284" s="38" t="n">
        <x:v>0.0560719051</x:v>
      </x:c>
      <x:c r="AS284" s="38" t="n">
        <x:v>0.0139084163</x:v>
      </x:c>
    </x:row>
    <x:row r="285" ht="19" customHeight="1">
      <x:c r="A285" s="29" t="str">
        <x:v>SPY</x:v>
      </x:c>
      <x:c r="B285" s="39" t="d">
        <x:v>2023-07-17T00:00:00.000Z</x:v>
      </x:c>
      <x:c r="C285" s="38" t="n">
        <x:v>0.057878135</x:v>
      </x:c>
      <x:c r="D285" s="38" t="n">
        <x:v>0.0751425862</x:v>
      </x:c>
      <x:c r="E285" s="38" t="n">
        <x:v>0.0128190557</x:v>
      </x:c>
      <x:c r="F285" s="38" t="n">
        <x:v>0.0395289321</x:v>
      </x:c>
      <x:c r="G285" s="38" t="n">
        <x:v>-0.0648302171</x:v>
      </x:c>
      <x:c r="H285" s="38" t="n">
        <x:v>-0.0004276195</x:v>
      </x:c>
      <x:c r="I285" s="38" t="n">
        <x:v>-0.0857532195</x:v>
      </x:c>
      <x:c r="J285" s="38" t="n">
        <x:v>-0.0672479924</x:v>
      </x:c>
      <x:c r="K285" s="38" t="n">
        <x:v>-0.1166866516</x:v>
      </x:c>
      <x:c r="L285" s="38" t="n">
        <x:v>0.0677740593</x:v>
      </x:c>
      <x:c r="M285" s="38" t="n">
        <x:v>0.1041122377</x:v>
      </x:c>
      <x:c r="N285" s="38" t="n">
        <x:v>0.1040694346</x:v>
      </x:c>
      <x:c r="O285" s="38" t="n">
        <x:v>-0.0168049164</x:v>
      </x:c>
      <x:c r="P285" s="38" t="n">
        <x:v>-0.0457187912</x:v>
      </x:c>
      <x:c r="Q285" s="38" t="n">
        <x:v>-0.022643981</x:v>
      </x:c>
      <x:c r="R285" s="38" t="n">
        <x:v>0.1511984742</x:v>
      </x:c>
      <x:c r="S285" s="38" t="n">
        <x:v>0.0110689508</x:v>
      </x:c>
      <x:c r="T285" s="38" t="n">
        <x:v>-0.058029629</x:v>
      </x:c>
      <x:c r="U285" s="38" t="n">
        <x:v>0.0486384245</x:v>
      </x:c>
      <x:c r="V285" s="38" t="n">
        <x:v>-0.1528583002</x:v>
      </x:c>
      <x:c r="W285" s="38" t="n">
        <x:v>-0.0548062</x:v>
      </x:c>
      <x:c r="X285" s="38" t="n">
        <x:v>0.0325946055</x:v>
      </x:c>
      <x:c r="Y285" s="38" t="n">
        <x:v>-0.0558424449</x:v>
      </x:c>
      <x:c r="Z285" s="38" t="n">
        <x:v>0.0008919899</x:v>
      </x:c>
      <x:c r="AA285" s="38" t="n">
        <x:v>-0.090217304</x:v>
      </x:c>
      <x:c r="AB285" s="38" t="n">
        <x:v>0.0501844866</x:v>
      </x:c>
      <x:c r="AC285" s="38" t="n">
        <x:v>0.3728749504</x:v>
      </x:c>
      <x:c r="AD285" s="38" t="n">
        <x:v>-0.0083785689</x:v>
      </x:c>
      <x:c r="AE285" s="38" t="n">
        <x:v>-0.0539978151</x:v>
      </x:c>
      <x:c r="AF285" s="38" t="n">
        <x:v>-0.0242594254</x:v>
      </x:c>
      <x:c r="AG285" s="38" t="n">
        <x:v>-0.0327193359</x:v>
      </x:c>
      <x:c r="AH285" s="38" t="n">
        <x:v>0.0500266772</x:v>
      </x:c>
      <x:c r="AI285" s="38" t="n">
        <x:v>-0.1670567139</x:v>
      </x:c>
      <x:c r="AJ285" s="38" t="n">
        <x:v>-0.0296028676</x:v>
      </x:c>
      <x:c r="AK285" s="38" t="n">
        <x:v>0.0310077123</x:v>
      </x:c>
      <x:c r="AL285" s="38" t="n">
        <x:v>-0.0601830345</x:v>
      </x:c>
      <x:c r="AM285" s="38" t="n">
        <x:v>-0.0657246592</x:v>
      </x:c>
      <x:c r="AN285" s="38" t="n">
        <x:v>-0.0879412292</x:v>
      </x:c>
      <x:c r="AO285" s="38" t="n">
        <x:v>0.0079420424</x:v>
      </x:c>
      <x:c r="AP285" s="38" t="n">
        <x:v>0.0060198523</x:v>
      </x:c>
      <x:c r="AQ285" s="38" t="n">
        <x:v>-0.0213624209</x:v>
      </x:c>
      <x:c r="AR285" s="38" t="n">
        <x:v>0.001013784</x:v>
      </x:c>
      <x:c r="AS285" s="38" t="n">
        <x:v>-0.0006725415</x:v>
      </x:c>
    </x:row>
    <x:row r="286" ht="19" customHeight="1">
      <x:c r="A286" s="29" t="str">
        <x:v>SPY</x:v>
      </x:c>
      <x:c r="B286" s="39" t="d">
        <x:v>2023-08-14T00:00:00.000Z</x:v>
      </x:c>
      <x:c r="C286" s="38" t="n">
        <x:v>0.0721653806</x:v>
      </x:c>
      <x:c r="D286" s="38" t="n">
        <x:v>-0.0818895618</x:v>
      </x:c>
      <x:c r="E286" s="38" t="n">
        <x:v>-0.0591961597</x:v>
      </x:c>
      <x:c r="F286" s="38" t="n">
        <x:v>-0.068401027</x:v>
      </x:c>
      <x:c r="G286" s="38" t="n">
        <x:v>0.0781053042</x:v>
      </x:c>
      <x:c r="H286" s="38" t="n">
        <x:v>-0.0414556193</x:v>
      </x:c>
      <x:c r="I286" s="38" t="n">
        <x:v>0.1013197714</x:v>
      </x:c>
      <x:c r="J286" s="38" t="n">
        <x:v>0.0798246156</x:v>
      </x:c>
      <x:c r="K286" s="38" t="n">
        <x:v>0.2102208978</x:v>
      </x:c>
      <x:c r="L286" s="38" t="n">
        <x:v>0.0545581756</x:v>
      </x:c>
      <x:c r="M286" s="38" t="n">
        <x:v>-0.0031920905</x:v>
      </x:c>
      <x:c r="N286" s="38" t="n">
        <x:v>0.0092675595</x:v>
      </x:c>
      <x:c r="O286" s="38" t="n">
        <x:v>0.0135120366</x:v>
      </x:c>
      <x:c r="P286" s="38" t="n">
        <x:v>0.1109589858</x:v>
      </x:c>
      <x:c r="Q286" s="38" t="n">
        <x:v>0.0339729409</x:v>
      </x:c>
      <x:c r="R286" s="38" t="n">
        <x:v>-0.3351083201</x:v>
      </x:c>
      <x:c r="S286" s="38" t="n">
        <x:v>0.0907045914</x:v>
      </x:c>
      <x:c r="T286" s="38" t="n">
        <x:v>-0.084157182</x:v>
      </x:c>
      <x:c r="U286" s="38" t="n">
        <x:v>-0.187016849</x:v>
      </x:c>
      <x:c r="V286" s="38" t="n">
        <x:v>0.137278519</x:v>
      </x:c>
      <x:c r="W286" s="38" t="n">
        <x:v>0.018120893</x:v>
      </x:c>
      <x:c r="X286" s="38" t="n">
        <x:v>0.1325090049</x:v>
      </x:c>
      <x:c r="Y286" s="38" t="n">
        <x:v>0.0456685972</x:v>
      </x:c>
      <x:c r="Z286" s="38" t="n">
        <x:v>0.0261752676</x:v>
      </x:c>
      <x:c r="AA286" s="38" t="n">
        <x:v>0.0872112236</x:v>
      </x:c>
      <x:c r="AB286" s="38" t="n">
        <x:v>0.0289114532</x:v>
      </x:c>
      <x:c r="AC286" s="38" t="n">
        <x:v>-0.3397958001</x:v>
      </x:c>
      <x:c r="AD286" s="38" t="n">
        <x:v>0.0432731792</x:v>
      </x:c>
      <x:c r="AE286" s="38" t="n">
        <x:v>-0.0351355415</x:v>
      </x:c>
      <x:c r="AF286" s="38" t="n">
        <x:v>0.0151967903</x:v>
      </x:c>
      <x:c r="AG286" s="38" t="n">
        <x:v>0.1506796312</x:v>
      </x:c>
      <x:c r="AH286" s="38" t="n">
        <x:v>0.0044904091</x:v>
      </x:c>
      <x:c r="AI286" s="38" t="n">
        <x:v>0.0727748378</x:v>
      </x:c>
      <x:c r="AJ286" s="38" t="n">
        <x:v>0.1571066939</x:v>
      </x:c>
      <x:c r="AK286" s="38" t="n">
        <x:v>0.0480057474</x:v>
      </x:c>
      <x:c r="AL286" s="38" t="n">
        <x:v>0.0119197309</x:v>
      </x:c>
      <x:c r="AM286" s="38" t="n">
        <x:v>-0.0035125529</x:v>
      </x:c>
      <x:c r="AN286" s="38" t="n">
        <x:v>0.1257598068</x:v>
      </x:c>
      <x:c r="AO286" s="38" t="n">
        <x:v>0.0285845802</x:v>
      </x:c>
      <x:c r="AP286" s="38" t="n">
        <x:v>0.0972065077</x:v>
      </x:c>
      <x:c r="AQ286" s="38" t="n">
        <x:v>0.0118486599</x:v>
      </x:c>
      <x:c r="AR286" s="38" t="n">
        <x:v>0.0216523152</x:v>
      </x:c>
      <x:c r="AS286" s="38" t="n">
        <x:v>0.0355182326</x:v>
      </x:c>
    </x:row>
    <x:row r="287" ht="19" customHeight="1">
      <x:c r="A287" s="29" t="str">
        <x:v>SPY</x:v>
      </x:c>
      <x:c r="B287" s="39" t="d">
        <x:v>2023-09-11T00:00:00.000Z</x:v>
      </x:c>
      <x:c r="C287" s="38" t="n">
        <x:v>0.0606778654</x:v>
      </x:c>
      <x:c r="D287" s="38" t="n">
        <x:v>0.0439144134</x:v>
      </x:c>
      <x:c r="E287" s="38" t="n">
        <x:v>0.0103587235</x:v>
      </x:c>
      <x:c r="F287" s="38" t="n">
        <x:v>0.0111712998</x:v>
      </x:c>
      <x:c r="G287" s="38" t="n">
        <x:v>-0.001575869</x:v>
      </x:c>
      <x:c r="H287" s="38" t="n">
        <x:v>0.0247634342</x:v>
      </x:c>
      <x:c r="I287" s="38" t="n">
        <x:v>0.0605265428</x:v>
      </x:c>
      <x:c r="J287" s="38" t="n">
        <x:v>0.0085256932</x:v>
      </x:c>
      <x:c r="K287" s="38" t="n">
        <x:v>-0.1298699826</x:v>
      </x:c>
      <x:c r="L287" s="38" t="n">
        <x:v>0.0426487081</x:v>
      </x:c>
      <x:c r="M287" s="38" t="n">
        <x:v>0.0313336483</x:v>
      </x:c>
      <x:c r="N287" s="38" t="n">
        <x:v>0.0129538789</x:v>
      </x:c>
      <x:c r="O287" s="38" t="n">
        <x:v>-0.0592407177</x:v>
      </x:c>
      <x:c r="P287" s="38" t="n">
        <x:v>-0.0307007535</x:v>
      </x:c>
      <x:c r="Q287" s="38" t="n">
        <x:v>0.1260977639</x:v>
      </x:c>
      <x:c r="R287" s="38" t="n">
        <x:v>-0.3222591609</x:v>
      </x:c>
      <x:c r="S287" s="38" t="n">
        <x:v>0.0177684718</x:v>
      </x:c>
      <x:c r="T287" s="38" t="n">
        <x:v>0.0347893838</x:v>
      </x:c>
      <x:c r="U287" s="38" t="n">
        <x:v>0.1306715286</x:v>
      </x:c>
      <x:c r="V287" s="38" t="n">
        <x:v>0.0341861836</x:v>
      </x:c>
      <x:c r="W287" s="38" t="n">
        <x:v>0.0077821397</x:v>
      </x:c>
      <x:c r="X287" s="38" t="n">
        <x:v>0.006846339</x:v>
      </x:c>
      <x:c r="Y287" s="38" t="n">
        <x:v>-0.0234939797</x:v>
      </x:c>
      <x:c r="Z287" s="38" t="n">
        <x:v>0.035988701</x:v>
      </x:c>
      <x:c r="AA287" s="38" t="n">
        <x:v>0.0267660843</x:v>
      </x:c>
      <x:c r="AB287" s="38" t="n">
        <x:v>-0.091015506</x:v>
      </x:c>
      <x:c r="AC287" s="38" t="n">
        <x:v>0.0010507112</x:v>
      </x:c>
      <x:c r="AD287" s="38" t="n">
        <x:v>0.0049751862</x:v>
      </x:c>
      <x:c r="AE287" s="38" t="n">
        <x:v>0.034201438</x:v>
      </x:c>
      <x:c r="AF287" s="38" t="n">
        <x:v>-0.026668414</x:v>
      </x:c>
      <x:c r="AG287" s="38" t="n">
        <x:v>-0.0726456589</x:v>
      </x:c>
      <x:c r="AH287" s="38" t="n">
        <x:v>-0.0433565609</x:v>
      </x:c>
      <x:c r="AI287" s="38" t="n">
        <x:v>-0.0223424311</x:v>
      </x:c>
      <x:c r="AJ287" s="38" t="n">
        <x:v>0.023458666</x:v>
      </x:c>
      <x:c r="AK287" s="38" t="n">
        <x:v>0.0084515346</x:v>
      </x:c>
      <x:c r="AL287" s="38" t="n">
        <x:v>0.0142469897</x:v>
      </x:c>
      <x:c r="AM287" s="38" t="n">
        <x:v>0.0624806963</x:v>
      </x:c>
      <x:c r="AN287" s="38" t="n">
        <x:v>0.0648380116</x:v>
      </x:c>
      <x:c r="AO287" s="38" t="n">
        <x:v>-0.002802224</x:v>
      </x:c>
      <x:c r="AP287" s="38" t="n">
        <x:v>-0.0090364781</x:v>
      </x:c>
      <x:c r="AQ287" s="38" t="n">
        <x:v>-0.0442050686</x:v>
      </x:c>
      <x:c r="AR287" s="38" t="n">
        <x:v>-0.0637451718</x:v>
      </x:c>
      <x:c r="AS287" s="38" t="n">
        <x:v>0.0427691742</x:v>
      </x:c>
    </x:row>
    <x:row r="288" ht="19" customHeight="1">
      <x:c r="A288" s="29" t="str">
        <x:v>SPY</x:v>
      </x:c>
      <x:c r="B288" s="39" t="d">
        <x:v>2023-10-09T00:00:00.000Z</x:v>
      </x:c>
      <x:c r="C288" s="38" t="n">
        <x:v>-0.0173261322</x:v>
      </x:c>
      <x:c r="D288" s="38" t="n">
        <x:v>0.0969277671</x:v>
      </x:c>
      <x:c r="E288" s="38" t="n">
        <x:v>-0.0656180173</x:v>
      </x:c>
      <x:c r="F288" s="38" t="n">
        <x:v>-0.0506136281</x:v>
      </x:c>
      <x:c r="G288" s="38" t="n">
        <x:v>0.0408125567</x:v>
      </x:c>
      <x:c r="H288" s="38" t="n">
        <x:v>-0.0252593865</x:v>
      </x:c>
      <x:c r="I288" s="38" t="n">
        <x:v>-0.0390973412</x:v>
      </x:c>
      <x:c r="J288" s="38" t="n">
        <x:v>-0.0662993967</x:v>
      </x:c>
      <x:c r="K288" s="38" t="n">
        <x:v>0.1961532516</x:v>
      </x:c>
      <x:c r="L288" s="38" t="n">
        <x:v>-0.1601133304</x:v>
      </x:c>
      <x:c r="M288" s="38" t="n">
        <x:v>-0.0705825233</x:v>
      </x:c>
      <x:c r="N288" s="38" t="n">
        <x:v>-0.0595538562</x:v>
      </x:c>
      <x:c r="O288" s="38" t="n">
        <x:v>-0.0087843159</x:v>
      </x:c>
      <x:c r="P288" s="38" t="n">
        <x:v>0.1667239606</x:v>
      </x:c>
      <x:c r="Q288" s="38" t="n">
        <x:v>-0.0787671623</x:v>
      </x:c>
      <x:c r="R288" s="38" t="n">
        <x:v>-0.0222133514</x:v>
      </x:c>
      <x:c r="S288" s="38" t="n">
        <x:v>0.0560172119</x:v>
      </x:c>
      <x:c r="T288" s="38" t="n">
        <x:v>-0.0380313591</x:v>
      </x:c>
      <x:c r="U288" s="38" t="n">
        <x:v>0.0070965201</x:v>
      </x:c>
      <x:c r="V288" s="38" t="n">
        <x:v>0.0481257368</x:v>
      </x:c>
      <x:c r="W288" s="38" t="n">
        <x:v>-0.0575720495</x:v>
      </x:c>
      <x:c r="X288" s="38" t="n">
        <x:v>-0.0005380957</x:v>
      </x:c>
      <x:c r="Y288" s="38" t="n">
        <x:v>0.1207178469</x:v>
      </x:c>
      <x:c r="Z288" s="38" t="n">
        <x:v>0.0214727753</x:v>
      </x:c>
      <x:c r="AA288" s="38" t="n">
        <x:v>0.1082937318</x:v>
      </x:c>
      <x:c r="AB288" s="38" t="n">
        <x:v>0.0022068271</x:v>
      </x:c>
      <x:c r="AC288" s="38" t="n">
        <x:v>-0.0388491876</x:v>
      </x:c>
      <x:c r="AD288" s="38" t="n">
        <x:v>-0.0340917023</x:v>
      </x:c>
      <x:c r="AE288" s="38" t="n">
        <x:v>0.036508343</x:v>
      </x:c>
      <x:c r="AF288" s="38" t="n">
        <x:v>-0.0139362306</x:v>
      </x:c>
      <x:c r="AG288" s="38" t="n">
        <x:v>-0.0120273649</x:v>
      </x:c>
      <x:c r="AH288" s="38" t="n">
        <x:v>0.0669187295</x:v>
      </x:c>
      <x:c r="AI288" s="38" t="n">
        <x:v>0.0859894256</x:v>
      </x:c>
      <x:c r="AJ288" s="38" t="n">
        <x:v>0.0474749722</x:v>
      </x:c>
      <x:c r="AK288" s="38" t="n">
        <x:v>0.0240887929</x:v>
      </x:c>
      <x:c r="AL288" s="38" t="n">
        <x:v>-0.0847038326</x:v>
      </x:c>
      <x:c r="AM288" s="38" t="n">
        <x:v>0.0266925555</x:v>
      </x:c>
      <x:c r="AN288" s="38" t="n">
        <x:v>0.0291342527</x:v>
      </x:c>
      <x:c r="AO288" s="38" t="n">
        <x:v>0.0237286984</x:v>
      </x:c>
      <x:c r="AP288" s="38" t="n">
        <x:v>-0.0579142074</x:v>
      </x:c>
      <x:c r="AQ288" s="38" t="n">
        <x:v>-0.085763986</x:v>
      </x:c>
      <x:c r="AR288" s="38" t="n">
        <x:v>-0.0363911033</x:v>
      </x:c>
      <x:c r="AS288" s="38" t="n">
        <x:v>-0.052380828</x:v>
      </x:c>
    </x:row>
    <x:row r="289" ht="19" customHeight="1">
      <x:c r="A289" s="29" t="str">
        <x:v>SPY</x:v>
      </x:c>
      <x:c r="B289" s="39" t="d">
        <x:v>2023-11-06T00:00:00.000Z</x:v>
      </x:c>
      <x:c r="C289" s="38" t="n">
        <x:v>0.0496443051</x:v>
      </x:c>
      <x:c r="D289" s="38" t="n">
        <x:v>-0.1855976005</x:v>
      </x:c>
      <x:c r="E289" s="38" t="n">
        <x:v>0.0328506054</x:v>
      </x:c>
      <x:c r="F289" s="38" t="n">
        <x:v>0.0142656599</x:v>
      </x:c>
      <x:c r="G289" s="38" t="n">
        <x:v>0.0258268081</x:v>
      </x:c>
      <x:c r="H289" s="38" t="n">
        <x:v>0.1610013329</x:v>
      </x:c>
      <x:c r="I289" s="38" t="n">
        <x:v>0.0977406266</x:v>
      </x:c>
      <x:c r="J289" s="38" t="n">
        <x:v>0.0684036729</x:v>
      </x:c>
      <x:c r="K289" s="38" t="n">
        <x:v>-0.009453378</x:v>
      </x:c>
      <x:c r="L289" s="38" t="n">
        <x:v>-0.0549161716</x:v>
      </x:c>
      <x:c r="M289" s="38" t="n">
        <x:v>-0.0360334157</x:v>
      </x:c>
      <x:c r="N289" s="38" t="n">
        <x:v>-0.1001578196</x:v>
      </x:c>
      <x:c r="O289" s="38" t="n">
        <x:v>0.0873400622</x:v>
      </x:c>
      <x:c r="P289" s="38" t="n">
        <x:v>-0.0722743532</x:v>
      </x:c>
      <x:c r="Q289" s="38" t="n">
        <x:v>-0.061510943</x:v>
      </x:c>
      <x:c r="R289" s="38" t="n">
        <x:v>0.0554305742</x:v>
      </x:c>
      <x:c r="S289" s="38" t="n">
        <x:v>-0.0277418269</x:v>
      </x:c>
      <x:c r="T289" s="38" t="n">
        <x:v>0.0447476538</x:v>
      </x:c>
      <x:c r="U289" s="38" t="n">
        <x:v>-0.3899840666</x:v>
      </x:c>
      <x:c r="V289" s="38" t="n">
        <x:v>-0.0378238487</x:v>
      </x:c>
      <x:c r="W289" s="38" t="n">
        <x:v>0.1862034711</x:v>
      </x:c>
      <x:c r="X289" s="38" t="n">
        <x:v>-0.0579777545</x:v>
      </x:c>
      <x:c r="Y289" s="38" t="n">
        <x:v>0.0177810206</x:v>
      </x:c>
      <x:c r="Z289" s="38" t="n">
        <x:v>-0.1793613304</x:v>
      </x:c>
      <x:c r="AA289" s="38" t="n">
        <x:v>0.0151967927</x:v>
      </x:c>
      <x:c r="AB289" s="38" t="n">
        <x:v>-0.1408558726</x:v>
      </x:c>
      <x:c r="AC289" s="38" t="n">
        <x:v>-0.195117125</x:v>
      </x:c>
      <x:c r="AD289" s="38" t="n">
        <x:v>0.0245807311</x:v>
      </x:c>
      <x:c r="AE289" s="38" t="n">
        <x:v>-0.2120108005</x:v>
      </x:c>
      <x:c r="AF289" s="38" t="n">
        <x:v>-0.0723778897</x:v>
      </x:c>
      <x:c r="AG289" s="38" t="n">
        <x:v>0.0116721683</x:v>
      </x:c>
      <x:c r="AH289" s="38" t="n">
        <x:v>0.0037937481</x:v>
      </x:c>
      <x:c r="AI289" s="38" t="n">
        <x:v>0.0861051985</x:v>
      </x:c>
      <x:c r="AJ289" s="38" t="n">
        <x:v>-0.0469792665</x:v>
      </x:c>
      <x:c r="AK289" s="38" t="n">
        <x:v>-0.0238369251</x:v>
      </x:c>
      <x:c r="AL289" s="38" t="n">
        <x:v>-0.0278706673</x:v>
      </x:c>
      <x:c r="AM289" s="38" t="n">
        <x:v>0.1053173397</x:v>
      </x:c>
      <x:c r="AN289" s="38" t="n">
        <x:v>-0.0394565807</x:v>
      </x:c>
      <x:c r="AO289" s="38" t="n">
        <x:v>0.0044069136</x:v>
      </x:c>
      <x:c r="AP289" s="38" t="n">
        <x:v>-0.0242394253</x:v>
      </x:c>
      <x:c r="AQ289" s="38" t="n">
        <x:v>0.0459118148</x:v>
      </x:c>
      <x:c r="AR289" s="38" t="n">
        <x:v>-0.0812594827</x:v>
      </x:c>
      <x:c r="AS289" s="38" t="n">
        <x:v>-0.009959773</x:v>
      </x:c>
    </x:row>
    <x:row r="290" ht="19" customHeight="1">
      <x:c r="A290" s="29" t="str">
        <x:v>SPY</x:v>
      </x:c>
      <x:c r="B290" s="39" t="d">
        <x:v>2023-12-04T00:00:00.000Z</x:v>
      </x:c>
      <x:c r="C290" s="38" t="n">
        <x:v>0.0091541288</x:v>
      </x:c>
      <x:c r="D290" s="38" t="n">
        <x:v>0.0947279868</x:v>
      </x:c>
      <x:c r="E290" s="38" t="n">
        <x:v>-0.0121532061</x:v>
      </x:c>
      <x:c r="F290" s="38" t="n">
        <x:v>0.0408321804</x:v>
      </x:c>
      <x:c r="G290" s="38" t="n">
        <x:v>-0.0055292421</x:v>
      </x:c>
      <x:c r="H290" s="38" t="n">
        <x:v>-0.0017346491</x:v>
      </x:c>
      <x:c r="I290" s="38" t="n">
        <x:v>-0.0578053377</x:v>
      </x:c>
      <x:c r="J290" s="38" t="n">
        <x:v>-0.0756561575</x:v>
      </x:c>
      <x:c r="K290" s="38" t="n">
        <x:v>-0.1297513679</x:v>
      </x:c>
      <x:c r="L290" s="38" t="n">
        <x:v>-0.017307519</x:v>
      </x:c>
      <x:c r="M290" s="38" t="n">
        <x:v>-0.048022986</x:v>
      </x:c>
      <x:c r="N290" s="38" t="n">
        <x:v>-0.0512539933</x:v>
      </x:c>
      <x:c r="O290" s="38" t="n">
        <x:v>-0.050844929</x:v>
      </x:c>
      <x:c r="P290" s="38" t="n">
        <x:v>-0.1284688514</x:v>
      </x:c>
      <x:c r="Q290" s="38" t="n">
        <x:v>0.1524584858</x:v>
      </x:c>
      <x:c r="R290" s="38" t="n">
        <x:v>0.1370223694</x:v>
      </x:c>
      <x:c r="S290" s="38" t="n">
        <x:v>-0.0486151728</x:v>
      </x:c>
      <x:c r="T290" s="38" t="n">
        <x:v>0.0992648504</x:v>
      </x:c>
      <x:c r="U290" s="38" t="n">
        <x:v>0.1042842301</x:v>
      </x:c>
      <x:c r="V290" s="38" t="n">
        <x:v>0.0309026089</x:v>
      </x:c>
      <x:c r="W290" s="38" t="n">
        <x:v>-0.0295017307</x:v>
      </x:c>
      <x:c r="X290" s="38" t="n">
        <x:v>-0.0347092797</x:v>
      </x:c>
      <x:c r="Y290" s="38" t="n">
        <x:v>-0.1978347975</x:v>
      </x:c>
      <x:c r="Z290" s="38" t="n">
        <x:v>0.0084914374</x:v>
      </x:c>
      <x:c r="AA290" s="38" t="n">
        <x:v>-0.0254207837</x:v>
      </x:c>
      <x:c r="AB290" s="38" t="n">
        <x:v>-0.0692721993</x:v>
      </x:c>
      <x:c r="AC290" s="38" t="n">
        <x:v>0.4199972238</x:v>
      </x:c>
      <x:c r="AD290" s="38" t="n">
        <x:v>-0.0761640269</x:v>
      </x:c>
      <x:c r="AE290" s="38" t="n">
        <x:v>0.0098522287</x:v>
      </x:c>
      <x:c r="AF290" s="38" t="n">
        <x:v>-0.0538366124</x:v>
      </x:c>
      <x:c r="AG290" s="38" t="n">
        <x:v>0.1464838148</x:v>
      </x:c>
      <x:c r="AH290" s="38" t="n">
        <x:v>0.0162573107</x:v>
      </x:c>
      <x:c r="AI290" s="38" t="n">
        <x:v>-0.0714736306</x:v>
      </x:c>
      <x:c r="AJ290" s="38" t="n">
        <x:v>-0.0352115516</x:v>
      </x:c>
      <x:c r="AK290" s="38" t="n">
        <x:v>-0.0510888395</x:v>
      </x:c>
      <x:c r="AL290" s="38" t="n">
        <x:v>-0.1438689732</x:v>
      </x:c>
      <x:c r="AM290" s="38" t="n">
        <x:v>-0.0616179796</x:v>
      </x:c>
      <x:c r="AN290" s="38" t="n">
        <x:v>-0.0860064759</x:v>
      </x:c>
      <x:c r="AO290" s="38" t="n">
        <x:v>-0.009482403</x:v>
      </x:c>
      <x:c r="AP290" s="38" t="n">
        <x:v>0.0640088645</x:v>
      </x:c>
      <x:c r="AQ290" s="38" t="n">
        <x:v>-0.0001957869</x:v>
      </x:c>
      <x:c r="AR290" s="38" t="n">
        <x:v>0.0304905938</x:v>
      </x:c>
      <x:c r="AS290" s="38" t="n">
        <x:v>-0.0153539497</x:v>
      </x:c>
    </x:row>
    <x:row r="291" ht="19" customHeight="1">
      <x:c r="A291" s="29" t="str">
        <x:v>SPY</x:v>
      </x:c>
      <x:c r="B291" s="39" t="d">
        <x:v>2024-01-01T00:00:00.000Z</x:v>
      </x:c>
      <x:c r="C291" s="38" t="n">
        <x:v>0.013596923</x:v>
      </x:c>
      <x:c r="D291" s="38" t="n">
        <x:v>-0.0577653897</x:v>
      </x:c>
      <x:c r="E291" s="38" t="n">
        <x:v>0.0330920901</x:v>
      </x:c>
      <x:c r="F291" s="38" t="n">
        <x:v>0.0012633069</x:v>
      </x:c>
      <x:c r="G291" s="38" t="n">
        <x:v>-0.0430255095</x:v>
      </x:c>
      <x:c r="H291" s="38" t="n">
        <x:v>-0.0374916034</x:v>
      </x:c>
      <x:c r="I291" s="38" t="n">
        <x:v>-0.0393857733</x:v>
      </x:c>
      <x:c r="J291" s="38" t="n">
        <x:v>-0.094141172</x:v>
      </x:c>
      <x:c r="K291" s="38" t="n">
        <x:v>-0.0998399503</x:v>
      </x:c>
      <x:c r="L291" s="38" t="n">
        <x:v>0.023217497</x:v>
      </x:c>
      <x:c r="M291" s="38" t="n">
        <x:v>0.0252183065</x:v>
      </x:c>
      <x:c r="N291" s="38" t="n">
        <x:v>-0.0121252079</x:v>
      </x:c>
      <x:c r="O291" s="38" t="n">
        <x:v>0.0849251024</x:v>
      </x:c>
      <x:c r="P291" s="38" t="n">
        <x:v>-0.0490164593</x:v>
      </x:c>
      <x:c r="Q291" s="38" t="n">
        <x:v>0.1649829142</x:v>
      </x:c>
      <x:c r="R291" s="38" t="n">
        <x:v>0.0938777711</x:v>
      </x:c>
      <x:c r="S291" s="38" t="n">
        <x:v>-0.0553981579</x:v>
      </x:c>
      <x:c r="T291" s="38" t="n">
        <x:v>-0.0364765925</x:v>
      </x:c>
      <x:c r="U291" s="38" t="n">
        <x:v>0.2723266059</x:v>
      </x:c>
      <x:c r="V291" s="38" t="n">
        <x:v>0.0002447573</x:v>
      </x:c>
      <x:c r="W291" s="38" t="n">
        <x:v>0.0026005262</x:v>
      </x:c>
      <x:c r="X291" s="38" t="n">
        <x:v>0.0130620808</x:v>
      </x:c>
      <x:c r="Y291" s="38" t="n">
        <x:v>0.0070117202</x:v>
      </x:c>
      <x:c r="Z291" s="38" t="n">
        <x:v>-0.0403097836</x:v>
      </x:c>
      <x:c r="AA291" s="38" t="n">
        <x:v>-0.0104971497</x:v>
      </x:c>
      <x:c r="AB291" s="38" t="n">
        <x:v>-0.1571553094</x:v>
      </x:c>
      <x:c r="AC291" s="38" t="n">
        <x:v>-0.1144975387</x:v>
      </x:c>
      <x:c r="AD291" s="38" t="n">
        <x:v>0.0170388549</x:v>
      </x:c>
      <x:c r="AE291" s="38" t="n">
        <x:v>0.0094981018</x:v>
      </x:c>
      <x:c r="AF291" s="38" t="n">
        <x:v>0.0254942231</x:v>
      </x:c>
      <x:c r="AG291" s="38" t="n">
        <x:v>-0.0382932358</x:v>
      </x:c>
      <x:c r="AH291" s="38" t="n">
        <x:v>-0.0132326234</x:v>
      </x:c>
      <x:c r="AI291" s="38" t="n">
        <x:v>0.0058640646</x:v>
      </x:c>
      <x:c r="AJ291" s="38" t="n">
        <x:v>0.0064044646</x:v>
      </x:c>
      <x:c r="AK291" s="38" t="n">
        <x:v>-0.037086367</x:v>
      </x:c>
      <x:c r="AL291" s="38" t="n">
        <x:v>0.0485500609</x:v>
      </x:c>
      <x:c r="AM291" s="38" t="n">
        <x:v>-0.0511176086</x:v>
      </x:c>
      <x:c r="AN291" s="38" t="n">
        <x:v>-0.037539332</x:v>
      </x:c>
      <x:c r="AO291" s="38" t="n">
        <x:v>0.0759640226</x:v>
      </x:c>
      <x:c r="AP291" s="38" t="n">
        <x:v>0.0249865824</x:v>
      </x:c>
      <x:c r="AQ291" s="38" t="n">
        <x:v>-0.0072536465</x:v>
      </x:c>
      <x:c r="AR291" s="38" t="n">
        <x:v>0.024314639</x:v>
      </x:c>
      <x:c r="AS291" s="38" t="n">
        <x:v>0.0110642507</x:v>
      </x:c>
    </x:row>
    <x:row r="292" ht="19" customHeight="1">
      <x:c r="A292" s="29" t="str">
        <x:v>SPY</x:v>
      </x:c>
      <x:c r="B292" s="39" t="d">
        <x:v>2024-01-29T00:00:00.000Z</x:v>
      </x:c>
      <x:c r="C292" s="38" t="n">
        <x:v>0.0740651301</x:v>
      </x:c>
      <x:c r="D292" s="38" t="n">
        <x:v>0.052175508</x:v>
      </x:c>
      <x:c r="E292" s="38" t="n">
        <x:v>-0.062378688</x:v>
      </x:c>
      <x:c r="F292" s="38" t="n">
        <x:v>-0.0648035919</x:v>
      </x:c>
      <x:c r="G292" s="38" t="n">
        <x:v>0.0435696705</x:v>
      </x:c>
      <x:c r="H292" s="38" t="n">
        <x:v>0.1117739782</x:v>
      </x:c>
      <x:c r="I292" s="38" t="n">
        <x:v>0.1191544407</x:v>
      </x:c>
      <x:c r="J292" s="38" t="n">
        <x:v>0.1047529572</x:v>
      </x:c>
      <x:c r="K292" s="38" t="n">
        <x:v>0.0340317159</x:v>
      </x:c>
      <x:c r="L292" s="38" t="n">
        <x:v>0.051823406</x:v>
      </x:c>
      <x:c r="M292" s="38" t="n">
        <x:v>-0.0537517731</x:v>
      </x:c>
      <x:c r="N292" s="38" t="n">
        <x:v>-0.0629664907</x:v>
      </x:c>
      <x:c r="O292" s="38" t="n">
        <x:v>0.0008758755</x:v>
      </x:c>
      <x:c r="P292" s="38" t="n">
        <x:v>0.0908460686</x:v>
      </x:c>
      <x:c r="Q292" s="38" t="n">
        <x:v>0.0647652923</x:v>
      </x:c>
      <x:c r="R292" s="38" t="n">
        <x:v>-0.0826849653</x:v>
      </x:c>
      <x:c r="S292" s="38" t="n">
        <x:v>0.0485203054</x:v>
      </x:c>
      <x:c r="T292" s="38" t="n">
        <x:v>-0.0007700208</x:v>
      </x:c>
      <x:c r="U292" s="38" t="n">
        <x:v>-0.0875418554</x:v>
      </x:c>
      <x:c r="V292" s="38" t="n">
        <x:v>0.0167656047</x:v>
      </x:c>
      <x:c r="W292" s="38" t="n">
        <x:v>0.1666679149</x:v>
      </x:c>
      <x:c r="X292" s="38" t="n">
        <x:v>0.079390105</x:v>
      </x:c>
      <x:c r="Y292" s="38" t="n">
        <x:v>-0.0216795244</x:v>
      </x:c>
      <x:c r="Z292" s="38" t="n">
        <x:v>-0.1032507794</x:v>
      </x:c>
      <x:c r="AA292" s="38" t="n">
        <x:v>0.111031518</x:v>
      </x:c>
      <x:c r="AB292" s="38" t="n">
        <x:v>-0.0396493936</x:v>
      </x:c>
      <x:c r="AC292" s="38" t="n">
        <x:v>-0.0487498463</x:v>
      </x:c>
      <x:c r="AD292" s="38" t="n">
        <x:v>0.078174284</x:v>
      </x:c>
      <x:c r="AE292" s="38" t="n">
        <x:v>0.0272433848</x:v>
      </x:c>
      <x:c r="AF292" s="38" t="n">
        <x:v>-0.1995602028</x:v>
      </x:c>
      <x:c r="AG292" s="38" t="n">
        <x:v>-0.1546853971</x:v>
      </x:c>
      <x:c r="AH292" s="38" t="n">
        <x:v>0.1068775238</x:v>
      </x:c>
      <x:c r="AI292" s="38" t="n">
        <x:v>0.1669991248</x:v>
      </x:c>
      <x:c r="AJ292" s="38" t="n">
        <x:v>0.0362989471</x:v>
      </x:c>
      <x:c r="AK292" s="38" t="n">
        <x:v>-0.0193471061</x:v>
      </x:c>
      <x:c r="AL292" s="38" t="n">
        <x:v>-0.0137625318</x:v>
      </x:c>
      <x:c r="AM292" s="38" t="n">
        <x:v>0.0827482999</x:v>
      </x:c>
      <x:c r="AN292" s="38" t="n">
        <x:v>-0.0035816251</x:v>
      </x:c>
      <x:c r="AO292" s="38" t="n">
        <x:v>0.0722108312</x:v>
      </x:c>
      <x:c r="AP292" s="38" t="n">
        <x:v>0.036430177</x:v>
      </x:c>
      <x:c r="AQ292" s="38" t="n">
        <x:v>0.0241256646</x:v>
      </x:c>
      <x:c r="AR292" s="38" t="n">
        <x:v>-0.0251737511</x:v>
      </x:c>
      <x:c r="AS292" s="38" t="n">
        <x:v>0.056875762</x:v>
      </x:c>
    </x:row>
    <x:row r="293" ht="19" customHeight="1">
      <x:c r="A293" s="29" t="str">
        <x:v>SPY</x:v>
      </x:c>
      <x:c r="B293" s="39" t="d">
        <x:v>2024-02-26T00:00:00.000Z</x:v>
      </x:c>
      <x:c r="C293" s="38" t="n">
        <x:v>0.1572064093</x:v>
      </x:c>
      <x:c r="D293" s="38" t="n">
        <x:v>0.1274368086</x:v>
      </x:c>
      <x:c r="E293" s="38" t="n">
        <x:v>0.0852641644</x:v>
      </x:c>
      <x:c r="F293" s="38" t="n">
        <x:v>-0.0133145897</x:v>
      </x:c>
      <x:c r="G293" s="38" t="n">
        <x:v>0.1253976202</x:v>
      </x:c>
      <x:c r="H293" s="38" t="n">
        <x:v>0.0800154958</x:v>
      </x:c>
      <x:c r="I293" s="38" t="n">
        <x:v>-0.0186324274</x:v>
      </x:c>
      <x:c r="J293" s="38" t="n">
        <x:v>0.2369554807</x:v>
      </x:c>
      <x:c r="K293" s="38" t="n">
        <x:v>0.0612691796</x:v>
      </x:c>
      <x:c r="L293" s="38" t="n">
        <x:v>0.0142941947</x:v>
      </x:c>
      <x:c r="M293" s="38" t="n">
        <x:v>0.0966175932</x:v>
      </x:c>
      <x:c r="N293" s="38" t="n">
        <x:v>0.0597503843</x:v>
      </x:c>
      <x:c r="O293" s="38" t="n">
        <x:v>-0.0944107972</x:v>
      </x:c>
      <x:c r="P293" s="38" t="n">
        <x:v>0.0607309189</x:v>
      </x:c>
      <x:c r="Q293" s="38" t="n">
        <x:v>0.0695477059</x:v>
      </x:c>
      <x:c r="R293" s="38" t="n">
        <x:v>0.0097645268</x:v>
      </x:c>
      <x:c r="S293" s="38" t="n">
        <x:v>0.0577014962</x:v>
      </x:c>
      <x:c r="T293" s="38" t="n">
        <x:v>0.1257167244</x:v>
      </x:c>
      <x:c r="U293" s="38" t="n">
        <x:v>-0.0347818353</x:v>
      </x:c>
      <x:c r="V293" s="38" t="n">
        <x:v>0.1510379047</x:v>
      </x:c>
      <x:c r="W293" s="38" t="n">
        <x:v>0.0622870779</x:v>
      </x:c>
      <x:c r="X293" s="38" t="n">
        <x:v>-0.0496257945</x:v>
      </x:c>
      <x:c r="Y293" s="38" t="n">
        <x:v>0.0524909962</x:v>
      </x:c>
      <x:c r="Z293" s="38" t="n">
        <x:v>-0.0470436745</x:v>
      </x:c>
      <x:c r="AA293" s="38" t="n">
        <x:v>0.0284045365</x:v>
      </x:c>
      <x:c r="AB293" s="38" t="n">
        <x:v>0.0452656732</x:v>
      </x:c>
      <x:c r="AC293" s="38" t="n">
        <x:v>-0.3075638016</x:v>
      </x:c>
      <x:c r="AD293" s="38" t="n">
        <x:v>-0.0076902019</x:v>
      </x:c>
      <x:c r="AE293" s="38" t="n">
        <x:v>0.0381163011</x:v>
      </x:c>
      <x:c r="AF293" s="38" t="n">
        <x:v>-0.0532338552</x:v>
      </x:c>
      <x:c r="AG293" s="38" t="n">
        <x:v>-0.0662828064</x:v>
      </x:c>
      <x:c r="AH293" s="38" t="n">
        <x:v>0.116751569</x:v>
      </x:c>
      <x:c r="AI293" s="38" t="n">
        <x:v>0.0281613327</x:v>
      </x:c>
      <x:c r="AJ293" s="38" t="n">
        <x:v>0.1332819538</x:v>
      </x:c>
      <x:c r="AK293" s="38" t="n">
        <x:v>0.0468654844</x:v>
      </x:c>
      <x:c r="AL293" s="38" t="n">
        <x:v>-0.0412790899</x:v>
      </x:c>
      <x:c r="AM293" s="38" t="n">
        <x:v>-0.0383584419</x:v>
      </x:c>
      <x:c r="AN293" s="38" t="n">
        <x:v>-0.0892705481</x:v>
      </x:c>
      <x:c r="AO293" s="38" t="n">
        <x:v>0.0432244024</x:v>
      </x:c>
      <x:c r="AP293" s="38" t="n">
        <x:v>0.0603125668</x:v>
      </x:c>
      <x:c r="AQ293" s="38" t="n">
        <x:v>-0.027431028</x:v>
      </x:c>
      <x:c r="AR293" s="38" t="n">
        <x:v>0.0361616078</x:v>
      </x:c>
      <x:c r="AS293" s="38" t="n">
        <x:v>0.0229814006</x:v>
      </x:c>
    </x:row>
    <x:row r="294" ht="19" customHeight="1">
      <x:c r="A294" s="29" t="str">
        <x:v>SPY</x:v>
      </x:c>
      <x:c r="B294" s="39" t="d">
        <x:v>2024-03-25T00:00:00.000Z</x:v>
      </x:c>
      <x:c r="C294" s="38" t="n">
        <x:v>0.2261337428</x:v>
      </x:c>
      <x:c r="D294" s="38" t="n">
        <x:v>0.0673975555</x:v>
      </x:c>
      <x:c r="E294" s="38" t="n">
        <x:v>0.0115152814</x:v>
      </x:c>
      <x:c r="F294" s="38" t="n">
        <x:v>0.0349809453</x:v>
      </x:c>
      <x:c r="G294" s="38" t="n">
        <x:v>0.0917357713</x:v>
      </x:c>
      <x:c r="H294" s="38" t="n">
        <x:v>0.0723204907</x:v>
      </x:c>
      <x:c r="I294" s="38" t="n">
        <x:v>-0.0033246422</x:v>
      </x:c>
      <x:c r="J294" s="38" t="n">
        <x:v>-0.0972783097</x:v>
      </x:c>
      <x:c r="K294" s="38" t="n">
        <x:v>-0.159594095</x:v>
      </x:c>
      <x:c r="L294" s="38" t="n">
        <x:v>0.159706238</x:v>
      </x:c>
      <x:c r="M294" s="38" t="n">
        <x:v>0.0367124412</x:v>
      </x:c>
      <x:c r="N294" s="38" t="n">
        <x:v>0.0457628834</x:v>
      </x:c>
      <x:c r="O294" s="38" t="n">
        <x:v>-0.0206729408</x:v>
      </x:c>
      <x:c r="P294" s="38" t="n">
        <x:v>-0.0754752782</x:v>
      </x:c>
      <x:c r="Q294" s="38" t="n">
        <x:v>-0.0189651961</x:v>
      </x:c>
      <x:c r="R294" s="38" t="n">
        <x:v>-0.0499497932</x:v>
      </x:c>
      <x:c r="S294" s="38" t="n">
        <x:v>-0.0152225108</x:v>
      </x:c>
      <x:c r="T294" s="38" t="n">
        <x:v>-0.0718329454</x:v>
      </x:c>
      <x:c r="U294" s="38" t="n">
        <x:v>0.0591352491</x:v>
      </x:c>
      <x:c r="V294" s="38" t="n">
        <x:v>-0.0048380241</x:v>
      </x:c>
      <x:c r="W294" s="38" t="n">
        <x:v>-0.0263147791</x:v>
      </x:c>
      <x:c r="X294" s="38" t="n">
        <x:v>0.0290610155</x:v>
      </x:c>
      <x:c r="Y294" s="38" t="n">
        <x:v>0.0881255545</x:v>
      </x:c>
      <x:c r="Z294" s="38" t="n">
        <x:v>0.107804361</x:v>
      </x:c>
      <x:c r="AA294" s="38" t="n">
        <x:v>0.0951758915</x:v>
      </x:c>
      <x:c r="AB294" s="38" t="n">
        <x:v>-0.0243104857</x:v>
      </x:c>
      <x:c r="AC294" s="38" t="n">
        <x:v>0.0381032698</x:v>
      </x:c>
      <x:c r="AD294" s="38" t="n">
        <x:v>0.0216999381</x:v>
      </x:c>
      <x:c r="AE294" s="38" t="n">
        <x:v>0.0205413163</x:v>
      </x:c>
      <x:c r="AF294" s="38" t="n">
        <x:v>0.1024134467</x:v>
      </x:c>
      <x:c r="AG294" s="38" t="n">
        <x:v>-0.066375058</x:v>
      </x:c>
      <x:c r="AH294" s="38" t="n">
        <x:v>-0.0141829772</x:v>
      </x:c>
      <x:c r="AI294" s="38" t="n">
        <x:v>-0.1618287877</x:v>
      </x:c>
      <x:c r="AJ294" s="38" t="n">
        <x:v>-0.0352025267</x:v>
      </x:c>
      <x:c r="AK294" s="38" t="n">
        <x:v>-0.0217738965</x:v>
      </x:c>
      <x:c r="AL294" s="38" t="n">
        <x:v>-0.0329122356</x:v>
      </x:c>
      <x:c r="AM294" s="38" t="n">
        <x:v>0.0026951369</x:v>
      </x:c>
      <x:c r="AN294" s="38" t="n">
        <x:v>0.0607230071</x:v>
      </x:c>
      <x:c r="AO294" s="38" t="n">
        <x:v>-0.034121098</x:v>
      </x:c>
      <x:c r="AP294" s="38" t="n">
        <x:v>0.0030886608</x:v>
      </x:c>
      <x:c r="AQ294" s="38" t="n">
        <x:v>0.034871142</x:v>
      </x:c>
      <x:c r="AR294" s="38" t="n">
        <x:v>-0.0323054539</x:v>
      </x:c>
      <x:c r="AS294" s="38" t="n">
        <x:v>0.0246555313</x:v>
      </x:c>
    </x:row>
    <x:row r="295" ht="19" customHeight="1">
      <x:c r="A295" s="29" t="str">
        <x:v>SPY</x:v>
      </x:c>
      <x:c r="B295" s="39" t="d">
        <x:v>2024-04-22T00:00:00.000Z</x:v>
      </x:c>
      <x:c r="C295" s="38" t="n">
        <x:v>0.0666386154</x:v>
      </x:c>
      <x:c r="D295" s="38" t="n">
        <x:v>0.0062345651</x:v>
      </x:c>
      <x:c r="E295" s="38" t="n">
        <x:v>0.0054306461</x:v>
      </x:c>
      <x:c r="F295" s="38" t="n">
        <x:v>0.009049855</x:v>
      </x:c>
      <x:c r="G295" s="38" t="n">
        <x:v>-0.0179760794</x:v>
      </x:c>
      <x:c r="H295" s="38" t="n">
        <x:v>0.1262817692</x:v>
      </x:c>
      <x:c r="I295" s="38" t="n">
        <x:v>0.0417895297</x:v>
      </x:c>
      <x:c r="J295" s="38" t="n">
        <x:v>0.0160839486</x:v>
      </x:c>
      <x:c r="K295" s="38" t="n">
        <x:v>0.0045510831</x:v>
      </x:c>
      <x:c r="L295" s="38" t="n">
        <x:v>-0.0633122028</x:v>
      </x:c>
      <x:c r="M295" s="38" t="n">
        <x:v>-0.1083967044</x:v>
      </x:c>
      <x:c r="N295" s="38" t="n">
        <x:v>-0.0558628428</x:v>
      </x:c>
      <x:c r="O295" s="38" t="n">
        <x:v>0.0174808574</x:v>
      </x:c>
      <x:c r="P295" s="38" t="n">
        <x:v>0.1045627126</x:v>
      </x:c>
      <x:c r="Q295" s="38" t="n">
        <x:v>-0.1052844455</x:v>
      </x:c>
      <x:c r="R295" s="38" t="n">
        <x:v>-0.0994009445</x:v>
      </x:c>
      <x:c r="S295" s="38" t="n">
        <x:v>-0.0156711971</x:v>
      </x:c>
      <x:c r="T295" s="38" t="n">
        <x:v>-0.1002679309</x:v>
      </x:c>
      <x:c r="U295" s="38" t="n">
        <x:v>0.1263100486</x:v>
      </x:c>
      <x:c r="V295" s="38" t="n">
        <x:v>0.0685351991</x:v>
      </x:c>
      <x:c r="W295" s="38" t="n">
        <x:v>-0.0398640138</x:v>
      </x:c>
      <x:c r="X295" s="38" t="n">
        <x:v>-0.0749831215</x:v>
      </x:c>
      <x:c r="Y295" s="38" t="n">
        <x:v>0.0325419166</x:v>
      </x:c>
      <x:c r="Z295" s="38" t="n">
        <x:v>0.1642127332</x:v>
      </x:c>
      <x:c r="AA295" s="38" t="n">
        <x:v>0.0127356785</x:v>
      </x:c>
      <x:c r="AB295" s="38" t="n">
        <x:v>0.6375242149</x:v>
      </x:c>
      <x:c r="AC295" s="38" t="n">
        <x:v>-0.081144412</x:v>
      </x:c>
      <x:c r="AD295" s="38" t="n">
        <x:v>0.0321984116</x:v>
      </x:c>
      <x:c r="AE295" s="38" t="n">
        <x:v>0.0173133546</x:v>
      </x:c>
      <x:c r="AF295" s="38" t="n">
        <x:v>-0.0084140993</x:v>
      </x:c>
      <x:c r="AG295" s="38" t="n">
        <x:v>-0.0545005724</x:v>
      </x:c>
      <x:c r="AH295" s="38" t="n">
        <x:v>-0.0846227671</x:v>
      </x:c>
      <x:c r="AI295" s="38" t="n">
        <x:v>-0.0874368553</x:v>
      </x:c>
      <x:c r="AJ295" s="38" t="n">
        <x:v>-0.0701470684</x:v>
      </x:c>
      <x:c r="AK295" s="38" t="n">
        <x:v>0.0019747764</x:v>
      </x:c>
      <x:c r="AL295" s="38" t="n">
        <x:v>0.0754574525</x:v>
      </x:c>
      <x:c r="AM295" s="38" t="n">
        <x:v>-0.0002460698</x:v>
      </x:c>
      <x:c r="AN295" s="38" t="n">
        <x:v>0.1194502706</x:v>
      </x:c>
      <x:c r="AO295" s="38" t="n">
        <x:v>0.0288800078</x:v>
      </x:c>
      <x:c r="AP295" s="38" t="n">
        <x:v>-0.0934670852</x:v>
      </x:c>
      <x:c r="AQ295" s="38" t="n">
        <x:v>0.0257633718</x:v>
      </x:c>
      <x:c r="AR295" s="38" t="n">
        <x:v>-0.0876411926</x:v>
      </x:c>
      <x:c r="AS295" s="38" t="n">
        <x:v>-0.0403862885</x:v>
      </x:c>
    </x:row>
    <x:row r="296" ht="19" customHeight="1">
      <x:c r="A296" s="29" t="str">
        <x:v>SPY</x:v>
      </x:c>
      <x:c r="B296" s="39" t="d">
        <x:v>2024-05-20T00:00:00.000Z</x:v>
      </x:c>
      <x:c r="C296" s="38" t="n">
        <x:v>0.3115900906</x:v>
      </x:c>
      <x:c r="D296" s="38" t="n">
        <x:v>-0.0027558724</x:v>
      </x:c>
      <x:c r="E296" s="38" t="n">
        <x:v>0.0289770927</x:v>
      </x:c>
      <x:c r="F296" s="38" t="n">
        <x:v>0.0122729949</x:v>
      </x:c>
      <x:c r="G296" s="38" t="n">
        <x:v>-0.1641932173</x:v>
      </x:c>
      <x:c r="H296" s="38" t="n">
        <x:v>-0.0512408917</x:v>
      </x:c>
      <x:c r="I296" s="38" t="n">
        <x:v>-0.0328807621</x:v>
      </x:c>
      <x:c r="J296" s="38" t="n">
        <x:v>0.0051142461</x:v>
      </x:c>
      <x:c r="K296" s="38" t="n">
        <x:v>-0.0600106691</x:v>
      </x:c>
      <x:c r="L296" s="38" t="n">
        <x:v>-0.0486480603</x:v>
      </x:c>
      <x:c r="M296" s="38" t="n">
        <x:v>-0.015574748</x:v>
      </x:c>
      <x:c r="N296" s="38" t="n">
        <x:v>0.1054002985</x:v>
      </x:c>
      <x:c r="O296" s="38" t="n">
        <x:v>-0.0435660514</x:v>
      </x:c>
      <x:c r="P296" s="38" t="n">
        <x:v>-0.0833362632</x:v>
      </x:c>
      <x:c r="Q296" s="38" t="n">
        <x:v>-0.0764910581</x:v>
      </x:c>
      <x:c r="R296" s="38" t="n">
        <x:v>0.0091621196</x:v>
      </x:c>
      <x:c r="S296" s="38" t="n">
        <x:v>-0.000173266</x:v>
      </x:c>
      <x:c r="T296" s="38" t="n">
        <x:v>-0.2145888822</x:v>
      </x:c>
      <x:c r="U296" s="38" t="n">
        <x:v>0.4108725312</x:v>
      </x:c>
      <x:c r="V296" s="38" t="n">
        <x:v>-0.1492082974</x:v>
      </x:c>
      <x:c r="W296" s="38" t="n">
        <x:v>0.0996025705</x:v>
      </x:c>
      <x:c r="X296" s="38" t="n">
        <x:v>-0.0267391077</x:v>
      </x:c>
      <x:c r="Y296" s="38" t="n">
        <x:v>-0.011086769</x:v>
      </x:c>
      <x:c r="Z296" s="38" t="n">
        <x:v>-0.0890344188</x:v>
      </x:c>
      <x:c r="AA296" s="38" t="n">
        <x:v>-0.0470904364</x:v>
      </x:c>
      <x:c r="AB296" s="38" t="n">
        <x:v>-0.0922616911</x:v>
      </x:c>
      <x:c r="AC296" s="38" t="n">
        <x:v>0.0014416672</x:v>
      </x:c>
      <x:c r="AD296" s="38" t="n">
        <x:v>-0.0007374447</x:v>
      </x:c>
      <x:c r="AE296" s="38" t="n">
        <x:v>-0.1279449367</x:v>
      </x:c>
      <x:c r="AF296" s="38" t="n">
        <x:v>0.0053418292</x:v>
      </x:c>
      <x:c r="AG296" s="38" t="n">
        <x:v>-0.0300470428</x:v>
      </x:c>
      <x:c r="AH296" s="38" t="n">
        <x:v>-0.1129818881</x:v>
      </x:c>
      <x:c r="AI296" s="38" t="n">
        <x:v>-0.0286438467</x:v>
      </x:c>
      <x:c r="AJ296" s="38" t="n">
        <x:v>0.0694754964</x:v>
      </x:c>
      <x:c r="AK296" s="38" t="n">
        <x:v>0.025580899</x:v>
      </x:c>
      <x:c r="AL296" s="38" t="n">
        <x:v>0.0042245677</x:v>
      </x:c>
      <x:c r="AM296" s="38" t="n">
        <x:v>0.0235003447</x:v>
      </x:c>
      <x:c r="AN296" s="38" t="n">
        <x:v>-0.019838502</x:v>
      </x:c>
      <x:c r="AO296" s="38" t="n">
        <x:v>0.0757260439</x:v>
      </x:c>
      <x:c r="AP296" s="38" t="n">
        <x:v>-0.0797163992</x:v>
      </x:c>
      <x:c r="AQ296" s="38" t="n">
        <x:v>-0.0271583275</x:v>
      </x:c>
      <x:c r="AR296" s="38" t="n">
        <x:v>-0.0050228679</x:v>
      </x:c>
      <x:c r="AS296" s="38" t="n">
        <x:v>-0.01540555</x:v>
      </x:c>
    </x:row>
    <x:row r="297" ht="19" customHeight="1">
      <x:c r="A297" s="29" t="str">
        <x:v>SPY</x:v>
      </x:c>
      <x:c r="B297" s="39" t="d">
        <x:v>2024-06-17T00:00:00.000Z</x:v>
      </x:c>
      <x:c r="C297" s="38" t="n">
        <x:v>-0.2287680565</x:v>
      </x:c>
      <x:c r="D297" s="38" t="n">
        <x:v>-0.0671009243</x:v>
      </x:c>
      <x:c r="E297" s="38" t="n">
        <x:v>-0.0262594389</x:v>
      </x:c>
      <x:c r="F297" s="38" t="n">
        <x:v>-0.0574080958</x:v>
      </x:c>
      <x:c r="G297" s="38" t="n">
        <x:v>-0.0076345826</x:v>
      </x:c>
      <x:c r="H297" s="38" t="n">
        <x:v>-0.0002593805</x:v>
      </x:c>
      <x:c r="I297" s="38" t="n">
        <x:v>0.0108057456</x:v>
      </x:c>
      <x:c r="J297" s="38" t="n">
        <x:v>0.0003433671</x:v>
      </x:c>
      <x:c r="K297" s="38" t="n">
        <x:v>0.1220333993</x:v>
      </x:c>
      <x:c r="L297" s="38" t="n">
        <x:v>-0.1062625493</x:v>
      </x:c>
      <x:c r="M297" s="38" t="n">
        <x:v>-0.1621778176</x:v>
      </x:c>
      <x:c r="N297" s="38" t="n">
        <x:v>-0.1656612765</x:v>
      </x:c>
      <x:c r="O297" s="38" t="n">
        <x:v>0.0054694912</x:v>
      </x:c>
      <x:c r="P297" s="38" t="n">
        <x:v>0.0557696658</x:v>
      </x:c>
      <x:c r="Q297" s="38" t="n">
        <x:v>-0.0277345362</x:v>
      </x:c>
      <x:c r="R297" s="38" t="n">
        <x:v>-0.1342839187</x:v>
      </x:c>
      <x:c r="S297" s="38" t="n">
        <x:v>-0.1049001547</x:v>
      </x:c>
      <x:c r="T297" s="38" t="n">
        <x:v>-0.0252351536</x:v>
      </x:c>
      <x:c r="U297" s="38" t="n">
        <x:v>-0.0067345215</x:v>
      </x:c>
      <x:c r="V297" s="38" t="n">
        <x:v>0.0234200864</x:v>
      </x:c>
      <x:c r="W297" s="38" t="n">
        <x:v>0.0693921398</x:v>
      </x:c>
      <x:c r="X297" s="38" t="n">
        <x:v>0.014528655</x:v>
      </x:c>
      <x:c r="Y297" s="38" t="n">
        <x:v>0.1430532553</x:v>
      </x:c>
      <x:c r="Z297" s="38" t="n">
        <x:v>-0.0183962485</x:v>
      </x:c>
      <x:c r="AA297" s="38" t="n">
        <x:v>0.0205407924</x:v>
      </x:c>
      <x:c r="AB297" s="38" t="n">
        <x:v>-0.0653215608</x:v>
      </x:c>
      <x:c r="AC297" s="38" t="n">
        <x:v>-0.1263366446</x:v>
      </x:c>
      <x:c r="AD297" s="38" t="n">
        <x:v>0.0158432176</x:v>
      </x:c>
      <x:c r="AE297" s="38" t="n">
        <x:v>0.0194547752</x:v>
      </x:c>
      <x:c r="AF297" s="38" t="n">
        <x:v>0.0908261348</x:v>
      </x:c>
      <x:c r="AG297" s="38" t="n">
        <x:v>0.1219783911</x:v>
      </x:c>
      <x:c r="AH297" s="38" t="n">
        <x:v>-0.0380727087</x:v>
      </x:c>
      <x:c r="AI297" s="38" t="n">
        <x:v>-0.1017251891</x:v>
      </x:c>
      <x:c r="AJ297" s="38" t="n">
        <x:v>0.0670811094</x:v>
      </x:c>
      <x:c r="AK297" s="38" t="n">
        <x:v>-0.0215040087</x:v>
      </x:c>
      <x:c r="AL297" s="38" t="n">
        <x:v>-0.0834857208</x:v>
      </x:c>
      <x:c r="AM297" s="38" t="n">
        <x:v>0.0271060758</x:v>
      </x:c>
      <x:c r="AN297" s="38" t="n">
        <x:v>-0.0367791046</x:v>
      </x:c>
      <x:c r="AO297" s="38" t="n">
        <x:v>0.0278596782</x:v>
      </x:c>
      <x:c r="AP297" s="38" t="n">
        <x:v>0.1024440414</x:v>
      </x:c>
      <x:c r="AQ297" s="38" t="n">
        <x:v>0.0203928252</x:v>
      </x:c>
      <x:c r="AR297" s="38" t="n">
        <x:v>0.009066586</x:v>
      </x:c>
      <x:c r="AS297" s="38" t="n">
        <x:v>0.0006793138</x:v>
      </x:c>
    </x:row>
    <x:row r="298" ht="19" customHeight="1">
      <x:c r="A298" s="29" t="str">
        <x:v>SPY</x:v>
      </x:c>
      <x:c r="B298" s="39" t="d">
        <x:v>2024-07-15T00:00:00.000Z</x:v>
      </x:c>
      <x:c r="C298" s="38" t="n">
        <x:v>-0.1677463478</x:v>
      </x:c>
      <x:c r="D298" s="38" t="n">
        <x:v>0.102018746</x:v>
      </x:c>
      <x:c r="E298" s="38" t="n">
        <x:v>0.0540638342</x:v>
      </x:c>
      <x:c r="F298" s="38" t="n">
        <x:v>0.0351683308</x:v>
      </x:c>
      <x:c r="G298" s="38" t="n">
        <x:v>-0.0793723703</x:v>
      </x:c>
      <x:c r="H298" s="38" t="n">
        <x:v>-0.2064171705</x:v>
      </x:c>
      <x:c r="I298" s="38" t="n">
        <x:v>-0.0504387595</x:v>
      </x:c>
      <x:c r="J298" s="38" t="n">
        <x:v>-0.0906614406</x:v>
      </x:c>
      <x:c r="K298" s="38" t="n">
        <x:v>-0.0089289101</x:v>
      </x:c>
      <x:c r="L298" s="38" t="n">
        <x:v>-0.0429536375</x:v>
      </x:c>
      <x:c r="M298" s="38" t="n">
        <x:v>-0.0487205947</x:v>
      </x:c>
      <x:c r="N298" s="38" t="n">
        <x:v>-0.0061894945</x:v>
      </x:c>
      <x:c r="O298" s="38" t="n">
        <x:v>0.0337233692</x:v>
      </x:c>
      <x:c r="P298" s="38" t="n">
        <x:v>-0.0764369308</x:v>
      </x:c>
      <x:c r="Q298" s="38" t="n">
        <x:v>0.0388688252</x:v>
      </x:c>
      <x:c r="R298" s="38" t="n">
        <x:v>-0.055682294</x:v>
      </x:c>
      <x:c r="S298" s="38" t="n">
        <x:v>0.0104995474</x:v>
      </x:c>
      <x:c r="T298" s="38" t="n">
        <x:v>-0.0005248325</x:v>
      </x:c>
      <x:c r="U298" s="38" t="n">
        <x:v>-0.1050548283</x:v>
      </x:c>
      <x:c r="V298" s="38" t="n">
        <x:v>0.007352303</x:v>
      </x:c>
      <x:c r="W298" s="38" t="n">
        <x:v>-0.1286346057</x:v>
      </x:c>
      <x:c r="X298" s="38" t="n">
        <x:v>0.0387014935</x:v>
      </x:c>
      <x:c r="Y298" s="38" t="n">
        <x:v>-0.2174718763</x:v>
      </x:c>
      <x:c r="Z298" s="38" t="n">
        <x:v>0.0960728013</x:v>
      </x:c>
      <x:c r="AA298" s="38" t="n">
        <x:v>0.03440808</x:v>
      </x:c>
      <x:c r="AB298" s="38" t="n">
        <x:v>-0.0474623676</x:v>
      </x:c>
      <x:c r="AC298" s="38" t="n">
        <x:v>0.2774615489</x:v>
      </x:c>
      <x:c r="AD298" s="38" t="n">
        <x:v>-0.0112004725</x:v>
      </x:c>
      <x:c r="AE298" s="38" t="n">
        <x:v>0.1757255597</x:v>
      </x:c>
      <x:c r="AF298" s="38" t="n">
        <x:v>-0.0496225457</x:v>
      </x:c>
      <x:c r="AG298" s="38" t="n">
        <x:v>-0.0022633711</x:v>
      </x:c>
      <x:c r="AH298" s="38" t="n">
        <x:v>0.0486389119</x:v>
      </x:c>
      <x:c r="AI298" s="38" t="n">
        <x:v>-0.1254865354</x:v>
      </x:c>
      <x:c r="AJ298" s="38" t="n">
        <x:v>-0.0575117675</x:v>
      </x:c>
      <x:c r="AK298" s="38" t="n">
        <x:v>0.0309125211</x:v>
      </x:c>
      <x:c r="AL298" s="38" t="n">
        <x:v>-0.0306944974</x:v>
      </x:c>
      <x:c r="AM298" s="38" t="n">
        <x:v>-0.0609059853</x:v>
      </x:c>
      <x:c r="AN298" s="38" t="n">
        <x:v>-0.0243539649</x:v>
      </x:c>
      <x:c r="AO298" s="38" t="n">
        <x:v>-0.0281022521</x:v>
      </x:c>
      <x:c r="AP298" s="38" t="n">
        <x:v>0.0046802489</x:v>
      </x:c>
      <x:c r="AQ298" s="38" t="n">
        <x:v>0.0184243425</x:v>
      </x:c>
      <x:c r="AR298" s="38" t="n">
        <x:v>0.0233902202</x:v>
      </x:c>
      <x:c r="AS298" s="38" t="n">
        <x:v>0.0433591698</x:v>
      </x:c>
    </x:row>
    <x:row r="299" ht="19" customHeight="1">
      <x:c r="A299" s="29" t="str">
        <x:v>SPY</x:v>
      </x:c>
      <x:c r="B299" s="39" t="d">
        <x:v>2024-08-12T00:00:00.000Z</x:v>
      </x:c>
      <x:c r="C299" s="38" t="n">
        <x:v>0.0169355142</x:v>
      </x:c>
      <x:c r="D299" s="38" t="n">
        <x:v>0.0045680071</x:v>
      </x:c>
      <x:c r="E299" s="38" t="n">
        <x:v>0.0071464999</x:v>
      </x:c>
      <x:c r="F299" s="38" t="n">
        <x:v>0.0684272553</x:v>
      </x:c>
      <x:c r="G299" s="38" t="n">
        <x:v>-0.1200036553</x:v>
      </x:c>
      <x:c r="H299" s="38" t="n">
        <x:v>-0.0194070028</x:v>
      </x:c>
      <x:c r="I299" s="38" t="n">
        <x:v>-0.0630387936</x:v>
      </x:c>
      <x:c r="J299" s="38" t="n">
        <x:v>0.116255229</x:v>
      </x:c>
      <x:c r="K299" s="38" t="n">
        <x:v>-0.0163458454</x:v>
      </x:c>
      <x:c r="L299" s="38" t="n">
        <x:v>-0.0094700998</x:v>
      </x:c>
      <x:c r="M299" s="38" t="n">
        <x:v>0.0929353522</x:v>
      </x:c>
      <x:c r="N299" s="38" t="n">
        <x:v>-0.0650788568</x:v>
      </x:c>
      <x:c r="O299" s="38" t="n">
        <x:v>-0.0189528872</x:v>
      </x:c>
      <x:c r="P299" s="38" t="n">
        <x:v>-0.0102384655</x:v>
      </x:c>
      <x:c r="Q299" s="38" t="n">
        <x:v>0.0086452315</x:v>
      </x:c>
      <x:c r="R299" s="38" t="n">
        <x:v>0.1313884939</x:v>
      </x:c>
      <x:c r="S299" s="38" t="n">
        <x:v>0.0028935924</x:v>
      </x:c>
      <x:c r="T299" s="38" t="n">
        <x:v>0.0211682814</x:v>
      </x:c>
      <x:c r="U299" s="38" t="n">
        <x:v>-0.2782633388</x:v>
      </x:c>
      <x:c r="V299" s="38" t="n">
        <x:v>0.0641775255</x:v>
      </x:c>
      <x:c r="W299" s="38" t="n">
        <x:v>0.0396285031</x:v>
      </x:c>
      <x:c r="X299" s="38" t="n">
        <x:v>-0.0720256749</x:v>
      </x:c>
      <x:c r="Y299" s="38" t="n">
        <x:v>0.022534918</x:v>
      </x:c>
      <x:c r="Z299" s="38" t="n">
        <x:v>0.070668156</x:v>
      </x:c>
      <x:c r="AA299" s="38" t="n">
        <x:v>0.0468795042</x:v>
      </x:c>
      <x:c r="AB299" s="38" t="n">
        <x:v>0.0452057294</x:v>
      </x:c>
      <x:c r="AC299" s="38" t="n">
        <x:v>0.2842762192</x:v>
      </x:c>
      <x:c r="AD299" s="38" t="n">
        <x:v>-0.0608859673</x:v>
      </x:c>
      <x:c r="AE299" s="38" t="n">
        <x:v>-0.279365071</x:v>
      </x:c>
      <x:c r="AF299" s="38" t="n">
        <x:v>-0.1340840937</x:v>
      </x:c>
      <x:c r="AG299" s="38" t="n">
        <x:v>-0.014862452</x:v>
      </x:c>
      <x:c r="AH299" s="38" t="n">
        <x:v>0.0254339117</x:v>
      </x:c>
      <x:c r="AI299" s="38" t="n">
        <x:v>-0.0913529431</x:v>
      </x:c>
      <x:c r="AJ299" s="38" t="n">
        <x:v>0.061110601</x:v>
      </x:c>
      <x:c r="AK299" s="38" t="n">
        <x:v>0.0761979672</x:v>
      </x:c>
      <x:c r="AL299" s="38" t="n">
        <x:v>0.1050650769</x:v>
      </x:c>
      <x:c r="AM299" s="38" t="n">
        <x:v>-0.082140586</x:v>
      </x:c>
      <x:c r="AN299" s="38" t="n">
        <x:v>-0.0537675949</x:v>
      </x:c>
      <x:c r="AO299" s="38" t="n">
        <x:v>-0.0249500792</x:v>
      </x:c>
      <x:c r="AP299" s="38" t="n">
        <x:v>-0.0591260168</x:v>
      </x:c>
      <x:c r="AQ299" s="38" t="n">
        <x:v>0.0103237304</x:v>
      </x:c>
      <x:c r="AR299" s="38" t="n">
        <x:v>-0.0033570605</x:v>
      </x:c>
      <x:c r="AS299" s="38" t="n">
        <x:v>0.0059060163</x:v>
      </x:c>
    </x:row>
    <x:row r="300" ht="19" customHeight="1">
      <x:c r="A300" s="29" t="str">
        <x:v>SPY</x:v>
      </x:c>
      <x:c r="B300" s="39" t="d">
        <x:v>2024-09-09T00:00:00.000Z</x:v>
      </x:c>
      <x:c r="C300" s="38" t="n">
        <x:v>0.056687882</x:v>
      </x:c>
      <x:c r="D300" s="38" t="n">
        <x:v>-0.0890670301</x:v>
      </x:c>
      <x:c r="E300" s="38" t="n">
        <x:v>0.0448211209</x:v>
      </x:c>
      <x:c r="F300" s="38" t="n">
        <x:v>0.0742195689</x:v>
      </x:c>
      <x:c r="G300" s="38" t="n">
        <x:v>-0.0179401898</x:v>
      </x:c>
      <x:c r="H300" s="38" t="n">
        <x:v>0.0697341828</x:v>
      </x:c>
      <x:c r="I300" s="38" t="n">
        <x:v>0.0490679844</x:v>
      </x:c>
      <x:c r="J300" s="38" t="n">
        <x:v>0.0715471168</x:v>
      </x:c>
      <x:c r="K300" s="38" t="n">
        <x:v>-0.0447604126</x:v>
      </x:c>
      <x:c r="L300" s="38" t="n">
        <x:v>-0.1558383388</x:v>
      </x:c>
      <x:c r="M300" s="38" t="n">
        <x:v>-0.1183707934</x:v>
      </x:c>
      <x:c r="N300" s="38" t="n">
        <x:v>-0.0423683828</x:v>
      </x:c>
      <x:c r="O300" s="38" t="n">
        <x:v>-0.0403091628</x:v>
      </x:c>
      <x:c r="P300" s="38" t="n">
        <x:v>0.0442431517</x:v>
      </x:c>
      <x:c r="Q300" s="38" t="n">
        <x:v>-0.1925298962</x:v>
      </x:c>
      <x:c r="R300" s="38" t="n">
        <x:v>0.052277565</x:v>
      </x:c>
      <x:c r="S300" s="38" t="n">
        <x:v>0.022858619</x:v>
      </x:c>
      <x:c r="T300" s="38" t="n">
        <x:v>-0.0773760578</x:v>
      </x:c>
      <x:c r="U300" s="38" t="n">
        <x:v>-0.1784026381</x:v>
      </x:c>
      <x:c r="V300" s="38" t="n">
        <x:v>-0.0891077826</x:v>
      </x:c>
      <x:c r="W300" s="38" t="n">
        <x:v>0.0219682834</x:v>
      </x:c>
      <x:c r="X300" s="38" t="n">
        <x:v>-0.0446389948</x:v>
      </x:c>
      <x:c r="Y300" s="38" t="n">
        <x:v>-0.1673309525</x:v>
      </x:c>
      <x:c r="Z300" s="38" t="n">
        <x:v>0.0494569581</x:v>
      </x:c>
      <x:c r="AA300" s="38" t="n">
        <x:v>0.0624793493</x:v>
      </x:c>
      <x:c r="AB300" s="38" t="n">
        <x:v>0.3928019419</x:v>
      </x:c>
      <x:c r="AC300" s="38" t="n">
        <x:v>0.0524511958</x:v>
      </x:c>
      <x:c r="AD300" s="38" t="n">
        <x:v>0.0147557496</x:v>
      </x:c>
      <x:c r="AE300" s="38" t="n">
        <x:v>0.0327447656</x:v>
      </x:c>
      <x:c r="AF300" s="38" t="n">
        <x:v>-0.133146093</x:v>
      </x:c>
      <x:c r="AG300" s="38" t="n">
        <x:v>-0.1652237303</x:v>
      </x:c>
      <x:c r="AH300" s="38" t="n">
        <x:v>-0.0527204637</x:v>
      </x:c>
      <x:c r="AI300" s="38" t="n">
        <x:v>-0.0098829185</x:v>
      </x:c>
      <x:c r="AJ300" s="38" t="n">
        <x:v>-0.0240034826</x:v>
      </x:c>
      <x:c r="AK300" s="38" t="n">
        <x:v>0.1006709565</x:v>
      </x:c>
      <x:c r="AL300" s="38" t="n">
        <x:v>0.0226211713</x:v>
      </x:c>
      <x:c r="AM300" s="38" t="n">
        <x:v>0.0184265023</x:v>
      </x:c>
      <x:c r="AN300" s="38" t="n">
        <x:v>-0.0080976645</x:v>
      </x:c>
      <x:c r="AO300" s="38" t="n">
        <x:v>-0.004528183</x:v>
      </x:c>
      <x:c r="AP300" s="38" t="n">
        <x:v>0.0189724731</x:v>
      </x:c>
      <x:c r="AQ300" s="38" t="n">
        <x:v>0.0004530886</x:v>
      </x:c>
      <x:c r="AR300" s="38" t="n">
        <x:v>0.0221987303</x:v>
      </x:c>
      <x:c r="AS300" s="38" t="n">
        <x:v>-0.0068638956</x:v>
      </x:c>
    </x:row>
    <x:row r="301" ht="19" customHeight="1">
      <x:c r="A301" s="29" t="str">
        <x:v>SPY</x:v>
      </x:c>
      <x:c r="B301" s="39" t="d">
        <x:v>2024-10-07T00:00:00.000Z</x:v>
      </x:c>
      <x:c r="C301" s="38" t="n">
        <x:v>0.3965404688</x:v>
      </x:c>
      <x:c r="D301" s="38" t="n">
        <x:v>0.0155613833</x:v>
      </x:c>
      <x:c r="E301" s="38" t="n">
        <x:v>-0.068102237</x:v>
      </x:c>
      <x:c r="F301" s="38" t="n">
        <x:v>0.0079034847</x:v>
      </x:c>
      <x:c r="G301" s="38" t="n">
        <x:v>0.0306844405</x:v>
      </x:c>
      <x:c r="H301" s="38" t="n">
        <x:v>0.0257149865</x:v>
      </x:c>
      <x:c r="I301" s="38" t="n">
        <x:v>-0.0179872262</x:v>
      </x:c>
      <x:c r="J301" s="38" t="n">
        <x:v>0.1414630286</x:v>
      </x:c>
      <x:c r="K301" s="38" t="n">
        <x:v>-0.0371002091</x:v>
      </x:c>
      <x:c r="L301" s="38" t="n">
        <x:v>0.0426360295</x:v>
      </x:c>
      <x:c r="M301" s="38" t="n">
        <x:v>0.1181308265</x:v>
      </x:c>
      <x:c r="N301" s="38" t="n">
        <x:v>0.0452252194</x:v>
      </x:c>
      <x:c r="O301" s="38" t="n">
        <x:v>0.0232020748</x:v>
      </x:c>
      <x:c r="P301" s="38" t="n">
        <x:v>-0.141740648</x:v>
      </x:c>
      <x:c r="Q301" s="38" t="n">
        <x:v>0.084651796</x:v>
      </x:c>
      <x:c r="R301" s="38" t="n">
        <x:v>0.0339309523</x:v>
      </x:c>
      <x:c r="S301" s="38" t="n">
        <x:v>0.0287785127</x:v>
      </x:c>
      <x:c r="T301" s="38" t="n">
        <x:v>0.1403049863</x:v>
      </x:c>
      <x:c r="U301" s="38" t="n">
        <x:v>-0.1671509976</x:v>
      </x:c>
      <x:c r="V301" s="38" t="n">
        <x:v>0.1739116865</x:v>
      </x:c>
      <x:c r="W301" s="38" t="n">
        <x:v>0.0420326477</x:v>
      </x:c>
      <x:c r="X301" s="38" t="n">
        <x:v>0.079701657</x:v>
      </x:c>
      <x:c r="Y301" s="38" t="n">
        <x:v>0.0555171402</x:v>
      </x:c>
      <x:c r="Z301" s="38" t="n">
        <x:v>-0.026097647</x:v>
      </x:c>
      <x:c r="AA301" s="38" t="n">
        <x:v>-0.012267539</x:v>
      </x:c>
      <x:c r="AB301" s="38" t="n">
        <x:v>-0.0730098364</x:v>
      </x:c>
      <x:c r="AC301" s="38" t="n">
        <x:v>0.2477758211</x:v>
      </x:c>
      <x:c r="AD301" s="38" t="n">
        <x:v>-0.0185087553</x:v>
      </x:c>
      <x:c r="AE301" s="38" t="n">
        <x:v>-0.0342927451</x:v>
      </x:c>
      <x:c r="AF301" s="38" t="n">
        <x:v>0.1638237739</x:v>
      </x:c>
      <x:c r="AG301" s="38" t="n">
        <x:v>-0.0349021568</x:v>
      </x:c>
      <x:c r="AH301" s="38" t="n">
        <x:v>-0.0231440399</x:v>
      </x:c>
      <x:c r="AI301" s="38" t="n">
        <x:v>0.0593250026</x:v>
      </x:c>
      <x:c r="AJ301" s="38" t="n">
        <x:v>-0.0253514345</x:v>
      </x:c>
      <x:c r="AK301" s="38" t="n">
        <x:v>-0.0841609266</x:v>
      </x:c>
      <x:c r="AL301" s="38" t="n">
        <x:v>0.0057486942</x:v>
      </x:c>
      <x:c r="AM301" s="38" t="n">
        <x:v>-0.0557555546</x:v>
      </x:c>
      <x:c r="AN301" s="38" t="n">
        <x:v>-0.0248071762</x:v>
      </x:c>
      <x:c r="AO301" s="38" t="n">
        <x:v>-0.05396287</x:v>
      </x:c>
      <x:c r="AP301" s="38" t="n">
        <x:v>0.0902914114</x:v>
      </x:c>
      <x:c r="AQ301" s="38" t="n">
        <x:v>-0.0293826891</x:v>
      </x:c>
      <x:c r="AR301" s="38" t="n">
        <x:v>-0.0311681858</x:v>
      </x:c>
      <x:c r="AS301" s="38" t="n">
        <x:v>0.0253220209</x:v>
      </x:c>
    </x:row>
    <x:row r="302" ht="19" customHeight="1">
      <x:c r="A302" s="29" t="str">
        <x:v>SPY</x:v>
      </x:c>
      <x:c r="B302" s="39" t="d">
        <x:v>2024-11-04T00:00:00.000Z</x:v>
      </x:c>
      <x:c r="C302" s="38" t="n">
        <x:v>0.0946326838</x:v>
      </x:c>
      <x:c r="D302" s="38" t="n">
        <x:v>-0.0698847454</x:v>
      </x:c>
      <x:c r="E302" s="38" t="n">
        <x:v>0.0124865048</x:v>
      </x:c>
      <x:c r="F302" s="38" t="n">
        <x:v>0.1334318329</x:v>
      </x:c>
      <x:c r="G302" s="38" t="n">
        <x:v>0.0717861241</x:v>
      </x:c>
      <x:c r="H302" s="38" t="n">
        <x:v>0.0185782164</x:v>
      </x:c>
      <x:c r="I302" s="38" t="n">
        <x:v>0.0711968452</x:v>
      </x:c>
      <x:c r="J302" s="38" t="n">
        <x:v>0.1488133896</x:v>
      </x:c>
      <x:c r="K302" s="38" t="n">
        <x:v>-0.0052601078</x:v>
      </x:c>
      <x:c r="L302" s="38" t="n">
        <x:v>-0.0750236853</x:v>
      </x:c>
      <x:c r="M302" s="38" t="n">
        <x:v>-0.0800204384</x:v>
      </x:c>
      <x:c r="N302" s="38" t="n">
        <x:v>0.0369447474</x:v>
      </x:c>
      <x:c r="O302" s="38" t="n">
        <x:v>0.071568139</x:v>
      </x:c>
      <x:c r="P302" s="38" t="n">
        <x:v>0.111514793</x:v>
      </x:c>
      <x:c r="Q302" s="38" t="n">
        <x:v>-0.0426049369</x:v>
      </x:c>
      <x:c r="R302" s="38" t="n">
        <x:v>-0.2233579079</x:v>
      </x:c>
      <x:c r="S302" s="38" t="n">
        <x:v>0.0430410244</x:v>
      </x:c>
      <x:c r="T302" s="38" t="n">
        <x:v>-0.1298430338</x:v>
      </x:c>
      <x:c r="U302" s="38" t="n">
        <x:v>-0.1128425836</x:v>
      </x:c>
      <x:c r="V302" s="38" t="n">
        <x:v>0.3965235979</x:v>
      </x:c>
      <x:c r="W302" s="38" t="n">
        <x:v>0.1310597033</x:v>
      </x:c>
      <x:c r="X302" s="38" t="n">
        <x:v>0.1312867303</x:v>
      </x:c>
      <x:c r="Y302" s="38" t="n">
        <x:v>0.095739128</x:v>
      </x:c>
      <x:c r="Z302" s="38" t="n">
        <x:v>-0.1294272436</x:v>
      </x:c>
      <x:c r="AA302" s="38" t="n">
        <x:v>0.0423689774</x:v>
      </x:c>
      <x:c r="AB302" s="38" t="n">
        <x:v>-0.0250985768</x:v>
      </x:c>
      <x:c r="AC302" s="38" t="n">
        <x:v>0.5907734853</x:v>
      </x:c>
      <x:c r="AD302" s="38" t="n">
        <x:v>-0.002510686</x:v>
      </x:c>
      <x:c r="AE302" s="38" t="n">
        <x:v>0.1115156015</x:v>
      </x:c>
      <x:c r="AF302" s="38" t="n">
        <x:v>0.0145592769</x:v>
      </x:c>
      <x:c r="AG302" s="38" t="n">
        <x:v>0.1092754876</x:v>
      </x:c>
      <x:c r="AH302" s="38" t="n">
        <x:v>-0.2422515917</x:v>
      </x:c>
      <x:c r="AI302" s="38" t="n">
        <x:v>-0.2208591185</x:v>
      </x:c>
      <x:c r="AJ302" s="38" t="n">
        <x:v>-0.1717422125</x:v>
      </x:c>
      <x:c r="AK302" s="38" t="n">
        <x:v>0.1255972397</x:v>
      </x:c>
      <x:c r="AL302" s="38" t="n">
        <x:v>0.0269343817</x:v>
      </x:c>
      <x:c r="AM302" s="38" t="n">
        <x:v>-0.0037694791</x:v>
      </x:c>
      <x:c r="AN302" s="38" t="n">
        <x:v>0.0441490462</x:v>
      </x:c>
      <x:c r="AO302" s="38" t="n">
        <x:v>0.0848256883</x:v>
      </x:c>
      <x:c r="AP302" s="38" t="n">
        <x:v>0.0083646227</x:v>
      </x:c>
      <x:c r="AQ302" s="38" t="n">
        <x:v>-0.0745070171</x:v>
      </x:c>
      <x:c r="AR302" s="38" t="n">
        <x:v>-0.0329155328</x:v>
      </x:c>
      <x:c r="AS302" s="38" t="n">
        <x:v>0.0087351164</x:v>
      </x:c>
    </x:row>
    <x:row r="303" ht="19" customHeight="1">
      <x:c r="A303" s="29" t="str">
        <x:v>SPY</x:v>
      </x:c>
      <x:c r="B303" s="39" t="d">
        <x:v>2024-12-02T00:00:00.000Z</x:v>
      </x:c>
      <x:c r="C303" s="38" t="n">
        <x:v>0.1111671166</x:v>
      </x:c>
      <x:c r="D303" s="38" t="n">
        <x:v>0.1481404332</x:v>
      </x:c>
      <x:c r="E303" s="38" t="n">
        <x:v>0.0126696831</x:v>
      </x:c>
      <x:c r="F303" s="38" t="n">
        <x:v>0.0133523786</x:v>
      </x:c>
      <x:c r="G303" s="38" t="n">
        <x:v>0.2248572247</x:v>
      </x:c>
      <x:c r="H303" s="38" t="n">
        <x:v>0.1616476941</x:v>
      </x:c>
      <x:c r="I303" s="38" t="n">
        <x:v>0.1116748673</x:v>
      </x:c>
      <x:c r="J303" s="38" t="n">
        <x:v>0.0384134778</x:v>
      </x:c>
      <x:c r="K303" s="38" t="n">
        <x:v>-0.0517517625</x:v>
      </x:c>
      <x:c r="L303" s="38" t="n">
        <x:v>-0.0655699254</x:v>
      </x:c>
      <x:c r="M303" s="38" t="n">
        <x:v>0.0786053665</x:v>
      </x:c>
      <x:c r="N303" s="38" t="n">
        <x:v>0.0334396299</x:v>
      </x:c>
      <x:c r="O303" s="38" t="n">
        <x:v>0.0638216354</x:v>
      </x:c>
      <x:c r="P303" s="38" t="n">
        <x:v>0.0114332584</x:v>
      </x:c>
      <x:c r="Q303" s="38" t="n">
        <x:v>0.0831222511</x:v>
      </x:c>
      <x:c r="R303" s="38" t="n">
        <x:v>0.01557452</x:v>
      </x:c>
      <x:c r="S303" s="38" t="n">
        <x:v>0.087826544</x:v>
      </x:c>
      <x:c r="T303" s="38" t="n">
        <x:v>0.2334088388</x:v>
      </x:c>
      <x:c r="U303" s="38" t="n">
        <x:v>-0.0499180822</x:v>
      </x:c>
      <x:c r="V303" s="38" t="n">
        <x:v>0.1500062346</x:v>
      </x:c>
      <x:c r="W303" s="38" t="n">
        <x:v>0.2172600131</x:v>
      </x:c>
      <x:c r="X303" s="38" t="n">
        <x:v>0.0289262055</x:v>
      </x:c>
      <x:c r="Y303" s="38" t="n">
        <x:v>-0.1338673366</x:v>
      </x:c>
      <x:c r="Z303" s="38" t="n">
        <x:v>0.0060958266</x:v>
      </x:c>
      <x:c r="AA303" s="38" t="n">
        <x:v>-0.0266714596</x:v>
      </x:c>
      <x:c r="AB303" s="38" t="n">
        <x:v>-0.2822472607</x:v>
      </x:c>
      <x:c r="AC303" s="38" t="n">
        <x:v>0.0117659267</x:v>
      </x:c>
      <x:c r="AD303" s="38" t="n">
        <x:v>0.0671818245</x:v>
      </x:c>
      <x:c r="AE303" s="38" t="n">
        <x:v>-0.0118520055</x:v>
      </x:c>
      <x:c r="AF303" s="38" t="n">
        <x:v>0.0623840864</x:v>
      </x:c>
      <x:c r="AG303" s="38" t="n">
        <x:v>0.0601589842</x:v>
      </x:c>
      <x:c r="AH303" s="38" t="n">
        <x:v>-0.0280254271</x:v>
      </x:c>
      <x:c r="AI303" s="38" t="n">
        <x:v>-0.0719576381</x:v>
      </x:c>
      <x:c r="AJ303" s="38" t="n">
        <x:v>-0.0324562173</x:v>
      </x:c>
      <x:c r="AK303" s="38" t="n">
        <x:v>-0.0354184726</x:v>
      </x:c>
      <x:c r="AL303" s="38" t="n">
        <x:v>-0.1032966911</x:v>
      </x:c>
      <x:c r="AM303" s="38" t="n">
        <x:v>0.0781089934</x:v>
      </x:c>
      <x:c r="AN303" s="38" t="n">
        <x:v>-0.0170325287</x:v>
      </x:c>
      <x:c r="AO303" s="38" t="n">
        <x:v>0.0797292487</x:v>
      </x:c>
      <x:c r="AP303" s="38" t="n">
        <x:v>0.1109171861</x:v>
      </x:c>
      <x:c r="AQ303" s="38" t="n">
        <x:v>0.0041946563</x:v>
      </x:c>
      <x:c r="AR303" s="38" t="n">
        <x:v>-0.0320667203</x:v>
      </x:c>
      <x:c r="AS303" s="38" t="n">
        <x:v>0.017964632</x:v>
      </x:c>
    </x:row>
    <x:row r="304" ht="19" customHeight="1">
      <x:c r="A304" s="29" t="str">
        <x:v>SPY</x:v>
      </x:c>
      <x:c r="B304" s="39" t="d">
        <x:v>2024-12-30T00:00:00.000Z</x:v>
      </x:c>
      <x:c r="C304" s="38" t="n">
        <x:v>0.0373701411</x:v>
      </x:c>
      <x:c r="D304" s="38" t="n">
        <x:v>-0.0642916081</x:v>
      </x:c>
      <x:c r="E304" s="38" t="n">
        <x:v>-0.008536641</x:v>
      </x:c>
      <x:c r="F304" s="38" t="n">
        <x:v>0.0142342072</x:v>
      </x:c>
      <x:c r="G304" s="38" t="n">
        <x:v>0.0403831915</x:v>
      </x:c>
      <x:c r="H304" s="38" t="n">
        <x:v>-0.0498178858</x:v>
      </x:c>
      <x:c r="I304" s="38" t="n">
        <x:v>0.0428262447</x:v>
      </x:c>
      <x:c r="J304" s="38" t="n">
        <x:v>-0.07938358</x:v>
      </x:c>
      <x:c r="K304" s="38" t="n">
        <x:v>0.005108603</x:v>
      </x:c>
      <x:c r="L304" s="38" t="n">
        <x:v>-0.101507848</x:v>
      </x:c>
      <x:c r="M304" s="38" t="n">
        <x:v>-0.0145867503</x:v>
      </x:c>
      <x:c r="N304" s="38" t="n">
        <x:v>0.0244903346</x:v>
      </x:c>
      <x:c r="O304" s="38" t="n">
        <x:v>-0.0568731726</x:v>
      </x:c>
      <x:c r="P304" s="38" t="n">
        <x:v>-0.0779801097</x:v>
      </x:c>
      <x:c r="Q304" s="38" t="n">
        <x:v>0.0926330806</x:v>
      </x:c>
      <x:c r="R304" s="38" t="n">
        <x:v>-0.1066939002</x:v>
      </x:c>
      <x:c r="S304" s="38" t="n">
        <x:v>0.0281362349</x:v>
      </x:c>
      <x:c r="T304" s="38" t="n">
        <x:v>0.0112642183</x:v>
      </x:c>
      <x:c r="U304" s="38" t="n">
        <x:v>0.0169057028</x:v>
      </x:c>
      <x:c r="V304" s="38" t="n">
        <x:v>-0.0784012463</x:v>
      </x:c>
      <x:c r="W304" s="38" t="n">
        <x:v>0.0090305048</x:v>
      </x:c>
      <x:c r="X304" s="38" t="n">
        <x:v>-0.0835362865</x:v>
      </x:c>
      <x:c r="Y304" s="38" t="n">
        <x:v>-0.0864862308</x:v>
      </x:c>
      <x:c r="Z304" s="38" t="n">
        <x:v>0.0060744941</x:v>
      </x:c>
      <x:c r="AA304" s="38" t="n">
        <x:v>-0.0396640816</x:v>
      </x:c>
      <x:c r="AB304" s="38" t="n">
        <x:v>-0.1085725757</x:v>
      </x:c>
      <x:c r="AC304" s="38" t="n">
        <x:v>-0.1266959516</x:v>
      </x:c>
      <x:c r="AD304" s="38" t="n">
        <x:v>-0.0150277889</x:v>
      </x:c>
      <x:c r="AE304" s="38" t="n">
        <x:v>0.0223145114</x:v>
      </x:c>
      <x:c r="AF304" s="38" t="n">
        <x:v>-0.0841401255</x:v>
      </x:c>
      <x:c r="AG304" s="38" t="n">
        <x:v>0.245439609</x:v>
      </x:c>
      <x:c r="AH304" s="38" t="n">
        <x:v>0.0359529873</x:v>
      </x:c>
      <x:c r="AI304" s="38" t="n">
        <x:v>-0.0262684193</x:v>
      </x:c>
      <x:c r="AJ304" s="38" t="n">
        <x:v>-0.0759701484</x:v>
      </x:c>
      <x:c r="AK304" s="38" t="n">
        <x:v>-0.0173272968</x:v>
      </x:c>
      <x:c r="AL304" s="38" t="n">
        <x:v>0.1020142248</x:v>
      </x:c>
      <x:c r="AM304" s="38" t="n">
        <x:v>0.0056292948</x:v>
      </x:c>
      <x:c r="AN304" s="38" t="n">
        <x:v>0.1269825174</x:v>
      </x:c>
      <x:c r="AO304" s="38" t="n">
        <x:v>-0.0445737369</x:v>
      </x:c>
      <x:c r="AP304" s="38" t="n">
        <x:v>-0.041956985</x:v>
      </x:c>
      <x:c r="AQ304" s="38" t="n">
        <x:v>0.0289678243</x:v>
      </x:c>
      <x:c r="AR304" s="38" t="n">
        <x:v>-0.0281719486</x:v>
      </x:c>
      <x:c r="AS304" s="38" t="n">
        <x:v>-0.0228528209</x:v>
      </x:c>
    </x:row>
    <x:row r="305" ht="19" customHeight="1">
      <x:c r="A305" s="29" t="str">
        <x:v>SPY</x:v>
      </x:c>
      <x:c r="B305" s="39" t="d">
        <x:v>2025-01-27T00:00:00.000Z</x:v>
      </x:c>
      <x:c r="C305" s="38" t="n">
        <x:v>0.0070181612</x:v>
      </x:c>
      <x:c r="D305" s="38" t="n">
        <x:v>-0.0394749353</x:v>
      </x:c>
      <x:c r="E305" s="38" t="n">
        <x:v>0.0535919693</x:v>
      </x:c>
      <x:c r="F305" s="38" t="n">
        <x:v>0.051938194</x:v>
      </x:c>
      <x:c r="G305" s="38" t="n">
        <x:v>-0.0071440675</x:v>
      </x:c>
      <x:c r="H305" s="38" t="n">
        <x:v>-0.0379838913</x:v>
      </x:c>
      <x:c r="I305" s="38" t="n">
        <x:v>0.0522211073</x:v>
      </x:c>
      <x:c r="J305" s="38" t="n">
        <x:v>-0.0821869876</x:v>
      </x:c>
      <x:c r="K305" s="38" t="n">
        <x:v>0.0162013034</x:v>
      </x:c>
      <x:c r="L305" s="38" t="n">
        <x:v>0.0672386483</x:v>
      </x:c>
      <x:c r="M305" s="38" t="n">
        <x:v>0.0318150794</x:v>
      </x:c>
      <x:c r="N305" s="38" t="n">
        <x:v>0.1187376293</x:v>
      </x:c>
      <x:c r="O305" s="38" t="n">
        <x:v>0.1346941127</x:v>
      </x:c>
      <x:c r="P305" s="38" t="n">
        <x:v>-0.0156195843</x:v>
      </x:c>
      <x:c r="Q305" s="38" t="n">
        <x:v>-0.1070580285</x:v>
      </x:c>
      <x:c r="R305" s="38" t="n">
        <x:v>0.1487766737</x:v>
      </x:c>
      <x:c r="S305" s="38" t="n">
        <x:v>-0.0030481645</x:v>
      </x:c>
      <x:c r="T305" s="38" t="n">
        <x:v>0.2023477473</x:v>
      </x:c>
      <x:c r="U305" s="38" t="n">
        <x:v>-0.065644807</x:v>
      </x:c>
      <x:c r="V305" s="38" t="n">
        <x:v>0.0190004114</x:v>
      </x:c>
      <x:c r="W305" s="38" t="n">
        <x:v>0.1065514231</x:v>
      </x:c>
      <x:c r="X305" s="38" t="n">
        <x:v>-0.1573198754</x:v>
      </x:c>
      <x:c r="Y305" s="38" t="n">
        <x:v>-0.0194840282</x:v>
      </x:c>
      <x:c r="Z305" s="38" t="n">
        <x:v>0.1156779925</x:v>
      </x:c>
      <x:c r="AA305" s="38" t="n">
        <x:v>0.0209068781</x:v>
      </x:c>
      <x:c r="AB305" s="38" t="n">
        <x:v>-0.502349166</x:v>
      </x:c>
      <x:c r="AC305" s="38" t="n">
        <x:v>0.0086558495</x:v>
      </x:c>
      <x:c r="AD305" s="38" t="n">
        <x:v>-0.0178275703</x:v>
      </x:c>
      <x:c r="AE305" s="38" t="n">
        <x:v>0.0077835224</x:v>
      </x:c>
      <x:c r="AF305" s="38" t="n">
        <x:v>-0.0767928572</x:v>
      </x:c>
      <x:c r="AG305" s="38" t="n">
        <x:v>0.0181340778</x:v>
      </x:c>
      <x:c r="AH305" s="38" t="n">
        <x:v>0.0462213883</x:v>
      </x:c>
      <x:c r="AI305" s="38" t="n">
        <x:v>-0.1518738361</x:v>
      </x:c>
      <x:c r="AJ305" s="38" t="n">
        <x:v>0.0177158378</x:v>
      </x:c>
      <x:c r="AK305" s="38" t="n">
        <x:v>0.0719474805</x:v>
      </x:c>
      <x:c r="AL305" s="38" t="n">
        <x:v>0.0057125949</x:v>
      </x:c>
      <x:c r="AM305" s="38" t="n">
        <x:v>-0.0475849573</x:v>
      </x:c>
      <x:c r="AN305" s="38" t="n">
        <x:v>0.0802276612</x:v>
      </x:c>
      <x:c r="AO305" s="38" t="n">
        <x:v>0.0373683748</x:v>
      </x:c>
      <x:c r="AP305" s="38" t="n">
        <x:v>0.036998872</x:v>
      </x:c>
      <x:c r="AQ305" s="38" t="n">
        <x:v>0.0011757982</x:v>
      </x:c>
      <x:c r="AR305" s="38" t="n">
        <x:v>0.0433928821</x:v>
      </x:c>
      <x:c r="AS305" s="38" t="n">
        <x:v>0.0242920013</x:v>
      </x:c>
    </x:row>
    <x:row r="306" ht="19" customHeight="1">
      <x:c r="A306" s="29" t="str">
        <x:v>SPY</x:v>
      </x:c>
      <x:c r="B306" s="39" t="d">
        <x:v>2025-02-24T00:00:00.000Z</x:v>
      </x:c>
      <x:c r="C306" s="38" t="n">
        <x:v>-0.2859660454</x:v>
      </x:c>
      <x:c r="D306" s="38" t="n">
        <x:v>-0.1160843109</x:v>
      </x:c>
      <x:c r="E306" s="38" t="n">
        <x:v>0.092505783</x:v>
      </x:c>
      <x:c r="F306" s="38" t="n">
        <x:v>0.0983863547</x:v>
      </x:c>
      <x:c r="G306" s="38" t="n">
        <x:v>0.0317293406</x:v>
      </x:c>
      <x:c r="H306" s="38" t="n">
        <x:v>-0.0732865424</x:v>
      </x:c>
      <x:c r="I306" s="38" t="n">
        <x:v>-0.1252943502</x:v>
      </x:c>
      <x:c r="J306" s="38" t="n">
        <x:v>-0.2610726551</x:v>
      </x:c>
      <x:c r="K306" s="38" t="n">
        <x:v>0.061659292</x:v>
      </x:c>
      <x:c r="L306" s="38" t="n">
        <x:v>-0.0524473807</x:v>
      </x:c>
      <x:c r="M306" s="38" t="n">
        <x:v>-0.2021342153</x:v>
      </x:c>
      <x:c r="N306" s="38" t="n">
        <x:v>-0.006200508</x:v>
      </x:c>
      <x:c r="O306" s="38" t="n">
        <x:v>-0.0195637517</x:v>
      </x:c>
      <x:c r="P306" s="38" t="n">
        <x:v>-0.0037402946</x:v>
      </x:c>
      <x:c r="Q306" s="38" t="n">
        <x:v>0.2256416417</x:v>
      </x:c>
      <x:c r="R306" s="38" t="n">
        <x:v>0.0601579896</x:v>
      </x:c>
      <x:c r="S306" s="38" t="n">
        <x:v>0.0719968173</x:v>
      </x:c>
      <x:c r="T306" s="38" t="n">
        <x:v>0.0520783837</x:v>
      </x:c>
      <x:c r="U306" s="38" t="n">
        <x:v>-0.314565496</x:v>
      </x:c>
      <x:c r="V306" s="38" t="n">
        <x:v>-0.3062169846</x:v>
      </x:c>
      <x:c r="W306" s="38" t="n">
        <x:v>0.0173125116</x:v>
      </x:c>
      <x:c r="X306" s="38" t="n">
        <x:v>0.0762775634</x:v>
      </x:c>
      <x:c r="Y306" s="38" t="n">
        <x:v>0.0314128632</x:v>
      </x:c>
      <x:c r="Z306" s="38" t="n">
        <x:v>0.0083911321</x:v>
      </x:c>
      <x:c r="AA306" s="38" t="n">
        <x:v>0.1568589514</x:v>
      </x:c>
      <x:c r="AB306" s="38" t="n">
        <x:v>-0.3150932309</x:v>
      </x:c>
      <x:c r="AC306" s="38" t="n">
        <x:v>0.0570456256</x:v>
      </x:c>
      <x:c r="AD306" s="38" t="n">
        <x:v>0.0644504794</x:v>
      </x:c>
      <x:c r="AE306" s="38" t="n">
        <x:v>-0.0117189445</x:v>
      </x:c>
      <x:c r="AF306" s="38" t="n">
        <x:v>-0.0781579388</x:v>
      </x:c>
      <x:c r="AG306" s="38" t="n">
        <x:v>-0.020232022</x:v>
      </x:c>
      <x:c r="AH306" s="38" t="n">
        <x:v>-0.1464154869</x:v>
      </x:c>
      <x:c r="AI306" s="38" t="n">
        <x:v>-0.1820487813</x:v>
      </x:c>
      <x:c r="AJ306" s="38" t="n">
        <x:v>0.1501256368</x:v>
      </x:c>
      <x:c r="AK306" s="38" t="n">
        <x:v>0.1514146985</x:v>
      </x:c>
      <x:c r="AL306" s="38" t="n">
        <x:v>0.0723731116</x:v>
      </x:c>
      <x:c r="AM306" s="38" t="n">
        <x:v>-0.0469573402</x:v>
      </x:c>
      <x:c r="AN306" s="38" t="n">
        <x:v>-0.2044775481</x:v>
      </x:c>
      <x:c r="AO306" s="38" t="n">
        <x:v>0.0727664994</x:v>
      </x:c>
      <x:c r="AP306" s="38" t="n">
        <x:v>-0.0433521599</x:v>
      </x:c>
      <x:c r="AQ306" s="38" t="n">
        <x:v>0.1273396732</x:v>
      </x:c>
      <x:c r="AR306" s="38" t="n">
        <x:v>0.0936457975</x:v>
      </x:c>
      <x:c r="AS306" s="38" t="n">
        <x:v>0.1124294996</x:v>
      </x:c>
    </x:row>
    <x:row r="307" ht="19" customHeight="1">
      <x:c r="A307" s="29" t="str">
        <x:v>SPY</x:v>
      </x:c>
      <x:c r="B307" s="39" t="d">
        <x:v>2025-03-24T00:00:00.000Z</x:v>
      </x:c>
      <x:c r="C307" s="38" t="n">
        <x:v>-0.071146238</x:v>
      </x:c>
      <x:c r="D307" s="38" t="n">
        <x:v>-0.1322923527</x:v>
      </x:c>
      <x:c r="E307" s="38" t="n">
        <x:v>-0.006854043</x:v>
      </x:c>
      <x:c r="F307" s="38" t="n">
        <x:v>-0.0245684374</x:v>
      </x:c>
      <x:c r="G307" s="38" t="n">
        <x:v>-0.1060653985</x:v>
      </x:c>
      <x:c r="H307" s="38" t="n">
        <x:v>-0.0587427476</x:v>
      </x:c>
      <x:c r="I307" s="38" t="n">
        <x:v>0.046378887</x:v>
      </x:c>
      <x:c r="J307" s="38" t="n">
        <x:v>-0.1026898121</x:v>
      </x:c>
      <x:c r="K307" s="38" t="n">
        <x:v>0.0202197676</x:v>
      </x:c>
      <x:c r="L307" s="38" t="n">
        <x:v>-0.0283177546</x:v>
      </x:c>
      <x:c r="M307" s="38" t="n">
        <x:v>-0.1001949272</x:v>
      </x:c>
      <x:c r="N307" s="38" t="n">
        <x:v>-0.0360602305</x:v>
      </x:c>
      <x:c r="O307" s="38" t="n">
        <x:v>-0.0527661957</x:v>
      </x:c>
      <x:c r="P307" s="38" t="n">
        <x:v>-0.0197602681</x:v>
      </x:c>
      <x:c r="Q307" s="38" t="n">
        <x:v>-0.0394406219</x:v>
      </x:c>
      <x:c r="R307" s="38" t="n">
        <x:v>-0.1696902206</x:v>
      </x:c>
      <x:c r="S307" s="38" t="n">
        <x:v>0.0198169443</x:v>
      </x:c>
      <x:c r="T307" s="38" t="n">
        <x:v>-0.0488731301</x:v>
      </x:c>
      <x:c r="U307" s="38" t="n">
        <x:v>-0.0033407989</x:v>
      </x:c>
      <x:c r="V307" s="38" t="n">
        <x:v>0.0541880757</x:v>
      </x:c>
      <x:c r="W307" s="38" t="n">
        <x:v>-0.0912723846</x:v>
      </x:c>
      <x:c r="X307" s="38" t="n">
        <x:v>0.0156203934</x:v>
      </x:c>
      <x:c r="Y307" s="38" t="n">
        <x:v>0.1191034097</x:v>
      </x:c>
      <x:c r="Z307" s="38" t="n">
        <x:v>0.0631669538</x:v>
      </x:c>
      <x:c r="AA307" s="38" t="n">
        <x:v>-0.027632509</x:v>
      </x:c>
      <x:c r="AB307" s="38" t="n">
        <x:v>0.2390979232</x:v>
      </x:c>
      <x:c r="AC307" s="38" t="n">
        <x:v>-0.0485915013</x:v>
      </x:c>
      <x:c r="AD307" s="38" t="n">
        <x:v>-0.0449179759</x:v>
      </x:c>
      <x:c r="AE307" s="38" t="n">
        <x:v>0.0495500345</x:v>
      </x:c>
      <x:c r="AF307" s="38" t="n">
        <x:v>-0.1890096527</x:v>
      </x:c>
      <x:c r="AG307" s="38" t="n">
        <x:v>0.0026565689</x:v>
      </x:c>
      <x:c r="AH307" s="38" t="n">
        <x:v>0.1224956062</x:v>
      </x:c>
      <x:c r="AI307" s="38" t="n">
        <x:v>0.2472162352</x:v>
      </x:c>
      <x:c r="AJ307" s="38" t="n">
        <x:v>-0.1298135555</x:v>
      </x:c>
      <x:c r="AK307" s="38" t="n">
        <x:v>-0.0122325381</x:v>
      </x:c>
      <x:c r="AL307" s="38" t="n">
        <x:v>0.1573421516</x:v>
      </x:c>
      <x:c r="AM307" s="38" t="n">
        <x:v>0.0332303384</x:v>
      </x:c>
      <x:c r="AN307" s="38" t="n">
        <x:v>-0.0033354206</x:v>
      </x:c>
      <x:c r="AO307" s="38" t="n">
        <x:v>-0.0896697502</x:v>
      </x:c>
      <x:c r="AP307" s="38" t="n">
        <x:v>-0.0865952331</x:v>
      </x:c>
      <x:c r="AQ307" s="38" t="n">
        <x:v>-0.0300179349</x:v>
      </x:c>
      <x:c r="AR307" s="38" t="n">
        <x:v>-0.0404059701</x:v>
      </x:c>
      <x:c r="AS307" s="38" t="n">
        <x:v>0.0030346673</x:v>
      </x:c>
    </x:row>
    <x:row r="308" ht="19" customHeight="1">
      <x:c r="A308" s="29" t="str">
        <x:v>SPY</x:v>
      </x:c>
      <x:c r="B308" s="39" t="d">
        <x:v>2025-04-21T00:00:00.000Z</x:v>
      </x:c>
      <x:c r="C308" s="38" t="n">
        <x:v>0.0797854279</x:v>
      </x:c>
      <x:c r="D308" s="38" t="n">
        <x:v>-0.0291413492</x:v>
      </x:c>
      <x:c r="E308" s="38" t="n">
        <x:v>-0.0537165074</x:v>
      </x:c>
      <x:c r="F308" s="38" t="n">
        <x:v>-0.0031263718</x:v>
      </x:c>
      <x:c r="G308" s="38" t="n">
        <x:v>-0.1274642653</x:v>
      </x:c>
      <x:c r="H308" s="38" t="n">
        <x:v>0.0414109644</x:v>
      </x:c>
      <x:c r="I308" s="38" t="n">
        <x:v>-0.0909467362</x:v>
      </x:c>
      <x:c r="J308" s="38" t="n">
        <x:v>0.1472447107</x:v>
      </x:c>
      <x:c r="K308" s="38" t="n">
        <x:v>-0.0486501521</x:v>
      </x:c>
      <x:c r="L308" s="38" t="n">
        <x:v>-0.2176934724</x:v>
      </x:c>
      <x:c r="M308" s="38" t="n">
        <x:v>-0.0401694876</x:v>
      </x:c>
      <x:c r="N308" s="38" t="n">
        <x:v>0.0666147024</x:v>
      </x:c>
      <x:c r="O308" s="38" t="n">
        <x:v>-0.0220956442</x:v>
      </x:c>
      <x:c r="P308" s="38" t="n">
        <x:v>0.0255393799</x:v>
      </x:c>
      <x:c r="Q308" s="38" t="n">
        <x:v>0.0259529435</x:v>
      </x:c>
      <x:c r="R308" s="38" t="n">
        <x:v>-0.1251770411</x:v>
      </x:c>
      <x:c r="S308" s="38" t="n">
        <x:v>-0.0268549276</x:v>
      </x:c>
      <x:c r="T308" s="38" t="n">
        <x:v>0.0211218612</x:v>
      </x:c>
      <x:c r="U308" s="38" t="n">
        <x:v>-0.3080419299</x:v>
      </x:c>
      <x:c r="V308" s="38" t="n">
        <x:v>0.0584344785</x:v>
      </x:c>
      <x:c r="W308" s="38" t="n">
        <x:v>0.1164466963</x:v>
      </x:c>
      <x:c r="X308" s="38" t="n">
        <x:v>-0.150970233</x:v>
      </x:c>
      <x:c r="Y308" s="38" t="n">
        <x:v>-0.1412076451</x:v>
      </x:c>
      <x:c r="Z308" s="38" t="n">
        <x:v>0.0581497289</x:v>
      </x:c>
      <x:c r="AA308" s="38" t="n">
        <x:v>-0.102728095</x:v>
      </x:c>
      <x:c r="AB308" s="38" t="n">
        <x:v>-0.1987170591</x:v>
      </x:c>
      <x:c r="AC308" s="38" t="n">
        <x:v>-0.1790247543</x:v>
      </x:c>
      <x:c r="AD308" s="38" t="n">
        <x:v>-0.058774038</x:v>
      </x:c>
      <x:c r="AE308" s="38" t="n">
        <x:v>-0.031578293</x:v>
      </x:c>
      <x:c r="AF308" s="38" t="n">
        <x:v>0.0381739181</x:v>
      </x:c>
      <x:c r="AG308" s="38" t="n">
        <x:v>-0.0864298261</x:v>
      </x:c>
      <x:c r="AH308" s="38" t="n">
        <x:v>0.0692538828</x:v>
      </x:c>
      <x:c r="AI308" s="38" t="n">
        <x:v>-0.2585177346</x:v>
      </x:c>
      <x:c r="AJ308" s="38" t="n">
        <x:v>0.0803668573</x:v>
      </x:c>
      <x:c r="AK308" s="38" t="n">
        <x:v>-0.0958210719</x:v>
      </x:c>
      <x:c r="AL308" s="38" t="n">
        <x:v>-0.0719452952</x:v>
      </x:c>
      <x:c r="AM308" s="38" t="n">
        <x:v>-0.0622686879</x:v>
      </x:c>
      <x:c r="AN308" s="38" t="n">
        <x:v>-0.0066935686</x:v>
      </x:c>
      <x:c r="AO308" s="38" t="n">
        <x:v>0.0489842344</x:v>
      </x:c>
      <x:c r="AP308" s="38" t="n">
        <x:v>-0.0472761229</x:v>
      </x:c>
      <x:c r="AQ308" s="38" t="n">
        <x:v>-0.0309028544</x:v>
      </x:c>
      <x:c r="AR308" s="38" t="n">
        <x:v>-0.1167797233</x:v>
      </x:c>
      <x:c r="AS308" s="38" t="n">
        <x:v>-0.0338719127</x:v>
      </x:c>
    </x:row>
    <x:row r="309" ht="19" customHeight="1">
      <x:c r="A309" s="29" t="str">
        <x:v>SPY</x:v>
      </x:c>
      <x:c r="B309" s="39" t="d">
        <x:v>2025-05-19T00:00:00.000Z</x:v>
      </x:c>
      <x:c r="C309" s="38" t="n">
        <x:v>0.2082038812</x:v>
      </x:c>
      <x:c r="D309" s="38" t="n">
        <x:v>0.0157460256</x:v>
      </x:c>
      <x:c r="E309" s="38" t="n">
        <x:v>-0.098308994</x:v>
      </x:c>
      <x:c r="F309" s="38" t="n">
        <x:v>-0.0528191821</x:v>
      </x:c>
      <x:c r="G309" s="38" t="n">
        <x:v>0.1499432937</x:v>
      </x:c>
      <x:c r="H309" s="38" t="n">
        <x:v>-0.0837175586</x:v>
      </x:c>
      <x:c r="I309" s="38" t="n">
        <x:v>-0.0481964503</x:v>
      </x:c>
      <x:c r="J309" s="38" t="n">
        <x:v>0.0905405993</x:v>
      </x:c>
      <x:c r="K309" s="38" t="n">
        <x:v>0.0965496012</x:v>
      </x:c>
      <x:c r="L309" s="38" t="n">
        <x:v>0.1470950699</x:v>
      </x:c>
      <x:c r="M309" s="38" t="n">
        <x:v>0.2131625111</x:v>
      </x:c>
      <x:c r="N309" s="38" t="n">
        <x:v>0.1289705233</x:v>
      </x:c>
      <x:c r="O309" s="38" t="n">
        <x:v>0.033643908</x:v>
      </x:c>
      <x:c r="P309" s="38" t="n">
        <x:v>0.0712614838</x:v>
      </x:c>
      <x:c r="Q309" s="38" t="n">
        <x:v>-0.0448701684</x:v>
      </x:c>
      <x:c r="R309" s="38" t="n">
        <x:v>-0.2333427017</x:v>
      </x:c>
      <x:c r="S309" s="38" t="n">
        <x:v>0.0401880569</x:v>
      </x:c>
      <x:c r="T309" s="38" t="n">
        <x:v>0.1827667963</x:v>
      </x:c>
      <x:c r="U309" s="38" t="n">
        <x:v>-0.0839630006</x:v>
      </x:c>
      <x:c r="V309" s="38" t="n">
        <x:v>0.0735530068</x:v>
      </x:c>
      <x:c r="W309" s="38" t="n">
        <x:v>0.0471715184</x:v>
      </x:c>
      <x:c r="X309" s="38" t="n">
        <x:v>-0.0534384167</x:v>
      </x:c>
      <x:c r="Y309" s="38" t="n">
        <x:v>0.006064057</x:v>
      </x:c>
      <x:c r="Z309" s="38" t="n">
        <x:v>-0.0770003033</x:v>
      </x:c>
      <x:c r="AA309" s="38" t="n">
        <x:v>0.0135127288</x:v>
      </x:c>
      <x:c r="AB309" s="38" t="n">
        <x:v>0.2132219186</x:v>
      </x:c>
      <x:c r="AC309" s="38" t="n">
        <x:v>-0.3475303953</x:v>
      </x:c>
      <x:c r="AD309" s="38" t="n">
        <x:v>-0.0530260089</x:v>
      </x:c>
      <x:c r="AE309" s="38" t="n">
        <x:v>-0.0317857174</x:v>
      </x:c>
      <x:c r="AF309" s="38" t="n">
        <x:v>-0.0065758824</x:v>
      </x:c>
      <x:c r="AG309" s="38" t="n">
        <x:v>0.0491405139</x:v>
      </x:c>
      <x:c r="AH309" s="38" t="n">
        <x:v>-0.0282878614</x:v>
      </x:c>
      <x:c r="AI309" s="38" t="n">
        <x:v>-0.0457940039</x:v>
      </x:c>
      <x:c r="AJ309" s="38" t="n">
        <x:v>-0.32800137</x:v>
      </x:c>
      <x:c r="AK309" s="38" t="n">
        <x:v>-0.0379548483</x:v>
      </x:c>
      <x:c r="AL309" s="38" t="n">
        <x:v>0.032928002</x:v>
      </x:c>
      <x:c r="AM309" s="38" t="n">
        <x:v>0.0789910532</x:v>
      </x:c>
      <x:c r="AN309" s="38" t="n">
        <x:v>-0.0106878946</x:v>
      </x:c>
      <x:c r="AO309" s="38" t="n">
        <x:v>-0.0836743446</x:v>
      </x:c>
      <x:c r="AP309" s="38" t="n">
        <x:v>-0.0822138265</x:v>
      </x:c>
      <x:c r="AQ309" s="38" t="n">
        <x:v>-0.0704973002</x:v>
      </x:c>
      <x:c r="AR309" s="38" t="n">
        <x:v>-0.0522423089</x:v>
      </x:c>
      <x:c r="AS309" s="38" t="n">
        <x:v>-0.0931629546</x:v>
      </x:c>
    </x:row>
    <x:row r="310" ht="19" customHeight="1">
      <x:c r="A310" s="29" t="str">
        <x:v>SPY</x:v>
      </x:c>
      <x:c r="B310" s="39" t="d">
        <x:v>2025-06-16T00:00:00.000Z</x:v>
      </x:c>
      <x:c r="C310" s="38" t="n">
        <x:v>0.1572564477</x:v>
      </x:c>
      <x:c r="D310" s="38" t="n">
        <x:v>0.0015586964</x:v>
      </x:c>
      <x:c r="E310" s="38" t="n">
        <x:v>-0.0270579496</x:v>
      </x:c>
      <x:c r="F310" s="38" t="n">
        <x:v>-0.0544269842</x:v>
      </x:c>
      <x:c r="G310" s="38" t="n">
        <x:v>0.0654277628</x:v>
      </x:c>
      <x:c r="H310" s="38" t="n">
        <x:v>0.0404173356</x:v>
      </x:c>
      <x:c r="I310" s="38" t="n">
        <x:v>-0.0103610996</x:v>
      </x:c>
      <x:c r="J310" s="38" t="n">
        <x:v>-0.004021113</x:v>
      </x:c>
      <x:c r="K310" s="38" t="n">
        <x:v>0.1786781372</x:v>
      </x:c>
      <x:c r="L310" s="38" t="n">
        <x:v>0.09839509</x:v>
      </x:c>
      <x:c r="M310" s="38" t="n">
        <x:v>0.0822387076</x:v>
      </x:c>
      <x:c r="N310" s="38" t="n">
        <x:v>-0.0172900903</x:v>
      </x:c>
      <x:c r="O310" s="38" t="n">
        <x:v>-0.0287396917</x:v>
      </x:c>
      <x:c r="P310" s="38" t="n">
        <x:v>0.2048742899</x:v>
      </x:c>
      <x:c r="Q310" s="38" t="n">
        <x:v>0.0849791861</x:v>
      </x:c>
      <x:c r="R310" s="38" t="n">
        <x:v>-0.0962608598</x:v>
      </x:c>
      <x:c r="S310" s="38" t="n">
        <x:v>-0.0502099274</x:v>
      </x:c>
      <x:c r="T310" s="38" t="n">
        <x:v>0.1003549823</x:v>
      </x:c>
      <x:c r="U310" s="38" t="n">
        <x:v>-0.0206469861</x:v>
      </x:c>
      <x:c r="V310" s="38" t="n">
        <x:v>0.0323446302</x:v>
      </x:c>
      <x:c r="W310" s="38" t="n">
        <x:v>-0.0091263585</x:v>
      </x:c>
      <x:c r="X310" s="38" t="n">
        <x:v>0.0003400717</x:v>
      </x:c>
      <x:c r="Y310" s="38" t="n">
        <x:v>0.3480027491</x:v>
      </x:c>
      <x:c r="Z310" s="38" t="n">
        <x:v>0.1105728641</x:v>
      </x:c>
      <x:c r="AA310" s="38" t="n">
        <x:v>-0.0906201646</x:v>
      </x:c>
      <x:c r="AB310" s="38" t="n">
        <x:v>0.066808554</x:v>
      </x:c>
      <x:c r="AC310" s="38" t="n">
        <x:v>0.2286861412</x:v>
      </x:c>
      <x:c r="AD310" s="38" t="n">
        <x:v>-0.0308121382</x:v>
      </x:c>
      <x:c r="AE310" s="38" t="n">
        <x:v>-0.0006642994</x:v>
      </x:c>
      <x:c r="AF310" s="38" t="n">
        <x:v>-0.0125896458</x:v>
      </x:c>
      <x:c r="AG310" s="38" t="n">
        <x:v>-0.0444452628</x:v>
      </x:c>
      <x:c r="AH310" s="38" t="n">
        <x:v>0.0684464229</x:v>
      </x:c>
      <x:c r="AI310" s="38" t="n">
        <x:v>0.0644500531</x:v>
      </x:c>
      <x:c r="AJ310" s="38" t="n">
        <x:v>0.0536242805</x:v>
      </x:c>
      <x:c r="AK310" s="38" t="n">
        <x:v>-0.0107373915</x:v>
      </x:c>
      <x:c r="AL310" s="38" t="n">
        <x:v>-0.1030847098</x:v>
      </x:c>
      <x:c r="AM310" s="38" t="n">
        <x:v>0.0092080963</x:v>
      </x:c>
      <x:c r="AN310" s="38" t="n">
        <x:v>-0.0918176998</x:v>
      </x:c>
      <x:c r="AO310" s="38" t="n">
        <x:v>-0.0426004228</x:v>
      </x:c>
      <x:c r="AP310" s="38" t="n">
        <x:v>-0.0625044407</x:v>
      </x:c>
      <x:c r="AQ310" s="38" t="n">
        <x:v>-0.0599103166</x:v>
      </x:c>
      <x:c r="AR310" s="38" t="n">
        <x:v>-0.0269377948</x:v>
      </x:c>
      <x:c r="AS310" s="38" t="n">
        <x:v>-0.0804397672</x:v>
      </x:c>
    </x:row>
    <x:row r="311" ht="19" customHeight="1">
      <x:c r="A311" s="29" t="str">
        <x:v>SPY</x:v>
      </x:c>
      <x:c r="B311" s="39" t="d">
        <x:v>2025-07-14T00:00:00.000Z</x:v>
      </x:c>
      <x:c r="C311" s="38" t="n">
        <x:v>-0.0367536958</x:v>
      </x:c>
      <x:c r="D311" s="38" t="n">
        <x:v>-0.2178698474</x:v>
      </x:c>
      <x:c r="E311" s="38" t="n">
        <x:v>0.0573122091</x:v>
      </x:c>
      <x:c r="F311" s="38" t="n">
        <x:v>0.051471371</x:v>
      </x:c>
      <x:c r="G311" s="38" t="n">
        <x:v>-0.0180656817</x:v>
      </x:c>
      <x:c r="H311" s="38" t="n">
        <x:v>-0.0226331997</x:v>
      </x:c>
      <x:c r="I311" s="38" t="n">
        <x:v>0.0224934903</x:v>
      </x:c>
      <x:c r="J311" s="38" t="n">
        <x:v>-0.0270691484</x:v>
      </x:c>
      <x:c r="K311" s="38" t="n">
        <x:v>0.0096647227</x:v>
      </x:c>
      <x:c r="L311" s="38" t="n">
        <x:v>0.024041568</x:v>
      </x:c>
      <x:c r="M311" s="38" t="n">
        <x:v>-0.0454948849</x:v>
      </x:c>
      <x:c r="N311" s="38" t="n">
        <x:v>0.02101894</x:v>
      </x:c>
      <x:c r="O311" s="38" t="n">
        <x:v>-0.0014641962</x:v>
      </x:c>
      <x:c r="P311" s="38" t="n">
        <x:v>0.0148456034</x:v>
      </x:c>
      <x:c r="Q311" s="38" t="n">
        <x:v>-0.0925143759</x:v>
      </x:c>
      <x:c r="R311" s="38" t="n">
        <x:v>-0.0173376824</x:v>
      </x:c>
      <x:c r="S311" s="38" t="n">
        <x:v>-0.0029307148</x:v>
      </x:c>
      <x:c r="T311" s="38" t="n">
        <x:v>0.0619876979</x:v>
      </x:c>
      <x:c r="U311" s="38" t="n">
        <x:v>0.1869276718</x:v>
      </x:c>
      <x:c r="V311" s="38" t="n">
        <x:v>-0.0901726383</x:v>
      </x:c>
      <x:c r="W311" s="38" t="n">
        <x:v>-0.098707102</x:v>
      </x:c>
      <x:c r="X311" s="38" t="n">
        <x:v>0.0070849135</x:v>
      </x:c>
      <x:c r="Y311" s="38" t="n">
        <x:v>-0.2810601717</x:v>
      </x:c>
      <x:c r="Z311" s="38" t="n">
        <x:v>-0.0466954483</x:v>
      </x:c>
      <x:c r="AA311" s="38" t="n">
        <x:v>-0.1013755041</x:v>
      </x:c>
      <x:c r="AB311" s="38" t="n">
        <x:v>0.2194515107</x:v>
      </x:c>
      <x:c r="AC311" s="38" t="n">
        <x:v>0.3586990307</x:v>
      </x:c>
      <x:c r="AD311" s="38" t="n">
        <x:v>-0.0602490095</x:v>
      </x:c>
      <x:c r="AE311" s="38" t="n">
        <x:v>-0.0285040621</x:v>
      </x:c>
      <x:c r="AF311" s="38" t="n">
        <x:v>0.1107779603</x:v>
      </x:c>
      <x:c r="AG311" s="38" t="n">
        <x:v>0.1245178247</x:v>
      </x:c>
      <x:c r="AH311" s="38" t="n">
        <x:v>0.104868113</x:v>
      </x:c>
      <x:c r="AI311" s="38" t="n">
        <x:v>0.1256146338</x:v>
      </x:c>
      <x:c r="AJ311" s="38" t="n">
        <x:v>-0.0343071298</x:v>
      </x:c>
      <x:c r="AK311" s="38" t="n">
        <x:v>0.0102981723</x:v>
      </x:c>
      <x:c r="AL311" s="38" t="n">
        <x:v>-0.1861838385</x:v>
      </x:c>
      <x:c r="AM311" s="38" t="n">
        <x:v>0.0204549791</x:v>
      </x:c>
      <x:c r="AN311" s="38" t="n">
        <x:v>0.050022495</x:v>
      </x:c>
      <x:c r="AO311" s="38" t="n">
        <x:v>-0.0687918565</x:v>
      </x:c>
      <x:c r="AP311" s="38" t="n">
        <x:v>-0.0082842344</x:v>
      </x:c>
      <x:c r="AQ311" s="38" t="n">
        <x:v>0.0031531251</x:v>
      </x:c>
      <x:c r="AR311" s="38" t="n">
        <x:v>0.1124756028</x:v>
      </x:c>
      <x:c r="AS311" s="38" t="n">
        <x:v>-0.0665888946</x:v>
      </x:c>
    </x:row>
    <x:row r="312" ht="19" customHeight="1">
      <x:c r="A312" s="29" t="str">
        <x:v>SPY</x:v>
      </x:c>
      <x:c r="B312" s="39" t="d">
        <x:v>2025-08-11T00:00:00.000Z</x:v>
      </x:c>
      <x:c r="C312" s="38" t="n">
        <x:v>-0.0202064806</x:v>
      </x:c>
      <x:c r="D312" s="38" t="n">
        <x:v>-0.1313909351</x:v>
      </x:c>
      <x:c r="E312" s="38" t="n">
        <x:v>0.0524412306</x:v>
      </x:c>
      <x:c r="F312" s="38" t="n">
        <x:v>0.029217394</x:v>
      </x:c>
      <x:c r="G312" s="38" t="n">
        <x:v>-0.0985844719</x:v>
      </x:c>
      <x:c r="H312" s="38" t="n">
        <x:v>-0.2856744466</x:v>
      </x:c>
      <x:c r="I312" s="38" t="n">
        <x:v>-0.0214899311</x:v>
      </x:c>
      <x:c r="J312" s="38" t="n">
        <x:v>0.2140596982</x:v>
      </x:c>
      <x:c r="K312" s="38" t="n">
        <x:v>0.0090749394</x:v>
      </x:c>
      <x:c r="L312" s="38" t="n">
        <x:v>-0.1067147209</x:v>
      </x:c>
      <x:c r="M312" s="38" t="n">
        <x:v>-0.0932559014</x:v>
      </x:c>
      <x:c r="N312" s="38" t="n">
        <x:v>-0.0338456689</x:v>
      </x:c>
      <x:c r="O312" s="38" t="n">
        <x:v>0.005281722</x:v>
      </x:c>
      <x:c r="P312" s="38" t="n">
        <x:v>0.1147445996</x:v>
      </x:c>
      <x:c r="Q312" s="38" t="n">
        <x:v>0.1886420321</x:v>
      </x:c>
      <x:c r="R312" s="38" t="n">
        <x:v>0.0099842453</x:v>
      </x:c>
      <x:c r="S312" s="38" t="n">
        <x:v>-0.015995276</x:v>
      </x:c>
      <x:c r="T312" s="38" t="n">
        <x:v>-0.0364463091</x:v>
      </x:c>
      <x:c r="U312" s="38" t="n">
        <x:v>-0.1421840765</x:v>
      </x:c>
      <x:c r="V312" s="38" t="n">
        <x:v>-0.0771429278</x:v>
      </x:c>
      <x:c r="W312" s="38" t="n">
        <x:v>-0.00702666</x:v>
      </x:c>
      <x:c r="X312" s="38" t="n">
        <x:v>-0.0511664393</x:v>
      </x:c>
      <x:c r="Y312" s="38" t="n">
        <x:v>0.0506623454</x:v>
      </x:c>
      <x:c r="Z312" s="38" t="n">
        <x:v>0.2561627427</x:v>
      </x:c>
      <x:c r="AA312" s="38" t="n">
        <x:v>-0.0129955707</x:v>
      </x:c>
      <x:c r="AB312" s="38" t="n">
        <x:v>0.1063404648</x:v>
      </x:c>
      <x:c r="AC312" s="38" t="n">
        <x:v>-0.3436110145</x:v>
      </x:c>
      <x:c r="AD312" s="38" t="n">
        <x:v>-0.0296352065</x:v>
      </x:c>
      <x:c r="AE312" s="38" t="n">
        <x:v>0.0383262845</x:v>
      </x:c>
      <x:c r="AF312" s="38" t="n">
        <x:v>-0.0546104805</x:v>
      </x:c>
      <x:c r="AG312" s="38" t="n">
        <x:v>0.0148369764</x:v>
      </x:c>
      <x:c r="AH312" s="38" t="n">
        <x:v>0.0742517417</x:v>
      </x:c>
      <x:c r="AI312" s="38" t="n">
        <x:v>0.0645462123</x:v>
      </x:c>
      <x:c r="AJ312" s="38" t="n">
        <x:v>-0.1626825269</x:v>
      </x:c>
      <x:c r="AK312" s="38" t="n">
        <x:v>0.018821346</x:v>
      </x:c>
      <x:c r="AL312" s="38" t="n">
        <x:v>-0.1963099282</x:v>
      </x:c>
      <x:c r="AM312" s="38" t="n">
        <x:v>-0.0227575537</x:v>
      </x:c>
      <x:c r="AN312" s="38" t="n">
        <x:v>0.0961864592</x:v>
      </x:c>
      <x:c r="AO312" s="38" t="n">
        <x:v>0.0102562682</x:v>
      </x:c>
      <x:c r="AP312" s="38" t="n">
        <x:v>0.1204829512</x:v>
      </x:c>
      <x:c r="AQ312" s="38" t="n">
        <x:v>-0.0171872306</x:v>
      </x:c>
      <x:c r="AR312" s="38" t="n">
        <x:v>0.0910828348</x:v>
      </x:c>
      <x:c r="AS312" s="38" t="n">
        <x:v>-0.0128317443</x:v>
      </x:c>
    </x:row>
    <x:row r="313" ht="19" customHeight="1">
      <x:c r="A313" s="29" t="str">
        <x:v>SPY</x:v>
      </x:c>
      <x:c r="B313" s="39" t="d">
        <x:v>2025-09-08T00:00:00.000Z</x:v>
      </x:c>
      <x:c r="C313" s="38" t="n">
        <x:v>0.0390213663</x:v>
      </x:c>
      <x:c r="D313" s="38" t="n">
        <x:v>-0.2460022645</x:v>
      </x:c>
      <x:c r="E313" s="38" t="n">
        <x:v>-0.0337249586</x:v>
      </x:c>
      <x:c r="F313" s="38" t="n">
        <x:v>-0.0028562724</x:v>
      </x:c>
      <x:c r="G313" s="38" t="n">
        <x:v>-0.0013730127</x:v>
      </x:c>
      <x:c r="H313" s="38" t="n">
        <x:v>-0.215358212</x:v>
      </x:c>
      <x:c r="I313" s="38" t="n">
        <x:v>-0.0550710524</x:v>
      </x:c>
      <x:c r="J313" s="38" t="n">
        <x:v>0.0374130351</x:v>
      </x:c>
      <x:c r="K313" s="38" t="n">
        <x:v>0.21046249</x:v>
      </x:c>
      <x:c r="L313" s="38" t="n">
        <x:v>0.162969909</x:v>
      </x:c>
      <x:c r="M313" s="38" t="n">
        <x:v>0.0102574536</x:v>
      </x:c>
      <x:c r="N313" s="38" t="n">
        <x:v>-0.0296082743</x:v>
      </x:c>
      <x:c r="O313" s="38" t="n">
        <x:v>0.015376338</x:v>
      </x:c>
      <x:c r="P313" s="38" t="n">
        <x:v>0.2212780152</x:v>
      </x:c>
      <x:c r="Q313" s="38" t="n">
        <x:v>-0.0379521269</x:v>
      </x:c>
      <x:c r="R313" s="38" t="n">
        <x:v>0.1427211762</x:v>
      </x:c>
      <x:c r="S313" s="38" t="n">
        <x:v>-0.0542363531</x:v>
      </x:c>
      <x:c r="T313" s="38" t="n">
        <x:v>0.0821677924</x:v>
      </x:c>
      <x:c r="U313" s="38" t="n">
        <x:v>-0.2929877882</x:v>
      </x:c>
      <x:c r="V313" s="38" t="n">
        <x:v>0.037708581</x:v>
      </x:c>
      <x:c r="W313" s="38" t="n">
        <x:v>-0.0841701453</x:v>
      </x:c>
      <x:c r="X313" s="38" t="n">
        <x:v>0.00002111</x:v>
      </x:c>
      <x:c r="Y313" s="38" t="n">
        <x:v>0.2157631098</x:v>
      </x:c>
      <x:c r="Z313" s="38" t="n">
        <x:v>0.1108863447</x:v>
      </x:c>
      <x:c r="AA313" s="38" t="n">
        <x:v>-0.001325224</x:v>
      </x:c>
      <x:c r="AB313" s="38" t="n">
        <x:v>-0.1593234082</x:v>
      </x:c>
      <x:c r="AC313" s="38" t="n">
        <x:v>-0.0586492623</x:v>
      </x:c>
      <x:c r="AD313" s="38" t="n">
        <x:v>0.034613124</x:v>
      </x:c>
      <x:c r="AE313" s="38" t="n">
        <x:v>-0.042648995</x:v>
      </x:c>
      <x:c r="AF313" s="38" t="n">
        <x:v>0.1657558099</x:v>
      </x:c>
      <x:c r="AG313" s="38" t="n">
        <x:v>-0.1420930116</x:v>
      </x:c>
      <x:c r="AH313" s="38" t="n">
        <x:v>0.0131104368</x:v>
      </x:c>
      <x:c r="AI313" s="38" t="n">
        <x:v>-0.2364843869</x:v>
      </x:c>
      <x:c r="AJ313" s="38" t="n">
        <x:v>0.0721960843</x:v>
      </x:c>
      <x:c r="AK313" s="38" t="n">
        <x:v>-0.0003513668</x:v>
      </x:c>
      <x:c r="AL313" s="38" t="n">
        <x:v>0.0640936816</x:v>
      </x:c>
      <x:c r="AM313" s="38" t="n">
        <x:v>-0.0601196529</x:v>
      </x:c>
      <x:c r="AN313" s="38" t="n">
        <x:v>0.1348773523</x:v>
      </x:c>
      <x:c r="AO313" s="38" t="n">
        <x:v>-0.006193262</x:v>
      </x:c>
      <x:c r="AP313" s="38" t="n">
        <x:v>0.0840625336</x:v>
      </x:c>
      <x:c r="AQ313" s="38" t="n">
        <x:v>-0.0614670229</x:v>
      </x:c>
      <x:c r="AR313" s="38" t="n">
        <x:v>0.0164938758</x:v>
      </x:c>
      <x:c r="AS313" s="38" t="n">
        <x:v>0.03024313</x:v>
      </x:c>
    </x:row>
    <x:row r="314" ht="19" customHeight="1">
      <x:c r="A314" s="29" t="str">
        <x:v>SPY</x:v>
      </x:c>
      <x:c r="B314" s="39" t="d">
        <x:v>2025-10-06T00:00:00.000Z</x:v>
      </x:c>
      <x:c r="C314" s="38" t="n">
        <x:v>-0.0955921235</x:v>
      </x:c>
      <x:c r="D314" s="38" t="n">
        <x:v>0.0201443397</x:v>
      </x:c>
      <x:c r="E314" s="38" t="n">
        <x:v>0.1158873086</x:v>
      </x:c>
      <x:c r="F314" s="38" t="n">
        <x:v>0.0675577887</x:v>
      </x:c>
      <x:c r="G314" s="38" t="n">
        <x:v>-0.0343370407</x:v>
      </x:c>
      <x:c r="H314" s="38" t="n">
        <x:v>0.0712751113</x:v>
      </x:c>
      <x:c r="I314" s="38" t="n">
        <x:v>-0.0482771596</x:v>
      </x:c>
      <x:c r="J314" s="38" t="n">
        <x:v>0.1086406149</x:v>
      </x:c>
      <x:c r="K314" s="38" t="n">
        <x:v>0.1749581687</x:v>
      </x:c>
      <x:c r="L314" s="38" t="n">
        <x:v>-0.0181142874</x:v>
      </x:c>
      <x:c r="M314" s="38" t="n">
        <x:v>0.013401835</x:v>
      </x:c>
      <x:c r="N314" s="38" t="n">
        <x:v>0.085559227</x:v>
      </x:c>
      <x:c r="O314" s="38" t="n">
        <x:v>-0.0370999079</x:v>
      </x:c>
      <x:c r="P314" s="38" t="n">
        <x:v>0.236065915</x:v>
      </x:c>
      <x:c r="Q314" s="38" t="n">
        <x:v>0.1042874748</x:v>
      </x:c>
      <x:c r="R314" s="38" t="n">
        <x:v>0.0647783985</x:v>
      </x:c>
      <x:c r="S314" s="38" t="n">
        <x:v>0.0625590887</x:v>
      </x:c>
      <x:c r="T314" s="38" t="n">
        <x:v>-0.0605643078</x:v>
      </x:c>
      <x:c r="U314" s="38" t="n">
        <x:v>0.2301108094</x:v>
      </x:c>
      <x:c r="V314" s="38" t="n">
        <x:v>-0.0534924967</x:v>
      </x:c>
      <x:c r="W314" s="38" t="n">
        <x:v>0.0720670698</x:v>
      </x:c>
      <x:c r="X314" s="38" t="n">
        <x:v>-0.0966773265</x:v>
      </x:c>
      <x:c r="Y314" s="38" t="n">
        <x:v>0.2072737486</x:v>
      </x:c>
      <x:c r="Z314" s="38" t="n">
        <x:v>0.139674826</x:v>
      </x:c>
      <x:c r="AA314" s="38" t="n">
        <x:v>-0.0396207297</x:v>
      </x:c>
      <x:c r="AB314" s="38" t="n">
        <x:v>0.5706407256</x:v>
      </x:c>
      <x:c r="AC314" s="38" t="n">
        <x:v>-0.2995555341</x:v>
      </x:c>
      <x:c r="AD314" s="38" t="n">
        <x:v>-0.0472825962</x:v>
      </x:c>
      <x:c r="AE314" s="38" t="n">
        <x:v>0.0069282952</x:v>
      </x:c>
      <x:c r="AF314" s="38" t="n">
        <x:v>-0.0180561084</x:v>
      </x:c>
      <x:c r="AG314" s="38" t="n">
        <x:v>0.0322784524</x:v>
      </x:c>
      <x:c r="AH314" s="38" t="n">
        <x:v>0.0533835833</x:v>
      </x:c>
      <x:c r="AI314" s="38" t="n">
        <x:v>0.4669838869</x:v>
      </x:c>
      <x:c r="AJ314" s="38" t="n">
        <x:v>0.1225435776</x:v>
      </x:c>
      <x:c r="AK314" s="38" t="n">
        <x:v>-0.0225749796</x:v>
      </x:c>
      <x:c r="AL314" s="38" t="n">
        <x:v>0.2399762731</x:v>
      </x:c>
      <x:c r="AM314" s="38" t="n">
        <x:v>0.03126426</x:v>
      </x:c>
      <x:c r="AN314" s="38" t="n">
        <x:v>-0.039397922</x:v>
      </x:c>
      <x:c r="AO314" s="38" t="n">
        <x:v>-0.0267666781</x:v>
      </x:c>
      <x:c r="AP314" s="38" t="n">
        <x:v>-0.1211403417</x:v>
      </x:c>
      <x:c r="AQ314" s="38" t="n">
        <x:v>0.0337635581</x:v>
      </x:c>
      <x:c r="AR314" s="38" t="n">
        <x:v>0.1022467297</x:v>
      </x:c>
      <x:c r="AS314" s="38" t="n">
        <x:v>-0.0088217714</x:v>
      </x:c>
    </x:row>
    <x:row r="315" ht="19" customHeight="1">
      <x:c r="A315" s="29" t="str">
        <x:v>SPY</x:v>
      </x:c>
      <x:c r="B315" s="39" t="d">
        <x:v>2025-11-03T00:00:00.000Z</x:v>
      </x:c>
      <x:c r="C315" s="38" t="n">
        <x:v>-0.0991534722</x:v>
      </x:c>
      <x:c r="D315" s="38" t="n">
        <x:v>0.3373287044</x:v>
      </x:c>
      <x:c r="E315" s="38" t="n">
        <x:v>0.049472856</x:v>
      </x:c>
      <x:c r="F315" s="38" t="n">
        <x:v>0.0045664619</x:v>
      </x:c>
      <x:c r="G315" s="38" t="n">
        <x:v>0.0013596347</x:v>
      </x:c>
      <x:c r="H315" s="38" t="n">
        <x:v>-0.3864155377</x:v>
      </x:c>
      <x:c r="I315" s="38" t="n">
        <x:v>0.1546223837</x:v>
      </x:c>
      <x:c r="J315" s="38" t="n">
        <x:v>0.1322358084</x:v>
      </x:c>
      <x:c r="K315" s="38" t="n">
        <x:v>0.2906169122</x:v>
      </x:c>
      <x:c r="L315" s="38" t="n">
        <x:v>0.1254511623</x:v>
      </x:c>
      <x:c r="M315" s="38" t="n">
        <x:v>-0.0657772154</x:v>
      </x:c>
      <x:c r="N315" s="38" t="n">
        <x:v>-0.050111116</x:v>
      </x:c>
      <x:c r="O315" s="38" t="n">
        <x:v>-0.2576035058</x:v>
      </x:c>
      <x:c r="P315" s="38" t="n">
        <x:v>0.4021149325</x:v>
      </x:c>
      <x:c r="Q315" s="38" t="n">
        <x:v>-0.096174246</x:v>
      </x:c>
      <x:c r="R315" s="38" t="n">
        <x:v>0.3404757773</x:v>
      </x:c>
      <x:c r="S315" s="38" t="n">
        <x:v>0.0259743097</x:v>
      </x:c>
      <x:c r="T315" s="38" t="n">
        <x:v>0.0877624028</x:v>
      </x:c>
      <x:c r="U315" s="38" t="n">
        <x:v>-0.1466467687</x:v>
      </x:c>
      <x:c r="V315" s="38" t="n">
        <x:v>-0.2604561751</x:v>
      </x:c>
      <x:c r="W315" s="38" t="n">
        <x:v>-0.1576412515</x:v>
      </x:c>
      <x:c r="X315" s="38" t="n">
        <x:v>-0.0930588323</x:v>
      </x:c>
      <x:c r="Y315" s="38" t="n">
        <x:v>0.294337129</x:v>
      </x:c>
      <x:c r="Z315" s="38" t="n">
        <x:v>-0.0073005171</x:v>
      </x:c>
      <x:c r="AA315" s="38" t="n">
        <x:v>-0.1522441854</x:v>
      </x:c>
      <x:c r="AB315" s="38" t="n">
        <x:v>0.1560649804</x:v>
      </x:c>
      <x:c r="AC315" s="38" t="n">
        <x:v>-0.2894597676</x:v>
      </x:c>
      <x:c r="AD315" s="38" t="n">
        <x:v>-0.0263692431</x:v>
      </x:c>
      <x:c r="AE315" s="38" t="n">
        <x:v>0.2029439668</x:v>
      </x:c>
      <x:c r="AF315" s="38" t="n">
        <x:v>-0.1208932065</x:v>
      </x:c>
      <x:c r="AG315" s="38" t="n">
        <x:v>-0.1291424041</x:v>
      </x:c>
      <x:c r="AH315" s="38" t="n">
        <x:v>0.1464665829</x:v>
      </x:c>
      <x:c r="AI315" s="38" t="n">
        <x:v>0.0771003067</x:v>
      </x:c>
      <x:c r="AJ315" s="38" t="n">
        <x:v>0.1132758611</x:v>
      </x:c>
      <x:c r="AK315" s="38" t="n">
        <x:v>0.177379082</x:v>
      </x:c>
      <x:c r="AL315" s="38" t="n">
        <x:v>0.3208036115</x:v>
      </x:c>
      <x:c r="AM315" s="38" t="n">
        <x:v>-0.0511525456</x:v>
      </x:c>
      <x:c r="AN315" s="38" t="n">
        <x:v>0.2195662751</x:v>
      </x:c>
      <x:c r="AO315" s="38" t="n">
        <x:v>-0.025942662</x:v>
      </x:c>
      <x:c r="AP315" s="38" t="n">
        <x:v>-0.0281249756</x:v>
      </x:c>
      <x:c r="AQ315" s="38" t="n">
        <x:v>0.0697649459</x:v>
      </x:c>
      <x:c r="AR315" s="38" t="n">
        <x:v>-0.0364724565</x:v>
      </x:c>
      <x:c r="AS315" s="38" t="n">
        <x:v>0.0157173664</x:v>
      </x:c>
    </x:row>
    <x:row r="316" ht="19" customHeight="1">
      <x:c r="A316" s="29" t="str">
        <x:v>SPY</x:v>
      </x:c>
      <x:c r="B316" s="39" t="d">
        <x:v>2025-12-01T00:00:00.000Z</x:v>
      </x:c>
      <x:c r="C316" s="38" t="n">
        <x:v>-0.2421436017</x:v>
      </x:c>
      <x:c r="D316" s="38" t="n">
        <x:v>0.0463182125</x:v>
      </x:c>
      <x:c r="E316" s="38" t="n">
        <x:v>-0.0565222565</x:v>
      </x:c>
      <x:c r="F316" s="38" t="n">
        <x:v>-0.0572405674</x:v>
      </x:c>
      <x:c r="G316" s="38" t="n">
        <x:v>-0.1032879333</x:v>
      </x:c>
      <x:c r="H316" s="38" t="n">
        <x:v>0.101344594</x:v>
      </x:c>
      <x:c r="I316" s="38" t="n">
        <x:v>-0.1344082978</x:v>
      </x:c>
      <x:c r="J316" s="38" t="n">
        <x:v>-0.035365861</x:v>
      </x:c>
      <x:c r="K316" s="38" t="n">
        <x:v>-0.1802978044</x:v>
      </x:c>
      <x:c r="L316" s="38" t="n">
        <x:v>-0.0301709744</x:v>
      </x:c>
      <x:c r="M316" s="38" t="n">
        <x:v>-0.0691267543</x:v>
      </x:c>
      <x:c r="N316" s="38" t="n">
        <x:v>0.0300640878</x:v>
      </x:c>
      <x:c r="O316" s="38" t="n">
        <x:v>0.0914191689</x:v>
      </x:c>
      <x:c r="P316" s="38" t="n">
        <x:v>-0.1171390114</x:v>
      </x:c>
      <x:c r="Q316" s="38" t="n">
        <x:v>0.0320879376</x:v>
      </x:c>
      <x:c r="R316" s="38" t="n">
        <x:v>-0.0901924156</x:v>
      </x:c>
      <x:c r="S316" s="38" t="n">
        <x:v>-0.0457090455</x:v>
      </x:c>
      <x:c r="T316" s="38" t="n">
        <x:v>-0.2654183357</x:v>
      </x:c>
      <x:c r="U316" s="38" t="n">
        <x:v>0.1309218149</x:v>
      </x:c>
      <x:c r="V316" s="38" t="n">
        <x:v>-0.1224323124</x:v>
      </x:c>
      <x:c r="W316" s="38" t="n">
        <x:v>-0.1783835046</x:v>
      </x:c>
      <x:c r="X316" s="38" t="n">
        <x:v>-0.0153112147</x:v>
      </x:c>
      <x:c r="Y316" s="38" t="n">
        <x:v>-0.1791056696</x:v>
      </x:c>
      <x:c r="Z316" s="38" t="n">
        <x:v>-0.0257351945</x:v>
      </x:c>
      <x:c r="AA316" s="38" t="n">
        <x:v>0.0177931212</x:v>
      </x:c>
      <x:c r="AB316" s="38" t="n">
        <x:v>0.0032141649</x:v>
      </x:c>
      <x:c r="AC316" s="38" t="n">
        <x:v>0.2335617229</x:v>
      </x:c>
      <x:c r="AD316" s="38" t="n">
        <x:v>-0.0502030791</x:v>
      </x:c>
      <x:c r="AE316" s="38" t="n">
        <x:v>-0.1164551497</x:v>
      </x:c>
      <x:c r="AF316" s="38" t="n">
        <x:v>-0.0618167421</x:v>
      </x:c>
      <x:c r="AG316" s="38" t="n">
        <x:v>0.0032697687</x:v>
      </x:c>
      <x:c r="AH316" s="38" t="n">
        <x:v>-0.0827743046</x:v>
      </x:c>
      <x:c r="AI316" s="38" t="n">
        <x:v>-0.1923582697</x:v>
      </x:c>
      <x:c r="AJ316" s="38" t="n">
        <x:v>0.0993094492</x:v>
      </x:c>
      <x:c r="AK316" s="38" t="n">
        <x:v>0.0358129277</x:v>
      </x:c>
      <x:c r="AL316" s="38" t="n">
        <x:v>-0.213534331</x:v>
      </x:c>
      <x:c r="AM316" s="38" t="n">
        <x:v>-0.0809097497</x:v>
      </x:c>
      <x:c r="AN316" s="38" t="n">
        <x:v>0.1114390469</x:v>
      </x:c>
      <x:c r="AO316" s="38" t="n">
        <x:v>-0.073354402</x:v>
      </x:c>
      <x:c r="AP316" s="38" t="n">
        <x:v>-0.0855182549</x:v>
      </x:c>
      <x:c r="AQ316" s="38" t="n">
        <x:v>-0.0242802596</x:v>
      </x:c>
      <x:c r="AR316" s="38" t="n">
        <x:v>0.1079662546</x:v>
      </x:c>
      <x:c r="AS316" s="38" t="n">
        <x:v>-0.0067091209</x:v>
      </x:c>
    </x:row>
    <x:row r="317" ht="19" customHeight="1">
      <x:c r="A317" s="29" t="str">
        <x:v>SPY</x:v>
      </x:c>
      <x:c r="B317" s="39" t="d">
        <x:v>2025-12-29T00:00:00.000Z</x:v>
      </x:c>
      <x:c r="C317" s="38" t="n">
        <x:v>-0.0275749816</x:v>
      </x:c>
      <x:c r="D317" s="38" t="n">
        <x:v>-0.1005378774</x:v>
      </x:c>
      <x:c r="E317" s="38" t="n">
        <x:v>-0.0482677008</x:v>
      </x:c>
      <x:c r="F317" s="38" t="n">
        <x:v>-0.0156940534</x:v>
      </x:c>
      <x:c r="G317" s="38" t="n">
        <x:v>0.0954143928</x:v>
      </x:c>
      <x:c r="H317" s="38" t="n">
        <x:v>0.1452016654</x:v>
      </x:c>
      <x:c r="I317" s="38" t="n">
        <x:v>-0.0024634637</x:v>
      </x:c>
      <x:c r="J317" s="38" t="n">
        <x:v>-0.0655214465</x:v>
      </x:c>
      <x:c r="K317" s="38" t="n">
        <x:v>-0.0326520494</x:v>
      </x:c>
      <x:c r="L317" s="38" t="n">
        <x:v>-0.1064736928</x:v>
      </x:c>
      <x:c r="M317" s="38" t="n">
        <x:v>-0.028255021</x:v>
      </x:c>
      <x:c r="N317" s="38" t="n">
        <x:v>-0.0108701543</x:v>
      </x:c>
      <x:c r="O317" s="38" t="n">
        <x:v>0.0105973985</x:v>
      </x:c>
      <x:c r="P317" s="38" t="n">
        <x:v>0.0987037159</x:v>
      </x:c>
      <x:c r="Q317" s="38" t="n">
        <x:v>0.0418355749</x:v>
      </x:c>
      <x:c r="R317" s="38" t="n">
        <x:v>0.0160181616</x:v>
      </x:c>
      <x:c r="S317" s="38" t="n">
        <x:v>-0.0246364141</x:v>
      </x:c>
      <x:c r="T317" s="38" t="n">
        <x:v>-0.0224496506</x:v>
      </x:c>
      <x:c r="U317" s="38" t="n">
        <x:v>0.1156645633</x:v>
      </x:c>
      <x:c r="V317" s="38" t="n">
        <x:v>-0.0156864602</x:v>
      </x:c>
      <x:c r="W317" s="38" t="n">
        <x:v>-0.1553095614</x:v>
      </x:c>
      <x:c r="X317" s="38" t="n">
        <x:v>0.093224562</x:v>
      </x:c>
      <x:c r="Y317" s="38" t="n">
        <x:v>0.3564056433</x:v>
      </x:c>
      <x:c r="Z317" s="38" t="n">
        <x:v>0.125736283</x:v>
      </x:c>
      <x:c r="AA317" s="38" t="n">
        <x:v>-0.0039695086</x:v>
      </x:c>
      <x:c r="AB317" s="38" t="n">
        <x:v>-0.1179808979</x:v>
      </x:c>
      <x:c r="AC317" s="38" t="n">
        <x:v>0.0376106198</x:v>
      </x:c>
      <x:c r="AD317" s="38" t="n">
        <x:v>-0.0077531437</x:v>
      </x:c>
      <x:c r="AE317" s="38" t="n">
        <x:v>0.0015447719</x:v>
      </x:c>
      <x:c r="AF317" s="38" t="n">
        <x:v>0.0489474776</x:v>
      </x:c>
      <x:c r="AG317" s="38" t="n">
        <x:v>0.1321707286</x:v>
      </x:c>
      <x:c r="AH317" s="38" t="n">
        <x:v>0.1718583073</x:v>
      </x:c>
      <x:c r="AI317" s="38" t="n">
        <x:v>0.0384606935</x:v>
      </x:c>
      <x:c r="AJ317" s="38" t="n">
        <x:v>0.0803169471</x:v>
      </x:c>
      <x:c r="AK317" s="38" t="n">
        <x:v>-0.1612822654</x:v>
      </x:c>
      <x:c r="AL317" s="38" t="n">
        <x:v>0.0955589802</x:v>
      </x:c>
      <x:c r="AM317" s="38" t="n">
        <x:v>-0.0276499765</x:v>
      </x:c>
      <x:c r="AN317" s="38" t="n">
        <x:v>-0.0059750777</x:v>
      </x:c>
      <x:c r="AO317" s="38" t="n">
        <x:v>-0.0977433434</x:v>
      </x:c>
      <x:c r="AP317" s="38" t="n">
        <x:v>-0.0557332941</x:v>
      </x:c>
      <x:c r="AQ317" s="38" t="n">
        <x:v>-0.0495740009</x:v>
      </x:c>
      <x:c r="AR317" s="38" t="n">
        <x:v>0.0144106418</x:v>
      </x:c>
      <x:c r="AS317" s="38" t="n">
        <x:v>-0.0363183428</x:v>
      </x:c>
    </x:row>
    <x:row r="318" ht="19" customHeight="1">
      <x:c r="A318" s="29" t="str">
        <x:v>SPY</x:v>
      </x:c>
      <x:c r="B318" s="39" t="d">
        <x:v>2026-01-26T00:00:00.000Z</x:v>
      </x:c>
      <x:c r="C318" s="38" t="n">
        <x:v>-0.0981069289</x:v>
      </x:c>
      <x:c r="D318" s="38" t="n">
        <x:v>0.2835001373</x:v>
      </x:c>
      <x:c r="E318" s="38" t="n">
        <x:v>0.0096300953</x:v>
      </x:c>
      <x:c r="F318" s="38" t="n">
        <x:v>0.0148622816</x:v>
      </x:c>
      <x:c r="G318" s="38" t="n">
        <x:v>-0.0266851413</x:v>
      </x:c>
      <x:c r="H318" s="38" t="n">
        <x:v>-0.0114391554</x:v>
      </x:c>
      <x:c r="I318" s="38" t="n">
        <x:v>0.0338660362</x:v>
      </x:c>
      <x:c r="J318" s="38" t="n">
        <x:v>0.0759913675</x:v>
      </x:c>
      <x:c r="K318" s="38" t="n">
        <x:v>0.268165969</x:v>
      </x:c>
      <x:c r="L318" s="38" t="n">
        <x:v>0.1116699363</x:v>
      </x:c>
      <x:c r="M318" s="38" t="n">
        <x:v>0.2526909056</x:v>
      </x:c>
      <x:c r="N318" s="38" t="n">
        <x:v>0.0634967813</x:v>
      </x:c>
      <x:c r="O318" s="38" t="n">
        <x:v>0.0150843894</x:v>
      </x:c>
      <x:c r="P318" s="38" t="n">
        <x:v>0.2111799567</x:v>
      </x:c>
      <x:c r="Q318" s="38" t="n">
        <x:v>0.0618814308</x:v>
      </x:c>
      <x:c r="R318" s="38" t="n">
        <x:v>0.1453155337</x:v>
      </x:c>
      <x:c r="S318" s="38" t="n">
        <x:v>0.069695535</x:v>
      </x:c>
      <x:c r="T318" s="38" t="n">
        <x:v>-0.2104305688</x:v>
      </x:c>
      <x:c r="U318" s="38" t="n">
        <x:v>0.4507538287</x:v>
      </x:c>
      <x:c r="V318" s="38" t="n">
        <x:v>-0.2327949091</x:v>
      </x:c>
      <x:c r="W318" s="38" t="n">
        <x:v>-0.1706317057</x:v>
      </x:c>
      <x:c r="X318" s="38" t="n">
        <x:v>0.0796795971</x:v>
      </x:c>
      <x:c r="Y318" s="38" t="n">
        <x:v>0.1831565415</x:v>
      </x:c>
      <x:c r="Z318" s="38" t="n">
        <x:v>-0.0605367276</x:v>
      </x:c>
      <x:c r="AA318" s="38" t="n">
        <x:v>-0.0611739712</x:v>
      </x:c>
      <x:c r="AB318" s="38" t="n">
        <x:v>0.1344712642</x:v>
      </x:c>
      <x:c r="AC318" s="38" t="n">
        <x:v>-0.330638295</x:v>
      </x:c>
      <x:c r="AD318" s="38" t="n">
        <x:v>0.0647349287</x:v>
      </x:c>
      <x:c r="AE318" s="38" t="n">
        <x:v>-0.0746348454</x:v>
      </x:c>
      <x:c r="AF318" s="38" t="n">
        <x:v>-0.2125749667</x:v>
      </x:c>
      <x:c r="AG318" s="38" t="n">
        <x:v>-0.0554974428</x:v>
      </x:c>
      <x:c r="AH318" s="38" t="n">
        <x:v>0.1668420765</x:v>
      </x:c>
      <x:c r="AI318" s="38" t="n">
        <x:v>-0.0212768626</x:v>
      </x:c>
      <x:c r="AJ318" s="38" t="n">
        <x:v>-0.088565438</x:v>
      </x:c>
      <x:c r="AK318" s="38" t="n">
        <x:v>-0.0861796963</x:v>
      </x:c>
      <x:c r="AL318" s="38" t="n">
        <x:v>-0.0481166657</x:v>
      </x:c>
      <x:c r="AM318" s="38" t="n">
        <x:v>-0.1970574388</x:v>
      </x:c>
      <x:c r="AN318" s="38" t="n">
        <x:v>0.0007196904</x:v>
      </x:c>
      <x:c r="AO318" s="38" t="n">
        <x:v>0.089580757</x:v>
      </x:c>
      <x:c r="AP318" s="38" t="n">
        <x:v>0.0712096512</x:v>
      </x:c>
      <x:c r="AQ318" s="38" t="n">
        <x:v>0.0720910952</x:v>
      </x:c>
      <x:c r="AR318" s="38" t="n">
        <x:v>0.1060926755</x:v>
      </x:c>
      <x:c r="AS318" s="38" t="n">
        <x:v>-0.0732304757</x:v>
      </x:c>
    </x:row>
    <x:row r="319" ht="19" customHeight="1">
      <x:c r="A319" s="29" t="str">
        <x:v>SPY</x:v>
      </x:c>
      <x:c r="B319" s="39" t="d">
        <x:v>2026-02-23T00:00:00.000Z</x:v>
      </x:c>
      <x:c r="C319" s="38" t="n">
        <x:v>0.1431981165</x:v>
      </x:c>
      <x:c r="D319" s="38" t="n">
        <x:v>-0.1109947884</x:v>
      </x:c>
      <x:c r="E319" s="38" t="n">
        <x:v>0.1637700071</x:v>
      </x:c>
      <x:c r="F319" s="38" t="n">
        <x:v>0.1726452944</x:v>
      </x:c>
      <x:c r="G319" s="38" t="n">
        <x:v>-0.0758833986</x:v>
      </x:c>
      <x:c r="H319" s="38" t="n">
        <x:v>-0.0814701887</x:v>
      </x:c>
      <x:c r="I319" s="38" t="n">
        <x:v>-0.160772187</x:v>
      </x:c>
      <x:c r="J319" s="38" t="n">
        <x:v>0.289427114</x:v>
      </x:c>
      <x:c r="K319" s="38" t="n">
        <x:v>-0.1478226697</x:v>
      </x:c>
      <x:c r="L319" s="38" t="n">
        <x:v>0.1620604647</x:v>
      </x:c>
      <x:c r="M319" s="38" t="n">
        <x:v>0.0940271569</x:v>
      </x:c>
      <x:c r="N319" s="38" t="n">
        <x:v>0.05911803</x:v>
      </x:c>
      <x:c r="O319" s="38" t="n">
        <x:v>0.1085797376</x:v>
      </x:c>
      <x:c r="P319" s="38" t="n">
        <x:v>0.0286380007</x:v>
      </x:c>
      <x:c r="Q319" s="38" t="n">
        <x:v>0.0507556137</x:v>
      </x:c>
      <x:c r="R319" s="38" t="n">
        <x:v>0.0365342849</x:v>
      </x:c>
      <x:c r="S319" s="38" t="n">
        <x:v>0.1337119409</x:v>
      </x:c>
      <x:c r="T319" s="38" t="n">
        <x:v>-0.0320921613</x:v>
      </x:c>
      <x:c r="U319" s="38" t="n">
        <x:v>0.2581513923</x:v>
      </x:c>
      <x:c r="V319" s="38" t="n">
        <x:v>0.2058719895</x:v>
      </x:c>
      <x:c r="W319" s="38" t="n">
        <x:v>0.2408551406</x:v>
      </x:c>
      <x:c r="X319" s="38" t="n">
        <x:v>0.0525466823</x:v>
      </x:c>
      <x:c r="Y319" s="38" t="n">
        <x:v>-0.1522974967</x:v>
      </x:c>
      <x:c r="Z319" s="38" t="n">
        <x:v>0.0974890935</x:v>
      </x:c>
      <x:c r="AA319" s="38" t="n">
        <x:v>0.025440318</x:v>
      </x:c>
      <x:c r="AB319" s="38" t="n">
        <x:v>-0.1128501359</x:v>
      </x:c>
      <x:c r="AC319" s="38" t="n">
        <x:v>-0.4632428766</x:v>
      </x:c>
      <x:c r="AD319" s="38" t="n">
        <x:v>0.1410685719</x:v>
      </x:c>
      <x:c r="AE319" s="38" t="n">
        <x:v>-0.013284705</x:v>
      </x:c>
      <x:c r="AF319" s="38" t="n">
        <x:v>-0.0002086602</x:v>
      </x:c>
      <x:c r="AG319" s="38" t="n">
        <x:v>-0.0659326581</x:v>
      </x:c>
      <x:c r="AH319" s="38" t="n">
        <x:v>0.0161660424</x:v>
      </x:c>
      <x:c r="AI319" s="38" t="n">
        <x:v>-0.2091389191</x:v>
      </x:c>
      <x:c r="AJ319" s="38" t="n">
        <x:v>0.0103531545</x:v>
      </x:c>
      <x:c r="AK319" s="38" t="n">
        <x:v>0.0988405816</x:v>
      </x:c>
      <x:c r="AL319" s="38" t="n">
        <x:v>0.2878063113</x:v>
      </x:c>
      <x:c r="AM319" s="38" t="n">
        <x:v>-0.1049881741</x:v>
      </x:c>
      <x:c r="AN319" s="38" t="n">
        <x:v>-0.1295043771</x:v>
      </x:c>
      <x:c r="AO319" s="38" t="n">
        <x:v>0.0827385508</x:v>
      </x:c>
      <x:c r="AP319" s="38" t="n">
        <x:v>0.0250262586</x:v>
      </x:c>
      <x:c r="AQ319" s="38" t="n">
        <x:v>0.110818659</x:v>
      </x:c>
      <x:c r="AR319" s="38" t="n">
        <x:v>0.1233191937</x:v>
      </x:c>
      <x:c r="AS319" s="38" t="n">
        <x:v>0.075266514</x:v>
      </x:c>
    </x:row>
    <x:row r="320" ht="19" customHeight="1">
      <x:c r="A320" s="29" t="str">
        <x:v>SPY</x:v>
      </x:c>
      <x:c r="B320" s="39" t="d">
        <x:v>2026-03-23T00:00:00.000Z</x:v>
      </x:c>
      <x:c r="C320" s="38" t="n">
        <x:v>-0.0574662979</x:v>
      </x:c>
      <x:c r="D320" s="38" t="n">
        <x:v>0.3455524627</x:v>
      </x:c>
      <x:c r="E320" s="38" t="n">
        <x:v>0.0220871825</x:v>
      </x:c>
      <x:c r="F320" s="38" t="n">
        <x:v>0.0706663473</x:v>
      </x:c>
      <x:c r="G320" s="38" t="n">
        <x:v>-0.003757579</x:v>
      </x:c>
      <x:c r="H320" s="38" t="n">
        <x:v>-0.1531217812</x:v>
      </x:c>
      <x:c r="I320" s="38" t="n">
        <x:v>0.1731030399</x:v>
      </x:c>
      <x:c r="J320" s="38" t="n">
        <x:v>0.1669894839</x:v>
      </x:c>
      <x:c r="K320" s="38" t="n">
        <x:v>0.2861280396</x:v>
      </x:c>
      <x:c r="L320" s="38" t="n">
        <x:v>0.297107556</x:v>
      </x:c>
      <x:c r="M320" s="38" t="n">
        <x:v>0.3283319586</x:v>
      </x:c>
      <x:c r="N320" s="38" t="n">
        <x:v>-0.0110832333</x:v>
      </x:c>
      <x:c r="O320" s="38" t="n">
        <x:v>-0.1152768304</x:v>
      </x:c>
      <x:c r="P320" s="38" t="n">
        <x:v>0.2675057466</x:v>
      </x:c>
      <x:c r="Q320" s="38" t="n">
        <x:v>-0.0526036281</x:v>
      </x:c>
      <x:c r="R320" s="38" t="n">
        <x:v>0.7511741794</x:v>
      </x:c>
      <x:c r="S320" s="38" t="n">
        <x:v>-0.0566673322</x:v>
      </x:c>
      <x:c r="T320" s="38" t="n">
        <x:v>0.4591271889</x:v>
      </x:c>
      <x:c r="U320" s="38" t="n">
        <x:v>0.0956480316</x:v>
      </x:c>
      <x:c r="V320" s="38" t="n">
        <x:v>-0.1798199909</x:v>
      </x:c>
      <x:c r="W320" s="38" t="n">
        <x:v>0.1245495806</x:v>
      </x:c>
      <x:c r="X320" s="38" t="n">
        <x:v>-0.0160516626</x:v>
      </x:c>
      <x:c r="Y320" s="38" t="n">
        <x:v>0.0804433814</x:v>
      </x:c>
      <x:c r="Z320" s="38" t="n">
        <x:v>-0.2292721846</x:v>
      </x:c>
      <x:c r="AA320" s="38" t="n">
        <x:v>-0.0706668576</x:v>
      </x:c>
      <x:c r="AB320" s="38" t="n">
        <x:v>0.3106063613</x:v>
      </x:c>
      <x:c r="AC320" s="38" t="n">
        <x:v>0.3676496667</x:v>
      </x:c>
      <x:c r="AD320" s="38" t="n">
        <x:v>-0.1238083479</x:v>
      </x:c>
      <x:c r="AE320" s="38" t="n">
        <x:v>-0.0953302783</x:v>
      </x:c>
      <x:c r="AF320" s="38" t="n">
        <x:v>0.314986931</x:v>
      </x:c>
      <x:c r="AG320" s="38" t="n">
        <x:v>-0.0184513948</x:v>
      </x:c>
      <x:c r="AH320" s="38" t="n">
        <x:v>-0.2066750288</x:v>
      </x:c>
      <x:c r="AI320" s="38" t="n">
        <x:v>0.4236716222</x:v>
      </x:c>
      <x:c r="AJ320" s="38" t="n">
        <x:v>-0.2490415782</x:v>
      </x:c>
      <x:c r="AK320" s="38" t="n">
        <x:v>-0.0002544548</x:v>
      </x:c>
      <x:c r="AL320" s="38" t="n">
        <x:v>0.1734045943</x:v>
      </x:c>
      <x:c r="AM320" s="38" t="n">
        <x:v>0.0774661409</x:v>
      </x:c>
      <x:c r="AN320" s="38" t="n">
        <x:v>-0.0066199798</x:v>
      </x:c>
      <x:c r="AO320" s="38" t="n">
        <x:v>0.0729443718</x:v>
      </x:c>
      <x:c r="AP320" s="38" t="n">
        <x:v>-0.0853768088</x:v>
      </x:c>
      <x:c r="AQ320" s="38" t="n">
        <x:v>-0.0356665064</x:v>
      </x:c>
      <x:c r="AR320" s="38" t="n">
        <x:v>-0.0318803713</x:v>
      </x:c>
      <x:c r="AS320" s="38" t="n">
        <x:v>-0.0662287826</x:v>
      </x:c>
    </x:row>
    <x:row r="321" ht="19" customHeight="1">
      <x:c r="A321" s="29" t="str">
        <x:v>SPY</x:v>
      </x:c>
      <x:c r="B321" s="39" t="d">
        <x:v>2026-04-20T00:00:00.000Z</x:v>
      </x:c>
      <x:c r="C321" s="38" t="n">
        <x:v>-0.1273425968</x:v>
      </x:c>
      <x:c r="D321" s="38" t="n">
        <x:v>-0.0952547315</x:v>
      </x:c>
      <x:c r="E321" s="38" t="n">
        <x:v>-0.0050814719</x:v>
      </x:c>
      <x:c r="F321" s="38" t="n">
        <x:v>-0.0237605501</x:v>
      </x:c>
      <x:c r="G321" s="38" t="n">
        <x:v>-0.0596711694</x:v>
      </x:c>
      <x:c r="H321" s="38" t="n">
        <x:v>-0.0106740222</x:v>
      </x:c>
      <x:c r="I321" s="38" t="n">
        <x:v>0.1193603635</x:v>
      </x:c>
      <x:c r="J321" s="38" t="n">
        <x:v>0.0123500946</x:v>
      </x:c>
      <x:c r="K321" s="38" t="n">
        <x:v>0.1431884672</x:v>
      </x:c>
      <x:c r="L321" s="38" t="n">
        <x:v>-0.1332888236</x:v>
      </x:c>
      <x:c r="M321" s="38" t="n">
        <x:v>-0.0828236976</x:v>
      </x:c>
      <x:c r="N321" s="38" t="n">
        <x:v>-0.1002647097</x:v>
      </x:c>
      <x:c r="O321" s="38" t="n">
        <x:v>-0.1962684004</x:v>
      </x:c>
      <x:c r="P321" s="38" t="n">
        <x:v>0.1344809992</x:v>
      </x:c>
      <x:c r="Q321" s="38" t="n">
        <x:v>0.0010626698</x:v>
      </x:c>
      <x:c r="R321" s="38" t="n">
        <x:v>-0.0481837444</x:v>
      </x:c>
      <x:c r="S321" s="38" t="n">
        <x:v>-0.0752582163</x:v>
      </x:c>
      <x:c r="T321" s="38" t="n">
        <x:v>-0.2891032107</x:v>
      </x:c>
      <x:c r="U321" s="38" t="n">
        <x:v>-0.1277952381</x:v>
      </x:c>
      <x:c r="V321" s="38" t="n">
        <x:v>-0.2775788799</x:v>
      </x:c>
      <x:c r="W321" s="38" t="n">
        <x:v>-0.2107647436</x:v>
      </x:c>
      <x:c r="X321" s="38" t="n">
        <x:v>-0.098273315</x:v>
      </x:c>
      <x:c r="Y321" s="38" t="n">
        <x:v>0.0456290972</x:v>
      </x:c>
      <x:c r="Z321" s="38" t="n">
        <x:v>0.0729676355</x:v>
      </x:c>
      <x:c r="AA321" s="38" t="n">
        <x:v>-0.0333304321</x:v>
      </x:c>
      <x:c r="AB321" s="38" t="n">
        <x:v>0.5495476892</x:v>
      </x:c>
      <x:c r="AC321" s="38" t="n">
        <x:v>-0.0743889756</x:v>
      </x:c>
      <x:c r="AD321" s="38" t="n">
        <x:v>-0.0227527388</x:v>
      </x:c>
      <x:c r="AE321" s="38" t="n">
        <x:v>-0.1515365559</x:v>
      </x:c>
      <x:c r="AF321" s="38" t="n">
        <x:v>0.001860715</x:v>
      </x:c>
      <x:c r="AG321" s="38" t="n">
        <x:v>0.0898430202</x:v>
      </x:c>
      <x:c r="AH321" s="38" t="n">
        <x:v>-0.1386171738</x:v>
      </x:c>
      <x:c r="AI321" s="38" t="n">
        <x:v>0.3122393129</x:v>
      </x:c>
      <x:c r="AJ321" s="38" t="n">
        <x:v>-0.0865684624</x:v>
      </x:c>
      <x:c r="AK321" s="38" t="n">
        <x:v>-0.0546120738</x:v>
      </x:c>
      <x:c r="AL321" s="38" t="n">
        <x:v>0.2292771148</x:v>
      </x:c>
      <x:c r="AM321" s="38" t="n">
        <x:v>-0.0003687426</x:v>
      </x:c>
      <x:c r="AN321" s="38" t="n">
        <x:v>0.0251094378</x:v>
      </x:c>
      <x:c r="AO321" s="38" t="n">
        <x:v>-0.0791465704</x:v>
      </x:c>
      <x:c r="AP321" s="38" t="n">
        <x:v>-0.0953657812</x:v>
      </x:c>
      <x:c r="AQ321" s="38" t="n">
        <x:v>-0.0429475525</x:v>
      </x:c>
      <x:c r="AR321" s="38" t="n">
        <x:v>-0.107944096</x:v>
      </x:c>
      <x:c r="AS321" s="38" t="n">
        <x:v>-0.070484717</x:v>
      </x:c>
    </x:row>
    <x:row r="322" ht="19" customHeight="1">
      <x:c r="A322" s="29" t="str">
        <x:v>SPY</x:v>
      </x:c>
      <x:c r="B322" s="39" t="d">
        <x:v>2026-05-18T00:00:00.000Z</x:v>
      </x:c>
      <x:c r="C322" s="38" t="n">
        <x:v>-0.1681051237</x:v>
      </x:c>
      <x:c r="D322" s="38" t="n">
        <x:v>0.0680733993</x:v>
      </x:c>
      <x:c r="E322" s="38" t="n">
        <x:v>-0.0289835929</x:v>
      </x:c>
      <x:c r="F322" s="38" t="n">
        <x:v>-0.0437145047</x:v>
      </x:c>
      <x:c r="G322" s="38" t="n">
        <x:v>-0.0417294982</x:v>
      </x:c>
      <x:c r="H322" s="38" t="n">
        <x:v>-0.0997187949</x:v>
      </x:c>
      <x:c r="I322" s="38" t="n">
        <x:v>-0.0529516066</x:v>
      </x:c>
      <x:c r="J322" s="38" t="n">
        <x:v>-0.0244187868</x:v>
      </x:c>
      <x:c r="K322" s="38" t="n">
        <x:v>0.3382612682</x:v>
      </x:c>
      <x:c r="L322" s="38" t="n">
        <x:v>0.0564433593</x:v>
      </x:c>
      <x:c r="M322" s="38" t="n">
        <x:v>0.0449184541</x:v>
      </x:c>
      <x:c r="N322" s="38" t="n">
        <x:v>-0.029729468</x:v>
      </x:c>
      <x:c r="O322" s="38" t="n">
        <x:v>0.008867772</x:v>
      </x:c>
      <x:c r="P322" s="38" t="n">
        <x:v>0.108755697</x:v>
      </x:c>
      <x:c r="Q322" s="38" t="n">
        <x:v>0.1035161065</x:v>
      </x:c>
      <x:c r="R322" s="38" t="n">
        <x:v>0.6960281942</x:v>
      </x:c>
      <x:c r="S322" s="38" t="n">
        <x:v>0.0378130774</x:v>
      </x:c>
      <x:c r="T322" s="38" t="n">
        <x:v>-0.0256704933</x:v>
      </x:c>
      <x:c r="U322" s="38" t="n">
        <x:v>-0.1285463028</x:v>
      </x:c>
      <x:c r="V322" s="38" t="n">
        <x:v>-0.0758799581</x:v>
      </x:c>
      <x:c r="W322" s="38" t="n">
        <x:v>-0.0886723241</x:v>
      </x:c>
      <x:c r="X322" s="38" t="n">
        <x:v>-0.1265060777</x:v>
      </x:c>
      <x:c r="Y322" s="38" t="n">
        <x:v>0.4834765739</x:v>
      </x:c>
      <x:c r="Z322" s="38" t="n">
        <x:v>-0.1905995729</x:v>
      </x:c>
      <x:c r="AA322" s="38" t="n">
        <x:v>-0.020993121</x:v>
      </x:c>
      <x:c r="AB322" s="38" t="n">
        <x:v>-0.2936230682</x:v>
      </x:c>
      <x:c r="AC322" s="38" t="n">
        <x:v>-0.2904337947</x:v>
      </x:c>
      <x:c r="AD322" s="38" t="n">
        <x:v>-0.0547255898</x:v>
      </x:c>
      <x:c r="AE322" s="38" t="n">
        <x:v>0.2609565211</x:v>
      </x:c>
      <x:c r="AF322" s="38" t="n">
        <x:v>0.3558165014</x:v>
      </x:c>
      <x:c r="AG322" s="38" t="n">
        <x:v>-0.1125435592</x:v>
      </x:c>
      <x:c r="AH322" s="38" t="n">
        <x:v>-0.169807245</x:v>
      </x:c>
      <x:c r="AI322" s="38" t="n">
        <x:v>0.3623325553</x:v>
      </x:c>
      <x:c r="AJ322" s="38" t="n">
        <x:v>0.2504395059</x:v>
      </x:c>
      <x:c r="AK322" s="38" t="n">
        <x:v>0.0181146995</x:v>
      </x:c>
      <x:c r="AL322" s="38" t="n">
        <x:v>0.5551228214</x:v>
      </x:c>
      <x:c r="AM322" s="38" t="n">
        <x:v>-0.0595037778</x:v>
      </x:c>
      <x:c r="AN322" s="38" t="n">
        <x:v>0.0927050808</x:v>
      </x:c>
      <x:c r="AO322" s="38" t="n">
        <x:v>-0.0056555332</x:v>
      </x:c>
      <x:c r="AP322" s="38" t="n">
        <x:v>-0.1375027337</x:v>
      </x:c>
      <x:c r="AQ322" s="38" t="n">
        <x:v>0.095388143</x:v>
      </x:c>
      <x:c r="AR322" s="38" t="n">
        <x:v>0.0464815604</x:v>
      </x:c>
      <x:c r="AS322" s="38" t="n">
        <x:v>0.0423000724</x:v>
      </x:c>
    </x:row>
    <x:row r="323" ht="19" customHeight="1">
      <x:c r="A323" s="29" t="str">
        <x:v>SPY</x:v>
      </x:c>
      <x:c r="B323" s="39" t="d">
        <x:v>2026-06-15T00:00:00.000Z</x:v>
      </x:c>
      <x:c r="C323" s="38" t="n">
        <x:v>0.0546999015</x:v>
      </x:c>
      <x:c r="D323" s="38" t="n">
        <x:v>-0.189585157</x:v>
      </x:c>
      <x:c r="E323" s="38" t="n">
        <x:v>-0.0285093927</x:v>
      </x:c>
      <x:c r="F323" s="38" t="n">
        <x:v>-0.0313171269</x:v>
      </x:c>
      <x:c r="G323" s="38" t="n">
        <x:v>0.0518643246</x:v>
      </x:c>
      <x:c r="H323" s="38" t="n">
        <x:v>0.0142659735</x:v>
      </x:c>
      <x:c r="I323" s="38" t="n">
        <x:v>-0.1101263275</x:v>
      </x:c>
      <x:c r="J323" s="38" t="n">
        <x:v>0.0823235325</x:v>
      </x:c>
      <x:c r="K323" s="38" t="n">
        <x:v>0.4650505215</x:v>
      </x:c>
      <x:c r="L323" s="38" t="n">
        <x:v>-0.0999511195</x:v>
      </x:c>
      <x:c r="M323" s="38" t="n">
        <x:v>-0.2377878537</x:v>
      </x:c>
      <x:c r="N323" s="38" t="n">
        <x:v>-0.1170357981</x:v>
      </x:c>
      <x:c r="O323" s="38" t="n">
        <x:v>0.1702159894</x:v>
      </x:c>
      <x:c r="P323" s="38" t="n">
        <x:v>0.679352086</x:v>
      </x:c>
      <x:c r="Q323" s="38" t="n">
        <x:v>-0.1028875077</x:v>
      </x:c>
      <x:c r="R323" s="38" t="n">
        <x:v>0.1277445162</x:v>
      </x:c>
      <x:c r="S323" s="38" t="n">
        <x:v>-0.2462347265</x:v>
      </x:c>
      <x:c r="T323" s="38" t="n">
        <x:v>0.0521795351</x:v>
      </x:c>
      <x:c r="U323" s="38" t="n">
        <x:v>0.5159018542</x:v>
      </x:c>
      <x:c r="V323" s="38" t="n">
        <x:v>0.1616115277</x:v>
      </x:c>
      <x:c r="W323" s="38" t="n">
        <x:v>-0.1842185209</x:v>
      </x:c>
      <x:c r="X323" s="38" t="n">
        <x:v>-0.1376809682</x:v>
      </x:c>
      <x:c r="Y323" s="38" t="n">
        <x:v>0.6488374324</x:v>
      </x:c>
      <x:c r="Z323" s="38" t="n">
        <x:v>0.0297801846</x:v>
      </x:c>
      <x:c r="AA323" s="38" t="n">
        <x:v>0.0494803514</x:v>
      </x:c>
      <x:c r="AB323" s="38" t="n">
        <x:v>0.2557920374</x:v>
      </x:c>
      <x:c r="AC323" s="38" t="n">
        <x:v>0.3124050829</x:v>
      </x:c>
      <x:c r="AD323" s="38" t="n">
        <x:v>0.0753635926</x:v>
      </x:c>
      <x:c r="AE323" s="38" t="n">
        <x:v>-0.0561476126</x:v>
      </x:c>
      <x:c r="AF323" s="38" t="n">
        <x:v>0.3567949354</x:v>
      </x:c>
      <x:c r="AG323" s="38" t="n">
        <x:v>0.0754102994</x:v>
      </x:c>
      <x:c r="AH323" s="38" t="n">
        <x:v>-0.1417255004</x:v>
      </x:c>
      <x:c r="AI323" s="38" t="n">
        <x:v>0.2668152562</x:v>
      </x:c>
      <x:c r="AJ323" s="38" t="n">
        <x:v>0.027937572</x:v>
      </x:c>
      <x:c r="AK323" s="38" t="n">
        <x:v>-0.0561923108</x:v>
      </x:c>
      <x:c r="AL323" s="38" t="n">
        <x:v>-0.225106507</x:v>
      </x:c>
      <x:c r="AM323" s="38" t="n">
        <x:v>-0.1234491361</x:v>
      </x:c>
      <x:c r="AN323" s="38" t="n">
        <x:v>-0.0451551592</x:v>
      </x:c>
      <x:c r="AO323" s="38" t="n">
        <x:v>-0.1043473821</x:v>
      </x:c>
      <x:c r="AP323" s="38" t="n">
        <x:v>0.1555416376</x:v>
      </x:c>
      <x:c r="AQ323" s="38" t="n">
        <x:v>-0.0098726112</x:v>
      </x:c>
      <x:c r="AR323" s="38" t="n">
        <x:v>-0.0263650067</x:v>
      </x:c>
      <x:c r="AS323" s="38" t="n">
        <x:v>0.0140633819</x:v>
      </x:c>
    </x:row>
    <x:row r="324" ht="19" customHeight="1">
      <x:c r="A324" s="29" t="str">
        <x:v>SPY</x:v>
      </x:c>
      <x:c r="B324" s="39" t="d">
        <x:v>2026-07-13T00:00:00.000Z</x:v>
      </x:c>
      <x:c r="C324" s="38" t="n">
        <x:v>-0.088122289</x:v>
      </x:c>
      <x:c r="D324" s="38" t="n">
        <x:v>-0.1474970144</x:v>
      </x:c>
      <x:c r="E324" s="38" t="n">
        <x:v>0.0488097186</x:v>
      </x:c>
      <x:c r="F324" s="38" t="n">
        <x:v>0.023280213</x:v>
      </x:c>
      <x:c r="G324" s="38" t="n">
        <x:v>-0.0653381523</x:v>
      </x:c>
      <x:c r="H324" s="38" t="n">
        <x:v>0.1170315206</x:v>
      </x:c>
      <x:c r="I324" s="38" t="n">
        <x:v>0.0309659649</x:v>
      </x:c>
      <x:c r="J324" s="38" t="n">
        <x:v>-0.2536569867</x:v>
      </x:c>
      <x:c r="K324" s="38" t="n">
        <x:v>-0.4847806637</x:v>
      </x:c>
      <x:c r="L324" s="38" t="n">
        <x:v>0.4114589238</x:v>
      </x:c>
      <x:c r="M324" s="38" t="n">
        <x:v>0.2567097706</x:v>
      </x:c>
      <x:c r="N324" s="38" t="n">
        <x:v>0.1522199381</x:v>
      </x:c>
      <x:c r="O324" s="38" t="n">
        <x:v>-0.046008885</x:v>
      </x:c>
      <x:c r="P324" s="38" t="n">
        <x:v>-0.7040717529</x:v>
      </x:c>
      <x:c r="Q324" s="38" t="n">
        <x:v>0.2001870627</x:v>
      </x:c>
      <x:c r="R324" s="38" t="n">
        <x:v>-0.6091068671</x:v>
      </x:c>
      <x:c r="S324" s="38" t="n">
        <x:v>-0.0185949126</x:v>
      </x:c>
      <x:c r="T324" s="38" t="n">
        <x:v>0.3278559428</x:v>
      </x:c>
      <x:c r="U324" s="38" t="n">
        <x:v>0.0046567926</x:v>
      </x:c>
      <x:c r="V324" s="38" t="n">
        <x:v>0.28100924</x:v>
      </x:c>
      <x:c r="W324" s="38" t="n">
        <x:v>-0.1692110838</x:v>
      </x:c>
      <x:c r="X324" s="38" t="n">
        <x:v>0.125626058</x:v>
      </x:c>
      <x:c r="Y324" s="38" t="n">
        <x:v>-0.4452007875</x:v>
      </x:c>
      <x:c r="Z324" s="38" t="n">
        <x:v>-0.2259960953</x:v>
      </x:c>
      <x:c r="AA324" s="38" t="n">
        <x:v>0.0155456936</x:v>
      </x:c>
      <x:c r="AB324" s="38" t="n">
        <x:v>0.415510659</x:v>
      </x:c>
      <x:c r="AC324" s="38" t="n">
        <x:v>-0.1340849003</x:v>
      </x:c>
      <x:c r="AD324" s="38" t="n">
        <x:v>-0.0183450714</x:v>
      </x:c>
      <x:c r="AE324" s="38" t="n">
        <x:v>0.0566311018</x:v>
      </x:c>
      <x:c r="AF324" s="38" t="n">
        <x:v>-0.0596287976</x:v>
      </x:c>
      <x:c r="AG324" s="38" t="n">
        <x:v>-0.0316858658</x:v>
      </x:c>
      <x:c r="AH324" s="38" t="n">
        <x:v>-0.0983583382</x:v>
      </x:c>
      <x:c r="AI324" s="38" t="n">
        <x:v>-0.1270336273</x:v>
      </x:c>
      <x:c r="AJ324" s="38" t="n">
        <x:v>0.0993701035</x:v>
      </x:c>
      <x:c r="AK324" s="38" t="n">
        <x:v>0.2622221951</x:v>
      </x:c>
      <x:c r="AL324" s="38" t="n">
        <x:v>-0.4649931697</x:v>
      </x:c>
      <x:c r="AM324" s="38" t="n">
        <x:v>0.0693795415</x:v>
      </x:c>
      <x:c r="AN324" s="38" t="n">
        <x:v>-0.0862046155</x:v>
      </x:c>
      <x:c r="AO324" s="38" t="n">
        <x:v>-0.029716123</x:v>
      </x:c>
      <x:c r="AP324" s="38" t="n">
        <x:v>0.0323446186</x:v>
      </x:c>
      <x:c r="AQ324" s="38" t="n">
        <x:v>0.0346031323</x:v>
      </x:c>
      <x:c r="AR324" s="38" t="n">
        <x:v>0.1539973901</x:v>
      </x:c>
      <x:c r="AS324" s="38" t="n">
        <x:v>0.0036755053</x:v>
      </x:c>
    </x:row>
    <x:row r="325" ht="19" customHeight="1">
      <x:c r="A325" s="29" t="str">
        <x:v>SPY</x:v>
      </x:c>
      <x:c r="B325" s="39" t="d">
        <x:v>2026-08-10T00:00:00.000Z</x:v>
      </x:c>
      <x:c r="C325" s="38" t="n">
        <x:v>-0.1711756314</x:v>
      </x:c>
      <x:c r="D325" s="38" t="n">
        <x:v>0.0733421172</x:v>
      </x:c>
      <x:c r="E325" s="38" t="n">
        <x:v>-0.1122073746</x:v>
      </x:c>
      <x:c r="F325" s="38" t="n">
        <x:v>-0.1070934553</x:v>
      </x:c>
      <x:c r="G325" s="38" t="n">
        <x:v>0.0576669825</x:v>
      </x:c>
      <x:c r="H325" s="38" t="n">
        <x:v>-0.1065155608</x:v>
      </x:c>
      <x:c r="I325" s="38" t="n">
        <x:v>-0.0132296912</x:v>
      </x:c>
      <x:c r="J325" s="38" t="n">
        <x:v>-0.1021918768</x:v>
      </x:c>
      <x:c r="K325" s="38" t="n">
        <x:v>0.0967646525</x:v>
      </x:c>
      <x:c r="L325" s="38" t="n">
        <x:v>0.1454314396</x:v>
      </x:c>
      <x:c r="M325" s="38" t="n">
        <x:v>-0.0277215349</x:v>
      </x:c>
      <x:c r="N325" s="38" t="n">
        <x:v>-0.0237229797</x:v>
      </x:c>
      <x:c r="O325" s="38" t="n">
        <x:v>-0.0477193484</x:v>
      </x:c>
      <x:c r="P325" s="38" t="n">
        <x:v>-0.1057373606</x:v>
      </x:c>
      <x:c r="Q325" s="38" t="n">
        <x:v>-0.1247336358</x:v>
      </x:c>
      <x:c r="R325" s="38" t="n">
        <x:v>0.0292151103</x:v>
      </x:c>
      <x:c r="S325" s="38" t="n">
        <x:v>0.1321269706</x:v>
      </x:c>
      <x:c r="T325" s="38" t="n">
        <x:v>0.1023269848</x:v>
      </x:c>
      <x:c r="U325" s="38" t="n">
        <x:v>-0.0792869207</x:v>
      </x:c>
      <x:c r="V325" s="38" t="n">
        <x:v>0.1934480647</x:v>
      </x:c>
      <x:c r="W325" s="38" t="n">
        <x:v>0.1203079783</x:v>
      </x:c>
      <x:c r="X325" s="38" t="n">
        <x:v>0.1139294773</x:v>
      </x:c>
      <x:c r="Y325" s="38" t="n">
        <x:v>0.0018239359</x:v>
      </x:c>
      <x:c r="Z325" s="38" t="n">
        <x:v>0.3712018522</x:v>
      </x:c>
      <x:c r="AA325" s="38" t="n">
        <x:v>-0.0206206202</x:v>
      </x:c>
      <x:c r="AB325" s="38" t="n">
        <x:v>0.2916278259</x:v>
      </x:c>
      <x:c r="AC325" s="38" t="n">
        <x:v>-0.1156829337</x:v>
      </x:c>
      <x:c r="AD325" s="38" t="n">
        <x:v>-0.0793827603</x:v>
      </x:c>
      <x:c r="AE325" s="38" t="n">
        <x:v>-0.0965743516</x:v>
      </x:c>
      <x:c r="AF325" s="38" t="n">
        <x:v>0.3042802481</x:v>
      </x:c>
      <x:c r="AG325" s="38" t="n">
        <x:v>0.0015652524</x:v>
      </x:c>
      <x:c r="AH325" s="38" t="n">
        <x:v>0.3023480859</x:v>
      </x:c>
      <x:c r="AI325" s="38" t="n">
        <x:v>-0.1480624118</x:v>
      </x:c>
      <x:c r="AJ325" s="38" t="n">
        <x:v>-0.0455101254</x:v>
      </x:c>
      <x:c r="AK325" s="38" t="n">
        <x:v>-0.1167218282</x:v>
      </x:c>
      <x:c r="AL325" s="38" t="n">
        <x:v>0.0196984799</x:v>
      </x:c>
      <x:c r="AM325" s="38" t="n">
        <x:v>0.275411377</x:v>
      </x:c>
      <x:c r="AN325" s="38" t="n">
        <x:v>-0.1042014137</x:v>
      </x:c>
      <x:c r="AO325" s="38" t="n">
        <x:v>-0.0275085281</x:v>
      </x:c>
      <x:c r="AP325" s="38" t="n">
        <x:v>-0.0769187571</x:v>
      </x:c>
      <x:c r="AQ325" s="38" t="n">
        <x:v>0.0759744709</x:v>
      </x:c>
      <x:c r="AR325" s="38" t="n">
        <x:v>0.0229489135</x:v>
      </x:c>
      <x:c r="AS325" s="38" t="n">
        <x:v>0.0046671112</x:v>
      </x:c>
    </x:row>
    <x:row r="326" ht="19" customHeight="1">
      <x:c r="A326" s="29" t="str">
        <x:v>Primary sector</x:v>
      </x:c>
      <x:c r="B326" s="39" t="d">
        <x:v>2020-07-20T00:00:00.000Z</x:v>
      </x:c>
      <x:c r="C326" s="38" t="n">
        <x:v>-0.0546534988</x:v>
      </x:c>
      <x:c r="D326" s="38" t="n">
        <x:v>0.0545751394</x:v>
      </x:c>
      <x:c r="E326" s="38" t="n">
        <x:v>0.0196710658</x:v>
      </x:c>
      <x:c r="F326" s="38" t="n">
        <x:v>0.0093495032</x:v>
      </x:c>
      <x:c r="G326" s="38" t="n">
        <x:v>0.0049743633</x:v>
      </x:c>
      <x:c r="H326" s="38" t="n">
        <x:v>0.0086353522</x:v>
      </x:c>
      <x:c r="I326" s="38" t="n">
        <x:v>-0.0216280148</x:v>
      </x:c>
      <x:c r="J326" s="38" t="n">
        <x:v>-0.0714273372</x:v>
      </x:c>
      <x:c r="K326" s="38" t="n">
        <x:v>0.0141360899</x:v>
      </x:c>
      <x:c r="L326" s="38" t="n">
        <x:v>-0.0134719732</x:v>
      </x:c>
      <x:c r="M326" s="38" t="n">
        <x:v>0.0456785229</x:v>
      </x:c>
      <x:c r="N326" s="38" t="n">
        <x:v>-0.0138403599</x:v>
      </x:c>
      <x:c r="O326" s="38" t="n">
        <x:v>0.0727428283</x:v>
      </x:c>
      <x:c r="P326" s="38" t="n">
        <x:v>0.0238080384</x:v>
      </x:c>
      <x:c r="Q326" s="38" t="n">
        <x:v>-0.0800359819</x:v>
      </x:c>
      <x:c r="R326" s="38"/>
      <x:c r="S326" s="38" t="n">
        <x:v>0.0105842434</x:v>
      </x:c>
      <x:c r="T326" s="38" t="n">
        <x:v>-0.0658326072</x:v>
      </x:c>
      <x:c r="U326" s="38" t="n">
        <x:v>0.0445021233</x:v>
      </x:c>
      <x:c r="V326" s="38" t="n">
        <x:v>-0.100491062</x:v>
      </x:c>
      <x:c r="W326" s="38" t="n">
        <x:v>-0.0314799767</x:v>
      </x:c>
      <x:c r="X326" s="38" t="n">
        <x:v>0.0466276327</x:v>
      </x:c>
      <x:c r="Y326" s="38" t="n">
        <x:v>0.006145212</x:v>
      </x:c>
      <x:c r="Z326" s="38" t="n">
        <x:v>-0.0236104511</x:v>
      </x:c>
      <x:c r="AA326" s="38" t="n">
        <x:v>0.0445438663</x:v>
      </x:c>
      <x:c r="AB326" s="38" t="n">
        <x:v>-0.0602094439</x:v>
      </x:c>
      <x:c r="AC326" s="38"/>
      <x:c r="AD326" s="38" t="n">
        <x:v>0.0094883251</x:v>
      </x:c>
      <x:c r="AE326" s="38" t="n">
        <x:v>0.0074779279</x:v>
      </x:c>
      <x:c r="AF326" s="38" t="n">
        <x:v>-0.0119982118</x:v>
      </x:c>
      <x:c r="AG326" s="38" t="n">
        <x:v>-0.0333583472</x:v>
      </x:c>
      <x:c r="AH326" s="38" t="n">
        <x:v>-0.0188313016</x:v>
      </x:c>
      <x:c r="AI326" s="38" t="n">
        <x:v>0.124577209</x:v>
      </x:c>
      <x:c r="AJ326" s="38" t="n">
        <x:v>-0.076636427</x:v>
      </x:c>
      <x:c r="AK326" s="38" t="n">
        <x:v>-0.025409027</x:v>
      </x:c>
      <x:c r="AL326" s="38" t="n">
        <x:v>-0.0024146898</x:v>
      </x:c>
      <x:c r="AM326" s="38" t="n">
        <x:v>-0.0432517988</x:v>
      </x:c>
      <x:c r="AN326" s="38" t="n">
        <x:v>-0.0556233972</x:v>
      </x:c>
      <x:c r="AO326" s="38" t="n">
        <x:v>0.0272363897</x:v>
      </x:c>
      <x:c r="AP326" s="38" t="n">
        <x:v>0.0155160582</x:v>
      </x:c>
      <x:c r="AQ326" s="38" t="n">
        <x:v>0.0153164208</x:v>
      </x:c>
      <x:c r="AR326" s="38" t="n">
        <x:v>0.0032374794</x:v>
      </x:c>
      <x:c r="AS326" s="38" t="n">
        <x:v>0.02143216</x:v>
      </x:c>
    </x:row>
    <x:row r="327" ht="19" customHeight="1">
      <x:c r="A327" s="29" t="str">
        <x:v>Primary sector</x:v>
      </x:c>
      <x:c r="B327" s="39" t="d">
        <x:v>2020-08-17T00:00:00.000Z</x:v>
      </x:c>
      <x:c r="C327" s="38" t="n">
        <x:v>-0.0228135184</x:v>
      </x:c>
      <x:c r="D327" s="38" t="n">
        <x:v>-0.1057321307</x:v>
      </x:c>
      <x:c r="E327" s="38" t="n">
        <x:v>-0.0501054928</x:v>
      </x:c>
      <x:c r="F327" s="38" t="n">
        <x:v>-0.0194859186</x:v>
      </x:c>
      <x:c r="G327" s="38" t="n">
        <x:v>0.014221216</x:v>
      </x:c>
      <x:c r="H327" s="38" t="n">
        <x:v>0.0297242771</x:v>
      </x:c>
      <x:c r="I327" s="38" t="n">
        <x:v>0.0041842625</x:v>
      </x:c>
      <x:c r="J327" s="38" t="n">
        <x:v>0.052228815</x:v>
      </x:c>
      <x:c r="K327" s="38" t="n">
        <x:v>-0.1786832347</x:v>
      </x:c>
      <x:c r="L327" s="38" t="n">
        <x:v>-0.0282055293</x:v>
      </x:c>
      <x:c r="M327" s="38" t="n">
        <x:v>0.0140270793</x:v>
      </x:c>
      <x:c r="N327" s="38" t="n">
        <x:v>0.0491802523</x:v>
      </x:c>
      <x:c r="O327" s="38" t="n">
        <x:v>-0.0010430137</x:v>
      </x:c>
      <x:c r="P327" s="38" t="n">
        <x:v>-0.2563216603</x:v>
      </x:c>
      <x:c r="Q327" s="38" t="n">
        <x:v>-0.0083018917</x:v>
      </x:c>
      <x:c r="R327" s="38"/>
      <x:c r="S327" s="38" t="n">
        <x:v>-0.0034223914</x:v>
      </x:c>
      <x:c r="T327" s="38" t="n">
        <x:v>0.0090997923</x:v>
      </x:c>
      <x:c r="U327" s="38" t="n">
        <x:v>-0.0579763722</x:v>
      </x:c>
      <x:c r="V327" s="38" t="n">
        <x:v>-0.0665583012</x:v>
      </x:c>
      <x:c r="W327" s="38" t="n">
        <x:v>-0.0277809245</x:v>
      </x:c>
      <x:c r="X327" s="38" t="n">
        <x:v>-0.0212415522</x:v>
      </x:c>
      <x:c r="Y327" s="38" t="n">
        <x:v>-0.2148385246</x:v>
      </x:c>
      <x:c r="Z327" s="38" t="n">
        <x:v>-0.0409881078</x:v>
      </x:c>
      <x:c r="AA327" s="38" t="n">
        <x:v>0.019693455</x:v>
      </x:c>
      <x:c r="AB327" s="38" t="n">
        <x:v>-0.1587140672</x:v>
      </x:c>
      <x:c r="AC327" s="38"/>
      <x:c r="AD327" s="38" t="n">
        <x:v>0.0401752841</x:v>
      </x:c>
      <x:c r="AE327" s="38" t="n">
        <x:v>-0.0658162482</x:v>
      </x:c>
      <x:c r="AF327" s="38" t="n">
        <x:v>-0.0935217493</x:v>
      </x:c>
      <x:c r="AG327" s="38" t="n">
        <x:v>-0.0497127368</x:v>
      </x:c>
      <x:c r="AH327" s="38" t="n">
        <x:v>-0.081147674</x:v>
      </x:c>
      <x:c r="AI327" s="38" t="n">
        <x:v>-0.0163428295</x:v>
      </x:c>
      <x:c r="AJ327" s="38" t="n">
        <x:v>-0.0569137874</x:v>
      </x:c>
      <x:c r="AK327" s="38" t="n">
        <x:v>0.0189456305</x:v>
      </x:c>
      <x:c r="AL327" s="38" t="n">
        <x:v>0.0140149803</x:v>
      </x:c>
      <x:c r="AM327" s="38" t="n">
        <x:v>-0.0072053564</x:v>
      </x:c>
      <x:c r="AN327" s="38" t="n">
        <x:v>-0.0222411578</x:v>
      </x:c>
      <x:c r="AO327" s="38" t="n">
        <x:v>0.0040444058</x:v>
      </x:c>
      <x:c r="AP327" s="38" t="n">
        <x:v>0.0028472451</x:v>
      </x:c>
      <x:c r="AQ327" s="38" t="n">
        <x:v>-0.0377514371</x:v>
      </x:c>
      <x:c r="AR327" s="38" t="n">
        <x:v>0.0089326431</x:v>
      </x:c>
      <x:c r="AS327" s="38" t="n">
        <x:v>0.0270005468</x:v>
      </x:c>
    </x:row>
    <x:row r="328" ht="19" customHeight="1">
      <x:c r="A328" s="29" t="str">
        <x:v>Primary sector</x:v>
      </x:c>
      <x:c r="B328" s="39" t="d">
        <x:v>2020-09-14T00:00:00.000Z</x:v>
      </x:c>
      <x:c r="C328" s="38" t="n">
        <x:v>-0.0210288853</x:v>
      </x:c>
      <x:c r="D328" s="38" t="n">
        <x:v>-0.1221023947</x:v>
      </x:c>
      <x:c r="E328" s="38" t="n">
        <x:v>-0.0100494469</x:v>
      </x:c>
      <x:c r="F328" s="38" t="n">
        <x:v>-0.0157965357</x:v>
      </x:c>
      <x:c r="G328" s="38" t="n">
        <x:v>0.028267405</x:v>
      </x:c>
      <x:c r="H328" s="38" t="n">
        <x:v>-0.0161630168</x:v>
      </x:c>
      <x:c r="I328" s="38" t="n">
        <x:v>-0.0602406308</x:v>
      </x:c>
      <x:c r="J328" s="38" t="n">
        <x:v>-0.0683031881</x:v>
      </x:c>
      <x:c r="K328" s="38" t="n">
        <x:v>0.0083305557</x:v>
      </x:c>
      <x:c r="L328" s="38" t="n">
        <x:v>-0.0010783705</x:v>
      </x:c>
      <x:c r="M328" s="38" t="n">
        <x:v>-0.0102876924</x:v>
      </x:c>
      <x:c r="N328" s="38" t="n">
        <x:v>0.0132865265</x:v>
      </x:c>
      <x:c r="O328" s="38" t="n">
        <x:v>-0.0452881176</x:v>
      </x:c>
      <x:c r="P328" s="38" t="n">
        <x:v>0.0178113777</x:v>
      </x:c>
      <x:c r="Q328" s="38" t="n">
        <x:v>0.0208996183</x:v>
      </x:c>
      <x:c r="R328" s="38"/>
      <x:c r="S328" s="38" t="n">
        <x:v>-0.0244822833</x:v>
      </x:c>
      <x:c r="T328" s="38" t="n">
        <x:v>-0.0423486641</x:v>
      </x:c>
      <x:c r="U328" s="38" t="n">
        <x:v>-0.0125340803</x:v>
      </x:c>
      <x:c r="V328" s="38" t="n">
        <x:v>-0.0381304165</x:v>
      </x:c>
      <x:c r="W328" s="38" t="n">
        <x:v>-0.0109658194</x:v>
      </x:c>
      <x:c r="X328" s="38" t="n">
        <x:v>0.0297562195</x:v>
      </x:c>
      <x:c r="Y328" s="38" t="n">
        <x:v>0.0534481255</x:v>
      </x:c>
      <x:c r="Z328" s="38" t="n">
        <x:v>-0.0721010303</x:v>
      </x:c>
      <x:c r="AA328" s="38" t="n">
        <x:v>0.0080793561</x:v>
      </x:c>
      <x:c r="AB328" s="38" t="n">
        <x:v>-0.0742663279</x:v>
      </x:c>
      <x:c r="AC328" s="38"/>
      <x:c r="AD328" s="38" t="n">
        <x:v>-0.0009190492</x:v>
      </x:c>
      <x:c r="AE328" s="38" t="n">
        <x:v>0.0184994159</x:v>
      </x:c>
      <x:c r="AF328" s="38" t="n">
        <x:v>0.0335543531</x:v>
      </x:c>
      <x:c r="AG328" s="38" t="n">
        <x:v>-0.0491007489</x:v>
      </x:c>
      <x:c r="AH328" s="38" t="n">
        <x:v>-0.0838524385</x:v>
      </x:c>
      <x:c r="AI328" s="38" t="n">
        <x:v>-0.0343807239</x:v>
      </x:c>
      <x:c r="AJ328" s="38" t="n">
        <x:v>0.0077577834</x:v>
      </x:c>
      <x:c r="AK328" s="38" t="n">
        <x:v>-0.029073598</x:v>
      </x:c>
      <x:c r="AL328" s="38" t="n">
        <x:v>-0.0855211278</x:v>
      </x:c>
      <x:c r="AM328" s="38" t="n">
        <x:v>-0.0262742426</x:v>
      </x:c>
      <x:c r="AN328" s="38" t="n">
        <x:v>-0.0498858394</x:v>
      </x:c>
      <x:c r="AO328" s="38" t="n">
        <x:v>-0.0275081655</x:v>
      </x:c>
      <x:c r="AP328" s="38" t="n">
        <x:v>-0.0186452679</x:v>
      </x:c>
      <x:c r="AQ328" s="38" t="n">
        <x:v>0.0248227015</x:v>
      </x:c>
      <x:c r="AR328" s="38" t="n">
        <x:v>-0.0251289126</x:v>
      </x:c>
      <x:c r="AS328" s="38" t="n">
        <x:v>0.0159078347</x:v>
      </x:c>
    </x:row>
    <x:row r="329" ht="19" customHeight="1">
      <x:c r="A329" s="29" t="str">
        <x:v>Primary sector</x:v>
      </x:c>
      <x:c r="B329" s="39" t="d">
        <x:v>2020-10-12T00:00:00.000Z</x:v>
      </x:c>
      <x:c r="C329" s="38" t="n">
        <x:v>-0.0481063541</x:v>
      </x:c>
      <x:c r="D329" s="38" t="n">
        <x:v>0.0006572988</x:v>
      </x:c>
      <x:c r="E329" s="38" t="n">
        <x:v>0.0357157655</x:v>
      </x:c>
      <x:c r="F329" s="38" t="n">
        <x:v>0.0035295668</x:v>
      </x:c>
      <x:c r="G329" s="38" t="n">
        <x:v>-0.0211791049</x:v>
      </x:c>
      <x:c r="H329" s="38" t="n">
        <x:v>0.0583268788</x:v>
      </x:c>
      <x:c r="I329" s="38" t="n">
        <x:v>0.0279950474</x:v>
      </x:c>
      <x:c r="J329" s="38" t="n">
        <x:v>-0.0235684892</x:v>
      </x:c>
      <x:c r="K329" s="38" t="n">
        <x:v>-0.0311740906</x:v>
      </x:c>
      <x:c r="L329" s="38" t="n">
        <x:v>-0.0574426684</x:v>
      </x:c>
      <x:c r="M329" s="38" t="n">
        <x:v>-0.0993642006</x:v>
      </x:c>
      <x:c r="N329" s="38" t="n">
        <x:v>-0.0014350444</x:v>
      </x:c>
      <x:c r="O329" s="38" t="n">
        <x:v>0.0486759192</x:v>
      </x:c>
      <x:c r="P329" s="38" t="n">
        <x:v>-0.0419155203</x:v>
      </x:c>
      <x:c r="Q329" s="38" t="n">
        <x:v>0.0322318576</x:v>
      </x:c>
      <x:c r="R329" s="38"/>
      <x:c r="S329" s="38" t="n">
        <x:v>-0.0143227937</x:v>
      </x:c>
      <x:c r="T329" s="38" t="n">
        <x:v>0.214303462</x:v>
      </x:c>
      <x:c r="U329" s="38" t="n">
        <x:v>0.0424301649</x:v>
      </x:c>
      <x:c r="V329" s="38" t="n">
        <x:v>0.0944775753</x:v>
      </x:c>
      <x:c r="W329" s="38" t="n">
        <x:v>0.0658073788</x:v>
      </x:c>
      <x:c r="X329" s="38" t="n">
        <x:v>0.0137577164</x:v>
      </x:c>
      <x:c r="Y329" s="38" t="n">
        <x:v>-0.0430282576</x:v>
      </x:c>
      <x:c r="Z329" s="38" t="n">
        <x:v>0.0368896713</x:v>
      </x:c>
      <x:c r="AA329" s="38" t="n">
        <x:v>-0.0069720788</x:v>
      </x:c>
      <x:c r="AB329" s="38" t="n">
        <x:v>-0.0755169425</x:v>
      </x:c>
      <x:c r="AC329" s="38"/>
      <x:c r="AD329" s="38" t="n">
        <x:v>0.015081692</x:v>
      </x:c>
      <x:c r="AE329" s="38" t="n">
        <x:v>0.0346112759</x:v>
      </x:c>
      <x:c r="AF329" s="38" t="n">
        <x:v>-0.0593330238</x:v>
      </x:c>
      <x:c r="AG329" s="38" t="n">
        <x:v>0.0159728201</x:v>
      </x:c>
      <x:c r="AH329" s="38" t="n">
        <x:v>0.0265587974</x:v>
      </x:c>
      <x:c r="AI329" s="38" t="n">
        <x:v>-0.0021898346</x:v>
      </x:c>
      <x:c r="AJ329" s="38" t="n">
        <x:v>-0.0621492882</x:v>
      </x:c>
      <x:c r="AK329" s="38" t="n">
        <x:v>-0.021409697</x:v>
      </x:c>
      <x:c r="AL329" s="38" t="n">
        <x:v>-0.048886071</x:v>
      </x:c>
      <x:c r="AM329" s="38" t="n">
        <x:v>0.0361179218</x:v>
      </x:c>
      <x:c r="AN329" s="38" t="n">
        <x:v>0.0531633259</x:v>
      </x:c>
      <x:c r="AO329" s="38" t="n">
        <x:v>0.0410410806</x:v>
      </x:c>
      <x:c r="AP329" s="38" t="n">
        <x:v>0.0055924167</x:v>
      </x:c>
      <x:c r="AQ329" s="38" t="n">
        <x:v>-0.0258466488</x:v>
      </x:c>
      <x:c r="AR329" s="38" t="n">
        <x:v>-0.014949722</x:v>
      </x:c>
      <x:c r="AS329" s="38" t="n">
        <x:v>-0.0207251474</x:v>
      </x:c>
    </x:row>
    <x:row r="330" ht="19" customHeight="1">
      <x:c r="A330" s="29" t="str">
        <x:v>Primary sector</x:v>
      </x:c>
      <x:c r="B330" s="39" t="d">
        <x:v>2020-11-09T00:00:00.000Z</x:v>
      </x:c>
      <x:c r="C330" s="38" t="n">
        <x:v>-0.0182422</x:v>
      </x:c>
      <x:c r="D330" s="38" t="n">
        <x:v>-0.045131715</x:v>
      </x:c>
      <x:c r="E330" s="38" t="n">
        <x:v>-0.0296011494</x:v>
      </x:c>
      <x:c r="F330" s="38" t="n">
        <x:v>-0.0064745005</x:v>
      </x:c>
      <x:c r="G330" s="38" t="n">
        <x:v>0.0325301344</x:v>
      </x:c>
      <x:c r="H330" s="38" t="n">
        <x:v>-0.0492244552</x:v>
      </x:c>
      <x:c r="I330" s="38" t="n">
        <x:v>-0.025314029</x:v>
      </x:c>
      <x:c r="J330" s="38" t="n">
        <x:v>-0.1543356576</x:v>
      </x:c>
      <x:c r="K330" s="38" t="n">
        <x:v>-0.0069572964</x:v>
      </x:c>
      <x:c r="L330" s="38" t="n">
        <x:v>0.0476417909</x:v>
      </x:c>
      <x:c r="M330" s="38" t="n">
        <x:v>0.0227307791</x:v>
      </x:c>
      <x:c r="N330" s="38" t="n">
        <x:v>-0.008652633</x:v>
      </x:c>
      <x:c r="O330" s="38" t="n">
        <x:v>0.0312314825</x:v>
      </x:c>
      <x:c r="P330" s="38" t="n">
        <x:v>0.0112002455</x:v>
      </x:c>
      <x:c r="Q330" s="38" t="n">
        <x:v>0.0058023363</x:v>
      </x:c>
      <x:c r="R330" s="38"/>
      <x:c r="S330" s="38" t="n">
        <x:v>-0.0129107101</x:v>
      </x:c>
      <x:c r="T330" s="38" t="n">
        <x:v>0.0316062393</x:v>
      </x:c>
      <x:c r="U330" s="38" t="n">
        <x:v>0.0601645216</x:v>
      </x:c>
      <x:c r="V330" s="38" t="n">
        <x:v>0.0262490299</x:v>
      </x:c>
      <x:c r="W330" s="38" t="n">
        <x:v>-0.0894727985</x:v>
      </x:c>
      <x:c r="X330" s="38" t="n">
        <x:v>0.0206207336</x:v>
      </x:c>
      <x:c r="Y330" s="38" t="n">
        <x:v>0.0210655139</x:v>
      </x:c>
      <x:c r="Z330" s="38" t="n">
        <x:v>-0.0338122322</x:v>
      </x:c>
      <x:c r="AA330" s="38" t="n">
        <x:v>-0.0355762063</x:v>
      </x:c>
      <x:c r="AB330" s="38" t="n">
        <x:v>-0.0684733093</x:v>
      </x:c>
      <x:c r="AC330" s="38"/>
      <x:c r="AD330" s="38" t="n">
        <x:v>-0.0068671342</x:v>
      </x:c>
      <x:c r="AE330" s="38" t="n">
        <x:v>0.0190737504</x:v>
      </x:c>
      <x:c r="AF330" s="38" t="n">
        <x:v>0.0333014125</x:v>
      </x:c>
      <x:c r="AG330" s="38" t="n">
        <x:v>0.0265911272</x:v>
      </x:c>
      <x:c r="AH330" s="38" t="n">
        <x:v>0.0217268094</x:v>
      </x:c>
      <x:c r="AI330" s="38" t="n">
        <x:v>0.0155104341</x:v>
      </x:c>
      <x:c r="AJ330" s="38" t="n">
        <x:v>-0.0555575867</x:v>
      </x:c>
      <x:c r="AK330" s="38" t="n">
        <x:v>0.0653409702</x:v>
      </x:c>
      <x:c r="AL330" s="38" t="n">
        <x:v>-0.0189494391</x:v>
      </x:c>
      <x:c r="AM330" s="38" t="n">
        <x:v>-0.0108485349</x:v>
      </x:c>
      <x:c r="AN330" s="38" t="n">
        <x:v>0.0297107621</x:v>
      </x:c>
      <x:c r="AO330" s="38" t="n">
        <x:v>-0.0247023032</x:v>
      </x:c>
      <x:c r="AP330" s="38" t="n">
        <x:v>-0.0279326668</x:v>
      </x:c>
      <x:c r="AQ330" s="38" t="n">
        <x:v>0.0172407353</x:v>
      </x:c>
      <x:c r="AR330" s="38" t="n">
        <x:v>-0.0205309645</x:v>
      </x:c>
      <x:c r="AS330" s="38" t="n">
        <x:v>0.0118282228</x:v>
      </x:c>
    </x:row>
    <x:row r="331" ht="19" customHeight="1">
      <x:c r="A331" s="29" t="str">
        <x:v>Primary sector</x:v>
      </x:c>
      <x:c r="B331" s="39" t="d">
        <x:v>2020-12-07T00:00:00.000Z</x:v>
      </x:c>
      <x:c r="C331" s="38" t="n">
        <x:v>-0.0390559654</x:v>
      </x:c>
      <x:c r="D331" s="38" t="n">
        <x:v>-0.0266375948</x:v>
      </x:c>
      <x:c r="E331" s="38" t="n">
        <x:v>-0.0234950854</x:v>
      </x:c>
      <x:c r="F331" s="38" t="n">
        <x:v>-0.0098151084</x:v>
      </x:c>
      <x:c r="G331" s="38" t="n">
        <x:v>0.1259824041</x:v>
      </x:c>
      <x:c r="H331" s="38" t="n">
        <x:v>-0.0028916896</x:v>
      </x:c>
      <x:c r="I331" s="38" t="n">
        <x:v>-0.039425389</x:v>
      </x:c>
      <x:c r="J331" s="38" t="n">
        <x:v>-0.0546773389</x:v>
      </x:c>
      <x:c r="K331" s="38" t="n">
        <x:v>0.0351835065</x:v>
      </x:c>
      <x:c r="L331" s="38" t="n">
        <x:v>-0.0464897766</x:v>
      </x:c>
      <x:c r="M331" s="38" t="n">
        <x:v>0.1046799482</x:v>
      </x:c>
      <x:c r="N331" s="38" t="n">
        <x:v>0.0470350093</x:v>
      </x:c>
      <x:c r="O331" s="38" t="n">
        <x:v>0.0061934507</x:v>
      </x:c>
      <x:c r="P331" s="38" t="n">
        <x:v>0.0617102972</x:v>
      </x:c>
      <x:c r="Q331" s="38" t="n">
        <x:v>0.0269464069</x:v>
      </x:c>
      <x:c r="R331" s="38"/>
      <x:c r="S331" s="38" t="n">
        <x:v>0.0408626942</x:v>
      </x:c>
      <x:c r="T331" s="38" t="n">
        <x:v>0.1019143934</x:v>
      </x:c>
      <x:c r="U331" s="38" t="n">
        <x:v>0.3269071714</x:v>
      </x:c>
      <x:c r="V331" s="38" t="n">
        <x:v>0.0044657387</x:v>
      </x:c>
      <x:c r="W331" s="38" t="n">
        <x:v>-0.0225984633</x:v>
      </x:c>
      <x:c r="X331" s="38" t="n">
        <x:v>0.0013804517</x:v>
      </x:c>
      <x:c r="Y331" s="38" t="n">
        <x:v>0.0493068344</x:v>
      </x:c>
      <x:c r="Z331" s="38" t="n">
        <x:v>-0.1552609355</x:v>
      </x:c>
      <x:c r="AA331" s="38" t="n">
        <x:v>-0.0327516683</x:v>
      </x:c>
      <x:c r="AB331" s="38" t="n">
        <x:v>-0.0485217085</x:v>
      </x:c>
      <x:c r="AC331" s="38"/>
      <x:c r="AD331" s="38" t="n">
        <x:v>-0.02769243</x:v>
      </x:c>
      <x:c r="AE331" s="38" t="n">
        <x:v>-0.0179740047</x:v>
      </x:c>
      <x:c r="AF331" s="38" t="n">
        <x:v>0.0777850741</x:v>
      </x:c>
      <x:c r="AG331" s="38" t="n">
        <x:v>0.100227616</x:v>
      </x:c>
      <x:c r="AH331" s="38" t="n">
        <x:v>-0.0024472607</x:v>
      </x:c>
      <x:c r="AI331" s="38" t="n">
        <x:v>-0.0044170075</x:v>
      </x:c>
      <x:c r="AJ331" s="38" t="n">
        <x:v>0.0571091577</x:v>
      </x:c>
      <x:c r="AK331" s="38" t="n">
        <x:v>-0.0386073924</x:v>
      </x:c>
      <x:c r="AL331" s="38" t="n">
        <x:v>0.0200997721</x:v>
      </x:c>
      <x:c r="AM331" s="38" t="n">
        <x:v>-0.0475827796</x:v>
      </x:c>
      <x:c r="AN331" s="38" t="n">
        <x:v>-0.0888290903</x:v>
      </x:c>
      <x:c r="AO331" s="38" t="n">
        <x:v>0.001658545</x:v>
      </x:c>
      <x:c r="AP331" s="38" t="n">
        <x:v>-0.0390161592</x:v>
      </x:c>
      <x:c r="AQ331" s="38" t="n">
        <x:v>-0.0089464873</x:v>
      </x:c>
      <x:c r="AR331" s="38" t="n">
        <x:v>0.0091150596</x:v>
      </x:c>
      <x:c r="AS331" s="38" t="n">
        <x:v>-0.0304075734</x:v>
      </x:c>
    </x:row>
    <x:row r="332" ht="19" customHeight="1">
      <x:c r="A332" s="29" t="str">
        <x:v>Primary sector</x:v>
      </x:c>
      <x:c r="B332" s="39" t="d">
        <x:v>2021-01-04T00:00:00.000Z</x:v>
      </x:c>
      <x:c r="C332" s="38" t="n">
        <x:v>0.0501039094</x:v>
      </x:c>
      <x:c r="D332" s="38" t="n">
        <x:v>-0.0562675017</x:v>
      </x:c>
      <x:c r="E332" s="38" t="n">
        <x:v>-0.0367712746</x:v>
      </x:c>
      <x:c r="F332" s="38" t="n">
        <x:v>-0.0562683501</x:v>
      </x:c>
      <x:c r="G332" s="38" t="n">
        <x:v>-0.0045197837</x:v>
      </x:c>
      <x:c r="H332" s="38" t="n">
        <x:v>0.0041397752</x:v>
      </x:c>
      <x:c r="I332" s="38" t="n">
        <x:v>-0.0415306713</x:v>
      </x:c>
      <x:c r="J332" s="38" t="n">
        <x:v>0.009845875</x:v>
      </x:c>
      <x:c r="K332" s="38" t="n">
        <x:v>-0.1417299434</x:v>
      </x:c>
      <x:c r="L332" s="38" t="n">
        <x:v>-0.0380699891</x:v>
      </x:c>
      <x:c r="M332" s="38" t="n">
        <x:v>0.0226483626</x:v>
      </x:c>
      <x:c r="N332" s="38" t="n">
        <x:v>-0.0072576148</x:v>
      </x:c>
      <x:c r="O332" s="38" t="n">
        <x:v>0.1122056794</x:v>
      </x:c>
      <x:c r="P332" s="38" t="n">
        <x:v>-0.071115132</x:v>
      </x:c>
      <x:c r="Q332" s="38" t="n">
        <x:v>-0.0589366768</x:v>
      </x:c>
      <x:c r="R332" s="38"/>
      <x:c r="S332" s="38" t="n">
        <x:v>0.0622943155</x:v>
      </x:c>
      <x:c r="T332" s="38" t="n">
        <x:v>-0.0668296656</x:v>
      </x:c>
      <x:c r="U332" s="38" t="n">
        <x:v>-0.2057610782</x:v>
      </x:c>
      <x:c r="V332" s="38" t="n">
        <x:v>0.0142868662</x:v>
      </x:c>
      <x:c r="W332" s="38" t="n">
        <x:v>-0.0017062517</x:v>
      </x:c>
      <x:c r="X332" s="38" t="n">
        <x:v>0.0169714774</x:v>
      </x:c>
      <x:c r="Y332" s="38" t="n">
        <x:v>-0.026291824</x:v>
      </x:c>
      <x:c r="Z332" s="38" t="n">
        <x:v>-0.0537349717</x:v>
      </x:c>
      <x:c r="AA332" s="38" t="n">
        <x:v>-0.0032864239</x:v>
      </x:c>
      <x:c r="AB332" s="38" t="n">
        <x:v>-0.0986540413</x:v>
      </x:c>
      <x:c r="AC332" s="38"/>
      <x:c r="AD332" s="38" t="n">
        <x:v>0.0039283744</x:v>
      </x:c>
      <x:c r="AE332" s="38" t="n">
        <x:v>-0.0626998748</x:v>
      </x:c>
      <x:c r="AF332" s="38" t="n">
        <x:v>-0.0450361658</x:v>
      </x:c>
      <x:c r="AG332" s="38" t="n">
        <x:v>-0.0732669669</x:v>
      </x:c>
      <x:c r="AH332" s="38" t="n">
        <x:v>-0.052199936</x:v>
      </x:c>
      <x:c r="AI332" s="38" t="n">
        <x:v>-0.0348190223</x:v>
      </x:c>
      <x:c r="AJ332" s="38" t="n">
        <x:v>-0.0324490922</x:v>
      </x:c>
      <x:c r="AK332" s="38" t="n">
        <x:v>-0.0473701964</x:v>
      </x:c>
      <x:c r="AL332" s="38" t="n">
        <x:v>-0.0424325368</x:v>
      </x:c>
      <x:c r="AM332" s="38" t="n">
        <x:v>-0.0104026519</x:v>
      </x:c>
      <x:c r="AN332" s="38" t="n">
        <x:v>-0.0375971335</x:v>
      </x:c>
      <x:c r="AO332" s="38" t="n">
        <x:v>-0.0294389482</x:v>
      </x:c>
      <x:c r="AP332" s="38" t="n">
        <x:v>-0.0284855208</x:v>
      </x:c>
      <x:c r="AQ332" s="38" t="n">
        <x:v>-0.0374165932</x:v>
      </x:c>
      <x:c r="AR332" s="38" t="n">
        <x:v>-0.0068471712</x:v>
      </x:c>
      <x:c r="AS332" s="38" t="n">
        <x:v>-0.0115048439</x:v>
      </x:c>
    </x:row>
    <x:row r="333" ht="19" customHeight="1">
      <x:c r="A333" s="29" t="str">
        <x:v>Primary sector</x:v>
      </x:c>
      <x:c r="B333" s="39" t="d">
        <x:v>2021-02-01T00:00:00.000Z</x:v>
      </x:c>
      <x:c r="C333" s="38" t="n">
        <x:v>-0.0267934776</x:v>
      </x:c>
      <x:c r="D333" s="38" t="n">
        <x:v>-0.0428792308</x:v>
      </x:c>
      <x:c r="E333" s="38" t="n">
        <x:v>0.0155165054</x:v>
      </x:c>
      <x:c r="F333" s="38" t="n">
        <x:v>-0.0118526495</x:v>
      </x:c>
      <x:c r="G333" s="38" t="n">
        <x:v>0.0083915527</x:v>
      </x:c>
      <x:c r="H333" s="38" t="n">
        <x:v>0.0541374051</x:v>
      </x:c>
      <x:c r="I333" s="38" t="n">
        <x:v>0.01781992</x:v>
      </x:c>
      <x:c r="J333" s="38" t="n">
        <x:v>-0.0158653554</x:v>
      </x:c>
      <x:c r="K333" s="38" t="n">
        <x:v>0.0530479886</x:v>
      </x:c>
      <x:c r="L333" s="38" t="n">
        <x:v>0.0131359367</x:v>
      </x:c>
      <x:c r="M333" s="38" t="n">
        <x:v>-0.002448566</x:v>
      </x:c>
      <x:c r="N333" s="38" t="n">
        <x:v>0.0405750461</x:v>
      </x:c>
      <x:c r="O333" s="38" t="n">
        <x:v>0.0490735604</x:v>
      </x:c>
      <x:c r="P333" s="38" t="n">
        <x:v>0.0400026847</x:v>
      </x:c>
      <x:c r="Q333" s="38" t="n">
        <x:v>-0.0591124519</x:v>
      </x:c>
      <x:c r="R333" s="38"/>
      <x:c r="S333" s="38" t="n">
        <x:v>-0.0311582458</x:v>
      </x:c>
      <x:c r="T333" s="38" t="n">
        <x:v>0.0070413408</x:v>
      </x:c>
      <x:c r="U333" s="38" t="n">
        <x:v>0.2967396839</x:v>
      </x:c>
      <x:c r="V333" s="38" t="n">
        <x:v>0.2008241715</x:v>
      </x:c>
      <x:c r="W333" s="38" t="n">
        <x:v>0.0311809444</x:v>
      </x:c>
      <x:c r="X333" s="38" t="n">
        <x:v>-0.0145153637</x:v>
      </x:c>
      <x:c r="Y333" s="38" t="n">
        <x:v>-0.0164917871</x:v>
      </x:c>
      <x:c r="Z333" s="38" t="n">
        <x:v>0.0106218671</x:v>
      </x:c>
      <x:c r="AA333" s="38" t="n">
        <x:v>-0.0481078334</x:v>
      </x:c>
      <x:c r="AB333" s="38" t="n">
        <x:v>0.048069613</x:v>
      </x:c>
      <x:c r="AC333" s="38" t="n">
        <x:v>0.2408125496</x:v>
      </x:c>
      <x:c r="AD333" s="38" t="n">
        <x:v>-0.0194753474</x:v>
      </x:c>
      <x:c r="AE333" s="38" t="n">
        <x:v>0.1591172767</x:v>
      </x:c>
      <x:c r="AF333" s="38" t="n">
        <x:v>0.0256608099</x:v>
      </x:c>
      <x:c r="AG333" s="38" t="n">
        <x:v>0.0131583923</x:v>
      </x:c>
      <x:c r="AH333" s="38" t="n">
        <x:v>0.0061762367</x:v>
      </x:c>
      <x:c r="AI333" s="38" t="n">
        <x:v>-0.0810545443</x:v>
      </x:c>
      <x:c r="AJ333" s="38" t="n">
        <x:v>0.1129018252</x:v>
      </x:c>
      <x:c r="AK333" s="38" t="n">
        <x:v>-0.0225619508</x:v>
      </x:c>
      <x:c r="AL333" s="38" t="n">
        <x:v>0.0212126217</x:v>
      </x:c>
      <x:c r="AM333" s="38" t="n">
        <x:v>0.0540444329</x:v>
      </x:c>
      <x:c r="AN333" s="38" t="n">
        <x:v>0.064887929</x:v>
      </x:c>
      <x:c r="AO333" s="38" t="n">
        <x:v>-0.0260321525</x:v>
      </x:c>
      <x:c r="AP333" s="38" t="n">
        <x:v>0.0234138647</x:v>
      </x:c>
      <x:c r="AQ333" s="38" t="n">
        <x:v>-0.0074674123</x:v>
      </x:c>
      <x:c r="AR333" s="38" t="n">
        <x:v>0.0235121318</x:v>
      </x:c>
      <x:c r="AS333" s="38" t="n">
        <x:v>0.0041610211</x:v>
      </x:c>
    </x:row>
    <x:row r="334" ht="19" customHeight="1">
      <x:c r="A334" s="29" t="str">
        <x:v>Primary sector</x:v>
      </x:c>
      <x:c r="B334" s="39" t="d">
        <x:v>2021-03-01T00:00:00.000Z</x:v>
      </x:c>
      <x:c r="C334" s="38" t="n">
        <x:v>-0.0780327535</x:v>
      </x:c>
      <x:c r="D334" s="38" t="n">
        <x:v>-0.1130275467</x:v>
      </x:c>
      <x:c r="E334" s="38" t="n">
        <x:v>0.0198680495</x:v>
      </x:c>
      <x:c r="F334" s="38" t="n">
        <x:v>-0.0148011483</x:v>
      </x:c>
      <x:c r="G334" s="38" t="n">
        <x:v>0.0507495746</x:v>
      </x:c>
      <x:c r="H334" s="38" t="n">
        <x:v>-0.0492961306</x:v>
      </x:c>
      <x:c r="I334" s="38" t="n">
        <x:v>-0.0035924054</x:v>
      </x:c>
      <x:c r="J334" s="38" t="n">
        <x:v>0.1289860564</x:v>
      </x:c>
      <x:c r="K334" s="38" t="n">
        <x:v>0.1004915798</x:v>
      </x:c>
      <x:c r="L334" s="38" t="n">
        <x:v>-0.0041495003</x:v>
      </x:c>
      <x:c r="M334" s="38" t="n">
        <x:v>-0.04414523</x:v>
      </x:c>
      <x:c r="N334" s="38" t="n">
        <x:v>-0.0535177349</x:v>
      </x:c>
      <x:c r="O334" s="38" t="n">
        <x:v>0.0184595844</x:v>
      </x:c>
      <x:c r="P334" s="38" t="n">
        <x:v>0.1365173046</x:v>
      </x:c>
      <x:c r="Q334" s="38" t="n">
        <x:v>-0.0187383014</x:v>
      </x:c>
      <x:c r="R334" s="38"/>
      <x:c r="S334" s="38" t="n">
        <x:v>0.0806471728</x:v>
      </x:c>
      <x:c r="T334" s="38" t="n">
        <x:v>-0.1581604349</x:v>
      </x:c>
      <x:c r="U334" s="38" t="n">
        <x:v>-0.0634636805</x:v>
      </x:c>
      <x:c r="V334" s="38" t="n">
        <x:v>-0.1267902308</x:v>
      </x:c>
      <x:c r="W334" s="38" t="n">
        <x:v>-0.0416991704</x:v>
      </x:c>
      <x:c r="X334" s="38" t="n">
        <x:v>0.0446409277</x:v>
      </x:c>
      <x:c r="Y334" s="38" t="n">
        <x:v>0.1182565166</x:v>
      </x:c>
      <x:c r="Z334" s="38" t="n">
        <x:v>-0.0779995444</x:v>
      </x:c>
      <x:c r="AA334" s="38" t="n">
        <x:v>-0.0175389777</x:v>
      </x:c>
      <x:c r="AB334" s="38" t="n">
        <x:v>-0.1953012033</x:v>
      </x:c>
      <x:c r="AC334" s="38" t="n">
        <x:v>-0.2986239468</x:v>
      </x:c>
      <x:c r="AD334" s="38" t="n">
        <x:v>0.017128307</x:v>
      </x:c>
      <x:c r="AE334" s="38" t="n">
        <x:v>0.0873101462</x:v>
      </x:c>
      <x:c r="AF334" s="38" t="n">
        <x:v>0.0744940423</x:v>
      </x:c>
      <x:c r="AG334" s="38" t="n">
        <x:v>0.1033678244</x:v>
      </x:c>
      <x:c r="AH334" s="38" t="n">
        <x:v>0.0208991139</x:v>
      </x:c>
      <x:c r="AI334" s="38" t="n">
        <x:v>0.003887826</x:v>
      </x:c>
      <x:c r="AJ334" s="38" t="n">
        <x:v>0.0189395046</x:v>
      </x:c>
      <x:c r="AK334" s="38" t="n">
        <x:v>0.0431784364</x:v>
      </x:c>
      <x:c r="AL334" s="38" t="n">
        <x:v>-0.0179640619</x:v>
      </x:c>
      <x:c r="AM334" s="38" t="n">
        <x:v>0.0015194371</x:v>
      </x:c>
      <x:c r="AN334" s="38" t="n">
        <x:v>-0.0414794905</x:v>
      </x:c>
      <x:c r="AO334" s="38" t="n">
        <x:v>-0.060206809</x:v>
      </x:c>
      <x:c r="AP334" s="38" t="n">
        <x:v>-0.0057803778</x:v>
      </x:c>
      <x:c r="AQ334" s="38" t="n">
        <x:v>0.021863322</x:v>
      </x:c>
      <x:c r="AR334" s="38" t="n">
        <x:v>-0.0224441321</x:v>
      </x:c>
      <x:c r="AS334" s="38" t="n">
        <x:v>0.0189902572</x:v>
      </x:c>
    </x:row>
    <x:row r="335" ht="19" customHeight="1">
      <x:c r="A335" s="29" t="str">
        <x:v>Primary sector</x:v>
      </x:c>
      <x:c r="B335" s="39" t="d">
        <x:v>2021-03-29T00:00:00.000Z</x:v>
      </x:c>
      <x:c r="C335" s="38" t="n">
        <x:v>-0.0688168891</x:v>
      </x:c>
      <x:c r="D335" s="38" t="n">
        <x:v>-0.0264655335</x:v>
      </x:c>
      <x:c r="E335" s="38" t="n">
        <x:v>0.0114767631</x:v>
      </x:c>
      <x:c r="F335" s="38" t="n">
        <x:v>0.016829161</x:v>
      </x:c>
      <x:c r="G335" s="38" t="n">
        <x:v>-0.0099494738</x:v>
      </x:c>
      <x:c r="H335" s="38" t="n">
        <x:v>0.0330766375</x:v>
      </x:c>
      <x:c r="I335" s="38" t="n">
        <x:v>-0.0135463717</x:v>
      </x:c>
      <x:c r="J335" s="38" t="n">
        <x:v>-0.0682064538</x:v>
      </x:c>
      <x:c r="K335" s="38" t="n">
        <x:v>-0.0559836653</x:v>
      </x:c>
      <x:c r="L335" s="38" t="n">
        <x:v>-0.0104933534</x:v>
      </x:c>
      <x:c r="M335" s="38" t="n">
        <x:v>-0.0129308435</x:v>
      </x:c>
      <x:c r="N335" s="38" t="n">
        <x:v>-0.0137026434</x:v>
      </x:c>
      <x:c r="O335" s="38" t="n">
        <x:v>0.0225061543</x:v>
      </x:c>
      <x:c r="P335" s="38" t="n">
        <x:v>-0.077578484</x:v>
      </x:c>
      <x:c r="Q335" s="38" t="n">
        <x:v>-0.0841756045</x:v>
      </x:c>
      <x:c r="R335" s="38"/>
      <x:c r="S335" s="38" t="n">
        <x:v>-0.0272208375</x:v>
      </x:c>
      <x:c r="T335" s="38" t="n">
        <x:v>-0.0081769498</x:v>
      </x:c>
      <x:c r="U335" s="38" t="n">
        <x:v>-0.0677203596</x:v>
      </x:c>
      <x:c r="V335" s="38" t="n">
        <x:v>-0.0499584974</x:v>
      </x:c>
      <x:c r="W335" s="38" t="n">
        <x:v>0.0369711377</x:v>
      </x:c>
      <x:c r="X335" s="38" t="n">
        <x:v>0.0177314777</x:v>
      </x:c>
      <x:c r="Y335" s="38" t="n">
        <x:v>-0.0857664509</x:v>
      </x:c>
      <x:c r="Z335" s="38" t="n">
        <x:v>0.0599759407</x:v>
      </x:c>
      <x:c r="AA335" s="38" t="n">
        <x:v>0.0333567628</x:v>
      </x:c>
      <x:c r="AB335" s="38" t="n">
        <x:v>-0.0649733756</x:v>
      </x:c>
      <x:c r="AC335" s="38" t="n">
        <x:v>0.656286692</x:v>
      </x:c>
      <x:c r="AD335" s="38" t="n">
        <x:v>0.0228191872</x:v>
      </x:c>
      <x:c r="AE335" s="38" t="n">
        <x:v>-0.0531964012</x:v>
      </x:c>
      <x:c r="AF335" s="38" t="n">
        <x:v>0.0196260949</x:v>
      </x:c>
      <x:c r="AG335" s="38" t="n">
        <x:v>0.0377001029</x:v>
      </x:c>
      <x:c r="AH335" s="38" t="n">
        <x:v>0.0622475395</x:v>
      </x:c>
      <x:c r="AI335" s="38" t="n">
        <x:v>-0.0018239522</x:v>
      </x:c>
      <x:c r="AJ335" s="38" t="n">
        <x:v>-0.1072651231</x:v>
      </x:c>
      <x:c r="AK335" s="38" t="n">
        <x:v>-0.0281935395</x:v>
      </x:c>
      <x:c r="AL335" s="38" t="n">
        <x:v>0.00336306</x:v>
      </x:c>
      <x:c r="AM335" s="38" t="n">
        <x:v>0.0182463015</x:v>
      </x:c>
      <x:c r="AN335" s="38" t="n">
        <x:v>0.0001280849</x:v>
      </x:c>
      <x:c r="AO335" s="38" t="n">
        <x:v>0.0363643499</x:v>
      </x:c>
      <x:c r="AP335" s="38" t="n">
        <x:v>0.0984966108</x:v>
      </x:c>
      <x:c r="AQ335" s="38" t="n">
        <x:v>0.0010653901</x:v>
      </x:c>
      <x:c r="AR335" s="38" t="n">
        <x:v>0.0122955445</x:v>
      </x:c>
      <x:c r="AS335" s="38" t="n">
        <x:v>0.0070193742</x:v>
      </x:c>
    </x:row>
    <x:row r="336" ht="19" customHeight="1">
      <x:c r="A336" s="29" t="str">
        <x:v>Primary sector</x:v>
      </x:c>
      <x:c r="B336" s="39" t="d">
        <x:v>2021-04-26T00:00:00.000Z</x:v>
      </x:c>
      <x:c r="C336" s="38" t="n">
        <x:v>-0.082188395</x:v>
      </x:c>
      <x:c r="D336" s="38" t="n">
        <x:v>-0.013204282</x:v>
      </x:c>
      <x:c r="E336" s="38" t="n">
        <x:v>-0.0109475841</x:v>
      </x:c>
      <x:c r="F336" s="38" t="n">
        <x:v>0.0258727097</x:v>
      </x:c>
      <x:c r="G336" s="38" t="n">
        <x:v>-0.0371500164</x:v>
      </x:c>
      <x:c r="H336" s="38" t="n">
        <x:v>-0.0001549942</x:v>
      </x:c>
      <x:c r="I336" s="38" t="n">
        <x:v>0.0071460144</x:v>
      </x:c>
      <x:c r="J336" s="38" t="n">
        <x:v>-0.0105076791</x:v>
      </x:c>
      <x:c r="K336" s="38" t="n">
        <x:v>0.0910380689</x:v>
      </x:c>
      <x:c r="L336" s="38" t="n">
        <x:v>-0.0075223127</x:v>
      </x:c>
      <x:c r="M336" s="38" t="n">
        <x:v>-0.0032124857</x:v>
      </x:c>
      <x:c r="N336" s="38" t="n">
        <x:v>-0.0141060486</x:v>
      </x:c>
      <x:c r="O336" s="38" t="n">
        <x:v>-0.0164018344</x:v>
      </x:c>
      <x:c r="P336" s="38" t="n">
        <x:v>-0.0024977703</x:v>
      </x:c>
      <x:c r="Q336" s="38" t="n">
        <x:v>0.0371130893</x:v>
      </x:c>
      <x:c r="R336" s="38" t="n">
        <x:v>-0.0040950315</x:v>
      </x:c>
      <x:c r="S336" s="38" t="n">
        <x:v>-0.0271908697</x:v>
      </x:c>
      <x:c r="T336" s="38" t="n">
        <x:v>0.0591744758</x:v>
      </x:c>
      <x:c r="U336" s="38" t="n">
        <x:v>0.1837673815</x:v>
      </x:c>
      <x:c r="V336" s="38" t="n">
        <x:v>-0.0079315092</x:v>
      </x:c>
      <x:c r="W336" s="38" t="n">
        <x:v>-0.0784704123</x:v>
      </x:c>
      <x:c r="X336" s="38" t="n">
        <x:v>-0.0020487062</x:v>
      </x:c>
      <x:c r="Y336" s="38" t="n">
        <x:v>-0.045670436</x:v>
      </x:c>
      <x:c r="Z336" s="38" t="n">
        <x:v>-0.039282149</x:v>
      </x:c>
      <x:c r="AA336" s="38" t="n">
        <x:v>0.0094419937</x:v>
      </x:c>
      <x:c r="AB336" s="38" t="n">
        <x:v>-0.0641933933</x:v>
      </x:c>
      <x:c r="AC336" s="38" t="n">
        <x:v>-0.2454303035</x:v>
      </x:c>
      <x:c r="AD336" s="38" t="n">
        <x:v>-0.0134979973</x:v>
      </x:c>
      <x:c r="AE336" s="38" t="n">
        <x:v>-0.071431809</x:v>
      </x:c>
      <x:c r="AF336" s="38" t="n">
        <x:v>-0.0120719738</x:v>
      </x:c>
      <x:c r="AG336" s="38" t="n">
        <x:v>-0.0725275768</x:v>
      </x:c>
      <x:c r="AH336" s="38" t="n">
        <x:v>0.0098214606</x:v>
      </x:c>
      <x:c r="AI336" s="38" t="n">
        <x:v>-0.039690986</x:v>
      </x:c>
      <x:c r="AJ336" s="38" t="n">
        <x:v>-0.0559335726</x:v>
      </x:c>
      <x:c r="AK336" s="38" t="n">
        <x:v>-0.0430562934</x:v>
      </x:c>
      <x:c r="AL336" s="38" t="n">
        <x:v>0.0898712547</x:v>
      </x:c>
      <x:c r="AM336" s="38" t="n">
        <x:v>-0.0108454397</x:v>
      </x:c>
      <x:c r="AN336" s="38" t="n">
        <x:v>0.0121135363</x:v>
      </x:c>
      <x:c r="AO336" s="38" t="n">
        <x:v>0.0063787438</x:v>
      </x:c>
      <x:c r="AP336" s="38" t="n">
        <x:v>-0.002774287</x:v>
      </x:c>
      <x:c r="AQ336" s="38" t="n">
        <x:v>-0.0092102936</x:v>
      </x:c>
      <x:c r="AR336" s="38" t="n">
        <x:v>-0.030813081</x:v>
      </x:c>
      <x:c r="AS336" s="38" t="n">
        <x:v>0.0117494834</x:v>
      </x:c>
    </x:row>
    <x:row r="337" ht="19" customHeight="1">
      <x:c r="A337" s="29" t="str">
        <x:v>Primary sector</x:v>
      </x:c>
      <x:c r="B337" s="39" t="d">
        <x:v>2021-05-24T00:00:00.000Z</x:v>
      </x:c>
      <x:c r="C337" s="38" t="n">
        <x:v>-0.0299547177</x:v>
      </x:c>
      <x:c r="D337" s="38" t="n">
        <x:v>0.1362481535</x:v>
      </x:c>
      <x:c r="E337" s="38" t="n">
        <x:v>-0.0092588923</x:v>
      </x:c>
      <x:c r="F337" s="38" t="n">
        <x:v>-0.0119531231</x:v>
      </x:c>
      <x:c r="G337" s="38" t="n">
        <x:v>-0.0224796894</x:v>
      </x:c>
      <x:c r="H337" s="38" t="n">
        <x:v>-0.0392888392</x:v>
      </x:c>
      <x:c r="I337" s="38" t="n">
        <x:v>-0.032210468</x:v>
      </x:c>
      <x:c r="J337" s="38" t="n">
        <x:v>-0.0570118637</x:v>
      </x:c>
      <x:c r="K337" s="38" t="n">
        <x:v>0.0245337437</x:v>
      </x:c>
      <x:c r="L337" s="38" t="n">
        <x:v>0.0120700873</x:v>
      </x:c>
      <x:c r="M337" s="38" t="n">
        <x:v>-0.0085192956</x:v>
      </x:c>
      <x:c r="N337" s="38" t="n">
        <x:v>0.0255325507</x:v>
      </x:c>
      <x:c r="O337" s="38" t="n">
        <x:v>-0.0193830086</x:v>
      </x:c>
      <x:c r="P337" s="38" t="n">
        <x:v>0.0433197611</x:v>
      </x:c>
      <x:c r="Q337" s="38" t="n">
        <x:v>-0.0655943391</x:v>
      </x:c>
      <x:c r="R337" s="38" t="n">
        <x:v>-0.0051429437</x:v>
      </x:c>
      <x:c r="S337" s="38" t="n">
        <x:v>0.0435800092</x:v>
      </x:c>
      <x:c r="T337" s="38" t="n">
        <x:v>-0.0383431369</x:v>
      </x:c>
      <x:c r="U337" s="38" t="n">
        <x:v>0.0026953966</x:v>
      </x:c>
      <x:c r="V337" s="38" t="n">
        <x:v>-0.0918854132</x:v>
      </x:c>
      <x:c r="W337" s="38" t="n">
        <x:v>-0.0325629658</x:v>
      </x:c>
      <x:c r="X337" s="38" t="n">
        <x:v>0.0072071242</x:v>
      </x:c>
      <x:c r="Y337" s="38" t="n">
        <x:v>-0.0174091858</x:v>
      </x:c>
      <x:c r="Z337" s="38" t="n">
        <x:v>0.0676625576</x:v>
      </x:c>
      <x:c r="AA337" s="38" t="n">
        <x:v>-0.0366548532</x:v>
      </x:c>
      <x:c r="AB337" s="38" t="n">
        <x:v>0.001306286</x:v>
      </x:c>
      <x:c r="AC337" s="38" t="n">
        <x:v>0.1457518317</x:v>
      </x:c>
      <x:c r="AD337" s="38" t="n">
        <x:v>0.011597981</x:v>
      </x:c>
      <x:c r="AE337" s="38" t="n">
        <x:v>0.1431256388</x:v>
      </x:c>
      <x:c r="AF337" s="38" t="n">
        <x:v>-0.0072037826</x:v>
      </x:c>
      <x:c r="AG337" s="38" t="n">
        <x:v>0.0163783257</x:v>
      </x:c>
      <x:c r="AH337" s="38" t="n">
        <x:v>-0.0116452923</x:v>
      </x:c>
      <x:c r="AI337" s="38" t="n">
        <x:v>-0.0155617765</x:v>
      </x:c>
      <x:c r="AJ337" s="38" t="n">
        <x:v>0.0268095175</x:v>
      </x:c>
      <x:c r="AK337" s="38" t="n">
        <x:v>-0.0258214125</x:v>
      </x:c>
      <x:c r="AL337" s="38" t="n">
        <x:v>0.0668237876</x:v>
      </x:c>
      <x:c r="AM337" s="38" t="n">
        <x:v>-0.0140055801</x:v>
      </x:c>
      <x:c r="AN337" s="38" t="n">
        <x:v>-0.0182783456</x:v>
      </x:c>
      <x:c r="AO337" s="38" t="n">
        <x:v>-0.002277136</x:v>
      </x:c>
      <x:c r="AP337" s="38" t="n">
        <x:v>0.0002356927</x:v>
      </x:c>
      <x:c r="AQ337" s="38" t="n">
        <x:v>-0.0074338249</x:v>
      </x:c>
      <x:c r="AR337" s="38" t="n">
        <x:v>0.0050532276</x:v>
      </x:c>
      <x:c r="AS337" s="38" t="n">
        <x:v>0.0072581226</x:v>
      </x:c>
    </x:row>
    <x:row r="338" ht="19" customHeight="1">
      <x:c r="A338" s="29" t="str">
        <x:v>Primary sector</x:v>
      </x:c>
      <x:c r="B338" s="39" t="d">
        <x:v>2021-06-21T00:00:00.000Z</x:v>
      </x:c>
      <x:c r="C338" s="38" t="n">
        <x:v>0.0725976824</x:v>
      </x:c>
      <x:c r="D338" s="38" t="n">
        <x:v>-0.0116591932</x:v>
      </x:c>
      <x:c r="E338" s="38" t="n">
        <x:v>0.0147828796</x:v>
      </x:c>
      <x:c r="F338" s="38" t="n">
        <x:v>-0.0241225364</x:v>
      </x:c>
      <x:c r="G338" s="38" t="n">
        <x:v>0.0184199204</x:v>
      </x:c>
      <x:c r="H338" s="38" t="n">
        <x:v>0.0724974434</x:v>
      </x:c>
      <x:c r="I338" s="38" t="n">
        <x:v>0.0238274887</x:v>
      </x:c>
      <x:c r="J338" s="38" t="n">
        <x:v>-0.0599238566</x:v>
      </x:c>
      <x:c r="K338" s="38" t="n">
        <x:v>-0.1368211709</x:v>
      </x:c>
      <x:c r="L338" s="38" t="n">
        <x:v>-0.0472070342</x:v>
      </x:c>
      <x:c r="M338" s="38" t="n">
        <x:v>0.0166833431</x:v>
      </x:c>
      <x:c r="N338" s="38" t="n">
        <x:v>0.0285939592</x:v>
      </x:c>
      <x:c r="O338" s="38" t="n">
        <x:v>0.0302955072</x:v>
      </x:c>
      <x:c r="P338" s="38" t="n">
        <x:v>-0.1361919678</x:v>
      </x:c>
      <x:c r="Q338" s="38" t="n">
        <x:v>0.0265363359</x:v>
      </x:c>
      <x:c r="R338" s="38" t="n">
        <x:v>0.0681228347</x:v>
      </x:c>
      <x:c r="S338" s="38" t="n">
        <x:v>0.0012716269</x:v>
      </x:c>
      <x:c r="T338" s="38" t="n">
        <x:v>0.1242705782</x:v>
      </x:c>
      <x:c r="U338" s="38" t="n">
        <x:v>0.1104215247</x:v>
      </x:c>
      <x:c r="V338" s="38" t="n">
        <x:v>0.1772459467</x:v>
      </x:c>
      <x:c r="W338" s="38" t="n">
        <x:v>0.0431010298</x:v>
      </x:c>
      <x:c r="X338" s="38" t="n">
        <x:v>0.0184497441</x:v>
      </x:c>
      <x:c r="Y338" s="38" t="n">
        <x:v>-0.1111312791</x:v>
      </x:c>
      <x:c r="Z338" s="38" t="n">
        <x:v>-0.0452706227</x:v>
      </x:c>
      <x:c r="AA338" s="38" t="n">
        <x:v>-0.000425165</x:v>
      </x:c>
      <x:c r="AB338" s="38" t="n">
        <x:v>-0.0324831087</x:v>
      </x:c>
      <x:c r="AC338" s="38" t="n">
        <x:v>-0.0332137099</x:v>
      </x:c>
      <x:c r="AD338" s="38" t="n">
        <x:v>0.0194192179</x:v>
      </x:c>
      <x:c r="AE338" s="38" t="n">
        <x:v>0.0304146535</x:v>
      </x:c>
      <x:c r="AF338" s="38" t="n">
        <x:v>-0.0945732753</x:v>
      </x:c>
      <x:c r="AG338" s="38" t="n">
        <x:v>0.0356714129</x:v>
      </x:c>
      <x:c r="AH338" s="38" t="n">
        <x:v>0.0274202374</x:v>
      </x:c>
      <x:c r="AI338" s="38" t="n">
        <x:v>-0.0006700476</x:v>
      </x:c>
      <x:c r="AJ338" s="38" t="n">
        <x:v>0.058557424</x:v>
      </x:c>
      <x:c r="AK338" s="38" t="n">
        <x:v>0.0516546481</x:v>
      </x:c>
      <x:c r="AL338" s="38" t="n">
        <x:v>0.0002641342</x:v>
      </x:c>
      <x:c r="AM338" s="38" t="n">
        <x:v>0.0402121265</x:v>
      </x:c>
      <x:c r="AN338" s="38" t="n">
        <x:v>-0.0002590251</x:v>
      </x:c>
      <x:c r="AO338" s="38" t="n">
        <x:v>0.0395056831</x:v>
      </x:c>
      <x:c r="AP338" s="38" t="n">
        <x:v>0.0059352748</x:v>
      </x:c>
      <x:c r="AQ338" s="38" t="n">
        <x:v>0.0142901813</x:v>
      </x:c>
      <x:c r="AR338" s="38" t="n">
        <x:v>-0.0250781951</x:v>
      </x:c>
      <x:c r="AS338" s="38" t="n">
        <x:v>-0.0135467403</x:v>
      </x:c>
    </x:row>
    <x:row r="339" ht="19" customHeight="1">
      <x:c r="A339" s="29" t="str">
        <x:v>Primary sector</x:v>
      </x:c>
      <x:c r="B339" s="39" t="d">
        <x:v>2021-07-19T00:00:00.000Z</x:v>
      </x:c>
      <x:c r="C339" s="38" t="n">
        <x:v>-0.0156538471</x:v>
      </x:c>
      <x:c r="D339" s="38" t="n">
        <x:v>0.0952643553</x:v>
      </x:c>
      <x:c r="E339" s="38" t="n">
        <x:v>0.0100397212</x:v>
      </x:c>
      <x:c r="F339" s="38" t="n">
        <x:v>-0.0164031823</x:v>
      </x:c>
      <x:c r="G339" s="38" t="n">
        <x:v>0.0003230534</x:v>
      </x:c>
      <x:c r="H339" s="38" t="n">
        <x:v>0.1358235078</x:v>
      </x:c>
      <x:c r="I339" s="38" t="n">
        <x:v>0.0304936225</x:v>
      </x:c>
      <x:c r="J339" s="38" t="n">
        <x:v>-0.0657836054</x:v>
      </x:c>
      <x:c r="K339" s="38" t="n">
        <x:v>-0.0384202022</x:v>
      </x:c>
      <x:c r="L339" s="38" t="n">
        <x:v>-0.0722582452</x:v>
      </x:c>
      <x:c r="M339" s="38" t="n">
        <x:v>-0.0309537353</x:v>
      </x:c>
      <x:c r="N339" s="38" t="n">
        <x:v>0.0368196604</x:v>
      </x:c>
      <x:c r="O339" s="38" t="n">
        <x:v>0.016920826</x:v>
      </x:c>
      <x:c r="P339" s="38" t="n">
        <x:v>-0.1140463955</x:v>
      </x:c>
      <x:c r="Q339" s="38" t="n">
        <x:v>-0.1378654776</x:v>
      </x:c>
      <x:c r="R339" s="38" t="n">
        <x:v>-0.0212808439</x:v>
      </x:c>
      <x:c r="S339" s="38" t="n">
        <x:v>-0.0208162834</x:v>
      </x:c>
      <x:c r="T339" s="38" t="n">
        <x:v>0.0292324084</x:v>
      </x:c>
      <x:c r="U339" s="38" t="n">
        <x:v>0.3194204924</x:v>
      </x:c>
      <x:c r="V339" s="38" t="n">
        <x:v>0.038837842</x:v>
      </x:c>
      <x:c r="W339" s="38" t="n">
        <x:v>-0.0157829106</x:v>
      </x:c>
      <x:c r="X339" s="38" t="n">
        <x:v>0.0494605499</x:v>
      </x:c>
      <x:c r="Y339" s="38" t="n">
        <x:v>-0.0944590383</x:v>
      </x:c>
      <x:c r="Z339" s="38" t="n">
        <x:v>0.0350416618</x:v>
      </x:c>
      <x:c r="AA339" s="38" t="n">
        <x:v>-0.0006195812</x:v>
      </x:c>
      <x:c r="AB339" s="38" t="n">
        <x:v>-0.136689375</x:v>
      </x:c>
      <x:c r="AC339" s="38" t="n">
        <x:v>0.0380215194</x:v>
      </x:c>
      <x:c r="AD339" s="38" t="n">
        <x:v>0.0211304411</x:v>
      </x:c>
      <x:c r="AE339" s="38" t="n">
        <x:v>-0.0414234281</x:v>
      </x:c>
      <x:c r="AF339" s="38" t="n">
        <x:v>-0.0833450616</x:v>
      </x:c>
      <x:c r="AG339" s="38" t="n">
        <x:v>-0.041348486</x:v>
      </x:c>
      <x:c r="AH339" s="38" t="n">
        <x:v>0.0073759035</x:v>
      </x:c>
      <x:c r="AI339" s="38" t="n">
        <x:v>-0.0149501928</x:v>
      </x:c>
      <x:c r="AJ339" s="38" t="n">
        <x:v>-0.0148989329</x:v>
      </x:c>
      <x:c r="AK339" s="38" t="n">
        <x:v>0.0181676726</x:v>
      </x:c>
      <x:c r="AL339" s="38" t="n">
        <x:v>-0.0042828544</x:v>
      </x:c>
      <x:c r="AM339" s="38" t="n">
        <x:v>0.045867963</x:v>
      </x:c>
      <x:c r="AN339" s="38" t="n">
        <x:v>0.0293215848</x:v>
      </x:c>
      <x:c r="AO339" s="38" t="n">
        <x:v>0.0470276961</x:v>
      </x:c>
      <x:c r="AP339" s="38" t="n">
        <x:v>0.0504719887</x:v>
      </x:c>
      <x:c r="AQ339" s="38" t="n">
        <x:v>0.033844869</x:v>
      </x:c>
      <x:c r="AR339" s="38" t="n">
        <x:v>0.0106343114</x:v>
      </x:c>
      <x:c r="AS339" s="38" t="n">
        <x:v>0.0076623153</x:v>
      </x:c>
    </x:row>
    <x:row r="340" ht="19" customHeight="1">
      <x:c r="A340" s="29" t="str">
        <x:v>Primary sector</x:v>
      </x:c>
      <x:c r="B340" s="39" t="d">
        <x:v>2021-08-16T00:00:00.000Z</x:v>
      </x:c>
      <x:c r="C340" s="38" t="n">
        <x:v>-0.0818487664</x:v>
      </x:c>
      <x:c r="D340" s="38" t="n">
        <x:v>0.0273944252</x:v>
      </x:c>
      <x:c r="E340" s="38" t="n">
        <x:v>0.0047733631</x:v>
      </x:c>
      <x:c r="F340" s="38" t="n">
        <x:v>0.0315363813</x:v>
      </x:c>
      <x:c r="G340" s="38" t="n">
        <x:v>0.0136023322</x:v>
      </x:c>
      <x:c r="H340" s="38" t="n">
        <x:v>0.0587823166</x:v>
      </x:c>
      <x:c r="I340" s="38" t="n">
        <x:v>-0.0653699653</x:v>
      </x:c>
      <x:c r="J340" s="38" t="n">
        <x:v>-0.0180701736</x:v>
      </x:c>
      <x:c r="K340" s="38" t="n">
        <x:v>0.0570655826</x:v>
      </x:c>
      <x:c r="L340" s="38" t="n">
        <x:v>0.0090175759</x:v>
      </x:c>
      <x:c r="M340" s="38" t="n">
        <x:v>-0.1000858304</x:v>
      </x:c>
      <x:c r="N340" s="38" t="n">
        <x:v>-0.0080865912</x:v>
      </x:c>
      <x:c r="O340" s="38" t="n">
        <x:v>0.0446029519</x:v>
      </x:c>
      <x:c r="P340" s="38" t="n">
        <x:v>-0.0073021036</x:v>
      </x:c>
      <x:c r="Q340" s="38" t="n">
        <x:v>0.0160477583</x:v>
      </x:c>
      <x:c r="R340" s="38" t="n">
        <x:v>-0.0253386479</x:v>
      </x:c>
      <x:c r="S340" s="38" t="n">
        <x:v>-0.0442758534</x:v>
      </x:c>
      <x:c r="T340" s="38" t="n">
        <x:v>-0.0079450451</x:v>
      </x:c>
      <x:c r="U340" s="38" t="n">
        <x:v>0.0871368876</x:v>
      </x:c>
      <x:c r="V340" s="38" t="n">
        <x:v>-0.0182760813</x:v>
      </x:c>
      <x:c r="W340" s="38" t="n">
        <x:v>0.0560790133</x:v>
      </x:c>
      <x:c r="X340" s="38" t="n">
        <x:v>0.0327267685</x:v>
      </x:c>
      <x:c r="Y340" s="38" t="n">
        <x:v>-0.0197500944</x:v>
      </x:c>
      <x:c r="Z340" s="38" t="n">
        <x:v>0.0084391429</x:v>
      </x:c>
      <x:c r="AA340" s="38" t="n">
        <x:v>0.0014968798</x:v>
      </x:c>
      <x:c r="AB340" s="38" t="n">
        <x:v>0.0355917893</x:v>
      </x:c>
      <x:c r="AC340" s="38" t="n">
        <x:v>0.3282455564</x:v>
      </x:c>
      <x:c r="AD340" s="38" t="n">
        <x:v>0.031944704</x:v>
      </x:c>
      <x:c r="AE340" s="38" t="n">
        <x:v>-0.0143818181</x:v>
      </x:c>
      <x:c r="AF340" s="38" t="n">
        <x:v>0.0039114802</x:v>
      </x:c>
      <x:c r="AG340" s="38" t="n">
        <x:v>-0.0015035591</x:v>
      </x:c>
      <x:c r="AH340" s="38" t="n">
        <x:v>0.0322937688</x:v>
      </x:c>
      <x:c r="AI340" s="38" t="n">
        <x:v>0.0796492198</x:v>
      </x:c>
      <x:c r="AJ340" s="38" t="n">
        <x:v>0.023500458</x:v>
      </x:c>
      <x:c r="AK340" s="38" t="n">
        <x:v>-0.0250623529</x:v>
      </x:c>
      <x:c r="AL340" s="38" t="n">
        <x:v>0.0110201925</x:v>
      </x:c>
      <x:c r="AM340" s="38" t="n">
        <x:v>0.037362472</x:v>
      </x:c>
      <x:c r="AN340" s="38" t="n">
        <x:v>0.0483651266</x:v>
      </x:c>
      <x:c r="AO340" s="38" t="n">
        <x:v>0.0426889535</x:v>
      </x:c>
      <x:c r="AP340" s="38" t="n">
        <x:v>0.0138320415</x:v>
      </x:c>
      <x:c r="AQ340" s="38" t="n">
        <x:v>-0.0174263637</x:v>
      </x:c>
      <x:c r="AR340" s="38" t="n">
        <x:v>0.000450999</x:v>
      </x:c>
      <x:c r="AS340" s="38" t="n">
        <x:v>0.0016774052</x:v>
      </x:c>
    </x:row>
    <x:row r="341" ht="19" customHeight="1">
      <x:c r="A341" s="29" t="str">
        <x:v>Primary sector</x:v>
      </x:c>
      <x:c r="B341" s="39" t="d">
        <x:v>2021-09-13T00:00:00.000Z</x:v>
      </x:c>
      <x:c r="C341" s="38" t="n">
        <x:v>0.0089846562</x:v>
      </x:c>
      <x:c r="D341" s="38" t="n">
        <x:v>-0.0098741798</x:v>
      </x:c>
      <x:c r="E341" s="38" t="n">
        <x:v>-0.0387423772</x:v>
      </x:c>
      <x:c r="F341" s="38" t="n">
        <x:v>0.0036580968</x:v>
      </x:c>
      <x:c r="G341" s="38" t="n">
        <x:v>0.0309320268</x:v>
      </x:c>
      <x:c r="H341" s="38" t="n">
        <x:v>-0.0171683923</x:v>
      </x:c>
      <x:c r="I341" s="38" t="n">
        <x:v>0.0266568416</x:v>
      </x:c>
      <x:c r="J341" s="38" t="n">
        <x:v>-0.0843707149</x:v>
      </x:c>
      <x:c r="K341" s="38" t="n">
        <x:v>-0.1423220382</x:v>
      </x:c>
      <x:c r="L341" s="38" t="n">
        <x:v>-0.006171588</x:v>
      </x:c>
      <x:c r="M341" s="38" t="n">
        <x:v>0.0688004393</x:v>
      </x:c>
      <x:c r="N341" s="38" t="n">
        <x:v>0.0236952654</x:v>
      </x:c>
      <x:c r="O341" s="38" t="n">
        <x:v>-0.0395105198</x:v>
      </x:c>
      <x:c r="P341" s="38" t="n">
        <x:v>-0.102290951</x:v>
      </x:c>
      <x:c r="Q341" s="38" t="n">
        <x:v>0.1948443977</x:v>
      </x:c>
      <x:c r="R341" s="38" t="n">
        <x:v>0.288712381</x:v>
      </x:c>
      <x:c r="S341" s="38" t="n">
        <x:v>-0.051396972</x:v>
      </x:c>
      <x:c r="T341" s="38" t="n">
        <x:v>0.0460360039</x:v>
      </x:c>
      <x:c r="U341" s="38" t="n">
        <x:v>0.0722537165</x:v>
      </x:c>
      <x:c r="V341" s="38" t="n">
        <x:v>-0.0557493098</x:v>
      </x:c>
      <x:c r="W341" s="38" t="n">
        <x:v>0.0462973504</x:v>
      </x:c>
      <x:c r="X341" s="38" t="n">
        <x:v>-0.0459006199</x:v>
      </x:c>
      <x:c r="Y341" s="38" t="n">
        <x:v>-0.0437414123</x:v>
      </x:c>
      <x:c r="Z341" s="38" t="n">
        <x:v>-0.0635260338</x:v>
      </x:c>
      <x:c r="AA341" s="38" t="n">
        <x:v>-0.05163641</x:v>
      </x:c>
      <x:c r="AB341" s="38" t="n">
        <x:v>0.0097833835</x:v>
      </x:c>
      <x:c r="AC341" s="38" t="n">
        <x:v>0.3232271801</x:v>
      </x:c>
      <x:c r="AD341" s="38" t="n">
        <x:v>-0.0101793606</x:v>
      </x:c>
      <x:c r="AE341" s="38" t="n">
        <x:v>0.0042952007</x:v>
      </x:c>
      <x:c r="AF341" s="38" t="n">
        <x:v>-0.057255499</x:v>
      </x:c>
      <x:c r="AG341" s="38" t="n">
        <x:v>-0.0191406481</x:v>
      </x:c>
      <x:c r="AH341" s="38" t="n">
        <x:v>-0.0476827427</x:v>
      </x:c>
      <x:c r="AI341" s="38" t="n">
        <x:v>-0.016546667</x:v>
      </x:c>
      <x:c r="AJ341" s="38" t="n">
        <x:v>-0.1054861649</x:v>
      </x:c>
      <x:c r="AK341" s="38" t="n">
        <x:v>-0.0250557116</x:v>
      </x:c>
      <x:c r="AL341" s="38" t="n">
        <x:v>-0.053185516</x:v>
      </x:c>
      <x:c r="AM341" s="38" t="n">
        <x:v>-0.0104054708</x:v>
      </x:c>
      <x:c r="AN341" s="38" t="n">
        <x:v>0.0052318378</x:v>
      </x:c>
      <x:c r="AO341" s="38" t="n">
        <x:v>-0.0223351611</x:v>
      </x:c>
      <x:c r="AP341" s="38" t="n">
        <x:v>-0.0179903324</x:v>
      </x:c>
      <x:c r="AQ341" s="38" t="n">
        <x:v>-0.0347341961</x:v>
      </x:c>
      <x:c r="AR341" s="38" t="n">
        <x:v>-0.0578613085</x:v>
      </x:c>
      <x:c r="AS341" s="38" t="n">
        <x:v>-0.0268536915</x:v>
      </x:c>
    </x:row>
    <x:row r="342" ht="19" customHeight="1">
      <x:c r="A342" s="29" t="str">
        <x:v>Primary sector</x:v>
      </x:c>
      <x:c r="B342" s="39" t="d">
        <x:v>2021-10-11T00:00:00.000Z</x:v>
      </x:c>
      <x:c r="C342" s="38" t="n">
        <x:v>0.0538055222</x:v>
      </x:c>
      <x:c r="D342" s="38" t="n">
        <x:v>0.1215277906</x:v>
      </x:c>
      <x:c r="E342" s="38" t="n">
        <x:v>-0.003468584</x:v>
      </x:c>
      <x:c r="F342" s="38" t="n">
        <x:v>-0.0617667011</x:v>
      </x:c>
      <x:c r="G342" s="38" t="n">
        <x:v>-0.0050504692</x:v>
      </x:c>
      <x:c r="H342" s="38" t="n">
        <x:v>-0.0461022787</x:v>
      </x:c>
      <x:c r="I342" s="38" t="n">
        <x:v>-0.0192977662</x:v>
      </x:c>
      <x:c r="J342" s="38" t="n">
        <x:v>0.0716638212</x:v>
      </x:c>
      <x:c r="K342" s="38" t="n">
        <x:v>-0.0605633278</x:v>
      </x:c>
      <x:c r="L342" s="38" t="n">
        <x:v>-0.0157554496</x:v>
      </x:c>
      <x:c r="M342" s="38" t="n">
        <x:v>0.0575533271</x:v>
      </x:c>
      <x:c r="N342" s="38" t="n">
        <x:v>0.0227572974</x:v>
      </x:c>
      <x:c r="O342" s="38" t="n">
        <x:v>0.0214472182</x:v>
      </x:c>
      <x:c r="P342" s="38" t="n">
        <x:v>-0.0805048202</x:v>
      </x:c>
      <x:c r="Q342" s="38" t="n">
        <x:v>0.0002229735</x:v>
      </x:c>
      <x:c r="R342" s="38" t="n">
        <x:v>0.0560054179</x:v>
      </x:c>
      <x:c r="S342" s="38" t="n">
        <x:v>0.0800865456</x:v>
      </x:c>
      <x:c r="T342" s="38" t="n">
        <x:v>0.1484474695</x:v>
      </x:c>
      <x:c r="U342" s="38" t="n">
        <x:v>-0.1345032369</x:v>
      </x:c>
      <x:c r="V342" s="38" t="n">
        <x:v>0.0233325892</x:v>
      </x:c>
      <x:c r="W342" s="38" t="n">
        <x:v>0.0834314142</x:v>
      </x:c>
      <x:c r="X342" s="38" t="n">
        <x:v>0.0006219227</x:v>
      </x:c>
      <x:c r="Y342" s="38" t="n">
        <x:v>-0.1101209253</x:v>
      </x:c>
      <x:c r="Z342" s="38" t="n">
        <x:v>-0.0426904752</x:v>
      </x:c>
      <x:c r="AA342" s="38" t="n">
        <x:v>-0.0335299123</x:v>
      </x:c>
      <x:c r="AB342" s="38" t="n">
        <x:v>-0.1815694549</x:v>
      </x:c>
      <x:c r="AC342" s="38" t="n">
        <x:v>0.1593993954</x:v>
      </x:c>
      <x:c r="AD342" s="38" t="n">
        <x:v>0.0170694092</x:v>
      </x:c>
      <x:c r="AE342" s="38" t="n">
        <x:v>0.0804378444</x:v>
      </x:c>
      <x:c r="AF342" s="38" t="n">
        <x:v>0.0613929684</x:v>
      </x:c>
      <x:c r="AG342" s="38" t="n">
        <x:v>0.0294730975</x:v>
      </x:c>
      <x:c r="AH342" s="38" t="n">
        <x:v>0.0123020694</x:v>
      </x:c>
      <x:c r="AI342" s="38" t="n">
        <x:v>0.0725225982</x:v>
      </x:c>
      <x:c r="AJ342" s="38" t="n">
        <x:v>0.0399398847</x:v>
      </x:c>
      <x:c r="AK342" s="38" t="n">
        <x:v>-0.0416178351</x:v>
      </x:c>
      <x:c r="AL342" s="38" t="n">
        <x:v>0.0484591543</x:v>
      </x:c>
      <x:c r="AM342" s="38" t="n">
        <x:v>0.0234437017</x:v>
      </x:c>
      <x:c r="AN342" s="38" t="n">
        <x:v>-0.0001096221</x:v>
      </x:c>
      <x:c r="AO342" s="38" t="n">
        <x:v>-0.0232826123</x:v>
      </x:c>
      <x:c r="AP342" s="38" t="n">
        <x:v>0.020166518</x:v>
      </x:c>
      <x:c r="AQ342" s="38" t="n">
        <x:v>-0.0030179572</x:v>
      </x:c>
      <x:c r="AR342" s="38" t="n">
        <x:v>0.0031246609</x:v>
      </x:c>
      <x:c r="AS342" s="38" t="n">
        <x:v>0.0011768026</x:v>
      </x:c>
    </x:row>
    <x:row r="343" ht="19" customHeight="1">
      <x:c r="A343" s="29" t="str">
        <x:v>Primary sector</x:v>
      </x:c>
      <x:c r="B343" s="39" t="d">
        <x:v>2021-11-08T00:00:00.000Z</x:v>
      </x:c>
      <x:c r="C343" s="38" t="n">
        <x:v>-0.045241804</x:v>
      </x:c>
      <x:c r="D343" s="38" t="n">
        <x:v>-0.0688183147</x:v>
      </x:c>
      <x:c r="E343" s="38" t="n">
        <x:v>-0.0058830838</x:v>
      </x:c>
      <x:c r="F343" s="38" t="n">
        <x:v>-0.0142329862</x:v>
      </x:c>
      <x:c r="G343" s="38" t="n">
        <x:v>-0.0751541723</x:v>
      </x:c>
      <x:c r="H343" s="38" t="n">
        <x:v>-0.000325192</x:v>
      </x:c>
      <x:c r="I343" s="38" t="n">
        <x:v>-0.0311113175</x:v>
      </x:c>
      <x:c r="J343" s="38" t="n">
        <x:v>0.09740663</x:v>
      </x:c>
      <x:c r="K343" s="38" t="n">
        <x:v>0.1199747947</x:v>
      </x:c>
      <x:c r="L343" s="38" t="n">
        <x:v>-0.0327841997</x:v>
      </x:c>
      <x:c r="M343" s="38" t="n">
        <x:v>0.0270461279</x:v>
      </x:c>
      <x:c r="N343" s="38" t="n">
        <x:v>-0.0436921023</x:v>
      </x:c>
      <x:c r="O343" s="38" t="n">
        <x:v>-0.0081847707</x:v>
      </x:c>
      <x:c r="P343" s="38" t="n">
        <x:v>-0.0013479141</x:v>
      </x:c>
      <x:c r="Q343" s="38" t="n">
        <x:v>-0.0326590446</x:v>
      </x:c>
      <x:c r="R343" s="38" t="n">
        <x:v>0.1696442549</x:v>
      </x:c>
      <x:c r="S343" s="38" t="n">
        <x:v>0.0336620931</x:v>
      </x:c>
      <x:c r="T343" s="38" t="n">
        <x:v>0.0748929272</x:v>
      </x:c>
      <x:c r="U343" s="38" t="n">
        <x:v>-0.2170871949</x:v>
      </x:c>
      <x:c r="V343" s="38" t="n">
        <x:v>-0.0696397107</x:v>
      </x:c>
      <x:c r="W343" s="38" t="n">
        <x:v>0.0725120865</x:v>
      </x:c>
      <x:c r="X343" s="38" t="n">
        <x:v>0.0236181284</x:v>
      </x:c>
      <x:c r="Y343" s="38" t="n">
        <x:v>0.0319563439</x:v>
      </x:c>
      <x:c r="Z343" s="38" t="n">
        <x:v>0.0363570697</x:v>
      </x:c>
      <x:c r="AA343" s="38" t="n">
        <x:v>0.0345405634</x:v>
      </x:c>
      <x:c r="AB343" s="38" t="n">
        <x:v>-0.0787145902</x:v>
      </x:c>
      <x:c r="AC343" s="38" t="n">
        <x:v>-0.2584330609</x:v>
      </x:c>
      <x:c r="AD343" s="38" t="n">
        <x:v>0.0116684974</x:v>
      </x:c>
      <x:c r="AE343" s="38" t="n">
        <x:v>0.1379200695</x:v>
      </x:c>
      <x:c r="AF343" s="38" t="n">
        <x:v>-0.0816957596</x:v>
      </x:c>
      <x:c r="AG343" s="38" t="n">
        <x:v>0.0186715712</x:v>
      </x:c>
      <x:c r="AH343" s="38" t="n">
        <x:v>-0.0420034595</x:v>
      </x:c>
      <x:c r="AI343" s="38" t="n">
        <x:v>0.1243358628</x:v>
      </x:c>
      <x:c r="AJ343" s="38" t="n">
        <x:v>0.0100153167</x:v>
      </x:c>
      <x:c r="AK343" s="38" t="n">
        <x:v>-0.0094692585</x:v>
      </x:c>
      <x:c r="AL343" s="38" t="n">
        <x:v>-0.0626247804</x:v>
      </x:c>
      <x:c r="AM343" s="38" t="n">
        <x:v>0.0477401967</x:v>
      </x:c>
      <x:c r="AN343" s="38" t="n">
        <x:v>0.0239566123</x:v>
      </x:c>
      <x:c r="AO343" s="38" t="n">
        <x:v>0.0685591134</x:v>
      </x:c>
      <x:c r="AP343" s="38" t="n">
        <x:v>0.0179798915</x:v>
      </x:c>
      <x:c r="AQ343" s="38" t="n">
        <x:v>0.0162095469</x:v>
      </x:c>
      <x:c r="AR343" s="38" t="n">
        <x:v>-0.0054424412</x:v>
      </x:c>
      <x:c r="AS343" s="38" t="n">
        <x:v>0.0026610557</x:v>
      </x:c>
    </x:row>
    <x:row r="344" ht="19" customHeight="1">
      <x:c r="A344" s="29" t="str">
        <x:v>Primary sector</x:v>
      </x:c>
      <x:c r="B344" s="39" t="d">
        <x:v>2021-12-06T00:00:00.000Z</x:v>
      </x:c>
      <x:c r="C344" s="38" t="n">
        <x:v>0.0117955594</x:v>
      </x:c>
      <x:c r="D344" s="38" t="n">
        <x:v>-0.0351616411</x:v>
      </x:c>
      <x:c r="E344" s="38" t="n">
        <x:v>0.0006331072</x:v>
      </x:c>
      <x:c r="F344" s="38" t="n">
        <x:v>0.0068681158</x:v>
      </x:c>
      <x:c r="G344" s="38" t="n">
        <x:v>0.0094847076</x:v>
      </x:c>
      <x:c r="H344" s="38" t="n">
        <x:v>-0.0413887326</x:v>
      </x:c>
      <x:c r="I344" s="38" t="n">
        <x:v>-0.0175843226</x:v>
      </x:c>
      <x:c r="J344" s="38" t="n">
        <x:v>-0.0255970055</x:v>
      </x:c>
      <x:c r="K344" s="38" t="n">
        <x:v>-0.0807374067</x:v>
      </x:c>
      <x:c r="L344" s="38" t="n">
        <x:v>-0.0481035535</x:v>
      </x:c>
      <x:c r="M344" s="38" t="n">
        <x:v>-0.0331864609</x:v>
      </x:c>
      <x:c r="N344" s="38" t="n">
        <x:v>0.0540276291</x:v>
      </x:c>
      <x:c r="O344" s="38" t="n">
        <x:v>-0.013119992</x:v>
      </x:c>
      <x:c r="P344" s="38" t="n">
        <x:v>-0.0940377378</x:v>
      </x:c>
      <x:c r="Q344" s="38" t="n">
        <x:v>-0.0766344245</x:v>
      </x:c>
      <x:c r="R344" s="38" t="n">
        <x:v>-0.3411931641</x:v>
      </x:c>
      <x:c r="S344" s="38" t="n">
        <x:v>0.0083740003</x:v>
      </x:c>
      <x:c r="T344" s="38" t="n">
        <x:v>-0.2910564902</x:v>
      </x:c>
      <x:c r="U344" s="38" t="n">
        <x:v>0.1177287627</x:v>
      </x:c>
      <x:c r="V344" s="38" t="n">
        <x:v>-0.1109472494</x:v>
      </x:c>
      <x:c r="W344" s="38" t="n">
        <x:v>-0.0197637882</x:v>
      </x:c>
      <x:c r="X344" s="38" t="n">
        <x:v>-0.0026350395</x:v>
      </x:c>
      <x:c r="Y344" s="38" t="n">
        <x:v>0.0107408881</x:v>
      </x:c>
      <x:c r="Z344" s="38" t="n">
        <x:v>0.0078558866</x:v>
      </x:c>
      <x:c r="AA344" s="38" t="n">
        <x:v>0.001498609</x:v>
      </x:c>
      <x:c r="AB344" s="38" t="n">
        <x:v>-0.0739906951</x:v>
      </x:c>
      <x:c r="AC344" s="38" t="n">
        <x:v>-0.2694590004</x:v>
      </x:c>
      <x:c r="AD344" s="38" t="n">
        <x:v>0.0339835889</x:v>
      </x:c>
      <x:c r="AE344" s="38" t="n">
        <x:v>0.0935814626</x:v>
      </x:c>
      <x:c r="AF344" s="38" t="n">
        <x:v>-0.0183847888</x:v>
      </x:c>
      <x:c r="AG344" s="38" t="n">
        <x:v>-0.0110470135</x:v>
      </x:c>
      <x:c r="AH344" s="38" t="n">
        <x:v>0.004137715</x:v>
      </x:c>
      <x:c r="AI344" s="38" t="n">
        <x:v>-0.1149958599</x:v>
      </x:c>
      <x:c r="AJ344" s="38" t="n">
        <x:v>-0.0646391176</x:v>
      </x:c>
      <x:c r="AK344" s="38" t="n">
        <x:v>-0.0368827851</x:v>
      </x:c>
      <x:c r="AL344" s="38" t="n">
        <x:v>-0.0032653362</x:v>
      </x:c>
      <x:c r="AM344" s="38" t="n">
        <x:v>0.0074837644</x:v>
      </x:c>
      <x:c r="AN344" s="38" t="n">
        <x:v>0.016409203</x:v>
      </x:c>
      <x:c r="AO344" s="38" t="n">
        <x:v>0.0530946613</x:v>
      </x:c>
      <x:c r="AP344" s="38" t="n">
        <x:v>0.0929895213</x:v>
      </x:c>
      <x:c r="AQ344" s="38" t="n">
        <x:v>-0.0028053739</x:v>
      </x:c>
      <x:c r="AR344" s="38" t="n">
        <x:v>0.0020709541</x:v>
      </x:c>
      <x:c r="AS344" s="38" t="n">
        <x:v>0.0139869165</x:v>
      </x:c>
    </x:row>
    <x:row r="345" ht="19" customHeight="1">
      <x:c r="A345" s="29" t="str">
        <x:v>Primary sector</x:v>
      </x:c>
      <x:c r="B345" s="39" t="d">
        <x:v>2022-01-03T00:00:00.000Z</x:v>
      </x:c>
      <x:c r="C345" s="38" t="n">
        <x:v>0.037891636</x:v>
      </x:c>
      <x:c r="D345" s="38" t="n">
        <x:v>-0.0904586069</x:v>
      </x:c>
      <x:c r="E345" s="38" t="n">
        <x:v>0.0244732931</x:v>
      </x:c>
      <x:c r="F345" s="38" t="n">
        <x:v>0.00519215</x:v>
      </x:c>
      <x:c r="G345" s="38" t="n">
        <x:v>0.0337782562</x:v>
      </x:c>
      <x:c r="H345" s="38" t="n">
        <x:v>-0.0396015506</x:v>
      </x:c>
      <x:c r="I345" s="38" t="n">
        <x:v>-0.0168494731</x:v>
      </x:c>
      <x:c r="J345" s="38" t="n">
        <x:v>-0.0711930384</x:v>
      </x:c>
      <x:c r="K345" s="38" t="n">
        <x:v>0.072161636</x:v>
      </x:c>
      <x:c r="L345" s="38" t="n">
        <x:v>0.0200379451</x:v>
      </x:c>
      <x:c r="M345" s="38" t="n">
        <x:v>0.0655696217</x:v>
      </x:c>
      <x:c r="N345" s="38" t="n">
        <x:v>-0.0285860073</x:v>
      </x:c>
      <x:c r="O345" s="38" t="n">
        <x:v>-0.0734893585</x:v>
      </x:c>
      <x:c r="P345" s="38" t="n">
        <x:v>0.1164079535</x:v>
      </x:c>
      <x:c r="Q345" s="38" t="n">
        <x:v>-0.1359695634</x:v>
      </x:c>
      <x:c r="R345" s="38" t="n">
        <x:v>-0.0510152249</x:v>
      </x:c>
      <x:c r="S345" s="38" t="n">
        <x:v>-0.00458908</x:v>
      </x:c>
      <x:c r="T345" s="38" t="n">
        <x:v>-0.1921335028</x:v>
      </x:c>
      <x:c r="U345" s="38" t="n">
        <x:v>-0.1636477276</x:v>
      </x:c>
      <x:c r="V345" s="38" t="n">
        <x:v>-0.0241063591</x:v>
      </x:c>
      <x:c r="W345" s="38" t="n">
        <x:v>-0.0885949015</x:v>
      </x:c>
      <x:c r="X345" s="38" t="n">
        <x:v>0.0178737871</x:v>
      </x:c>
      <x:c r="Y345" s="38" t="n">
        <x:v>0.0899947415</x:v>
      </x:c>
      <x:c r="Z345" s="38" t="n">
        <x:v>0.0140111047</x:v>
      </x:c>
      <x:c r="AA345" s="38" t="n">
        <x:v>0.0740497376</x:v>
      </x:c>
      <x:c r="AB345" s="38" t="n">
        <x:v>-0.0929341708</x:v>
      </x:c>
      <x:c r="AC345" s="38" t="n">
        <x:v>-0.2602454463</x:v>
      </x:c>
      <x:c r="AD345" s="38" t="n">
        <x:v>-0.0025592613</x:v>
      </x:c>
      <x:c r="AE345" s="38" t="n">
        <x:v>0.083835459</x:v>
      </x:c>
      <x:c r="AF345" s="38" t="n">
        <x:v>0.1126047754</x:v>
      </x:c>
      <x:c r="AG345" s="38" t="n">
        <x:v>0.0119842798</x:v>
      </x:c>
      <x:c r="AH345" s="38" t="n">
        <x:v>-0.0004491481</x:v>
      </x:c>
      <x:c r="AI345" s="38" t="n">
        <x:v>0.0511008521</x:v>
      </x:c>
      <x:c r="AJ345" s="38" t="n">
        <x:v>0.0233125765</x:v>
      </x:c>
      <x:c r="AK345" s="38" t="n">
        <x:v>0.0118135182</x:v>
      </x:c>
      <x:c r="AL345" s="38" t="n">
        <x:v>0.0514590823</x:v>
      </x:c>
      <x:c r="AM345" s="38" t="n">
        <x:v>-0.0386529634</x:v>
      </x:c>
      <x:c r="AN345" s="38" t="n">
        <x:v>-0.0426658476</x:v>
      </x:c>
      <x:c r="AO345" s="38" t="n">
        <x:v>-0.0617645228</x:v>
      </x:c>
      <x:c r="AP345" s="38" t="n">
        <x:v>-0.0351221798</x:v>
      </x:c>
      <x:c r="AQ345" s="38" t="n">
        <x:v>0.0033627451</x:v>
      </x:c>
      <x:c r="AR345" s="38" t="n">
        <x:v>0.0160588723</x:v>
      </x:c>
      <x:c r="AS345" s="38" t="n">
        <x:v>0.0468604825</x:v>
      </x:c>
    </x:row>
    <x:row r="346" ht="19" customHeight="1">
      <x:c r="A346" s="29" t="str">
        <x:v>Primary sector</x:v>
      </x:c>
      <x:c r="B346" s="39" t="d">
        <x:v>2022-01-31T00:00:00.000Z</x:v>
      </x:c>
      <x:c r="C346" s="38" t="n">
        <x:v>-0.0034265036</x:v>
      </x:c>
      <x:c r="D346" s="38" t="n">
        <x:v>-0.0075405419</x:v>
      </x:c>
      <x:c r="E346" s="38" t="n">
        <x:v>-0.0144971106</x:v>
      </x:c>
      <x:c r="F346" s="38" t="n">
        <x:v>0.0023085102</x:v>
      </x:c>
      <x:c r="G346" s="38" t="n">
        <x:v>-0.029027635</x:v>
      </x:c>
      <x:c r="H346" s="38" t="n">
        <x:v>-0.014059553</x:v>
      </x:c>
      <x:c r="I346" s="38" t="n">
        <x:v>0.0370041304</x:v>
      </x:c>
      <x:c r="J346" s="38" t="n">
        <x:v>-0.0574094755</x:v>
      </x:c>
      <x:c r="K346" s="38" t="n">
        <x:v>0.0031188359</x:v>
      </x:c>
      <x:c r="L346" s="38" t="n">
        <x:v>-0.0448272214</x:v>
      </x:c>
      <x:c r="M346" s="38" t="n">
        <x:v>0.0207386255</x:v>
      </x:c>
      <x:c r="N346" s="38" t="n">
        <x:v>0.0344858381</x:v>
      </x:c>
      <x:c r="O346" s="38" t="n">
        <x:v>-0.0422847221</x:v>
      </x:c>
      <x:c r="P346" s="38" t="n">
        <x:v>-0.1416595058</x:v>
      </x:c>
      <x:c r="Q346" s="38" t="n">
        <x:v>0.0277735924</x:v>
      </x:c>
      <x:c r="R346" s="38" t="n">
        <x:v>-0.1444672543</x:v>
      </x:c>
      <x:c r="S346" s="38" t="n">
        <x:v>0.048134984</x:v>
      </x:c>
      <x:c r="T346" s="38" t="n">
        <x:v>-0.0033066106</x:v>
      </x:c>
      <x:c r="U346" s="38" t="n">
        <x:v>-0.1553943039</x:v>
      </x:c>
      <x:c r="V346" s="38" t="n">
        <x:v>-0.005123363</x:v>
      </x:c>
      <x:c r="W346" s="38" t="n">
        <x:v>-0.1589126367</x:v>
      </x:c>
      <x:c r="X346" s="38" t="n">
        <x:v>0.0115997951</x:v>
      </x:c>
      <x:c r="Y346" s="38" t="n">
        <x:v>-0.0823913795</x:v>
      </x:c>
      <x:c r="Z346" s="38" t="n">
        <x:v>0.0277037149</x:v>
      </x:c>
      <x:c r="AA346" s="38" t="n">
        <x:v>-0.0133828298</x:v>
      </x:c>
      <x:c r="AB346" s="38" t="n">
        <x:v>-0.040587109</x:v>
      </x:c>
      <x:c r="AC346" s="38" t="n">
        <x:v>-0.0540810761</x:v>
      </x:c>
      <x:c r="AD346" s="38" t="n">
        <x:v>0.0052374322</x:v>
      </x:c>
      <x:c r="AE346" s="38" t="n">
        <x:v>-0.1710229723</x:v>
      </x:c>
      <x:c r="AF346" s="38" t="n">
        <x:v>-0.0065773368</x:v>
      </x:c>
      <x:c r="AG346" s="38" t="n">
        <x:v>-0.0027667089</x:v>
      </x:c>
      <x:c r="AH346" s="38" t="n">
        <x:v>-0.037816492</x:v>
      </x:c>
      <x:c r="AI346" s="38" t="n">
        <x:v>-0.0381772376</x:v>
      </x:c>
      <x:c r="AJ346" s="38" t="n">
        <x:v>-0.0569945074</x:v>
      </x:c>
      <x:c r="AK346" s="38" t="n">
        <x:v>-0.0555003652</x:v>
      </x:c>
      <x:c r="AL346" s="38" t="n">
        <x:v>-0.0473904086</x:v>
      </x:c>
      <x:c r="AM346" s="38" t="n">
        <x:v>-0.0004475262</x:v>
      </x:c>
      <x:c r="AN346" s="38" t="n">
        <x:v>0.0891289499</x:v>
      </x:c>
      <x:c r="AO346" s="38" t="n">
        <x:v>-0.0229659601</x:v>
      </x:c>
      <x:c r="AP346" s="38" t="n">
        <x:v>-0.0389864036</x:v>
      </x:c>
      <x:c r="AQ346" s="38" t="n">
        <x:v>-0.0051661579</x:v>
      </x:c>
      <x:c r="AR346" s="38" t="n">
        <x:v>-0.0288072359</x:v>
      </x:c>
      <x:c r="AS346" s="38" t="n">
        <x:v>-0.0148915834</x:v>
      </x:c>
    </x:row>
    <x:row r="347" ht="19" customHeight="1">
      <x:c r="A347" s="29" t="str">
        <x:v>Primary sector</x:v>
      </x:c>
      <x:c r="B347" s="39" t="d">
        <x:v>2022-02-28T00:00:00.000Z</x:v>
      </x:c>
      <x:c r="C347" s="38" t="n">
        <x:v>0.0124348188</x:v>
      </x:c>
      <x:c r="D347" s="38" t="n">
        <x:v>0.0981064516</x:v>
      </x:c>
      <x:c r="E347" s="38" t="n">
        <x:v>0.0370082115</x:v>
      </x:c>
      <x:c r="F347" s="38" t="n">
        <x:v>-0.017019693</x:v>
      </x:c>
      <x:c r="G347" s="38" t="n">
        <x:v>0.0595902931</x:v>
      </x:c>
      <x:c r="H347" s="38" t="n">
        <x:v>-0.0112244797</x:v>
      </x:c>
      <x:c r="I347" s="38" t="n">
        <x:v>0.0289488167</x:v>
      </x:c>
      <x:c r="J347" s="38" t="n">
        <x:v>0.004113393</x:v>
      </x:c>
      <x:c r="K347" s="38" t="n">
        <x:v>-0.1436522054</x:v>
      </x:c>
      <x:c r="L347" s="38" t="n">
        <x:v>-0.0848442082</x:v>
      </x:c>
      <x:c r="M347" s="38" t="n">
        <x:v>0.0795573462</x:v>
      </x:c>
      <x:c r="N347" s="38" t="n">
        <x:v>0.0871213645</x:v>
      </x:c>
      <x:c r="O347" s="38" t="n">
        <x:v>0.0681811183</x:v>
      </x:c>
      <x:c r="P347" s="38" t="n">
        <x:v>-0.1427008606</x:v>
      </x:c>
      <x:c r="Q347" s="38" t="n">
        <x:v>-0.0879536579</x:v>
      </x:c>
      <x:c r="R347" s="38" t="n">
        <x:v>-0.0256723339</x:v>
      </x:c>
      <x:c r="S347" s="38" t="n">
        <x:v>-0.017184574</x:v>
      </x:c>
      <x:c r="T347" s="38" t="n">
        <x:v>-0.0027422595</x:v>
      </x:c>
      <x:c r="U347" s="38" t="n">
        <x:v>-0.1005434255</x:v>
      </x:c>
      <x:c r="V347" s="38" t="n">
        <x:v>0.042087396</x:v>
      </x:c>
      <x:c r="W347" s="38" t="n">
        <x:v>0.0163668653</x:v>
      </x:c>
      <x:c r="X347" s="38" t="n">
        <x:v>0.0178687403</x:v>
      </x:c>
      <x:c r="Y347" s="38" t="n">
        <x:v>-0.1042903452</x:v>
      </x:c>
      <x:c r="Z347" s="38" t="n">
        <x:v>0.0366245765</x:v>
      </x:c>
      <x:c r="AA347" s="38" t="n">
        <x:v>0.0039883696</x:v>
      </x:c>
      <x:c r="AB347" s="38" t="n">
        <x:v>-0.1085042035</x:v>
      </x:c>
      <x:c r="AC347" s="38" t="n">
        <x:v>0.4184434495</x:v>
      </x:c>
      <x:c r="AD347" s="38" t="n">
        <x:v>-0.0095234248</x:v>
      </x:c>
      <x:c r="AE347" s="38" t="n">
        <x:v>-0.0419578871</x:v>
      </x:c>
      <x:c r="AF347" s="38" t="n">
        <x:v>0.0104783022</x:v>
      </x:c>
      <x:c r="AG347" s="38" t="n">
        <x:v>-0.0512999006</x:v>
      </x:c>
      <x:c r="AH347" s="38" t="n">
        <x:v>0.0512777386</x:v>
      </x:c>
      <x:c r="AI347" s="38" t="n">
        <x:v>0.0437926224</x:v>
      </x:c>
      <x:c r="AJ347" s="38" t="n">
        <x:v>0.0382880797</x:v>
      </x:c>
      <x:c r="AK347" s="38" t="n">
        <x:v>0.0031477744</x:v>
      </x:c>
      <x:c r="AL347" s="38" t="n">
        <x:v>-0.0841511761</x:v>
      </x:c>
      <x:c r="AM347" s="38" t="n">
        <x:v>0.043432148</x:v>
      </x:c>
      <x:c r="AN347" s="38" t="n">
        <x:v>-0.0360714299</x:v>
      </x:c>
      <x:c r="AO347" s="38" t="n">
        <x:v>-0.010220384</x:v>
      </x:c>
      <x:c r="AP347" s="38" t="n">
        <x:v>-0.028112496</x:v>
      </x:c>
      <x:c r="AQ347" s="38" t="n">
        <x:v>0.0161724273</x:v>
      </x:c>
      <x:c r="AR347" s="38" t="n">
        <x:v>-0.0237936437</x:v>
      </x:c>
      <x:c r="AS347" s="38" t="n">
        <x:v>0.0621011228</x:v>
      </x:c>
    </x:row>
    <x:row r="348" ht="19" customHeight="1">
      <x:c r="A348" s="29" t="str">
        <x:v>Primary sector</x:v>
      </x:c>
      <x:c r="B348" s="39" t="d">
        <x:v>2022-03-28T00:00:00.000Z</x:v>
      </x:c>
      <x:c r="C348" s="38" t="n">
        <x:v>-0.044250186</x:v>
      </x:c>
      <x:c r="D348" s="38" t="n">
        <x:v>0.0428242449</x:v>
      </x:c>
      <x:c r="E348" s="38" t="n">
        <x:v>-0.0025506635</x:v>
      </x:c>
      <x:c r="F348" s="38" t="n">
        <x:v>-0.0055154086</x:v>
      </x:c>
      <x:c r="G348" s="38" t="n">
        <x:v>-0.0428207204</x:v>
      </x:c>
      <x:c r="H348" s="38" t="n">
        <x:v>0.0332901969</x:v>
      </x:c>
      <x:c r="I348" s="38" t="n">
        <x:v>0.0007499011</x:v>
      </x:c>
      <x:c r="J348" s="38" t="n">
        <x:v>-0.0848708865</x:v>
      </x:c>
      <x:c r="K348" s="38" t="n">
        <x:v>-0.222977857</x:v>
      </x:c>
      <x:c r="L348" s="38" t="n">
        <x:v>0.0798409257</x:v>
      </x:c>
      <x:c r="M348" s="38" t="n">
        <x:v>0.063651585</x:v>
      </x:c>
      <x:c r="N348" s="38" t="n">
        <x:v>0.027828278</x:v>
      </x:c>
      <x:c r="O348" s="38" t="n">
        <x:v>0.092249604</x:v>
      </x:c>
      <x:c r="P348" s="38" t="n">
        <x:v>-0.1669229557</x:v>
      </x:c>
      <x:c r="Q348" s="38" t="n">
        <x:v>0.0485655723</x:v>
      </x:c>
      <x:c r="R348" s="38" t="n">
        <x:v>0.0735551631</x:v>
      </x:c>
      <x:c r="S348" s="38" t="n">
        <x:v>-0.016581692</x:v>
      </x:c>
      <x:c r="T348" s="38" t="n">
        <x:v>0.0677455111</x:v>
      </x:c>
      <x:c r="U348" s="38" t="n">
        <x:v>0.0906052908</x:v>
      </x:c>
      <x:c r="V348" s="38" t="n">
        <x:v>0.0219232076</x:v>
      </x:c>
      <x:c r="W348" s="38" t="n">
        <x:v>-0.0154246271</x:v>
      </x:c>
      <x:c r="X348" s="38" t="n">
        <x:v>0.0126306726</x:v>
      </x:c>
      <x:c r="Y348" s="38" t="n">
        <x:v>-0.1995986704</x:v>
      </x:c>
      <x:c r="Z348" s="38" t="n">
        <x:v>0.0161295372</x:v>
      </x:c>
      <x:c r="AA348" s="38" t="n">
        <x:v>0.0454076712</x:v>
      </x:c>
      <x:c r="AB348" s="38" t="n">
        <x:v>-0.035226216</x:v>
      </x:c>
      <x:c r="AC348" s="38" t="n">
        <x:v>-0.2071688128</x:v>
      </x:c>
      <x:c r="AD348" s="38" t="n">
        <x:v>0.0071021062</x:v>
      </x:c>
      <x:c r="AE348" s="38" t="n">
        <x:v>-0.1025357001</x:v>
      </x:c>
      <x:c r="AF348" s="38" t="n">
        <x:v>-0.0490691632</x:v>
      </x:c>
      <x:c r="AG348" s="38" t="n">
        <x:v>-0.0123165707</x:v>
      </x:c>
      <x:c r="AH348" s="38" t="n">
        <x:v>-0.0613041391</x:v>
      </x:c>
      <x:c r="AI348" s="38" t="n">
        <x:v>-0.0978307465</x:v>
      </x:c>
      <x:c r="AJ348" s="38" t="n">
        <x:v>0.0252556269</x:v>
      </x:c>
      <x:c r="AK348" s="38" t="n">
        <x:v>0.0225643073</x:v>
      </x:c>
      <x:c r="AL348" s="38" t="n">
        <x:v>0.0795562128</x:v>
      </x:c>
      <x:c r="AM348" s="38" t="n">
        <x:v>-0.005908765</x:v>
      </x:c>
      <x:c r="AN348" s="38" t="n">
        <x:v>-0.056896484</x:v>
      </x:c>
      <x:c r="AO348" s="38" t="n">
        <x:v>0.0581882157</x:v>
      </x:c>
      <x:c r="AP348" s="38" t="n">
        <x:v>-0.0805356443</x:v>
      </x:c>
      <x:c r="AQ348" s="38" t="n">
        <x:v>0.0033649302</x:v>
      </x:c>
      <x:c r="AR348" s="38" t="n">
        <x:v>0.014525067</x:v>
      </x:c>
      <x:c r="AS348" s="38" t="n">
        <x:v>0.0407237408</x:v>
      </x:c>
    </x:row>
    <x:row r="349" ht="19" customHeight="1">
      <x:c r="A349" s="29" t="str">
        <x:v>Primary sector</x:v>
      </x:c>
      <x:c r="B349" s="39" t="d">
        <x:v>2022-04-25T00:00:00.000Z</x:v>
      </x:c>
      <x:c r="C349" s="38" t="n">
        <x:v>0.1258601229</x:v>
      </x:c>
      <x:c r="D349" s="38" t="n">
        <x:v>-0.0579271633</x:v>
      </x:c>
      <x:c r="E349" s="38" t="n">
        <x:v>0.0246854223</x:v>
      </x:c>
      <x:c r="F349" s="38" t="n">
        <x:v>0.0234036269</x:v>
      </x:c>
      <x:c r="G349" s="38" t="n">
        <x:v>-0.0107675371</x:v>
      </x:c>
      <x:c r="H349" s="38" t="n">
        <x:v>0.0320178265</x:v>
      </x:c>
      <x:c r="I349" s="38" t="n">
        <x:v>-0.0778832568</x:v>
      </x:c>
      <x:c r="J349" s="38" t="n">
        <x:v>0.0298265861</x:v>
      </x:c>
      <x:c r="K349" s="38" t="n">
        <x:v>0.0202229499</x:v>
      </x:c>
      <x:c r="L349" s="38" t="n">
        <x:v>0.0993319586</x:v>
      </x:c>
      <x:c r="M349" s="38" t="n">
        <x:v>-0.0883054799</x:v>
      </x:c>
      <x:c r="N349" s="38" t="n">
        <x:v>-0.0454224472</x:v>
      </x:c>
      <x:c r="O349" s="38" t="n">
        <x:v>-0.0507763114</x:v>
      </x:c>
      <x:c r="P349" s="38" t="n">
        <x:v>0.12003855</x:v>
      </x:c>
      <x:c r="Q349" s="38" t="n">
        <x:v>-0.1334806728</x:v>
      </x:c>
      <x:c r="R349" s="38" t="n">
        <x:v>-0.2497076759</x:v>
      </x:c>
      <x:c r="S349" s="38" t="n">
        <x:v>-0.06306099</x:v>
      </x:c>
      <x:c r="T349" s="38" t="n">
        <x:v>-0.2219988164</x:v>
      </x:c>
      <x:c r="U349" s="38" t="n">
        <x:v>-0.1305065413</x:v>
      </x:c>
      <x:c r="V349" s="38" t="n">
        <x:v>-0.1230957341</x:v>
      </x:c>
      <x:c r="W349" s="38" t="n">
        <x:v>-0.3308187893</x:v>
      </x:c>
      <x:c r="X349" s="38" t="n">
        <x:v>-0.0229275277</x:v>
      </x:c>
      <x:c r="Y349" s="38" t="n">
        <x:v>-0.0258526568</x:v>
      </x:c>
      <x:c r="Z349" s="38" t="n">
        <x:v>0.0112301622</x:v>
      </x:c>
      <x:c r="AA349" s="38" t="n">
        <x:v>-0.0276353014</x:v>
      </x:c>
      <x:c r="AB349" s="38" t="n">
        <x:v>0.0844841648</x:v>
      </x:c>
      <x:c r="AC349" s="38" t="n">
        <x:v>-0.0392550594</x:v>
      </x:c>
      <x:c r="AD349" s="38" t="n">
        <x:v>0.0474999717</x:v>
      </x:c>
      <x:c r="AE349" s="38" t="n">
        <x:v>0.0210463591</x:v>
      </x:c>
      <x:c r="AF349" s="38" t="n">
        <x:v>0.0122594076</x:v>
      </x:c>
      <x:c r="AG349" s="38" t="n">
        <x:v>-0.0777971206</x:v>
      </x:c>
      <x:c r="AH349" s="38" t="n">
        <x:v>0.0627577271</x:v>
      </x:c>
      <x:c r="AI349" s="38" t="n">
        <x:v>-0.0263540807</x:v>
      </x:c>
      <x:c r="AJ349" s="38" t="n">
        <x:v>0.0268050459</x:v>
      </x:c>
      <x:c r="AK349" s="38" t="n">
        <x:v>-0.0160072122</x:v>
      </x:c>
      <x:c r="AL349" s="38" t="n">
        <x:v>-0.024276981</x:v>
      </x:c>
      <x:c r="AM349" s="38" t="n">
        <x:v>0.0249297335</x:v>
      </x:c>
      <x:c r="AN349" s="38" t="n">
        <x:v>0.0021478684</x:v>
      </x:c>
      <x:c r="AO349" s="38" t="n">
        <x:v>-0.0446848777</x:v>
      </x:c>
      <x:c r="AP349" s="38" t="n">
        <x:v>0.0883436291</x:v>
      </x:c>
      <x:c r="AQ349" s="38" t="n">
        <x:v>0.0164951275</x:v>
      </x:c>
      <x:c r="AR349" s="38" t="n">
        <x:v>0.0217071674</x:v>
      </x:c>
      <x:c r="AS349" s="38" t="n">
        <x:v>-0.0185391545</x:v>
      </x:c>
    </x:row>
    <x:row r="350" ht="19" customHeight="1">
      <x:c r="A350" s="29" t="str">
        <x:v>Primary sector</x:v>
      </x:c>
      <x:c r="B350" s="39" t="d">
        <x:v>2022-05-23T00:00:00.000Z</x:v>
      </x:c>
      <x:c r="C350" s="38" t="n">
        <x:v>-0.010853896</x:v>
      </x:c>
      <x:c r="D350" s="38" t="n">
        <x:v>-0.0357168385</x:v>
      </x:c>
      <x:c r="E350" s="38" t="n">
        <x:v>-0.0152792839</x:v>
      </x:c>
      <x:c r="F350" s="38" t="n">
        <x:v>-0.0273050746</x:v>
      </x:c>
      <x:c r="G350" s="38" t="n">
        <x:v>-0.0236586434</x:v>
      </x:c>
      <x:c r="H350" s="38" t="n">
        <x:v>0.0003514674</x:v>
      </x:c>
      <x:c r="I350" s="38" t="n">
        <x:v>-0.0216653046</x:v>
      </x:c>
      <x:c r="J350" s="38" t="n">
        <x:v>-0.0244516922</x:v>
      </x:c>
      <x:c r="K350" s="38" t="n">
        <x:v>0.0228386222</x:v>
      </x:c>
      <x:c r="L350" s="38" t="n">
        <x:v>-0.0223184265</x:v>
      </x:c>
      <x:c r="M350" s="38" t="n">
        <x:v>-0.0033207063</x:v>
      </x:c>
      <x:c r="N350" s="38" t="n">
        <x:v>-0.0166188791</x:v>
      </x:c>
      <x:c r="O350" s="38" t="n">
        <x:v>-0.0459731948</x:v>
      </x:c>
      <x:c r="P350" s="38" t="n">
        <x:v>0.096600115</x:v>
      </x:c>
      <x:c r="Q350" s="38" t="n">
        <x:v>-0.0453499008</x:v>
      </x:c>
      <x:c r="R350" s="38" t="n">
        <x:v>0.1962547559</x:v>
      </x:c>
      <x:c r="S350" s="38" t="n">
        <x:v>-0.0842945379</x:v>
      </x:c>
      <x:c r="T350" s="38" t="n">
        <x:v>-0.3019353794</x:v>
      </x:c>
      <x:c r="U350" s="38" t="n">
        <x:v>-0.0057709734</x:v>
      </x:c>
      <x:c r="V350" s="38" t="n">
        <x:v>-0.1162282842</x:v>
      </x:c>
      <x:c r="W350" s="38" t="n">
        <x:v>-0.0168049526</x:v>
      </x:c>
      <x:c r="X350" s="38" t="n">
        <x:v>0.0580780027</x:v>
      </x:c>
      <x:c r="Y350" s="38" t="n">
        <x:v>0.0194467932</x:v>
      </x:c>
      <x:c r="Z350" s="38" t="n">
        <x:v>-0.0640087794</x:v>
      </x:c>
      <x:c r="AA350" s="38" t="n">
        <x:v>0.0613083745</x:v>
      </x:c>
      <x:c r="AB350" s="38" t="n">
        <x:v>0.0528241593</x:v>
      </x:c>
      <x:c r="AC350" s="38" t="n">
        <x:v>-0.3351420109</x:v>
      </x:c>
      <x:c r="AD350" s="38" t="n">
        <x:v>-0.0488555282</x:v>
      </x:c>
      <x:c r="AE350" s="38" t="n">
        <x:v>-0.0355521299</x:v>
      </x:c>
      <x:c r="AF350" s="38" t="n">
        <x:v>0.0070545008</x:v>
      </x:c>
      <x:c r="AG350" s="38" t="n">
        <x:v>-0.1371101477</x:v>
      </x:c>
      <x:c r="AH350" s="38" t="n">
        <x:v>0.0047971999</x:v>
      </x:c>
      <x:c r="AI350" s="38" t="n">
        <x:v>0.1172242471</x:v>
      </x:c>
      <x:c r="AJ350" s="38" t="n">
        <x:v>0.0348932335</x:v>
      </x:c>
      <x:c r="AK350" s="38" t="n">
        <x:v>0.008884801</x:v>
      </x:c>
      <x:c r="AL350" s="38" t="n">
        <x:v>0.014154823</x:v>
      </x:c>
      <x:c r="AM350" s="38" t="n">
        <x:v>-0.025302624</x:v>
      </x:c>
      <x:c r="AN350" s="38" t="n">
        <x:v>-0.0227153055</x:v>
      </x:c>
      <x:c r="AO350" s="38" t="n">
        <x:v>-0.093102985</x:v>
      </x:c>
      <x:c r="AP350" s="38" t="n">
        <x:v>0.0387541692</x:v>
      </x:c>
      <x:c r="AQ350" s="38" t="n">
        <x:v>0.002434916</x:v>
      </x:c>
      <x:c r="AR350" s="38" t="n">
        <x:v>-0.0284505027</x:v>
      </x:c>
      <x:c r="AS350" s="38" t="n">
        <x:v>-0.0344289929</x:v>
      </x:c>
    </x:row>
    <x:row r="351" ht="19" customHeight="1">
      <x:c r="A351" s="29" t="str">
        <x:v>Primary sector</x:v>
      </x:c>
      <x:c r="B351" s="39" t="d">
        <x:v>2022-06-20T00:00:00.000Z</x:v>
      </x:c>
      <x:c r="C351" s="38" t="n">
        <x:v>-0.0137631331</x:v>
      </x:c>
      <x:c r="D351" s="38" t="n">
        <x:v>-0.1061014114</x:v>
      </x:c>
      <x:c r="E351" s="38" t="n">
        <x:v>-0.0202904945</x:v>
      </x:c>
      <x:c r="F351" s="38" t="n">
        <x:v>-0.020996087</x:v>
      </x:c>
      <x:c r="G351" s="38" t="n">
        <x:v>-0.004957541</x:v>
      </x:c>
      <x:c r="H351" s="38" t="n">
        <x:v>0.0043654346</x:v>
      </x:c>
      <x:c r="I351" s="38" t="n">
        <x:v>0.0589819701</x:v>
      </x:c>
      <x:c r="J351" s="38" t="n">
        <x:v>-0.0270305229</x:v>
      </x:c>
      <x:c r="K351" s="38" t="n">
        <x:v>-0.0861907928</x:v>
      </x:c>
      <x:c r="L351" s="38" t="n">
        <x:v>0.0025954018</x:v>
      </x:c>
      <x:c r="M351" s="38" t="n">
        <x:v>-0.1058653286</x:v>
      </x:c>
      <x:c r="N351" s="38" t="n">
        <x:v>-0.0969151932</x:v>
      </x:c>
      <x:c r="O351" s="38" t="n">
        <x:v>0.0186481695</x:v>
      </x:c>
      <x:c r="P351" s="38" t="n">
        <x:v>-0.2030670201</x:v>
      </x:c>
      <x:c r="Q351" s="38" t="n">
        <x:v>0.0394009406</x:v>
      </x:c>
      <x:c r="R351" s="38" t="n">
        <x:v>-0.0348544065</x:v>
      </x:c>
      <x:c r="S351" s="38" t="n">
        <x:v>0.035549662</x:v>
      </x:c>
      <x:c r="T351" s="38" t="n">
        <x:v>-0.0642495571</x:v>
      </x:c>
      <x:c r="U351" s="38" t="n">
        <x:v>0.0290895847</x:v>
      </x:c>
      <x:c r="V351" s="38" t="n">
        <x:v>0.003155758</x:v>
      </x:c>
      <x:c r="W351" s="38" t="n">
        <x:v>0.04452049</x:v>
      </x:c>
      <x:c r="X351" s="38" t="n">
        <x:v>-0.0469076853</x:v>
      </x:c>
      <x:c r="Y351" s="38" t="n">
        <x:v>-0.1622396477</x:v>
      </x:c>
      <x:c r="Z351" s="38" t="n">
        <x:v>0.0387251627</x:v>
      </x:c>
      <x:c r="AA351" s="38" t="n">
        <x:v>-0.0057850837</x:v>
      </x:c>
      <x:c r="AB351" s="38" t="n">
        <x:v>0.002853844</x:v>
      </x:c>
      <x:c r="AC351" s="38" t="n">
        <x:v>0.0442408352</x:v>
      </x:c>
      <x:c r="AD351" s="38" t="n">
        <x:v>0.0041146126</x:v>
      </x:c>
      <x:c r="AE351" s="38" t="n">
        <x:v>-0.0332765466</x:v>
      </x:c>
      <x:c r="AF351" s="38" t="n">
        <x:v>-0.0684077984</x:v>
      </x:c>
      <x:c r="AG351" s="38" t="n">
        <x:v>0.1267245391</x:v>
      </x:c>
      <x:c r="AH351" s="38" t="n">
        <x:v>0.0236993832</x:v>
      </x:c>
      <x:c r="AI351" s="38" t="n">
        <x:v>-0.0731793694</x:v>
      </x:c>
      <x:c r="AJ351" s="38" t="n">
        <x:v>0.0132141252</x:v>
      </x:c>
      <x:c r="AK351" s="38" t="n">
        <x:v>-0.029469957</x:v>
      </x:c>
      <x:c r="AL351" s="38" t="n">
        <x:v>-0.043331273</x:v>
      </x:c>
      <x:c r="AM351" s="38" t="n">
        <x:v>0.0385357647</x:v>
      </x:c>
      <x:c r="AN351" s="38" t="n">
        <x:v>0.094536752</x:v>
      </x:c>
      <x:c r="AO351" s="38" t="n">
        <x:v>0.0494570542</x:v>
      </x:c>
      <x:c r="AP351" s="38" t="n">
        <x:v>-0.0236718475</x:v>
      </x:c>
      <x:c r="AQ351" s="38" t="n">
        <x:v>-0.0017835369</x:v>
      </x:c>
      <x:c r="AR351" s="38" t="n">
        <x:v>0.0063140327</x:v>
      </x:c>
      <x:c r="AS351" s="38" t="n">
        <x:v>-0.0758673993</x:v>
      </x:c>
    </x:row>
    <x:row r="352" ht="19" customHeight="1">
      <x:c r="A352" s="29" t="str">
        <x:v>Primary sector</x:v>
      </x:c>
      <x:c r="B352" s="39" t="d">
        <x:v>2022-07-18T00:00:00.000Z</x:v>
      </x:c>
      <x:c r="C352" s="38" t="n">
        <x:v>-0.0360417269</x:v>
      </x:c>
      <x:c r="D352" s="38" t="n">
        <x:v>-0.1389945425</x:v>
      </x:c>
      <x:c r="E352" s="38" t="n">
        <x:v>0.0022630596</x:v>
      </x:c>
      <x:c r="F352" s="38" t="n">
        <x:v>-0.0205610145</x:v>
      </x:c>
      <x:c r="G352" s="38" t="n">
        <x:v>0.0544335399</x:v>
      </x:c>
      <x:c r="H352" s="38" t="n">
        <x:v>-0.0166571968</x:v>
      </x:c>
      <x:c r="I352" s="38" t="n">
        <x:v>0.0188018344</x:v>
      </x:c>
      <x:c r="J352" s="38" t="n">
        <x:v>0.0762787121</x:v>
      </x:c>
      <x:c r="K352" s="38" t="n">
        <x:v>-0.1065190987</x:v>
      </x:c>
      <x:c r="L352" s="38" t="n">
        <x:v>-0.0012680556</x:v>
      </x:c>
      <x:c r="M352" s="38" t="n">
        <x:v>-0.0267239212</x:v>
      </x:c>
      <x:c r="N352" s="38" t="n">
        <x:v>-0.0651920924</x:v>
      </x:c>
      <x:c r="O352" s="38" t="n">
        <x:v>0.0933082333</x:v>
      </x:c>
      <x:c r="P352" s="38" t="n">
        <x:v>-0.1123889403</x:v>
      </x:c>
      <x:c r="Q352" s="38" t="n">
        <x:v>-0.0109714331</x:v>
      </x:c>
      <x:c r="R352" s="38" t="n">
        <x:v>-0.1937137346</x:v>
      </x:c>
      <x:c r="S352" s="38" t="n">
        <x:v>-0.027237718</x:v>
      </x:c>
      <x:c r="T352" s="38" t="n">
        <x:v>-0.0357150324</x:v>
      </x:c>
      <x:c r="U352" s="38" t="n">
        <x:v>0.1786880439</x:v>
      </x:c>
      <x:c r="V352" s="38" t="n">
        <x:v>0.0531091462</x:v>
      </x:c>
      <x:c r="W352" s="38" t="n">
        <x:v>0.1771362644</x:v>
      </x:c>
      <x:c r="X352" s="38" t="n">
        <x:v>0.0927018151</x:v>
      </x:c>
      <x:c r="Y352" s="38" t="n">
        <x:v>-0.0646977937</x:v>
      </x:c>
      <x:c r="Z352" s="38" t="n">
        <x:v>-0.2117039936</x:v>
      </x:c>
      <x:c r="AA352" s="38" t="n">
        <x:v>-0.0419520453</x:v>
      </x:c>
      <x:c r="AB352" s="38" t="n">
        <x:v>-0.1036028866</x:v>
      </x:c>
      <x:c r="AC352" s="38" t="n">
        <x:v>-0.2874917441</x:v>
      </x:c>
      <x:c r="AD352" s="38" t="n">
        <x:v>0.0020637849</x:v>
      </x:c>
      <x:c r="AE352" s="38" t="n">
        <x:v>0.036522981</x:v>
      </x:c>
      <x:c r="AF352" s="38" t="n">
        <x:v>-0.0528193237</x:v>
      </x:c>
      <x:c r="AG352" s="38" t="n">
        <x:v>0.1238607876</x:v>
      </x:c>
      <x:c r="AH352" s="38" t="n">
        <x:v>-0.0538662845</x:v>
      </x:c>
      <x:c r="AI352" s="38" t="n">
        <x:v>0.0164596927</x:v>
      </x:c>
      <x:c r="AJ352" s="38" t="n">
        <x:v>-0.0126830423</x:v>
      </x:c>
      <x:c r="AK352" s="38" t="n">
        <x:v>-0.0422701063</x:v>
      </x:c>
      <x:c r="AL352" s="38" t="n">
        <x:v>0.0287320004</x:v>
      </x:c>
      <x:c r="AM352" s="38" t="n">
        <x:v>0.0036732383</x:v>
      </x:c>
      <x:c r="AN352" s="38" t="n">
        <x:v>-0.0578375948</x:v>
      </x:c>
      <x:c r="AO352" s="38" t="n">
        <x:v>0.0334722566</x:v>
      </x:c>
      <x:c r="AP352" s="38" t="n">
        <x:v>0.0392453993</x:v>
      </x:c>
      <x:c r="AQ352" s="38" t="n">
        <x:v>-0.0244746019</x:v>
      </x:c>
      <x:c r="AR352" s="38" t="n">
        <x:v>-0.0528789017</x:v>
      </x:c>
      <x:c r="AS352" s="38" t="n">
        <x:v>0.0297306666</x:v>
      </x:c>
    </x:row>
    <x:row r="353" ht="19" customHeight="1">
      <x:c r="A353" s="29" t="str">
        <x:v>Primary sector</x:v>
      </x:c>
      <x:c r="B353" s="39" t="d">
        <x:v>2022-08-15T00:00:00.000Z</x:v>
      </x:c>
      <x:c r="C353" s="38" t="n">
        <x:v>-0.0469641513</x:v>
      </x:c>
      <x:c r="D353" s="38" t="n">
        <x:v>0.1831137491</x:v>
      </x:c>
      <x:c r="E353" s="38" t="n">
        <x:v>0.0213030153</x:v>
      </x:c>
      <x:c r="F353" s="38" t="n">
        <x:v>0.0004623074</x:v>
      </x:c>
      <x:c r="G353" s="38" t="n">
        <x:v>0.0980254623</x:v>
      </x:c>
      <x:c r="H353" s="38" t="n">
        <x:v>0.1549455852</x:v>
      </x:c>
      <x:c r="I353" s="38" t="n">
        <x:v>0.0253677817</x:v>
      </x:c>
      <x:c r="J353" s="38" t="n">
        <x:v>-0.0160338792</x:v>
      </x:c>
      <x:c r="K353" s="38" t="n">
        <x:v>-0.072295835</x:v>
      </x:c>
      <x:c r="L353" s="38" t="n">
        <x:v>-0.0081278213</x:v>
      </x:c>
      <x:c r="M353" s="38" t="n">
        <x:v>0.159345745</x:v>
      </x:c>
      <x:c r="N353" s="38" t="n">
        <x:v>0.1043407208</x:v>
      </x:c>
      <x:c r="O353" s="38" t="n">
        <x:v>0.1146704739</x:v>
      </x:c>
      <x:c r="P353" s="38" t="n">
        <x:v>-0.0891714469</x:v>
      </x:c>
      <x:c r="Q353" s="38" t="n">
        <x:v>0.0254958185</x:v>
      </x:c>
      <x:c r="R353" s="38" t="n">
        <x:v>0.0337126448</x:v>
      </x:c>
      <x:c r="S353" s="38" t="n">
        <x:v>-0.0092114634</x:v>
      </x:c>
      <x:c r="T353" s="38" t="n">
        <x:v>0.1268472791</x:v>
      </x:c>
      <x:c r="U353" s="38" t="n">
        <x:v>-0.1109910924</x:v>
      </x:c>
      <x:c r="V353" s="38" t="n">
        <x:v>0.1051167372</x:v>
      </x:c>
      <x:c r="W353" s="38" t="n">
        <x:v>0.0803548377</x:v>
      </x:c>
      <x:c r="X353" s="38" t="n">
        <x:v>-0.0463689737</x:v>
      </x:c>
      <x:c r="Y353" s="38" t="n">
        <x:v>-0.1045841569</x:v>
      </x:c>
      <x:c r="Z353" s="38" t="n">
        <x:v>-0.0975146582</x:v>
      </x:c>
      <x:c r="AA353" s="38" t="n">
        <x:v>0.0927873788</x:v>
      </x:c>
      <x:c r="AB353" s="38" t="n">
        <x:v>-0.0216521851</x:v>
      </x:c>
      <x:c r="AC353" s="38" t="n">
        <x:v>-0.0161904292</x:v>
      </x:c>
      <x:c r="AD353" s="38" t="n">
        <x:v>0.0206958072</x:v>
      </x:c>
      <x:c r="AE353" s="38" t="n">
        <x:v>0.1415999545</x:v>
      </x:c>
      <x:c r="AF353" s="38" t="n">
        <x:v>-0.0014385946</x:v>
      </x:c>
      <x:c r="AG353" s="38" t="n">
        <x:v>-0.0099003624</x:v>
      </x:c>
      <x:c r="AH353" s="38" t="n">
        <x:v>0.1065329818</x:v>
      </x:c>
      <x:c r="AI353" s="38" t="n">
        <x:v>0.0046894577</x:v>
      </x:c>
      <x:c r="AJ353" s="38" t="n">
        <x:v>-0.0438166536</x:v>
      </x:c>
      <x:c r="AK353" s="38" t="n">
        <x:v>-0.0567067405</x:v>
      </x:c>
      <x:c r="AL353" s="38" t="n">
        <x:v>-0.033860409</x:v>
      </x:c>
      <x:c r="AM353" s="38" t="n">
        <x:v>0.0426708112</x:v>
      </x:c>
      <x:c r="AN353" s="38" t="n">
        <x:v>0.0370998656</x:v>
      </x:c>
      <x:c r="AO353" s="38" t="n">
        <x:v>-0.0060086448</x:v>
      </x:c>
      <x:c r="AP353" s="38" t="n">
        <x:v>0.0087288814</x:v>
      </x:c>
      <x:c r="AQ353" s="38" t="n">
        <x:v>0.0240969001</x:v>
      </x:c>
      <x:c r="AR353" s="38" t="n">
        <x:v>-0.0117175908</x:v>
      </x:c>
      <x:c r="AS353" s="38" t="n">
        <x:v>0.0158913959</x:v>
      </x:c>
    </x:row>
    <x:row r="354" ht="19" customHeight="1">
      <x:c r="A354" s="29" t="str">
        <x:v>Primary sector</x:v>
      </x:c>
      <x:c r="B354" s="39" t="d">
        <x:v>2022-09-12T00:00:00.000Z</x:v>
      </x:c>
      <x:c r="C354" s="38" t="n">
        <x:v>0.0705458297</x:v>
      </x:c>
      <x:c r="D354" s="38" t="n">
        <x:v>0.0874126944</x:v>
      </x:c>
      <x:c r="E354" s="38" t="n">
        <x:v>-0.0120926153</x:v>
      </x:c>
      <x:c r="F354" s="38" t="n">
        <x:v>-0.0198466986</x:v>
      </x:c>
      <x:c r="G354" s="38" t="n">
        <x:v>0.0308485064</x:v>
      </x:c>
      <x:c r="H354" s="38" t="n">
        <x:v>0.0550197926</x:v>
      </x:c>
      <x:c r="I354" s="38" t="n">
        <x:v>-0.0367125997</x:v>
      </x:c>
      <x:c r="J354" s="38" t="n">
        <x:v>0.0107141493</x:v>
      </x:c>
      <x:c r="K354" s="38" t="n">
        <x:v>-0.0376850394</x:v>
      </x:c>
      <x:c r="L354" s="38" t="n">
        <x:v>-0.0852845944</x:v>
      </x:c>
      <x:c r="M354" s="38" t="n">
        <x:v>-0.0732548123</x:v>
      </x:c>
      <x:c r="N354" s="38" t="n">
        <x:v>-0.0403329335</x:v>
      </x:c>
      <x:c r="O354" s="38" t="n">
        <x:v>-0.0160661879</x:v>
      </x:c>
      <x:c r="P354" s="38" t="n">
        <x:v>-0.0917292597</x:v>
      </x:c>
      <x:c r="Q354" s="38" t="n">
        <x:v>0.1367746338</x:v>
      </x:c>
      <x:c r="R354" s="38" t="n">
        <x:v>0.0961111946</x:v>
      </x:c>
      <x:c r="S354" s="38" t="n">
        <x:v>-0.0357169951</x:v>
      </x:c>
      <x:c r="T354" s="38" t="n">
        <x:v>-0.0642618412</x:v>
      </x:c>
      <x:c r="U354" s="38" t="n">
        <x:v>-0.0448544248</x:v>
      </x:c>
      <x:c r="V354" s="38" t="n">
        <x:v>0.0207951158</x:v>
      </x:c>
      <x:c r="W354" s="38" t="n">
        <x:v>0.0747678581</x:v>
      </x:c>
      <x:c r="X354" s="38" t="n">
        <x:v>-0.0346447775</x:v>
      </x:c>
      <x:c r="Y354" s="38" t="n">
        <x:v>-0.0083433795</x:v>
      </x:c>
      <x:c r="Z354" s="38" t="n">
        <x:v>0.0400391261</x:v>
      </x:c>
      <x:c r="AA354" s="38" t="n">
        <x:v>-0.0138626165</x:v>
      </x:c>
      <x:c r="AB354" s="38" t="n">
        <x:v>-0.039337987</x:v>
      </x:c>
      <x:c r="AC354" s="38" t="n">
        <x:v>-0.0106509365</x:v>
      </x:c>
      <x:c r="AD354" s="38" t="n">
        <x:v>0.0061903677</x:v>
      </x:c>
      <x:c r="AE354" s="38" t="n">
        <x:v>-0.0145942615</x:v>
      </x:c>
      <x:c r="AF354" s="38" t="n">
        <x:v>-0.0073777049</x:v>
      </x:c>
      <x:c r="AG354" s="38" t="n">
        <x:v>-0.0297754648</x:v>
      </x:c>
      <x:c r="AH354" s="38" t="n">
        <x:v>-0.0054751915</x:v>
      </x:c>
      <x:c r="AI354" s="38" t="n">
        <x:v>-0.0222228112</x:v>
      </x:c>
      <x:c r="AJ354" s="38" t="n">
        <x:v>-0.0203503294</x:v>
      </x:c>
      <x:c r="AK354" s="38" t="n">
        <x:v>-0.0238016835</x:v>
      </x:c>
      <x:c r="AL354" s="38" t="n">
        <x:v>0.0115226863</x:v>
      </x:c>
      <x:c r="AM354" s="38" t="n">
        <x:v>-0.0515048815</x:v>
      </x:c>
      <x:c r="AN354" s="38" t="n">
        <x:v>-0.0480561887</x:v>
      </x:c>
      <x:c r="AO354" s="38" t="n">
        <x:v>-0.0111678249</x:v>
      </x:c>
      <x:c r="AP354" s="38" t="n">
        <x:v>-0.0741784715</x:v>
      </x:c>
      <x:c r="AQ354" s="38" t="n">
        <x:v>-0.026106021</x:v>
      </x:c>
      <x:c r="AR354" s="38" t="n">
        <x:v>-0.0060800883</x:v>
      </x:c>
      <x:c r="AS354" s="38" t="n">
        <x:v>-0.0542680068</x:v>
      </x:c>
    </x:row>
    <x:row r="355" ht="19" customHeight="1">
      <x:c r="A355" s="29" t="str">
        <x:v>Primary sector</x:v>
      </x:c>
      <x:c r="B355" s="39" t="d">
        <x:v>2022-10-10T00:00:00.000Z</x:v>
      </x:c>
      <x:c r="C355" s="38" t="n">
        <x:v>0.0153529866</x:v>
      </x:c>
      <x:c r="D355" s="38" t="n">
        <x:v>0.0705342955</x:v>
      </x:c>
      <x:c r="E355" s="38" t="n">
        <x:v>-0.0188438413</x:v>
      </x:c>
      <x:c r="F355" s="38" t="n">
        <x:v>0.0074961651</x:v>
      </x:c>
      <x:c r="G355" s="38" t="n">
        <x:v>-0.0064668756</x:v>
      </x:c>
      <x:c r="H355" s="38" t="n">
        <x:v>0.0392801178</x:v>
      </x:c>
      <x:c r="I355" s="38" t="n">
        <x:v>0.0343746335</x:v>
      </x:c>
      <x:c r="J355" s="38" t="n">
        <x:v>0.0439605565</x:v>
      </x:c>
      <x:c r="K355" s="38" t="n">
        <x:v>-0.0296709175</x:v>
      </x:c>
      <x:c r="L355" s="38" t="n">
        <x:v>0.0422490318</x:v>
      </x:c>
      <x:c r="M355" s="38" t="n">
        <x:v>0.0385081693</x:v>
      </x:c>
      <x:c r="N355" s="38" t="n">
        <x:v>0.0391511824</x:v>
      </x:c>
      <x:c r="O355" s="38" t="n">
        <x:v>0.0108240887</x:v>
      </x:c>
      <x:c r="P355" s="38" t="n">
        <x:v>0.0172200277</x:v>
      </x:c>
      <x:c r="Q355" s="38" t="n">
        <x:v>0.0292119351</x:v>
      </x:c>
      <x:c r="R355" s="38" t="n">
        <x:v>-0.115541656</x:v>
      </x:c>
      <x:c r="S355" s="38" t="n">
        <x:v>-0.08581717</x:v>
      </x:c>
      <x:c r="T355" s="38" t="n">
        <x:v>-0.1588915377</x:v>
      </x:c>
      <x:c r="U355" s="38" t="n">
        <x:v>-0.0078291031</x:v>
      </x:c>
      <x:c r="V355" s="38" t="n">
        <x:v>-0.0336544625</x:v>
      </x:c>
      <x:c r="W355" s="38" t="n">
        <x:v>0.0691626267</x:v>
      </x:c>
      <x:c r="X355" s="38" t="n">
        <x:v>-0.0539862639</x:v>
      </x:c>
      <x:c r="Y355" s="38" t="n">
        <x:v>0.0967396858</x:v>
      </x:c>
      <x:c r="Z355" s="38" t="n">
        <x:v>0.1245676085</x:v>
      </x:c>
      <x:c r="AA355" s="38" t="n">
        <x:v>-0.0524292338</x:v>
      </x:c>
      <x:c r="AB355" s="38" t="n">
        <x:v>0.0417469315</x:v>
      </x:c>
      <x:c r="AC355" s="38" t="n">
        <x:v>0.1260915859</x:v>
      </x:c>
      <x:c r="AD355" s="38" t="n">
        <x:v>-0.0685771475</x:v>
      </x:c>
      <x:c r="AE355" s="38" t="n">
        <x:v>-0.0289073333</x:v>
      </x:c>
      <x:c r="AF355" s="38" t="n">
        <x:v>0.0191170197</x:v>
      </x:c>
      <x:c r="AG355" s="38" t="n">
        <x:v>0.0025114786</x:v>
      </x:c>
      <x:c r="AH355" s="38" t="n">
        <x:v>0.0233802787</x:v>
      </x:c>
      <x:c r="AI355" s="38" t="n">
        <x:v>-0.1229146788</x:v>
      </x:c>
      <x:c r="AJ355" s="38" t="n">
        <x:v>0.0550378759</x:v>
      </x:c>
      <x:c r="AK355" s="38" t="n">
        <x:v>-0.0354025818</x:v>
      </x:c>
      <x:c r="AL355" s="38" t="n">
        <x:v>0.0114299915</x:v>
      </x:c>
      <x:c r="AM355" s="38" t="n">
        <x:v>0.0339958492</x:v>
      </x:c>
      <x:c r="AN355" s="38" t="n">
        <x:v>0.1032100499</x:v>
      </x:c>
      <x:c r="AO355" s="38" t="n">
        <x:v>-0.0523558624</x:v>
      </x:c>
      <x:c r="AP355" s="38" t="n">
        <x:v>0.1049165384</x:v>
      </x:c>
      <x:c r="AQ355" s="38" t="n">
        <x:v>-0.03665698</x:v>
      </x:c>
      <x:c r="AR355" s="38" t="n">
        <x:v>-0.026832044</x:v>
      </x:c>
      <x:c r="AS355" s="38" t="n">
        <x:v>0.0202287786</x:v>
      </x:c>
    </x:row>
    <x:row r="356" ht="19" customHeight="1">
      <x:c r="A356" s="29" t="str">
        <x:v>Primary sector</x:v>
      </x:c>
      <x:c r="B356" s="39" t="d">
        <x:v>2022-11-07T00:00:00.000Z</x:v>
      </x:c>
      <x:c r="C356" s="38" t="n">
        <x:v>-0.041477761</x:v>
      </x:c>
      <x:c r="D356" s="38" t="n">
        <x:v>0.0396872498</x:v>
      </x:c>
      <x:c r="E356" s="38" t="n">
        <x:v>-0.0340404098</x:v>
      </x:c>
      <x:c r="F356" s="38" t="n">
        <x:v>0.0152093841</x:v>
      </x:c>
      <x:c r="G356" s="38" t="n">
        <x:v>-0.113927725</x:v>
      </x:c>
      <x:c r="H356" s="38" t="n">
        <x:v>-0.0842738255</x:v>
      </x:c>
      <x:c r="I356" s="38" t="n">
        <x:v>-0.1346796796</x:v>
      </x:c>
      <x:c r="J356" s="38" t="n">
        <x:v>-0.0566930166</x:v>
      </x:c>
      <x:c r="K356" s="38" t="n">
        <x:v>-0.0874136379</x:v>
      </x:c>
      <x:c r="L356" s="38" t="n">
        <x:v>-0.0338612277</x:v>
      </x:c>
      <x:c r="M356" s="38" t="n">
        <x:v>-0.0032863904</x:v>
      </x:c>
      <x:c r="N356" s="38" t="n">
        <x:v>-0.0737301885</x:v>
      </x:c>
      <x:c r="O356" s="38" t="n">
        <x:v>-0.0162030015</x:v>
      </x:c>
      <x:c r="P356" s="38" t="n">
        <x:v>0.0449073157</x:v>
      </x:c>
      <x:c r="Q356" s="38" t="n">
        <x:v>0.0914730826</x:v>
      </x:c>
      <x:c r="R356" s="38" t="n">
        <x:v>-0.1019671096</x:v>
      </x:c>
      <x:c r="S356" s="38" t="n">
        <x:v>-0.0244911338</x:v>
      </x:c>
      <x:c r="T356" s="38" t="n">
        <x:v>0.0702492002</x:v>
      </x:c>
      <x:c r="U356" s="38" t="n">
        <x:v>0.1385929008</x:v>
      </x:c>
      <x:c r="V356" s="38" t="n">
        <x:v>0.1473590025</x:v>
      </x:c>
      <x:c r="W356" s="38" t="n">
        <x:v>0.0783971587</x:v>
      </x:c>
      <x:c r="X356" s="38" t="n">
        <x:v>0.0592672325</x:v>
      </x:c>
      <x:c r="Y356" s="38" t="n">
        <x:v>0.0347637989</x:v>
      </x:c>
      <x:c r="Z356" s="38" t="n">
        <x:v>-0.1125682017</x:v>
      </x:c>
      <x:c r="AA356" s="38" t="n">
        <x:v>-0.0045867465</x:v>
      </x:c>
      <x:c r="AB356" s="38" t="n">
        <x:v>-0.03261491</x:v>
      </x:c>
      <x:c r="AC356" s="38" t="n">
        <x:v>-0.2501994066</x:v>
      </x:c>
      <x:c r="AD356" s="38" t="n">
        <x:v>-0.0024402901</x:v>
      </x:c>
      <x:c r="AE356" s="38" t="n">
        <x:v>0.0353841362</x:v>
      </x:c>
      <x:c r="AF356" s="38" t="n">
        <x:v>0.0593357242</x:v>
      </x:c>
      <x:c r="AG356" s="38" t="n">
        <x:v>0.079261158</x:v>
      </x:c>
      <x:c r="AH356" s="38" t="n">
        <x:v>-0.0978792576</x:v>
      </x:c>
      <x:c r="AI356" s="38" t="n">
        <x:v>0.0168080927</x:v>
      </x:c>
      <x:c r="AJ356" s="38" t="n">
        <x:v>-0.0296327485</x:v>
      </x:c>
      <x:c r="AK356" s="38" t="n">
        <x:v>0.022352689</x:v>
      </x:c>
      <x:c r="AL356" s="38" t="n">
        <x:v>-0.0211764364</x:v>
      </x:c>
      <x:c r="AM356" s="38" t="n">
        <x:v>-0.060685157</x:v>
      </x:c>
      <x:c r="AN356" s="38" t="n">
        <x:v>-0.0846279332</x:v>
      </x:c>
      <x:c r="AO356" s="38" t="n">
        <x:v>0.0098599132</x:v>
      </x:c>
      <x:c r="AP356" s="38" t="n">
        <x:v>0.013887326</x:v>
      </x:c>
      <x:c r="AQ356" s="38" t="n">
        <x:v>-0.0113210718</x:v>
      </x:c>
      <x:c r="AR356" s="38" t="n">
        <x:v>-0.0328482163</x:v>
      </x:c>
      <x:c r="AS356" s="38" t="n">
        <x:v>0.0161322942</x:v>
      </x:c>
    </x:row>
    <x:row r="357" ht="19" customHeight="1">
      <x:c r="A357" s="29" t="str">
        <x:v>Primary sector</x:v>
      </x:c>
      <x:c r="B357" s="39" t="d">
        <x:v>2022-12-05T00:00:00.000Z</x:v>
      </x:c>
      <x:c r="C357" s="38" t="n">
        <x:v>-0.0368197576</x:v>
      </x:c>
      <x:c r="D357" s="38" t="n">
        <x:v>-0.0550316356</x:v>
      </x:c>
      <x:c r="E357" s="38" t="n">
        <x:v>0.0025137146</x:v>
      </x:c>
      <x:c r="F357" s="38" t="n">
        <x:v>0.0065697587</x:v>
      </x:c>
      <x:c r="G357" s="38" t="n">
        <x:v>-0.0066314504</x:v>
      </x:c>
      <x:c r="H357" s="38" t="n">
        <x:v>0.0213294469</x:v>
      </x:c>
      <x:c r="I357" s="38" t="n">
        <x:v>-0.0857347583</x:v>
      </x:c>
      <x:c r="J357" s="38" t="n">
        <x:v>-0.0061130252</x:v>
      </x:c>
      <x:c r="K357" s="38" t="n">
        <x:v>-0.0491849081</x:v>
      </x:c>
      <x:c r="L357" s="38" t="n">
        <x:v>-0.0100773593</x:v>
      </x:c>
      <x:c r="M357" s="38" t="n">
        <x:v>-0.0689819181</x:v>
      </x:c>
      <x:c r="N357" s="38" t="n">
        <x:v>-0.00392521</x:v>
      </x:c>
      <x:c r="O357" s="38" t="n">
        <x:v>0.001773715</x:v>
      </x:c>
      <x:c r="P357" s="38" t="n">
        <x:v>-0.0660972626</x:v>
      </x:c>
      <x:c r="Q357" s="38" t="n">
        <x:v>-0.1258358974</x:v>
      </x:c>
      <x:c r="R357" s="38" t="n">
        <x:v>-0.0915883289</x:v>
      </x:c>
      <x:c r="S357" s="38" t="n">
        <x:v>-0.0038061322</x:v>
      </x:c>
      <x:c r="T357" s="38" t="n">
        <x:v>-0.0943044056</x:v>
      </x:c>
      <x:c r="U357" s="38" t="n">
        <x:v>0.0497541371</x:v>
      </x:c>
      <x:c r="V357" s="38" t="n">
        <x:v>-0.1050068168</x:v>
      </x:c>
      <x:c r="W357" s="38" t="n">
        <x:v>0.0673605201</x:v>
      </x:c>
      <x:c r="X357" s="38" t="n">
        <x:v>0.0105425012</x:v>
      </x:c>
      <x:c r="Y357" s="38" t="n">
        <x:v>-0.0907044286</x:v>
      </x:c>
      <x:c r="Z357" s="38" t="n">
        <x:v>-0.0532314563</x:v>
      </x:c>
      <x:c r="AA357" s="38" t="n">
        <x:v>0.0135289467</x:v>
      </x:c>
      <x:c r="AB357" s="38" t="n">
        <x:v>0.0945636213</x:v>
      </x:c>
      <x:c r="AC357" s="38" t="n">
        <x:v>-0.1852861673</x:v>
      </x:c>
      <x:c r="AD357" s="38" t="n">
        <x:v>0.00939714</x:v>
      </x:c>
      <x:c r="AE357" s="38" t="n">
        <x:v>-0.0610215787</x:v>
      </x:c>
      <x:c r="AF357" s="38" t="n">
        <x:v>0.0433201647</x:v>
      </x:c>
      <x:c r="AG357" s="38" t="n">
        <x:v>0.0104468633</x:v>
      </x:c>
      <x:c r="AH357" s="38" t="n">
        <x:v>-0.0154723015</x:v>
      </x:c>
      <x:c r="AI357" s="38" t="n">
        <x:v>-0.0745953664</x:v>
      </x:c>
      <x:c r="AJ357" s="38" t="n">
        <x:v>-0.0379658758</x:v>
      </x:c>
      <x:c r="AK357" s="38" t="n">
        <x:v>-0.0840069741</x:v>
      </x:c>
      <x:c r="AL357" s="38" t="n">
        <x:v>0.0208746565</x:v>
      </x:c>
      <x:c r="AM357" s="38" t="n">
        <x:v>-0.0162720668</x:v>
      </x:c>
      <x:c r="AN357" s="38" t="n">
        <x:v>-0.0397040677</x:v>
      </x:c>
      <x:c r="AO357" s="38" t="n">
        <x:v>-0.0872718975</x:v>
      </x:c>
      <x:c r="AP357" s="38" t="n">
        <x:v>0.0194962944</x:v>
      </x:c>
      <x:c r="AQ357" s="38" t="n">
        <x:v>-0.0216825952</x:v>
      </x:c>
      <x:c r="AR357" s="38" t="n">
        <x:v>-0.0202275725</x:v>
      </x:c>
      <x:c r="AS357" s="38" t="n">
        <x:v>-0.011708482</x:v>
      </x:c>
    </x:row>
    <x:row r="358" ht="19" customHeight="1">
      <x:c r="A358" s="29" t="str">
        <x:v>Primary sector</x:v>
      </x:c>
      <x:c r="B358" s="39" t="d">
        <x:v>2023-01-02T00:00:00.000Z</x:v>
      </x:c>
      <x:c r="C358" s="38" t="n">
        <x:v>-0.0555805091</x:v>
      </x:c>
      <x:c r="D358" s="38" t="n">
        <x:v>0.1049974773</x:v>
      </x:c>
      <x:c r="E358" s="38" t="n">
        <x:v>-0.0372368741</x:v>
      </x:c>
      <x:c r="F358" s="38" t="n">
        <x:v>-0.0865078956</x:v>
      </x:c>
      <x:c r="G358" s="38" t="n">
        <x:v>-0.0058184602</x:v>
      </x:c>
      <x:c r="H358" s="38" t="n">
        <x:v>-0.0552000372</x:v>
      </x:c>
      <x:c r="I358" s="38" t="n">
        <x:v>0.0136814064</x:v>
      </x:c>
      <x:c r="J358" s="38" t="n">
        <x:v>-0.1379918591</x:v>
      </x:c>
      <x:c r="K358" s="38" t="n">
        <x:v>0.0171304529</x:v>
      </x:c>
      <x:c r="L358" s="38" t="n">
        <x:v>0.0171364167</x:v>
      </x:c>
      <x:c r="M358" s="38" t="n">
        <x:v>-0.1390450453</x:v>
      </x:c>
      <x:c r="N358" s="38" t="n">
        <x:v>-0.0114481125</x:v>
      </x:c>
      <x:c r="O358" s="38" t="n">
        <x:v>-0.1529338053</x:v>
      </x:c>
      <x:c r="P358" s="38" t="n">
        <x:v>0.035592012</x:v>
      </x:c>
      <x:c r="Q358" s="38" t="n">
        <x:v>0.0596751245</x:v>
      </x:c>
      <x:c r="R358" s="38" t="n">
        <x:v>-0.0871703304</x:v>
      </x:c>
      <x:c r="S358" s="38" t="n">
        <x:v>-0.0148520726</x:v>
      </x:c>
      <x:c r="T358" s="38" t="n">
        <x:v>-0.1617768173</x:v>
      </x:c>
      <x:c r="U358" s="38" t="n">
        <x:v>-0.0390179546</x:v>
      </x:c>
      <x:c r="V358" s="38" t="n">
        <x:v>-0.0679771557</x:v>
      </x:c>
      <x:c r="W358" s="38" t="n">
        <x:v>-0.0451979923</x:v>
      </x:c>
      <x:c r="X358" s="38" t="n">
        <x:v>0.014788426</x:v>
      </x:c>
      <x:c r="Y358" s="38" t="n">
        <x:v>0.0231437045</x:v>
      </x:c>
      <x:c r="Z358" s="38" t="n">
        <x:v>0.0537029256</x:v>
      </x:c>
      <x:c r="AA358" s="38" t="n">
        <x:v>-0.0031629844</x:v>
      </x:c>
      <x:c r="AB358" s="38" t="n">
        <x:v>0.1427988464</x:v>
      </x:c>
      <x:c r="AC358" s="38" t="n">
        <x:v>-0.2513149126</x:v>
      </x:c>
      <x:c r="AD358" s="38" t="n">
        <x:v>-0.0113331154</x:v>
      </x:c>
      <x:c r="AE358" s="38" t="n">
        <x:v>-0.0587892906</x:v>
      </x:c>
      <x:c r="AF358" s="38" t="n">
        <x:v>0.0856870435</x:v>
      </x:c>
      <x:c r="AG358" s="38" t="n">
        <x:v>0.0876431648</x:v>
      </x:c>
      <x:c r="AH358" s="38" t="n">
        <x:v>-0.0659227863</x:v>
      </x:c>
      <x:c r="AI358" s="38" t="n">
        <x:v>0.0111447817</x:v>
      </x:c>
      <x:c r="AJ358" s="38" t="n">
        <x:v>0.0010419268</x:v>
      </x:c>
      <x:c r="AK358" s="38" t="n">
        <x:v>0.0015110455</x:v>
      </x:c>
      <x:c r="AL358" s="38" t="n">
        <x:v>0.0298160365</x:v>
      </x:c>
      <x:c r="AM358" s="38" t="n">
        <x:v>-0.0601146126</x:v>
      </x:c>
      <x:c r="AN358" s="38" t="n">
        <x:v>-0.0506872283</x:v>
      </x:c>
      <x:c r="AO358" s="38" t="n">
        <x:v>-0.0360829756</x:v>
      </x:c>
      <x:c r="AP358" s="38" t="n">
        <x:v>-0.0051019756</x:v>
      </x:c>
      <x:c r="AQ358" s="38" t="n">
        <x:v>-0.0347560515</x:v>
      </x:c>
      <x:c r="AR358" s="38" t="n">
        <x:v>0.0040382662</x:v>
      </x:c>
      <x:c r="AS358" s="38" t="n">
        <x:v>0.008488032</x:v>
      </x:c>
    </x:row>
    <x:row r="359" ht="19" customHeight="1">
      <x:c r="A359" s="29" t="str">
        <x:v>Primary sector</x:v>
      </x:c>
      <x:c r="B359" s="39" t="d">
        <x:v>2023-01-30T00:00:00.000Z</x:v>
      </x:c>
      <x:c r="C359" s="38" t="n">
        <x:v>-0.0078664116</x:v>
      </x:c>
      <x:c r="D359" s="38" t="n">
        <x:v>0.0355019692</x:v>
      </x:c>
      <x:c r="E359" s="38" t="n">
        <x:v>-0.0075380332</x:v>
      </x:c>
      <x:c r="F359" s="38" t="n">
        <x:v>0.0329595449</x:v>
      </x:c>
      <x:c r="G359" s="38" t="n">
        <x:v>0.0530366504</x:v>
      </x:c>
      <x:c r="H359" s="38" t="n">
        <x:v>0.0976503491</x:v>
      </x:c>
      <x:c r="I359" s="38" t="n">
        <x:v>0.0485297487</x:v>
      </x:c>
      <x:c r="J359" s="38" t="n">
        <x:v>-0.0191157231</x:v>
      </x:c>
      <x:c r="K359" s="38" t="n">
        <x:v>0.005583425</x:v>
      </x:c>
      <x:c r="L359" s="38" t="n">
        <x:v>0.0327549386</x:v>
      </x:c>
      <x:c r="M359" s="38" t="n">
        <x:v>-0.0020526073</x:v>
      </x:c>
      <x:c r="N359" s="38" t="n">
        <x:v>0.0488694844</x:v>
      </x:c>
      <x:c r="O359" s="38" t="n">
        <x:v>0.0395120203</x:v>
      </x:c>
      <x:c r="P359" s="38" t="n">
        <x:v>-0.0331140245</x:v>
      </x:c>
      <x:c r="Q359" s="38" t="n">
        <x:v>-0.0934881537</x:v>
      </x:c>
      <x:c r="R359" s="38" t="n">
        <x:v>0.0408282025</x:v>
      </x:c>
      <x:c r="S359" s="38" t="n">
        <x:v>-0.0144250849</x:v>
      </x:c>
      <x:c r="T359" s="38" t="n">
        <x:v>0.3120395239</x:v>
      </x:c>
      <x:c r="U359" s="38" t="n">
        <x:v>-0.0148642027</x:v>
      </x:c>
      <x:c r="V359" s="38" t="n">
        <x:v>0.0798644879</x:v>
      </x:c>
      <x:c r="W359" s="38" t="n">
        <x:v>-0.0073828002</x:v>
      </x:c>
      <x:c r="X359" s="38" t="n">
        <x:v>-0.050922399</x:v>
      </x:c>
      <x:c r="Y359" s="38" t="n">
        <x:v>-0.0862485147</x:v>
      </x:c>
      <x:c r="Z359" s="38" t="n">
        <x:v>-0.0731724628</x:v>
      </x:c>
      <x:c r="AA359" s="38" t="n">
        <x:v>-0.0056940346</x:v>
      </x:c>
      <x:c r="AB359" s="38" t="n">
        <x:v>-0.1375724745</x:v>
      </x:c>
      <x:c r="AC359" s="38" t="n">
        <x:v>0.4866921823</x:v>
      </x:c>
      <x:c r="AD359" s="38" t="n">
        <x:v>-0.0391099033</x:v>
      </x:c>
      <x:c r="AE359" s="38" t="n">
        <x:v>-0.0434179208</x:v>
      </x:c>
      <x:c r="AF359" s="38" t="n">
        <x:v>-0.165344054</x:v>
      </x:c>
      <x:c r="AG359" s="38" t="n">
        <x:v>-0.0725098443</x:v>
      </x:c>
      <x:c r="AH359" s="38" t="n">
        <x:v>-0.0289597122</x:v>
      </x:c>
      <x:c r="AI359" s="38" t="n">
        <x:v>0.0667073495</x:v>
      </x:c>
      <x:c r="AJ359" s="38" t="n">
        <x:v>-0.0384590795</x:v>
      </x:c>
      <x:c r="AK359" s="38" t="n">
        <x:v>0.0025307472</x:v>
      </x:c>
      <x:c r="AL359" s="38" t="n">
        <x:v>-0.1175278427</x:v>
      </x:c>
      <x:c r="AM359" s="38" t="n">
        <x:v>0.0594680984</x:v>
      </x:c>
      <x:c r="AN359" s="38" t="n">
        <x:v>0.0731567522</x:v>
      </x:c>
      <x:c r="AO359" s="38" t="n">
        <x:v>0.0405466683</x:v>
      </x:c>
      <x:c r="AP359" s="38" t="n">
        <x:v>-0.055873989</x:v>
      </x:c>
      <x:c r="AQ359" s="38" t="n">
        <x:v>-0.039052121</x:v>
      </x:c>
      <x:c r="AR359" s="38" t="n">
        <x:v>-0.0522191199</x:v>
      </x:c>
      <x:c r="AS359" s="38" t="n">
        <x:v>-0.0517405572</x:v>
      </x:c>
    </x:row>
    <x:row r="360" ht="19" customHeight="1">
      <x:c r="A360" s="29" t="str">
        <x:v>Primary sector</x:v>
      </x:c>
      <x:c r="B360" s="39" t="d">
        <x:v>2023-02-27T00:00:00.000Z</x:v>
      </x:c>
      <x:c r="C360" s="38" t="n">
        <x:v>-0.0395033609</x:v>
      </x:c>
      <x:c r="D360" s="38" t="n">
        <x:v>0.1573092998</x:v>
      </x:c>
      <x:c r="E360" s="38" t="n">
        <x:v>0.0164375408</x:v>
      </x:c>
      <x:c r="F360" s="38" t="n">
        <x:v>-0.003746317</x:v>
      </x:c>
      <x:c r="G360" s="38" t="n">
        <x:v>-0.0014641369</x:v>
      </x:c>
      <x:c r="H360" s="38" t="n">
        <x:v>-0.0587615306</x:v>
      </x:c>
      <x:c r="I360" s="38" t="n">
        <x:v>-0.0582717468</x:v>
      </x:c>
      <x:c r="J360" s="38" t="n">
        <x:v>0.0762496614</x:v>
      </x:c>
      <x:c r="K360" s="38" t="n">
        <x:v>-0.1528537651</x:v>
      </x:c>
      <x:c r="L360" s="38" t="n">
        <x:v>0.0478813086</x:v>
      </x:c>
      <x:c r="M360" s="38" t="n">
        <x:v>0.0334409967</x:v>
      </x:c>
      <x:c r="N360" s="38" t="n">
        <x:v>0.0039686079</x:v>
      </x:c>
      <x:c r="O360" s="38" t="n">
        <x:v>0.0254581399</x:v>
      </x:c>
      <x:c r="P360" s="38" t="n">
        <x:v>-0.2328805029</x:v>
      </x:c>
      <x:c r="Q360" s="38" t="n">
        <x:v>-0.0007113782</x:v>
      </x:c>
      <x:c r="R360" s="38" t="n">
        <x:v>0.0979118666</x:v>
      </x:c>
      <x:c r="S360" s="38" t="n">
        <x:v>0.0543823395</x:v>
      </x:c>
      <x:c r="T360" s="38" t="n">
        <x:v>-0.0075309435</x:v>
      </x:c>
      <x:c r="U360" s="38" t="n">
        <x:v>-0.2654271145</x:v>
      </x:c>
      <x:c r="V360" s="38" t="n">
        <x:v>0.1190470461</x:v>
      </x:c>
      <x:c r="W360" s="38" t="n">
        <x:v>-0.0543428614</x:v>
      </x:c>
      <x:c r="X360" s="38" t="n">
        <x:v>0.0238263268</x:v>
      </x:c>
      <x:c r="Y360" s="38" t="n">
        <x:v>-0.222055974</x:v>
      </x:c>
      <x:c r="Z360" s="38" t="n">
        <x:v>-0.0568986996</x:v>
      </x:c>
      <x:c r="AA360" s="38" t="n">
        <x:v>0.0675781408</x:v>
      </x:c>
      <x:c r="AB360" s="38" t="n">
        <x:v>-0.1004781549</x:v>
      </x:c>
      <x:c r="AC360" s="38" t="n">
        <x:v>-0.1419399645</x:v>
      </x:c>
      <x:c r="AD360" s="38" t="n">
        <x:v>0.0263194138</x:v>
      </x:c>
      <x:c r="AE360" s="38" t="n">
        <x:v>0.0452953506</x:v>
      </x:c>
      <x:c r="AF360" s="38" t="n">
        <x:v>-0.0696846101</x:v>
      </x:c>
      <x:c r="AG360" s="38" t="n">
        <x:v>0.0352555526</x:v>
      </x:c>
      <x:c r="AH360" s="38" t="n">
        <x:v>0.0097332509</x:v>
      </x:c>
      <x:c r="AI360" s="38" t="n">
        <x:v>-0.0755471246</x:v>
      </x:c>
      <x:c r="AJ360" s="38" t="n">
        <x:v>-0.0405029328</x:v>
      </x:c>
      <x:c r="AK360" s="38" t="n">
        <x:v>0.0420374324</x:v>
      </x:c>
      <x:c r="AL360" s="38" t="n">
        <x:v>-0.0017174337</x:v>
      </x:c>
      <x:c r="AM360" s="38" t="n">
        <x:v>-0.0007488107</x:v>
      </x:c>
      <x:c r="AN360" s="38" t="n">
        <x:v>-0.098521849</x:v>
      </x:c>
      <x:c r="AO360" s="38" t="n">
        <x:v>-0.0352321</x:v>
      </x:c>
      <x:c r="AP360" s="38" t="n">
        <x:v>-0.0384212067</x:v>
      </x:c>
      <x:c r="AQ360" s="38" t="n">
        <x:v>0.0198755167</x:v>
      </x:c>
      <x:c r="AR360" s="38" t="n">
        <x:v>-0.0316917526</x:v>
      </x:c>
      <x:c r="AS360" s="38" t="n">
        <x:v>0.0200466442</x:v>
      </x:c>
    </x:row>
    <x:row r="361" ht="19" customHeight="1">
      <x:c r="A361" s="29" t="str">
        <x:v>Primary sector</x:v>
      </x:c>
      <x:c r="B361" s="39" t="d">
        <x:v>2023-03-27T00:00:00.000Z</x:v>
      </x:c>
      <x:c r="C361" s="38" t="n">
        <x:v>0.0660435243</x:v>
      </x:c>
      <x:c r="D361" s="38" t="n">
        <x:v>0.0357781162</x:v>
      </x:c>
      <x:c r="E361" s="38" t="n">
        <x:v>-0.0222640637</x:v>
      </x:c>
      <x:c r="F361" s="38" t="n">
        <x:v>-0.0093980443</x:v>
      </x:c>
      <x:c r="G361" s="38" t="n">
        <x:v>-0.0442183472</x:v>
      </x:c>
      <x:c r="H361" s="38" t="n">
        <x:v>0.1093897708</x:v>
      </x:c>
      <x:c r="I361" s="38" t="n">
        <x:v>0.0676942198</x:v>
      </x:c>
      <x:c r="J361" s="38" t="n">
        <x:v>-0.0497608683</x:v>
      </x:c>
      <x:c r="K361" s="38" t="n">
        <x:v>-0.0806588954</x:v>
      </x:c>
      <x:c r="L361" s="38" t="n">
        <x:v>0.0259481285</x:v>
      </x:c>
      <x:c r="M361" s="38" t="n">
        <x:v>-0.14004495</x:v>
      </x:c>
      <x:c r="N361" s="38" t="n">
        <x:v>-0.0418490238</x:v>
      </x:c>
      <x:c r="O361" s="38" t="n">
        <x:v>-0.0257611231</x:v>
      </x:c>
      <x:c r="P361" s="38" t="n">
        <x:v>-0.0968377866</x:v>
      </x:c>
      <x:c r="Q361" s="38" t="n">
        <x:v>-0.0782422502</x:v>
      </x:c>
      <x:c r="R361" s="38" t="n">
        <x:v>-0.0482814296</x:v>
      </x:c>
      <x:c r="S361" s="38" t="n">
        <x:v>-0.0150560221</x:v>
      </x:c>
      <x:c r="T361" s="38" t="n">
        <x:v>0.021385554</x:v>
      </x:c>
      <x:c r="U361" s="38" t="n">
        <x:v>0.0832704739</x:v>
      </x:c>
      <x:c r="V361" s="38" t="n">
        <x:v>-0.0337267286</x:v>
      </x:c>
      <x:c r="W361" s="38" t="n">
        <x:v>0.0040356533</x:v>
      </x:c>
      <x:c r="X361" s="38" t="n">
        <x:v>-0.0440852863</x:v>
      </x:c>
      <x:c r="Y361" s="38" t="n">
        <x:v>-0.0280792201</x:v>
      </x:c>
      <x:c r="Z361" s="38" t="n">
        <x:v>0.1249988236</x:v>
      </x:c>
      <x:c r="AA361" s="38" t="n">
        <x:v>0.0176988711</x:v>
      </x:c>
      <x:c r="AB361" s="38" t="n">
        <x:v>0.001105247</x:v>
      </x:c>
      <x:c r="AC361" s="38" t="n">
        <x:v>0.1485746181</x:v>
      </x:c>
      <x:c r="AD361" s="38" t="n">
        <x:v>-0.0008897555</x:v>
      </x:c>
      <x:c r="AE361" s="38" t="n">
        <x:v>-0.0361268341</x:v>
      </x:c>
      <x:c r="AF361" s="38" t="n">
        <x:v>-0.0475211918</x:v>
      </x:c>
      <x:c r="AG361" s="38" t="n">
        <x:v>-0.0249233843</x:v>
      </x:c>
      <x:c r="AH361" s="38" t="n">
        <x:v>-0.0168976472</x:v>
      </x:c>
      <x:c r="AI361" s="38" t="n">
        <x:v>0.0144124229</x:v>
      </x:c>
      <x:c r="AJ361" s="38" t="n">
        <x:v>0.0458202492</x:v>
      </x:c>
      <x:c r="AK361" s="38" t="n">
        <x:v>-0.0277242795</x:v>
      </x:c>
      <x:c r="AL361" s="38" t="n">
        <x:v>-0.0824683868</x:v>
      </x:c>
      <x:c r="AM361" s="38" t="n">
        <x:v>0.076769819</x:v>
      </x:c>
      <x:c r="AN361" s="38" t="n">
        <x:v>0.0966502142</x:v>
      </x:c>
      <x:c r="AO361" s="38" t="n">
        <x:v>0.0065671529</x:v>
      </x:c>
      <x:c r="AP361" s="38" t="n">
        <x:v>-0.0374802514</x:v>
      </x:c>
      <x:c r="AQ361" s="38" t="n">
        <x:v>-0.0025569615</x:v>
      </x:c>
      <x:c r="AR361" s="38" t="n">
        <x:v>-0.0131952318</x:v>
      </x:c>
      <x:c r="AS361" s="38" t="n">
        <x:v>0.0149456946</x:v>
      </x:c>
    </x:row>
    <x:row r="362" ht="19" customHeight="1">
      <x:c r="A362" s="29" t="str">
        <x:v>Primary sector</x:v>
      </x:c>
      <x:c r="B362" s="39" t="d">
        <x:v>2023-04-24T00:00:00.000Z</x:v>
      </x:c>
      <x:c r="C362" s="38" t="n">
        <x:v>-0.0409522664</x:v>
      </x:c>
      <x:c r="D362" s="38" t="n">
        <x:v>0.0074863098</x:v>
      </x:c>
      <x:c r="E362" s="38" t="n">
        <x:v>0.0039369647</x:v>
      </x:c>
      <x:c r="F362" s="38" t="n">
        <x:v>-0.0249586708</x:v>
      </x:c>
      <x:c r="G362" s="38" t="n">
        <x:v>0.0204525412</x:v>
      </x:c>
      <x:c r="H362" s="38" t="n">
        <x:v>0.1959633715</x:v>
      </x:c>
      <x:c r="I362" s="38" t="n">
        <x:v>0.1163748214</x:v>
      </x:c>
      <x:c r="J362" s="38" t="n">
        <x:v>-0.0100780345</x:v>
      </x:c>
      <x:c r="K362" s="38" t="n">
        <x:v>0.0261904744</x:v>
      </x:c>
      <x:c r="L362" s="38" t="n">
        <x:v>-0.2155836239</x:v>
      </x:c>
      <x:c r="M362" s="38" t="n">
        <x:v>-0.0420738014</x:v>
      </x:c>
      <x:c r="N362" s="38" t="n">
        <x:v>-0.0375531784</x:v>
      </x:c>
      <x:c r="O362" s="38" t="n">
        <x:v>-0.1733218401</x:v>
      </x:c>
      <x:c r="P362" s="38" t="n">
        <x:v>0.0299691216</x:v>
      </x:c>
      <x:c r="Q362" s="38" t="n">
        <x:v>-0.4137197115</x:v>
      </x:c>
      <x:c r="R362" s="38" t="n">
        <x:v>-0.1696966735</x:v>
      </x:c>
      <x:c r="S362" s="38" t="n">
        <x:v>-0.0262204327</x:v>
      </x:c>
      <x:c r="T362" s="38" t="n">
        <x:v>-0.1120966165</x:v>
      </x:c>
      <x:c r="U362" s="38" t="n">
        <x:v>-0.1345368295</x:v>
      </x:c>
      <x:c r="V362" s="38" t="n">
        <x:v>-0.0574070424</x:v>
      </x:c>
      <x:c r="W362" s="38" t="n">
        <x:v>-0.0919482388</x:v>
      </x:c>
      <x:c r="X362" s="38" t="n">
        <x:v>0.0841382546</x:v>
      </x:c>
      <x:c r="Y362" s="38" t="n">
        <x:v>0.1616044163</x:v>
      </x:c>
      <x:c r="Z362" s="38" t="n">
        <x:v>0.0080943365</x:v>
      </x:c>
      <x:c r="AA362" s="38" t="n">
        <x:v>-0.0570908925</x:v>
      </x:c>
      <x:c r="AB362" s="38" t="n">
        <x:v>0.0163614281</x:v>
      </x:c>
      <x:c r="AC362" s="38" t="n">
        <x:v>0.1729534263</x:v>
      </x:c>
      <x:c r="AD362" s="38" t="n">
        <x:v>0.0450161148</x:v>
      </x:c>
      <x:c r="AE362" s="38" t="n">
        <x:v>-0.0216366332</x:v>
      </x:c>
      <x:c r="AF362" s="38" t="n">
        <x:v>-0.1016263528</x:v>
      </x:c>
      <x:c r="AG362" s="38" t="n">
        <x:v>-0.0094788958</x:v>
      </x:c>
      <x:c r="AH362" s="38" t="n">
        <x:v>0.012307591</x:v>
      </x:c>
      <x:c r="AI362" s="38" t="n">
        <x:v>0.0689996177</x:v>
      </x:c>
      <x:c r="AJ362" s="38" t="n">
        <x:v>0.0758123212</x:v>
      </x:c>
      <x:c r="AK362" s="38" t="n">
        <x:v>0.0830412424</x:v>
      </x:c>
      <x:c r="AL362" s="38" t="n">
        <x:v>-0.1304509216</x:v>
      </x:c>
      <x:c r="AM362" s="38" t="n">
        <x:v>0.123963779</x:v>
      </x:c>
      <x:c r="AN362" s="38" t="n">
        <x:v>0.1026300661</x:v>
      </x:c>
      <x:c r="AO362" s="38" t="n">
        <x:v>0.0234411058</x:v>
      </x:c>
      <x:c r="AP362" s="38" t="n">
        <x:v>0.0356489387</x:v>
      </x:c>
      <x:c r="AQ362" s="38" t="n">
        <x:v>0.0071274439</x:v>
      </x:c>
      <x:c r="AR362" s="38" t="n">
        <x:v>0.022722156</x:v>
      </x:c>
      <x:c r="AS362" s="38" t="n">
        <x:v>0.0238693258</x:v>
      </x:c>
    </x:row>
    <x:row r="363" ht="19" customHeight="1">
      <x:c r="A363" s="29" t="str">
        <x:v>Primary sector</x:v>
      </x:c>
      <x:c r="B363" s="39" t="d">
        <x:v>2023-05-22T00:00:00.000Z</x:v>
      </x:c>
      <x:c r="C363" s="38" t="n">
        <x:v>0.0506310224</x:v>
      </x:c>
      <x:c r="D363" s="38" t="n">
        <x:v>0.0540878625</x:v>
      </x:c>
      <x:c r="E363" s="38" t="n">
        <x:v>-0.0241764419</x:v>
      </x:c>
      <x:c r="F363" s="38" t="n">
        <x:v>-0.0383790731</x:v>
      </x:c>
      <x:c r="G363" s="38" t="n">
        <x:v>-0.122133843</x:v>
      </x:c>
      <x:c r="H363" s="38" t="n">
        <x:v>0.0095391338</x:v>
      </x:c>
      <x:c r="I363" s="38" t="n">
        <x:v>-0.0219835144</x:v>
      </x:c>
      <x:c r="J363" s="38" t="n">
        <x:v>-0.0533005463</x:v>
      </x:c>
      <x:c r="K363" s="38" t="n">
        <x:v>-0.2419894677</x:v>
      </x:c>
      <x:c r="L363" s="38" t="n">
        <x:v>0.0789611859</x:v>
      </x:c>
      <x:c r="M363" s="38" t="n">
        <x:v>-0.090231414</x:v>
      </x:c>
      <x:c r="N363" s="38" t="n">
        <x:v>-0.1992149415</x:v>
      </x:c>
      <x:c r="O363" s="38" t="n">
        <x:v>0.0379682784</x:v>
      </x:c>
      <x:c r="P363" s="38" t="n">
        <x:v>-0.1785393792</x:v>
      </x:c>
      <x:c r="Q363" s="38" t="n">
        <x:v>0.2527704395</x:v>
      </x:c>
      <x:c r="R363" s="38" t="n">
        <x:v>-0.0624720272</x:v>
      </x:c>
      <x:c r="S363" s="38" t="n">
        <x:v>-0.0483802033</x:v>
      </x:c>
      <x:c r="T363" s="38" t="n">
        <x:v>-0.0044587442</x:v>
      </x:c>
      <x:c r="U363" s="38" t="n">
        <x:v>-0.0522159274</x:v>
      </x:c>
      <x:c r="V363" s="38" t="n">
        <x:v>-0.0316176209</x:v>
      </x:c>
      <x:c r="W363" s="38" t="n">
        <x:v>0.1396281368</x:v>
      </x:c>
      <x:c r="X363" s="38" t="n">
        <x:v>-0.0329056774</x:v>
      </x:c>
      <x:c r="Y363" s="38" t="n">
        <x:v>-0.17587644</x:v>
      </x:c>
      <x:c r="Z363" s="38" t="n">
        <x:v>-0.0697391107</x:v>
      </x:c>
      <x:c r="AA363" s="38" t="n">
        <x:v>-0.0341766173</x:v>
      </x:c>
      <x:c r="AB363" s="38" t="n">
        <x:v>-0.0383293573</x:v>
      </x:c>
      <x:c r="AC363" s="38" t="n">
        <x:v>0.2098616753</x:v>
      </x:c>
      <x:c r="AD363" s="38" t="n">
        <x:v>0.007301686</x:v>
      </x:c>
      <x:c r="AE363" s="38" t="n">
        <x:v>0.0063094583</x:v>
      </x:c>
      <x:c r="AF363" s="38" t="n">
        <x:v>-0.0481809995</x:v>
      </x:c>
      <x:c r="AG363" s="38" t="n">
        <x:v>0.0011498826</x:v>
      </x:c>
      <x:c r="AH363" s="38" t="n">
        <x:v>0.0432745217</x:v>
      </x:c>
      <x:c r="AI363" s="38" t="n">
        <x:v>-0.0487723654</x:v>
      </x:c>
      <x:c r="AJ363" s="38" t="n">
        <x:v>0.1119971498</x:v>
      </x:c>
      <x:c r="AK363" s="38" t="n">
        <x:v>-0.0123501242</x:v>
      </x:c>
      <x:c r="AL363" s="38" t="n">
        <x:v>-0.1441450602</x:v>
      </x:c>
      <x:c r="AM363" s="38" t="n">
        <x:v>-0.0471508519</x:v>
      </x:c>
      <x:c r="AN363" s="38" t="n">
        <x:v>-0.0377420089</x:v>
      </x:c>
      <x:c r="AO363" s="38" t="n">
        <x:v>0.0201243141</x:v>
      </x:c>
      <x:c r="AP363" s="38" t="n">
        <x:v>-0.0145369534</x:v>
      </x:c>
      <x:c r="AQ363" s="38" t="n">
        <x:v>-0.0028189996</x:v>
      </x:c>
      <x:c r="AR363" s="38" t="n">
        <x:v>0.0005270441</x:v>
      </x:c>
      <x:c r="AS363" s="38" t="n">
        <x:v>0.0087347271</x:v>
      </x:c>
    </x:row>
    <x:row r="364" ht="19" customHeight="1">
      <x:c r="A364" s="29" t="str">
        <x:v>Primary sector</x:v>
      </x:c>
      <x:c r="B364" s="39" t="d">
        <x:v>2023-06-19T00:00:00.000Z</x:v>
      </x:c>
      <x:c r="C364" s="38" t="n">
        <x:v>-0.0148501846</x:v>
      </x:c>
      <x:c r="D364" s="38" t="n">
        <x:v>0.0732929307</x:v>
      </x:c>
      <x:c r="E364" s="38" t="n">
        <x:v>0.0077419212</x:v>
      </x:c>
      <x:c r="F364" s="38" t="n">
        <x:v>-0.0168826914</x:v>
      </x:c>
      <x:c r="G364" s="38" t="n">
        <x:v>-0.0196507056</x:v>
      </x:c>
      <x:c r="H364" s="38" t="n">
        <x:v>-0.0785899208</x:v>
      </x:c>
      <x:c r="I364" s="38" t="n">
        <x:v>0.009749612</x:v>
      </x:c>
      <x:c r="J364" s="38" t="n">
        <x:v>-0.0597696454</x:v>
      </x:c>
      <x:c r="K364" s="38" t="n">
        <x:v>-0.0637476447</x:v>
      </x:c>
      <x:c r="L364" s="38" t="n">
        <x:v>-0.0215698521</x:v>
      </x:c>
      <x:c r="M364" s="38" t="n">
        <x:v>0.0671574682</x:v>
      </x:c>
      <x:c r="N364" s="38" t="n">
        <x:v>-0.0239111104</x:v>
      </x:c>
      <x:c r="O364" s="38" t="n">
        <x:v>0.0220884734</x:v>
      </x:c>
      <x:c r="P364" s="38" t="n">
        <x:v>-0.1133762869</x:v>
      </x:c>
      <x:c r="Q364" s="38" t="n">
        <x:v>-0.0502036437</x:v>
      </x:c>
      <x:c r="R364" s="38" t="n">
        <x:v>0.0671918538</x:v>
      </x:c>
      <x:c r="S364" s="38" t="n">
        <x:v>0.0249577599</x:v>
      </x:c>
      <x:c r="T364" s="38" t="n">
        <x:v>0.0456537077</x:v>
      </x:c>
      <x:c r="U364" s="38" t="n">
        <x:v>-0.1248350215</x:v>
      </x:c>
      <x:c r="V364" s="38" t="n">
        <x:v>-0.0270553729</x:v>
      </x:c>
      <x:c r="W364" s="38" t="n">
        <x:v>0.0555864376</x:v>
      </x:c>
      <x:c r="X364" s="38" t="n">
        <x:v>0.0193499867</x:v>
      </x:c>
      <x:c r="Y364" s="38" t="n">
        <x:v>-0.1927898718</x:v>
      </x:c>
      <x:c r="Z364" s="38" t="n">
        <x:v>-0.0817788865</x:v>
      </x:c>
      <x:c r="AA364" s="38" t="n">
        <x:v>0.0214570602</x:v>
      </x:c>
      <x:c r="AB364" s="38" t="n">
        <x:v>-0.1665107885</x:v>
      </x:c>
      <x:c r="AC364" s="38" t="n">
        <x:v>0.2659272507</x:v>
      </x:c>
      <x:c r="AD364" s="38" t="n">
        <x:v>0.0380742813</x:v>
      </x:c>
      <x:c r="AE364" s="38" t="n">
        <x:v>0.0274961813</x:v>
      </x:c>
      <x:c r="AF364" s="38" t="n">
        <x:v>0.0490657793</x:v>
      </x:c>
      <x:c r="AG364" s="38" t="n">
        <x:v>-0.0307638906</x:v>
      </x:c>
      <x:c r="AH364" s="38" t="n">
        <x:v>0.0076810415</x:v>
      </x:c>
      <x:c r="AI364" s="38" t="n">
        <x:v>-0.114205902</x:v>
      </x:c>
      <x:c r="AJ364" s="38" t="n">
        <x:v>0.0098043229</x:v>
      </x:c>
      <x:c r="AK364" s="38" t="n">
        <x:v>-0.0189421908</x:v>
      </x:c>
      <x:c r="AL364" s="38" t="n">
        <x:v>-0.0172802515</x:v>
      </x:c>
      <x:c r="AM364" s="38" t="n">
        <x:v>0.0002159401</x:v>
      </x:c>
      <x:c r="AN364" s="38" t="n">
        <x:v>-0.083799493</x:v>
      </x:c>
      <x:c r="AO364" s="38" t="n">
        <x:v>0.036298869</x:v>
      </x:c>
      <x:c r="AP364" s="38" t="n">
        <x:v>-0.017005552</x:v>
      </x:c>
      <x:c r="AQ364" s="38" t="n">
        <x:v>0.0149996607</x:v>
      </x:c>
      <x:c r="AR364" s="38" t="n">
        <x:v>0.0368576952</x:v>
      </x:c>
      <x:c r="AS364" s="38" t="n">
        <x:v>0.0163144354</x:v>
      </x:c>
    </x:row>
    <x:row r="365" ht="19" customHeight="1">
      <x:c r="A365" s="29" t="str">
        <x:v>Primary sector</x:v>
      </x:c>
      <x:c r="B365" s="39" t="d">
        <x:v>2023-07-17T00:00:00.000Z</x:v>
      </x:c>
      <x:c r="C365" s="38" t="n">
        <x:v>0.0350941757</x:v>
      </x:c>
      <x:c r="D365" s="38" t="n">
        <x:v>0.0127647233</x:v>
      </x:c>
      <x:c r="E365" s="38" t="n">
        <x:v>-0.0151739811</x:v>
      </x:c>
      <x:c r="F365" s="38" t="n">
        <x:v>0.0117834585</x:v>
      </x:c>
      <x:c r="G365" s="38" t="n">
        <x:v>-0.0590514722</x:v>
      </x:c>
      <x:c r="H365" s="38" t="n">
        <x:v>0.0044619419</x:v>
      </x:c>
      <x:c r="I365" s="38" t="n">
        <x:v>-0.076523882</x:v>
      </x:c>
      <x:c r="J365" s="38" t="n">
        <x:v>-0.0789539692</x:v>
      </x:c>
      <x:c r="K365" s="38" t="n">
        <x:v>-0.0726450755</x:v>
      </x:c>
      <x:c r="L365" s="38" t="n">
        <x:v>-0.014838266</x:v>
      </x:c>
      <x:c r="M365" s="38" t="n">
        <x:v>0.0941048694</x:v>
      </x:c>
      <x:c r="N365" s="38" t="n">
        <x:v>0.0966346088</x:v>
      </x:c>
      <x:c r="O365" s="38" t="n">
        <x:v>-0.0326995671</x:v>
      </x:c>
      <x:c r="P365" s="38" t="n">
        <x:v>-0.00364698</x:v>
      </x:c>
      <x:c r="Q365" s="38" t="n">
        <x:v>-0.0257590979</x:v>
      </x:c>
      <x:c r="R365" s="38" t="n">
        <x:v>0.1958178451</x:v>
      </x:c>
      <x:c r="S365" s="38" t="n">
        <x:v>0.0202904812</x:v>
      </x:c>
      <x:c r="T365" s="38" t="n">
        <x:v>-0.0584573694</x:v>
      </x:c>
      <x:c r="U365" s="38" t="n">
        <x:v>0.0421363229</x:v>
      </x:c>
      <x:c r="V365" s="38" t="n">
        <x:v>-0.1740523755</x:v>
      </x:c>
      <x:c r="W365" s="38" t="n">
        <x:v>-0.0411591335</x:v>
      </x:c>
      <x:c r="X365" s="38" t="n">
        <x:v>0.0458188307</x:v>
      </x:c>
      <x:c r="Y365" s="38" t="n">
        <x:v>-0.0139262092</x:v>
      </x:c>
      <x:c r="Z365" s="38" t="n">
        <x:v>-0.0077410546</x:v>
      </x:c>
      <x:c r="AA365" s="38" t="n">
        <x:v>-0.1080770802</x:v>
      </x:c>
      <x:c r="AB365" s="38" t="n">
        <x:v>0.0562420885</x:v>
      </x:c>
      <x:c r="AC365" s="38" t="n">
        <x:v>0.2970417824</x:v>
      </x:c>
      <x:c r="AD365" s="38" t="n">
        <x:v>-0.0133294679</x:v>
      </x:c>
      <x:c r="AE365" s="38" t="n">
        <x:v>-0.0491843053</x:v>
      </x:c>
      <x:c r="AF365" s="38" t="n">
        <x:v>-0.0025407867</x:v>
      </x:c>
      <x:c r="AG365" s="38" t="n">
        <x:v>-0.0364169008</x:v>
      </x:c>
      <x:c r="AH365" s="38" t="n">
        <x:v>0.0355365039</x:v>
      </x:c>
      <x:c r="AI365" s="38" t="n">
        <x:v>-0.1209607229</x:v>
      </x:c>
      <x:c r="AJ365" s="38" t="n">
        <x:v>-0.0430776557</x:v>
      </x:c>
      <x:c r="AK365" s="38" t="n">
        <x:v>-0.0058356492</x:v>
      </x:c>
      <x:c r="AL365" s="38" t="n">
        <x:v>-0.0337125697</x:v>
      </x:c>
      <x:c r="AM365" s="38" t="n">
        <x:v>-0.0575743504</x:v>
      </x:c>
      <x:c r="AN365" s="38" t="n">
        <x:v>-0.0780552983</x:v>
      </x:c>
      <x:c r="AO365" s="38" t="n">
        <x:v>0.0051905534</x:v>
      </x:c>
      <x:c r="AP365" s="38" t="n">
        <x:v>0.0126321068</x:v>
      </x:c>
      <x:c r="AQ365" s="38" t="n">
        <x:v>-0.0260588062</x:v>
      </x:c>
      <x:c r="AR365" s="38" t="n">
        <x:v>-0.0086041285</x:v>
      </x:c>
      <x:c r="AS365" s="38" t="n">
        <x:v>-0.0166698039</x:v>
      </x:c>
    </x:row>
    <x:row r="366" ht="19" customHeight="1">
      <x:c r="A366" s="29" t="str">
        <x:v>Primary sector</x:v>
      </x:c>
      <x:c r="B366" s="39" t="d">
        <x:v>2023-08-14T00:00:00.000Z</x:v>
      </x:c>
      <x:c r="C366" s="38" t="n">
        <x:v>0.1193971028</x:v>
      </x:c>
      <x:c r="D366" s="38" t="n">
        <x:v>-0.1034655018</x:v>
      </x:c>
      <x:c r="E366" s="38" t="n">
        <x:v>-0.0011658886</x:v>
      </x:c>
      <x:c r="F366" s="38" t="n">
        <x:v>-0.0108839606</x:v>
      </x:c>
      <x:c r="G366" s="38" t="n">
        <x:v>0.067232341</x:v>
      </x:c>
      <x:c r="H366" s="38" t="n">
        <x:v>-0.0411408933</x:v>
      </x:c>
      <x:c r="I366" s="38" t="n">
        <x:v>0.1019138356</x:v>
      </x:c>
      <x:c r="J366" s="38" t="n">
        <x:v>0.0815111154</x:v>
      </x:c>
      <x:c r="K366" s="38" t="n">
        <x:v>0.2425279303</x:v>
      </x:c>
      <x:c r="L366" s="38" t="n">
        <x:v>0.0259833176</x:v>
      </x:c>
      <x:c r="M366" s="38" t="n">
        <x:v>0.000740869</x:v>
      </x:c>
      <x:c r="N366" s="38" t="n">
        <x:v>0.0121894935</x:v>
      </x:c>
      <x:c r="O366" s="38" t="n">
        <x:v>0.0158020057</x:v>
      </x:c>
      <x:c r="P366" s="38" t="n">
        <x:v>0.1418210822</x:v>
      </x:c>
      <x:c r="Q366" s="38" t="n">
        <x:v>0.035738716</x:v>
      </x:c>
      <x:c r="R366" s="38" t="n">
        <x:v>-0.3016773055</x:v>
      </x:c>
      <x:c r="S366" s="38" t="n">
        <x:v>0.0880813946</x:v>
      </x:c>
      <x:c r="T366" s="38" t="n">
        <x:v>-0.0844709542</x:v>
      </x:c>
      <x:c r="U366" s="38" t="n">
        <x:v>-0.1833311929</x:v>
      </x:c>
      <x:c r="V366" s="38" t="n">
        <x:v>0.1403319852</x:v>
      </x:c>
      <x:c r="W366" s="38" t="n">
        <x:v>-0.0075566641</x:v>
      </x:c>
      <x:c r="X366" s="38" t="n">
        <x:v>0.1076270423</x:v>
      </x:c>
      <x:c r="Y366" s="38" t="n">
        <x:v>0.0764165702</x:v>
      </x:c>
      <x:c r="Z366" s="38" t="n">
        <x:v>0.0295681092</x:v>
      </x:c>
      <x:c r="AA366" s="38" t="n">
        <x:v>0.0922916935</x:v>
      </x:c>
      <x:c r="AB366" s="38" t="n">
        <x:v>0.0254777577</x:v>
      </x:c>
      <x:c r="AC366" s="38" t="n">
        <x:v>-0.320465358</x:v>
      </x:c>
      <x:c r="AD366" s="38" t="n">
        <x:v>0.0610015552</x:v>
      </x:c>
      <x:c r="AE366" s="38" t="n">
        <x:v>-0.0348257106</x:v>
      </x:c>
      <x:c r="AF366" s="38" t="n">
        <x:v>0.0311286626</x:v>
      </x:c>
      <x:c r="AG366" s="38" t="n">
        <x:v>0.1512123456</x:v>
      </x:c>
      <x:c r="AH366" s="38" t="n">
        <x:v>0.0065780328</x:v>
      </x:c>
      <x:c r="AI366" s="38" t="n">
        <x:v>0.1065889019</x:v>
      </x:c>
      <x:c r="AJ366" s="38" t="n">
        <x:v>0.1647447527</x:v>
      </x:c>
      <x:c r="AK366" s="38" t="n">
        <x:v>0.073930259</x:v>
      </x:c>
      <x:c r="AL366" s="38" t="n">
        <x:v>0.0313373413</x:v>
      </x:c>
      <x:c r="AM366" s="38" t="n">
        <x:v>0.002466168</x:v>
      </x:c>
      <x:c r="AN366" s="38" t="n">
        <x:v>0.1071589921</x:v>
      </x:c>
      <x:c r="AO366" s="38" t="n">
        <x:v>0.0384372216</x:v>
      </x:c>
      <x:c r="AP366" s="38" t="n">
        <x:v>0.0976321182</x:v>
      </x:c>
      <x:c r="AQ366" s="38" t="n">
        <x:v>0.0286656631</x:v>
      </x:c>
      <x:c r="AR366" s="38" t="n">
        <x:v>0.0271041398</x:v>
      </x:c>
      <x:c r="AS366" s="38" t="n">
        <x:v>0.0400688837</x:v>
      </x:c>
    </x:row>
    <x:row r="367" ht="19" customHeight="1">
      <x:c r="A367" s="29" t="str">
        <x:v>Primary sector</x:v>
      </x:c>
      <x:c r="B367" s="39" t="d">
        <x:v>2023-09-11T00:00:00.000Z</x:v>
      </x:c>
      <x:c r="C367" s="38" t="n">
        <x:v>0.051601153</x:v>
      </x:c>
      <x:c r="D367" s="38" t="n">
        <x:v>0.0273253335</x:v>
      </x:c>
      <x:c r="E367" s="38" t="n">
        <x:v>-0.0007931901</x:v>
      </x:c>
      <x:c r="F367" s="38" t="n">
        <x:v>0.0001180108</x:v>
      </x:c>
      <x:c r="G367" s="38" t="n">
        <x:v>-0.010229637</x:v>
      </x:c>
      <x:c r="H367" s="38" t="n">
        <x:v>0.0043120096</x:v>
      </x:c>
      <x:c r="I367" s="38" t="n">
        <x:v>0.0219232641</x:v>
      </x:c>
      <x:c r="J367" s="38" t="n">
        <x:v>0.0284271334</x:v>
      </x:c>
      <x:c r="K367" s="38" t="n">
        <x:v>-0.121008743</x:v>
      </x:c>
      <x:c r="L367" s="38" t="n">
        <x:v>0.0206783745</x:v>
      </x:c>
      <x:c r="M367" s="38" t="n">
        <x:v>0.0326568437</x:v>
      </x:c>
      <x:c r="N367" s="38" t="n">
        <x:v>0.0139369274</x:v>
      </x:c>
      <x:c r="O367" s="38" t="n">
        <x:v>-0.0322180741</x:v>
      </x:c>
      <x:c r="P367" s="38" t="n">
        <x:v>-0.0222358339</x:v>
      </x:c>
      <x:c r="Q367" s="38" t="n">
        <x:v>0.1324222213</x:v>
      </x:c>
      <x:c r="R367" s="38" t="n">
        <x:v>-0.3111826489</x:v>
      </x:c>
      <x:c r="S367" s="38" t="n">
        <x:v>0.0196460904</x:v>
      </x:c>
      <x:c r="T367" s="38" t="n">
        <x:v>0.0347033217</x:v>
      </x:c>
      <x:c r="U367" s="38" t="n">
        <x:v>0.1438724022</x:v>
      </x:c>
      <x:c r="V367" s="38" t="n">
        <x:v>0.0702184283</x:v>
      </x:c>
      <x:c r="W367" s="38" t="n">
        <x:v>-0.0126545728</x:v>
      </x:c>
      <x:c r="X367" s="38" t="n">
        <x:v>-0.0129571615</x:v>
      </x:c>
      <x:c r="Y367" s="38" t="n">
        <x:v>-0.0150603621</x:v>
      </x:c>
      <x:c r="Z367" s="38" t="n">
        <x:v>0.0371301805</x:v>
      </x:c>
      <x:c r="AA367" s="38" t="n">
        <x:v>0.0231296111</x:v>
      </x:c>
      <x:c r="AB367" s="38" t="n">
        <x:v>-0.1033139353</x:v>
      </x:c>
      <x:c r="AC367" s="38" t="n">
        <x:v>-0.0157795649</x:v>
      </x:c>
      <x:c r="AD367" s="38" t="n">
        <x:v>0.0231867097</x:v>
      </x:c>
      <x:c r="AE367" s="38" t="n">
        <x:v>0.0140681118</x:v>
      </x:c>
      <x:c r="AF367" s="38" t="n">
        <x:v>-0.0222985871</x:v>
      </x:c>
      <x:c r="AG367" s="38" t="n">
        <x:v>-0.0663593943</x:v>
      </x:c>
      <x:c r="AH367" s="38" t="n">
        <x:v>-0.0187216823</x:v>
      </x:c>
      <x:c r="AI367" s="38" t="n">
        <x:v>-0.0130678398</x:v>
      </x:c>
      <x:c r="AJ367" s="38" t="n">
        <x:v>0.0508158169</x:v>
      </x:c>
      <x:c r="AK367" s="38" t="n">
        <x:v>0.0035074952</x:v>
      </x:c>
      <x:c r="AL367" s="38" t="n">
        <x:v>0.0195728921</x:v>
      </x:c>
      <x:c r="AM367" s="38" t="n">
        <x:v>0.0641205522</x:v>
      </x:c>
      <x:c r="AN367" s="38" t="n">
        <x:v>0.0500336631</x:v>
      </x:c>
      <x:c r="AO367" s="38" t="n">
        <x:v>0.0073189292</x:v>
      </x:c>
      <x:c r="AP367" s="38" t="n">
        <x:v>-0.0366933605</x:v>
      </x:c>
      <x:c r="AQ367" s="38" t="n">
        <x:v>-0.0269297553</x:v>
      </x:c>
      <x:c r="AR367" s="38" t="n">
        <x:v>-0.0442184319</x:v>
      </x:c>
      <x:c r="AS367" s="38" t="n">
        <x:v>0.0395119321</x:v>
      </x:c>
    </x:row>
    <x:row r="368" ht="19" customHeight="1">
      <x:c r="A368" s="29" t="str">
        <x:v>Primary sector</x:v>
      </x:c>
      <x:c r="B368" s="39" t="d">
        <x:v>2023-10-09T00:00:00.000Z</x:v>
      </x:c>
      <x:c r="C368" s="38" t="n">
        <x:v>0.0393501225</x:v>
      </x:c>
      <x:c r="D368" s="38" t="n">
        <x:v>0.1361279884</x:v>
      </x:c>
      <x:c r="E368" s="38" t="n">
        <x:v>0.004016082</x:v>
      </x:c>
      <x:c r="F368" s="38" t="n">
        <x:v>0.0184046451</x:v>
      </x:c>
      <x:c r="G368" s="38" t="n">
        <x:v>0.031285016</x:v>
      </x:c>
      <x:c r="H368" s="38" t="n">
        <x:v>-0.0062703703</x:v>
      </x:c>
      <x:c r="I368" s="38" t="n">
        <x:v>-0.0032544454</x:v>
      </x:c>
      <x:c r="J368" s="38" t="n">
        <x:v>-0.0621491323</x:v>
      </x:c>
      <x:c r="K368" s="38" t="n">
        <x:v>0.0941379031</x:v>
      </x:c>
      <x:c r="L368" s="38" t="n">
        <x:v>-0.1081971332</x:v>
      </x:c>
      <x:c r="M368" s="38" t="n">
        <x:v>-0.0570125128</x:v>
      </x:c>
      <x:c r="N368" s="38" t="n">
        <x:v>-0.0494722181</x:v>
      </x:c>
      <x:c r="O368" s="38" t="n">
        <x:v>-0.0031489892</x:v>
      </x:c>
      <x:c r="P368" s="38" t="n">
        <x:v>0.0692712612</x:v>
      </x:c>
      <x:c r="Q368" s="38" t="n">
        <x:v>-0.0786047121</x:v>
      </x:c>
      <x:c r="R368" s="38" t="n">
        <x:v>-0.1168526496</x:v>
      </x:c>
      <x:c r="S368" s="38" t="n">
        <x:v>0.0501040625</x:v>
      </x:c>
      <x:c r="T368" s="38" t="n">
        <x:v>-0.0370405661</x:v>
      </x:c>
      <x:c r="U368" s="38" t="n">
        <x:v>0.0074355982</x:v>
      </x:c>
      <x:c r="V368" s="38" t="n">
        <x:v>0.0556399339</x:v>
      </x:c>
      <x:c r="W368" s="38" t="n">
        <x:v>-0.080072261</x:v>
      </x:c>
      <x:c r="X368" s="38" t="n">
        <x:v>-0.0223411597</x:v>
      </x:c>
      <x:c r="Y368" s="38" t="n">
        <x:v>0.0236255134</x:v>
      </x:c>
      <x:c r="Z368" s="38" t="n">
        <x:v>0.0331792001</x:v>
      </x:c>
      <x:c r="AA368" s="38" t="n">
        <x:v>0.119746009</x:v>
      </x:c>
      <x:c r="AB368" s="38" t="n">
        <x:v>0.0018909292</x:v>
      </x:c>
      <x:c r="AC368" s="38" t="n">
        <x:v>0.0069135858</x:v>
      </x:c>
      <x:c r="AD368" s="38" t="n">
        <x:v>0.0148743725</x:v>
      </x:c>
      <x:c r="AE368" s="38" t="n">
        <x:v>0.0552020068</x:v>
      </x:c>
      <x:c r="AF368" s="38" t="n">
        <x:v>-0.0642440237</x:v>
      </x:c>
      <x:c r="AG368" s="38" t="n">
        <x:v>-0.0107164216</x:v>
      </x:c>
      <x:c r="AH368" s="38" t="n">
        <x:v>0.0720561095</x:v>
      </x:c>
      <x:c r="AI368" s="38" t="n">
        <x:v>-0.02078465</x:v>
      </x:c>
      <x:c r="AJ368" s="38" t="n">
        <x:v>0.0481776689</x:v>
      </x:c>
      <x:c r="AK368" s="38" t="n">
        <x:v>0.0537827662</x:v>
      </x:c>
      <x:c r="AL368" s="38" t="n">
        <x:v>-0.1460184797</x:v>
      </x:c>
      <x:c r="AM368" s="38" t="n">
        <x:v>0.0078136538</x:v>
      </x:c>
      <x:c r="AN368" s="38" t="n">
        <x:v>0.0128351062</x:v>
      </x:c>
      <x:c r="AO368" s="38" t="n">
        <x:v>0.0509418607</x:v>
      </x:c>
      <x:c r="AP368" s="38" t="n">
        <x:v>-0.0322349701</x:v>
      </x:c>
      <x:c r="AQ368" s="38" t="n">
        <x:v>-0.0393151383</x:v>
      </x:c>
      <x:c r="AR368" s="38" t="n">
        <x:v>-0.0358895387</x:v>
      </x:c>
      <x:c r="AS368" s="38" t="n">
        <x:v>-0.042122856</x:v>
      </x:c>
    </x:row>
    <x:row r="369" ht="19" customHeight="1">
      <x:c r="A369" s="29" t="str">
        <x:v>Primary sector</x:v>
      </x:c>
      <x:c r="B369" s="39" t="d">
        <x:v>2023-11-06T00:00:00.000Z</x:v>
      </x:c>
      <x:c r="C369" s="38" t="n">
        <x:v>0.0450618262</x:v>
      </x:c>
      <x:c r="D369" s="38" t="n">
        <x:v>-0.1074369778</x:v>
      </x:c>
      <x:c r="E369" s="38" t="n">
        <x:v>0.0272204382</x:v>
      </x:c>
      <x:c r="F369" s="38" t="n">
        <x:v>0.0086852844</x:v>
      </x:c>
      <x:c r="G369" s="38" t="n">
        <x:v>0.0244840295</x:v>
      </x:c>
      <x:c r="H369" s="38" t="n">
        <x:v>0.1620797628</x:v>
      </x:c>
      <x:c r="I369" s="38" t="n">
        <x:v>0.0997762271</x:v>
      </x:c>
      <x:c r="J369" s="38" t="n">
        <x:v>0.0769535623</x:v>
      </x:c>
      <x:c r="K369" s="38" t="n">
        <x:v>-0.0925548443</x:v>
      </x:c>
      <x:c r="L369" s="38" t="n">
        <x:v>0.0485986091</x:v>
      </x:c>
      <x:c r="M369" s="38" t="n">
        <x:v>-0.0257096478</x:v>
      </x:c>
      <x:c r="N369" s="38" t="n">
        <x:v>-0.0924879293</x:v>
      </x:c>
      <x:c r="O369" s="38" t="n">
        <x:v>0.0989493032</x:v>
      </x:c>
      <x:c r="P369" s="38" t="n">
        <x:v>-0.1516590962</x:v>
      </x:c>
      <x:c r="Q369" s="38" t="n">
        <x:v>-0.0482650939</x:v>
      </x:c>
      <x:c r="R369" s="38" t="n">
        <x:v>-0.0211751931</x:v>
      </x:c>
      <x:c r="S369" s="38" t="n">
        <x:v>-0.0271494741</x:v>
      </x:c>
      <x:c r="T369" s="38" t="n">
        <x:v>0.0455547515</x:v>
      </x:c>
      <x:c r="U369" s="38" t="n">
        <x:v>-0.3623363541</x:v>
      </x:c>
      <x:c r="V369" s="38" t="n">
        <x:v>-0.0223439787</x:v>
      </x:c>
      <x:c r="W369" s="38" t="n">
        <x:v>0.1830323692</x:v>
      </x:c>
      <x:c r="X369" s="38" t="n">
        <x:v>-0.0610506028</x:v>
      </x:c>
      <x:c r="Y369" s="38" t="n">
        <x:v>-0.0613101691</x:v>
      </x:c>
      <x:c r="Z369" s="38" t="n">
        <x:v>-0.1704553378</x:v>
      </x:c>
      <x:c r="AA369" s="38" t="n">
        <x:v>0.0140495548</x:v>
      </x:c>
      <x:c r="AB369" s="38" t="n">
        <x:v>-0.1666135192</x:v>
      </x:c>
      <x:c r="AC369" s="38" t="n">
        <x:v>-0.2016212425</x:v>
      </x:c>
      <x:c r="AD369" s="38" t="n">
        <x:v>0.005868387</x:v>
      </x:c>
      <x:c r="AE369" s="38" t="n">
        <x:v>-0.2109491444</x:v>
      </x:c>
      <x:c r="AF369" s="38" t="n">
        <x:v>-0.1133585013</x:v>
      </x:c>
      <x:c r="AG369" s="38" t="n">
        <x:v>0.0143728204</x:v>
      </x:c>
      <x:c r="AH369" s="38" t="n">
        <x:v>0.0143771775</x:v>
      </x:c>
      <x:c r="AI369" s="38" t="n">
        <x:v>-0.000872716</x:v>
      </x:c>
      <x:c r="AJ369" s="38" t="n">
        <x:v>0.010317142</x:v>
      </x:c>
      <x:c r="AK369" s="38" t="n">
        <x:v>-0.0139933522</x:v>
      </x:c>
      <x:c r="AL369" s="38" t="n">
        <x:v>-0.0778174367</x:v>
      </x:c>
      <x:c r="AM369" s="38" t="n">
        <x:v>0.0899386302</x:v>
      </x:c>
      <x:c r="AN369" s="38" t="n">
        <x:v>-0.041753726</x:v>
      </x:c>
      <x:c r="AO369" s="38" t="n">
        <x:v>-0.0059925734</x:v>
      </x:c>
      <x:c r="AP369" s="38" t="n">
        <x:v>-0.0227810424</x:v>
      </x:c>
      <x:c r="AQ369" s="38" t="n">
        <x:v>0.0281614269</x:v>
      </x:c>
      <x:c r="AR369" s="38" t="n">
        <x:v>-0.0403629701</x:v>
      </x:c>
      <x:c r="AS369" s="38" t="n">
        <x:v>-0.0109873707</x:v>
      </x:c>
    </x:row>
    <x:row r="370" ht="19" customHeight="1">
      <x:c r="A370" s="29" t="str">
        <x:v>Primary sector</x:v>
      </x:c>
      <x:c r="B370" s="39" t="d">
        <x:v>2023-12-04T00:00:00.000Z</x:v>
      </x:c>
      <x:c r="C370" s="38" t="n">
        <x:v>-0.0141111144</x:v>
      </x:c>
      <x:c r="D370" s="38" t="n">
        <x:v>0.1176739218</x:v>
      </x:c>
      <x:c r="E370" s="38" t="n">
        <x:v>-0.0407375624</x:v>
      </x:c>
      <x:c r="F370" s="38" t="n">
        <x:v>0.0125006169</x:v>
      </x:c>
      <x:c r="G370" s="38" t="n">
        <x:v>-0.0014835193</x:v>
      </x:c>
      <x:c r="H370" s="38" t="n">
        <x:v>-0.0160229404</x:v>
      </x:c>
      <x:c r="I370" s="38" t="n">
        <x:v>-0.0847753361</x:v>
      </x:c>
      <x:c r="J370" s="38" t="n">
        <x:v>-0.0890992026</x:v>
      </x:c>
      <x:c r="K370" s="38" t="n">
        <x:v>-0.0686586556</x:v>
      </x:c>
      <x:c r="L370" s="38" t="n">
        <x:v>0.0130817402</x:v>
      </x:c>
      <x:c r="M370" s="38" t="n">
        <x:v>-0.0627085807</x:v>
      </x:c>
      <x:c r="N370" s="38" t="n">
        <x:v>-0.0621644382</x:v>
      </x:c>
      <x:c r="O370" s="38" t="n">
        <x:v>-0.0690982118</x:v>
      </x:c>
      <x:c r="P370" s="38" t="n">
        <x:v>-0.0701085183</x:v>
      </x:c>
      <x:c r="Q370" s="38" t="n">
        <x:v>0.1448919434</x:v>
      </x:c>
      <x:c r="R370" s="38" t="n">
        <x:v>0.1978992272</x:v>
      </x:c>
      <x:c r="S370" s="38" t="n">
        <x:v>-0.0416235111</x:v>
      </x:c>
      <x:c r="T370" s="38" t="n">
        <x:v>0.098671506</x:v>
      </x:c>
      <x:c r="U370" s="38" t="n">
        <x:v>0.088490785</x:v>
      </x:c>
      <x:c r="V370" s="38" t="n">
        <x:v>0.0065635115</x:v>
      </x:c>
      <x:c r="W370" s="38" t="n">
        <x:v>-0.0199473641</x:v>
      </x:c>
      <x:c r="X370" s="38" t="n">
        <x:v>-0.025450946</x:v>
      </x:c>
      <x:c r="Y370" s="38" t="n">
        <x:v>-0.1396902724</x:v>
      </x:c>
      <x:c r="Z370" s="38" t="n">
        <x:v>-0.0041773672</x:v>
      </x:c>
      <x:c r="AA370" s="38" t="n">
        <x:v>-0.0389618671</x:v>
      </x:c>
      <x:c r="AB370" s="38" t="n">
        <x:v>-0.0545584331</x:v>
      </x:c>
      <x:c r="AC370" s="38" t="n">
        <x:v>0.3620793996</x:v>
      </x:c>
      <x:c r="AD370" s="38" t="n">
        <x:v>-0.074304666</x:v>
      </x:c>
      <x:c r="AE370" s="38" t="n">
        <x:v>-0.0042138246</x:v>
      </x:c>
      <x:c r="AF370" s="38" t="n">
        <x:v>-0.0237093858</x:v>
      </x:c>
      <x:c r="AG370" s="38" t="n">
        <x:v>0.1422375624</x:v>
      </x:c>
      <x:c r="AH370" s="38" t="n">
        <x:v>-0.0003830822</x:v>
      </x:c>
      <x:c r="AI370" s="38" t="n">
        <x:v>-0.0075311163</x:v>
      </x:c>
      <x:c r="AJ370" s="38" t="n">
        <x:v>-0.0679414811</x:v>
      </x:c>
      <x:c r="AK370" s="38" t="n">
        <x:v>-0.111315282</x:v>
      </x:c>
      <x:c r="AL370" s="38" t="n">
        <x:v>-0.1071502034</x:v>
      </x:c>
      <x:c r="AM370" s="38" t="n">
        <x:v>-0.0503121974</x:v>
      </x:c>
      <x:c r="AN370" s="38" t="n">
        <x:v>-0.0790852956</x:v>
      </x:c>
      <x:c r="AO370" s="38" t="n">
        <x:v>-0.0084490531</x:v>
      </x:c>
      <x:c r="AP370" s="38" t="n">
        <x:v>0.0446865141</x:v>
      </x:c>
      <x:c r="AQ370" s="38" t="n">
        <x:v>0.0015679887</x:v>
      </x:c>
      <x:c r="AR370" s="38" t="n">
        <x:v>0.0071289206</x:v>
      </x:c>
      <x:c r="AS370" s="38" t="n">
        <x:v>-0.0274828959</x:v>
      </x:c>
    </x:row>
    <x:row r="371" ht="19" customHeight="1">
      <x:c r="A371" s="29" t="str">
        <x:v>Primary sector</x:v>
      </x:c>
      <x:c r="B371" s="39" t="d">
        <x:v>2024-01-01T00:00:00.000Z</x:v>
      </x:c>
      <x:c r="C371" s="38" t="n">
        <x:v>0.0009553226</x:v>
      </x:c>
      <x:c r="D371" s="38" t="n">
        <x:v>-0.0798587484</x:v>
      </x:c>
      <x:c r="E371" s="38" t="n">
        <x:v>0.0175602512</x:v>
      </x:c>
      <x:c r="F371" s="38" t="n">
        <x:v>-0.0141311725</x:v>
      </x:c>
      <x:c r="G371" s="38" t="n">
        <x:v>-0.0460618147</x:v>
      </x:c>
      <x:c r="H371" s="38" t="n">
        <x:v>-0.027310435</x:v>
      </x:c>
      <x:c r="I371" s="38" t="n">
        <x:v>-0.0201682133</x:v>
      </x:c>
      <x:c r="J371" s="38" t="n">
        <x:v>-0.0990831282</x:v>
      </x:c>
      <x:c r="K371" s="38" t="n">
        <x:v>0.006993751</x:v>
      </x:c>
      <x:c r="L371" s="38" t="n">
        <x:v>-0.0060426228</x:v>
      </x:c>
      <x:c r="M371" s="38" t="n">
        <x:v>0.0127016249</x:v>
      </x:c>
      <x:c r="N371" s="38" t="n">
        <x:v>-0.0214242908</x:v>
      </x:c>
      <x:c r="O371" s="38" t="n">
        <x:v>0.0782147982</x:v>
      </x:c>
      <x:c r="P371" s="38" t="n">
        <x:v>0.0530390914</x:v>
      </x:c>
      <x:c r="Q371" s="38" t="n">
        <x:v>0.1501424535</x:v>
      </x:c>
      <x:c r="R371" s="38" t="n">
        <x:v>0.1983665924</x:v>
      </x:c>
      <x:c r="S371" s="38" t="n">
        <x:v>-0.0473324401</x:v>
      </x:c>
      <x:c r="T371" s="38" t="n">
        <x:v>-0.0375141823</x:v>
      </x:c>
      <x:c r="U371" s="38" t="n">
        <x:v>0.2413505026</x:v>
      </x:c>
      <x:c r="V371" s="38" t="n">
        <x:v>-0.0087028249</x:v>
      </x:c>
      <x:c r="W371" s="38" t="n">
        <x:v>-0.0045700032</x:v>
      </x:c>
      <x:c r="X371" s="38" t="n">
        <x:v>0.0061137235</x:v>
      </x:c>
      <x:c r="Y371" s="38" t="n">
        <x:v>0.1086898844</x:v>
      </x:c>
      <x:c r="Z371" s="38" t="n">
        <x:v>-0.0511075344</x:v>
      </x:c>
      <x:c r="AA371" s="38" t="n">
        <x:v>-0.0261184085</x:v>
      </x:c>
      <x:c r="AB371" s="38" t="n">
        <x:v>-0.128296809</x:v>
      </x:c>
      <x:c r="AC371" s="38" t="n">
        <x:v>-0.1810446079</x:v>
      </x:c>
      <x:c r="AD371" s="38" t="n">
        <x:v>-0.0044449148</x:v>
      </x:c>
      <x:c r="AE371" s="38" t="n">
        <x:v>0.0195209138</x:v>
      </x:c>
      <x:c r="AF371" s="38" t="n">
        <x:v>0.0781781361</x:v>
      </x:c>
      <x:c r="AG371" s="38" t="n">
        <x:v>-0.0398542507</x:v>
      </x:c>
      <x:c r="AH371" s="38" t="n">
        <x:v>-0.0193499941</x:v>
      </x:c>
      <x:c r="AI371" s="38" t="n">
        <x:v>0.1176812556</x:v>
      </x:c>
      <x:c r="AJ371" s="38" t="n">
        <x:v>-0.0577896154</x:v>
      </x:c>
      <x:c r="AK371" s="38" t="n">
        <x:v>-0.0687930446</x:v>
      </x:c>
      <x:c r="AL371" s="38" t="n">
        <x:v>0.1127606997</x:v>
      </x:c>
      <x:c r="AM371" s="38" t="n">
        <x:v>-0.0313470253</x:v>
      </x:c>
      <x:c r="AN371" s="38" t="n">
        <x:v>-0.0427336613</x:v>
      </x:c>
      <x:c r="AO371" s="38" t="n">
        <x:v>0.0640243008</x:v>
      </x:c>
      <x:c r="AP371" s="38" t="n">
        <x:v>0.0387547858</x:v>
      </x:c>
      <x:c r="AQ371" s="38" t="n">
        <x:v>-0.0276329878</x:v>
      </x:c>
      <x:c r="AR371" s="38" t="n">
        <x:v>-0.0215052312</x:v>
      </x:c>
      <x:c r="AS371" s="38" t="n">
        <x:v>-0.002927939</x:v>
      </x:c>
    </x:row>
    <x:row r="372" ht="19" customHeight="1">
      <x:c r="A372" s="29" t="str">
        <x:v>Primary sector</x:v>
      </x:c>
      <x:c r="B372" s="39" t="d">
        <x:v>2024-01-29T00:00:00.000Z</x:v>
      </x:c>
      <x:c r="C372" s="38" t="n">
        <x:v>0.1328531357</x:v>
      </x:c>
      <x:c r="D372" s="38" t="n">
        <x:v>0.0728055307</x:v>
      </x:c>
      <x:c r="E372" s="38" t="n">
        <x:v>0.0098499699</x:v>
      </x:c>
      <x:c r="F372" s="38" t="n">
        <x:v>0.0067862945</x:v>
      </x:c>
      <x:c r="G372" s="38" t="n">
        <x:v>0.0205664717</x:v>
      </x:c>
      <x:c r="H372" s="38" t="n">
        <x:v>0.1287739614</x:v>
      </x:c>
      <x:c r="I372" s="38" t="n">
        <x:v>0.1512429187</x:v>
      </x:c>
      <x:c r="J372" s="38" t="n">
        <x:v>0.1142369979</x:v>
      </x:c>
      <x:c r="K372" s="38" t="n">
        <x:v>-0.0039611148</x:v>
      </x:c>
      <x:c r="L372" s="38" t="n">
        <x:v>0.0791455051</x:v>
      </x:c>
      <x:c r="M372" s="38" t="n">
        <x:v>-0.0209243528</x:v>
      </x:c>
      <x:c r="N372" s="38" t="n">
        <x:v>-0.0385778455</x:v>
      </x:c>
      <x:c r="O372" s="38" t="n">
        <x:v>0.013753529</x:v>
      </x:c>
      <x:c r="P372" s="38" t="n">
        <x:v>0.054552472</x:v>
      </x:c>
      <x:c r="Q372" s="38" t="n">
        <x:v>0.0667976039</x:v>
      </x:c>
      <x:c r="R372" s="38" t="n">
        <x:v>-0.1162816896</x:v>
      </x:c>
      <x:c r="S372" s="38" t="n">
        <x:v>0.044845643</x:v>
      </x:c>
      <x:c r="T372" s="38" t="n">
        <x:v>-0.0004010271</x:v>
      </x:c>
      <x:c r="U372" s="38" t="n">
        <x:v>-0.0832998649</x:v>
      </x:c>
      <x:c r="V372" s="38" t="n">
        <x:v>0.0339367878</x:v>
      </x:c>
      <x:c r="W372" s="38" t="n">
        <x:v>0.1123436301</x:v>
      </x:c>
      <x:c r="X372" s="38" t="n">
        <x:v>0.026749006</x:v>
      </x:c>
      <x:c r="Y372" s="38" t="n">
        <x:v>-0.0578389126</x:v>
      </x:c>
      <x:c r="Z372" s="38" t="n">
        <x:v>-0.0749315877</x:v>
      </x:c>
      <x:c r="AA372" s="38" t="n">
        <x:v>0.1181484113</x:v>
      </x:c>
      <x:c r="AB372" s="38" t="n">
        <x:v>-0.0436013911</x:v>
      </x:c>
      <x:c r="AC372" s="38" t="n">
        <x:v>-0.020971657</x:v>
      </x:c>
      <x:c r="AD372" s="38" t="n">
        <x:v>0.0727068385</x:v>
      </x:c>
      <x:c r="AE372" s="38" t="n">
        <x:v>0.0439789529</x:v>
      </x:c>
      <x:c r="AF372" s="38" t="n">
        <x:v>-0.2182959665</x:v>
      </x:c>
      <x:c r="AG372" s="38" t="n">
        <x:v>-0.1516896748</x:v>
      </x:c>
      <x:c r="AH372" s="38" t="n">
        <x:v>0.1186172867</x:v>
      </x:c>
      <x:c r="AI372" s="38" t="n">
        <x:v>0.1272340362</x:v>
      </x:c>
      <x:c r="AJ372" s="38" t="n">
        <x:v>0.0450899391</x:v>
      </x:c>
      <x:c r="AK372" s="38" t="n">
        <x:v>0.0427210048</x:v>
      </x:c>
      <x:c r="AL372" s="38" t="n">
        <x:v>-0.0365974978</x:v>
      </x:c>
      <x:c r="AM372" s="38" t="n">
        <x:v>0.0757173685</x:v>
      </x:c>
      <x:c r="AN372" s="38" t="n">
        <x:v>-0.0429341209</x:v>
      </x:c>
      <x:c r="AO372" s="38" t="n">
        <x:v>0.0691722686</x:v>
      </x:c>
      <x:c r="AP372" s="38" t="n">
        <x:v>0.0594196041</x:v>
      </x:c>
      <x:c r="AQ372" s="38" t="n">
        <x:v>0.0189392871</x:v>
      </x:c>
      <x:c r="AR372" s="38" t="n">
        <x:v>-0.0188989963</x:v>
      </x:c>
      <x:c r="AS372" s="38" t="n">
        <x:v>0.0632504672</x:v>
      </x:c>
    </x:row>
    <x:row r="373" ht="19" customHeight="1">
      <x:c r="A373" s="29" t="str">
        <x:v>Primary sector</x:v>
      </x:c>
      <x:c r="B373" s="39" t="d">
        <x:v>2024-02-26T00:00:00.000Z</x:v>
      </x:c>
      <x:c r="C373" s="38" t="n">
        <x:v>0.1683472683</x:v>
      </x:c>
      <x:c r="D373" s="38" t="n">
        <x:v>0.0979630813</x:v>
      </x:c>
      <x:c r="E373" s="38" t="n">
        <x:v>0.0989521487</x:v>
      </x:c>
      <x:c r="F373" s="38" t="n">
        <x:v>0.0002523417</x:v>
      </x:c>
      <x:c r="G373" s="38" t="n">
        <x:v>0.1381740269</x:v>
      </x:c>
      <x:c r="H373" s="38" t="n">
        <x:v>0.0765159114</x:v>
      </x:c>
      <x:c r="I373" s="38" t="n">
        <x:v>-0.0252381006</x:v>
      </x:c>
      <x:c r="J373" s="38" t="n">
        <x:v>0.2260759922</x:v>
      </x:c>
      <x:c r="K373" s="38" t="n">
        <x:v>0.0925678671</x:v>
      </x:c>
      <x:c r="L373" s="38" t="n">
        <x:v>-0.0247403768</x:v>
      </x:c>
      <x:c r="M373" s="38" t="n">
        <x:v>0.0785042269</x:v>
      </x:c>
      <x:c r="N373" s="38" t="n">
        <x:v>0.0462933274</x:v>
      </x:c>
      <x:c r="O373" s="38" t="n">
        <x:v>-0.1091832225</x:v>
      </x:c>
      <x:c r="P373" s="38" t="n">
        <x:v>0.0906297686</x:v>
      </x:c>
      <x:c r="Q373" s="38" t="n">
        <x:v>0.0655478781</x:v>
      </x:c>
      <x:c r="R373" s="38" t="n">
        <x:v>0.04223413</x:v>
      </x:c>
      <x:c r="S373" s="38" t="n">
        <x:v>0.0582215788</x:v>
      </x:c>
      <x:c r="T373" s="38" t="n">
        <x:v>0.1254127455</x:v>
      </x:c>
      <x:c r="U373" s="38" t="n">
        <x:v>-0.0431305708</x:v>
      </x:c>
      <x:c r="V373" s="38" t="n">
        <x:v>0.1313402152</x:v>
      </x:c>
      <x:c r="W373" s="38" t="n">
        <x:v>0.0924598013</x:v>
      </x:c>
      <x:c r="X373" s="38" t="n">
        <x:v>-0.0203879441</x:v>
      </x:c>
      <x:c r="Y373" s="38" t="n">
        <x:v>0.0822792844</x:v>
      </x:c>
      <x:c r="Z373" s="38" t="n">
        <x:v>-0.0626695107</x:v>
      </x:c>
      <x:c r="AA373" s="38" t="n">
        <x:v>0.0273972679</x:v>
      </x:c>
      <x:c r="AB373" s="38" t="n">
        <x:v>0.0530436685</x:v>
      </x:c>
      <x:c r="AC373" s="38" t="n">
        <x:v>-0.3134872809</x:v>
      </x:c>
      <x:c r="AD373" s="38" t="n">
        <x:v>0.0030175197</x:v>
      </x:c>
      <x:c r="AE373" s="38" t="n">
        <x:v>0.0346711488</x:v>
      </x:c>
      <x:c r="AF373" s="38" t="n">
        <x:v>-0.0377992376</x:v>
      </x:c>
      <x:c r="AG373" s="38" t="n">
        <x:v>-0.0697193086</x:v>
      </x:c>
      <x:c r="AH373" s="38" t="n">
        <x:v>0.1032844594</x:v>
      </x:c>
      <x:c r="AI373" s="38" t="n">
        <x:v>0.0609200153</x:v>
      </x:c>
      <x:c r="AJ373" s="38" t="n">
        <x:v>0.1159802491</x:v>
      </x:c>
      <x:c r="AK373" s="38" t="n">
        <x:v>0.0413457287</x:v>
      </x:c>
      <x:c r="AL373" s="38" t="n">
        <x:v>-0.0224675287</x:v>
      </x:c>
      <x:c r="AM373" s="38" t="n">
        <x:v>-0.0325663248</x:v>
      </x:c>
      <x:c r="AN373" s="38" t="n">
        <x:v>-0.0674134362</x:v>
      </x:c>
      <x:c r="AO373" s="38" t="n">
        <x:v>0.0491752768</x:v>
      </x:c>
      <x:c r="AP373" s="38" t="n">
        <x:v>0.0555800069</x:v>
      </x:c>
      <x:c r="AQ373" s="38" t="n">
        <x:v>-0.0172737644</x:v>
      </x:c>
      <x:c r="AR373" s="38" t="n">
        <x:v>0.0238121534</x:v>
      </x:c>
      <x:c r="AS373" s="38" t="n">
        <x:v>0.0220791754</x:v>
      </x:c>
    </x:row>
    <x:row r="374" ht="19" customHeight="1">
      <x:c r="A374" s="29" t="str">
        <x:v>Primary sector</x:v>
      </x:c>
      <x:c r="B374" s="39" t="d">
        <x:v>2024-03-25T00:00:00.000Z</x:v>
      </x:c>
      <x:c r="C374" s="38" t="n">
        <x:v>0.1779186444</x:v>
      </x:c>
      <x:c r="D374" s="38" t="n">
        <x:v>-0.0042966467</x:v>
      </x:c>
      <x:c r="E374" s="38" t="n">
        <x:v>-0.0477231945</x:v>
      </x:c>
      <x:c r="F374" s="38" t="n">
        <x:v>-0.0237336409</x:v>
      </x:c>
      <x:c r="G374" s="38" t="n">
        <x:v>0.0901121037</x:v>
      </x:c>
      <x:c r="H374" s="38" t="n">
        <x:v>0.0859401159</x:v>
      </x:c>
      <x:c r="I374" s="38" t="n">
        <x:v>0.0223832093</x:v>
      </x:c>
      <x:c r="J374" s="38" t="n">
        <x:v>-0.1090210407</x:v>
      </x:c>
      <x:c r="K374" s="38" t="n">
        <x:v>-0.042965872</x:v>
      </x:c>
      <x:c r="L374" s="38" t="n">
        <x:v>0.0647554897</x:v>
      </x:c>
      <x:c r="M374" s="38" t="n">
        <x:v>0.011205394</x:v>
      </x:c>
      <x:c r="N374" s="38" t="n">
        <x:v>0.0268128009</x:v>
      </x:c>
      <x:c r="O374" s="38" t="n">
        <x:v>-0.0366174971</x:v>
      </x:c>
      <x:c r="P374" s="38" t="n">
        <x:v>0.035936733</x:v>
      </x:c>
      <x:c r="Q374" s="38" t="n">
        <x:v>-0.0193503748</x:v>
      </x:c>
      <x:c r="R374" s="38" t="n">
        <x:v>0.0638776613</x:v>
      </x:c>
      <x:c r="S374" s="38" t="n">
        <x:v>-0.0074359333</x:v>
      </x:c>
      <x:c r="T374" s="38" t="n">
        <x:v>-0.0729656614</x:v>
      </x:c>
      <x:c r="U374" s="38" t="n">
        <x:v>0.0583312758</x:v>
      </x:c>
      <x:c r="V374" s="38" t="n">
        <x:v>-0.0260986441</x:v>
      </x:c>
      <x:c r="W374" s="38" t="n">
        <x:v>-0.0301492273</x:v>
      </x:c>
      <x:c r="X374" s="38" t="n">
        <x:v>0.0253453739</x:v>
      </x:c>
      <x:c r="Y374" s="38" t="n">
        <x:v>0.1991255803</x:v>
      </x:c>
      <x:c r="Z374" s="38" t="n">
        <x:v>0.0858002269</x:v>
      </x:c>
      <x:c r="AA374" s="38" t="n">
        <x:v>0.080095257</x:v>
      </x:c>
      <x:c r="AB374" s="38" t="n">
        <x:v>-0.0235614739</x:v>
      </x:c>
      <x:c r="AC374" s="38" t="n">
        <x:v>-0.0262011136</x:v>
      </x:c>
      <x:c r="AD374" s="38" t="n">
        <x:v>0.0016222275</x:v>
      </x:c>
      <x:c r="AE374" s="38" t="n">
        <x:v>0.0339491039</x:v>
      </x:c>
      <x:c r="AF374" s="38" t="n">
        <x:v>0.1599274246</x:v>
      </x:c>
      <x:c r="AG374" s="38" t="n">
        <x:v>-0.0700842325</x:v>
      </x:c>
      <x:c r="AH374" s="38" t="n">
        <x:v>-0.0287186464</x:v>
      </x:c>
      <x:c r="AI374" s="38" t="n">
        <x:v>-0.0397601884</x:v>
      </x:c>
      <x:c r="AJ374" s="38" t="n">
        <x:v>-0.0368686604</x:v>
      </x:c>
      <x:c r="AK374" s="38" t="n">
        <x:v>-0.0142350583</x:v>
      </x:c>
      <x:c r="AL374" s="38" t="n">
        <x:v>0.0371852393</x:v>
      </x:c>
      <x:c r="AM374" s="38" t="n">
        <x:v>0.0242782887</x:v>
      </x:c>
      <x:c r="AN374" s="38" t="n">
        <x:v>0.057945334</x:v>
      </x:c>
      <x:c r="AO374" s="38" t="n">
        <x:v>-0.0452793948</x:v>
      </x:c>
      <x:c r="AP374" s="38" t="n">
        <x:v>0.0215067602</x:v>
      </x:c>
      <x:c r="AQ374" s="38" t="n">
        <x:v>0.0158255778</x:v>
      </x:c>
      <x:c r="AR374" s="38" t="n">
        <x:v>-0.0334946918</x:v>
      </x:c>
      <x:c r="AS374" s="38" t="n">
        <x:v>0.0111475867</x:v>
      </x:c>
    </x:row>
    <x:row r="375" ht="19" customHeight="1">
      <x:c r="A375" s="29" t="str">
        <x:v>Primary sector</x:v>
      </x:c>
      <x:c r="B375" s="39" t="d">
        <x:v>2024-04-22T00:00:00.000Z</x:v>
      </x:c>
      <x:c r="C375" s="38" t="n">
        <x:v>0.0520546621</x:v>
      </x:c>
      <x:c r="D375" s="38" t="n">
        <x:v>0.0154273085</x:v>
      </x:c>
      <x:c r="E375" s="38" t="n">
        <x:v>-0.0124876243</x:v>
      </x:c>
      <x:c r="F375" s="38" t="n">
        <x:v>-0.0087099508</x:v>
      </x:c>
      <x:c r="G375" s="38" t="n">
        <x:v>-0.0221679684</x:v>
      </x:c>
      <x:c r="H375" s="38" t="n">
        <x:v>0.1284475816</x:v>
      </x:c>
      <x:c r="I375" s="38" t="n">
        <x:v>0.0458776291</x:v>
      </x:c>
      <x:c r="J375" s="38" t="n">
        <x:v>0.0189040456</x:v>
      </x:c>
      <x:c r="K375" s="38" t="n">
        <x:v>0.0013026132</x:v>
      </x:c>
      <x:c r="L375" s="38" t="n">
        <x:v>-0.0511374684</x:v>
      </x:c>
      <x:c r="M375" s="38" t="n">
        <x:v>-0.0998411955</x:v>
      </x:c>
      <x:c r="N375" s="38" t="n">
        <x:v>-0.0495066544</x:v>
      </x:c>
      <x:c r="O375" s="38" t="n">
        <x:v>0.0213100514</x:v>
      </x:c>
      <x:c r="P375" s="38" t="n">
        <x:v>0.1014595309</x:v>
      </x:c>
      <x:c r="Q375" s="38" t="n">
        <x:v>-0.0905978593</x:v>
      </x:c>
      <x:c r="R375" s="38" t="n">
        <x:v>-0.0998704927</x:v>
      </x:c>
      <x:c r="S375" s="38" t="n">
        <x:v>-0.0184826997</x:v>
      </x:c>
      <x:c r="T375" s="38" t="n">
        <x:v>-0.1002363811</x:v>
      </x:c>
      <x:c r="U375" s="38" t="n">
        <x:v>0.1569649736</x:v>
      </x:c>
      <x:c r="V375" s="38" t="n">
        <x:v>0.0736410821</x:v>
      </x:c>
      <x:c r="W375" s="38" t="n">
        <x:v>-0.049763566</x:v>
      </x:c>
      <x:c r="X375" s="38" t="n">
        <x:v>-0.0845759456</x:v>
      </x:c>
      <x:c r="Y375" s="38" t="n">
        <x:v>0.0294502101</x:v>
      </x:c>
      <x:c r="Z375" s="38" t="n">
        <x:v>0.1715933039</x:v>
      </x:c>
      <x:c r="AA375" s="38" t="n">
        <x:v>0.0181808493</x:v>
      </x:c>
      <x:c r="AB375" s="38" t="n">
        <x:v>0.6089649362</x:v>
      </x:c>
      <x:c r="AC375" s="38" t="n">
        <x:v>-0.0603010721</x:v>
      </x:c>
      <x:c r="AD375" s="38" t="n">
        <x:v>0.0317639344</x:v>
      </x:c>
      <x:c r="AE375" s="38" t="n">
        <x:v>0.0194454802</x:v>
      </x:c>
      <x:c r="AF375" s="38" t="n">
        <x:v>-0.010016048</x:v>
      </x:c>
      <x:c r="AG375" s="38" t="n">
        <x:v>-0.0536097888</x:v>
      </x:c>
      <x:c r="AH375" s="38" t="n">
        <x:v>-0.081131927</x:v>
      </x:c>
      <x:c r="AI375" s="38" t="n">
        <x:v>-0.0908368571</x:v>
      </x:c>
      <x:c r="AJ375" s="38" t="n">
        <x:v>-0.00661859</x:v>
      </x:c>
      <x:c r="AK375" s="38" t="n">
        <x:v>0.0533858091</x:v>
      </x:c>
      <x:c r="AL375" s="38" t="n">
        <x:v>0.0735050131</x:v>
      </x:c>
      <x:c r="AM375" s="38" t="n">
        <x:v>-0.0008472298</x:v>
      </x:c>
      <x:c r="AN375" s="38" t="n">
        <x:v>0.1122790379</x:v>
      </x:c>
      <x:c r="AO375" s="38" t="n">
        <x:v>0.0286385448</x:v>
      </x:c>
      <x:c r="AP375" s="38" t="n">
        <x:v>-0.0905382126</x:v>
      </x:c>
      <x:c r="AQ375" s="38" t="n">
        <x:v>0.0253512301</x:v>
      </x:c>
      <x:c r="AR375" s="38" t="n">
        <x:v>-0.0422964095</x:v>
      </x:c>
      <x:c r="AS375" s="38" t="n">
        <x:v>-0.0355089695</x:v>
      </x:c>
    </x:row>
    <x:row r="376" ht="19" customHeight="1">
      <x:c r="A376" s="29" t="str">
        <x:v>Primary sector</x:v>
      </x:c>
      <x:c r="B376" s="39" t="d">
        <x:v>2024-05-20T00:00:00.000Z</x:v>
      </x:c>
      <x:c r="C376" s="38" t="n">
        <x:v>0.2619971731</x:v>
      </x:c>
      <x:c r="D376" s="38" t="n">
        <x:v>0.0533759121</x:v>
      </x:c>
      <x:c r="E376" s="38" t="n">
        <x:v>-0.0319542119</x:v>
      </x:c>
      <x:c r="F376" s="38" t="n">
        <x:v>-0.048119449</x:v>
      </x:c>
      <x:c r="G376" s="38" t="n">
        <x:v>-0.1636072628</x:v>
      </x:c>
      <x:c r="H376" s="38" t="n">
        <x:v>-0.0258043248</x:v>
      </x:c>
      <x:c r="I376" s="38" t="n">
        <x:v>0.0151322685</x:v>
      </x:c>
      <x:c r="J376" s="38" t="n">
        <x:v>0.0220909438</x:v>
      </x:c>
      <x:c r="K376" s="38" t="n">
        <x:v>-0.1023052599</x:v>
      </x:c>
      <x:c r="L376" s="38" t="n">
        <x:v>0.0256920505</x:v>
      </x:c>
      <x:c r="M376" s="38" t="n">
        <x:v>-0.009591616</x:v>
      </x:c>
      <x:c r="N376" s="38" t="n">
        <x:v>0.1098453778</x:v>
      </x:c>
      <x:c r="O376" s="38" t="n">
        <x:v>-0.0205146919</x:v>
      </x:c>
      <x:c r="P376" s="38" t="n">
        <x:v>-0.1237392232</x:v>
      </x:c>
      <x:c r="Q376" s="38" t="n">
        <x:v>-0.0804541352</x:v>
      </x:c>
      <x:c r="R376" s="38" t="n">
        <x:v>-0.0285361382</x:v>
      </x:c>
      <x:c r="S376" s="38" t="n">
        <x:v>-0.0044855744</x:v>
      </x:c>
      <x:c r="T376" s="38" t="n">
        <x:v>-0.2141781089</x:v>
      </x:c>
      <x:c r="U376" s="38" t="n">
        <x:v>0.4026005045</x:v>
      </x:c>
      <x:c r="V376" s="38" t="n">
        <x:v>-0.1184713999</x:v>
      </x:c>
      <x:c r="W376" s="38" t="n">
        <x:v>0.100986359</x:v>
      </x:c>
      <x:c r="X376" s="38" t="n">
        <x:v>-0.0253981946</x:v>
      </x:c>
      <x:c r="Y376" s="38" t="n">
        <x:v>-0.0513403248</x:v>
      </x:c>
      <x:c r="Z376" s="38" t="n">
        <x:v>-0.0838729574</x:v>
      </x:c>
      <x:c r="AA376" s="38" t="n">
        <x:v>-0.0387385838</x:v>
      </x:c>
      <x:c r="AB376" s="38" t="n">
        <x:v>-0.0845551606</x:v>
      </x:c>
      <x:c r="AC376" s="38" t="n">
        <x:v>0.0343428698</x:v>
      </x:c>
      <x:c r="AD376" s="38" t="n">
        <x:v>-0.002810495</x:v>
      </x:c>
      <x:c r="AE376" s="38" t="n">
        <x:v>-0.1029040065</x:v>
      </x:c>
      <x:c r="AF376" s="38" t="n">
        <x:v>-0.0155153021</x:v>
      </x:c>
      <x:c r="AG376" s="38" t="n">
        <x:v>-0.0246846161</x:v>
      </x:c>
      <x:c r="AH376" s="38" t="n">
        <x:v>-0.0919673845</x:v>
      </x:c>
      <x:c r="AI376" s="38" t="n">
        <x:v>-0.0729113604</x:v>
      </x:c>
      <x:c r="AJ376" s="38" t="n">
        <x:v>0.0523327611</x:v>
      </x:c>
      <x:c r="AK376" s="38" t="n">
        <x:v>0.0308185296</x:v>
      </x:c>
      <x:c r="AL376" s="38" t="n">
        <x:v>-0.0211959004</x:v>
      </x:c>
      <x:c r="AM376" s="38" t="n">
        <x:v>0.0156733321</x:v>
      </x:c>
      <x:c r="AN376" s="38" t="n">
        <x:v>-0.018836086</x:v>
      </x:c>
      <x:c r="AO376" s="38" t="n">
        <x:v>0.0745739349</x:v>
      </x:c>
      <x:c r="AP376" s="38" t="n">
        <x:v>-0.0453180065</x:v>
      </x:c>
      <x:c r="AQ376" s="38" t="n">
        <x:v>-0.0291248074</x:v>
      </x:c>
      <x:c r="AR376" s="38" t="n">
        <x:v>-0.0172588545</x:v>
      </x:c>
      <x:c r="AS376" s="38" t="n">
        <x:v>-0.0079246737</x:v>
      </x:c>
    </x:row>
    <x:row r="377" ht="19" customHeight="1">
      <x:c r="A377" s="29" t="str">
        <x:v>Primary sector</x:v>
      </x:c>
      <x:c r="B377" s="39" t="d">
        <x:v>2024-06-17T00:00:00.000Z</x:v>
      </x:c>
      <x:c r="C377" s="38" t="n">
        <x:v>-0.189910173</x:v>
      </x:c>
      <x:c r="D377" s="38" t="n">
        <x:v>-0.037588293</x:v>
      </x:c>
      <x:c r="E377" s="38" t="n">
        <x:v>0.0214824899</x:v>
      </x:c>
      <x:c r="F377" s="38" t="n">
        <x:v>-0.0100883843</x:v>
      </x:c>
      <x:c r="G377" s="38" t="n">
        <x:v>-0.0059491344</x:v>
      </x:c>
      <x:c r="H377" s="38" t="n">
        <x:v>-0.0057506946</x:v>
      </x:c>
      <x:c r="I377" s="38" t="n">
        <x:v>0.0004405641</x:v>
      </x:c>
      <x:c r="J377" s="38" t="n">
        <x:v>0.0310158422</x:v>
      </x:c>
      <x:c r="K377" s="38" t="n">
        <x:v>0.0806265685</x:v>
      </x:c>
      <x:c r="L377" s="38" t="n">
        <x:v>-0.067176454</x:v>
      </x:c>
      <x:c r="M377" s="38" t="n">
        <x:v>-0.1357456984</x:v>
      </x:c>
      <x:c r="N377" s="38" t="n">
        <x:v>-0.1460239254</x:v>
      </x:c>
      <x:c r="O377" s="38" t="n">
        <x:v>0.0471172994</x:v>
      </x:c>
      <x:c r="P377" s="38" t="n">
        <x:v>0.0162147607</x:v>
      </x:c>
      <x:c r="Q377" s="38" t="n">
        <x:v>-0.0279872738</x:v>
      </x:c>
      <x:c r="R377" s="38" t="n">
        <x:v>-0.1711357375</x:v>
      </x:c>
      <x:c r="S377" s="38" t="n">
        <x:v>-0.1145351454</x:v>
      </x:c>
      <x:c r="T377" s="38" t="n">
        <x:v>-0.0248330024</x:v>
      </x:c>
      <x:c r="U377" s="38" t="n">
        <x:v>-0.007262054</x:v>
      </x:c>
      <x:c r="V377" s="38" t="n">
        <x:v>0.0789536618</x:v>
      </x:c>
      <x:c r="W377" s="38" t="n">
        <x:v>0.0733724891</x:v>
      </x:c>
      <x:c r="X377" s="38" t="n">
        <x:v>0.018385677</x:v>
      </x:c>
      <x:c r="Y377" s="38" t="n">
        <x:v>0.1036446184</x:v>
      </x:c>
      <x:c r="Z377" s="38" t="n">
        <x:v>0.0044059164</x:v>
      </x:c>
      <x:c r="AA377" s="38" t="n">
        <x:v>0.0392013366</x:v>
      </x:c>
      <x:c r="AB377" s="38" t="n">
        <x:v>-0.0648300917</x:v>
      </x:c>
      <x:c r="AC377" s="38" t="n">
        <x:v>-0.0506716326</x:v>
      </x:c>
      <x:c r="AD377" s="38" t="n">
        <x:v>0.0217768883</x:v>
      </x:c>
      <x:c r="AE377" s="38" t="n">
        <x:v>0.0140488722</x:v>
      </x:c>
      <x:c r="AF377" s="38" t="n">
        <x:v>0.0704067929</x:v>
      </x:c>
      <x:c r="AG377" s="38" t="n">
        <x:v>0.1316669007</x:v>
      </x:c>
      <x:c r="AH377" s="38" t="n">
        <x:v>-0.0001049691</x:v>
      </x:c>
      <x:c r="AI377" s="38" t="n">
        <x:v>-0.1450635312</x:v>
      </x:c>
      <x:c r="AJ377" s="38" t="n">
        <x:v>0.0659878645</x:v>
      </x:c>
      <x:c r="AK377" s="38" t="n">
        <x:v>-0.0298332254</x:v>
      </x:c>
      <x:c r="AL377" s="38" t="n">
        <x:v>-0.1083726153</x:v>
      </x:c>
      <x:c r="AM377" s="38" t="n">
        <x:v>0.0194433516</x:v>
      </x:c>
      <x:c r="AN377" s="38" t="n">
        <x:v>-0.0338957407</x:v>
      </x:c>
      <x:c r="AO377" s="38" t="n">
        <x:v>0.0311573479</x:v>
      </x:c>
      <x:c r="AP377" s="38" t="n">
        <x:v>0.0950180244</x:v>
      </x:c>
      <x:c r="AQ377" s="38" t="n">
        <x:v>0.0260214603</x:v>
      </x:c>
      <x:c r="AR377" s="38" t="n">
        <x:v>0.0082862596</x:v>
      </x:c>
      <x:c r="AS377" s="38" t="n">
        <x:v>0.0173938357</x:v>
      </x:c>
    </x:row>
    <x:row r="378" ht="19" customHeight="1">
      <x:c r="A378" s="29" t="str">
        <x:v>Primary sector</x:v>
      </x:c>
      <x:c r="B378" s="39" t="d">
        <x:v>2024-07-15T00:00:00.000Z</x:v>
      </x:c>
      <x:c r="C378" s="38" t="n">
        <x:v>-0.1791150408</x:v>
      </x:c>
      <x:c r="D378" s="38" t="n">
        <x:v>0.0804336666</x:v>
      </x:c>
      <x:c r="E378" s="38" t="n">
        <x:v>0.0400959265</x:v>
      </x:c>
      <x:c r="F378" s="38" t="n">
        <x:v>0.0213239516</x:v>
      </x:c>
      <x:c r="G378" s="38" t="n">
        <x:v>-0.0787577328</x:v>
      </x:c>
      <x:c r="H378" s="38" t="n">
        <x:v>-0.2227218581</x:v>
      </x:c>
      <x:c r="I378" s="38" t="n">
        <x:v>-0.0812148258</x:v>
      </x:c>
      <x:c r="J378" s="38" t="n">
        <x:v>-0.0976170041</x:v>
      </x:c>
      <x:c r="K378" s="38" t="n">
        <x:v>0.1152053118</x:v>
      </x:c>
      <x:c r="L378" s="38" t="n">
        <x:v>-0.0715405996</x:v>
      </x:c>
      <x:c r="M378" s="38" t="n">
        <x:v>-0.0518693318</x:v>
      </x:c>
      <x:c r="N378" s="38" t="n">
        <x:v>-0.008528802</x:v>
      </x:c>
      <x:c r="O378" s="38" t="n">
        <x:v>0.0242789415</x:v>
      </x:c>
      <x:c r="P378" s="38" t="n">
        <x:v>0.0421453726</x:v>
      </x:c>
      <x:c r="Q378" s="38" t="n">
        <x:v>0.0367381862</x:v>
      </x:c>
      <x:c r="R378" s="38" t="n">
        <x:v>0.0653017909</x:v>
      </x:c>
      <x:c r="S378" s="38" t="n">
        <x:v>0.0198211328</x:v>
      </x:c>
      <x:c r="T378" s="38" t="n">
        <x:v>-0.0017304483</x:v>
      </x:c>
      <x:c r="U378" s="38" t="n">
        <x:v>-0.1095020549</x:v>
      </x:c>
      <x:c r="V378" s="38" t="n">
        <x:v>-0.0052409849</x:v>
      </x:c>
      <x:c r="W378" s="38" t="n">
        <x:v>-0.1271830795</x:v>
      </x:c>
      <x:c r="X378" s="38" t="n">
        <x:v>0.0401080455</x:v>
      </x:c>
      <x:c r="Y378" s="38" t="n">
        <x:v>-0.099328073</x:v>
      </x:c>
      <x:c r="Z378" s="38" t="n">
        <x:v>0.093356484</x:v>
      </x:c>
      <x:c r="AA378" s="38" t="n">
        <x:v>0.0163545226</x:v>
      </x:c>
      <x:c r="AB378" s="38" t="n">
        <x:v>-0.0433191644</x:v>
      </x:c>
      <x:c r="AC378" s="38" t="n">
        <x:v>0.2008245132</x:v>
      </x:c>
      <x:c r="AD378" s="38" t="n">
        <x:v>-0.0194258815</x:v>
      </x:c>
      <x:c r="AE378" s="38" t="n">
        <x:v>0.1596744727</x:v>
      </x:c>
      <x:c r="AF378" s="38" t="n">
        <x:v>0.0115929365</x:v>
      </x:c>
      <x:c r="AG378" s="38" t="n">
        <x:v>-0.0044604238</x:v>
      </x:c>
      <x:c r="AH378" s="38" t="n">
        <x:v>0.0400290093</x:v>
      </x:c>
      <x:c r="AI378" s="38" t="n">
        <x:v>0.0044381965</x:v>
      </x:c>
      <x:c r="AJ378" s="38" t="n">
        <x:v>-0.0667280857</x:v>
      </x:c>
      <x:c r="AK378" s="38" t="n">
        <x:v>-0.0294522378</x:v>
      </x:c>
      <x:c r="AL378" s="38" t="n">
        <x:v>0.0439143347</x:v>
      </x:c>
      <x:c r="AM378" s="38" t="n">
        <x:v>-0.0379337777</x:v>
      </x:c>
      <x:c r="AN378" s="38" t="n">
        <x:v>-0.0233024798</x:v>
      </x:c>
      <x:c r="AO378" s="38" t="n">
        <x:v>-0.0326735679</x:v>
      </x:c>
      <x:c r="AP378" s="38" t="n">
        <x:v>-0.0173689157</x:v>
      </x:c>
      <x:c r="AQ378" s="38" t="n">
        <x:v>0.0106217818</x:v>
      </x:c>
      <x:c r="AR378" s="38" t="n">
        <x:v>0.01681188</x:v>
      </x:c>
      <x:c r="AS378" s="38" t="n">
        <x:v>0.0271883347</x:v>
      </x:c>
    </x:row>
    <x:row r="379" ht="19" customHeight="1">
      <x:c r="A379" s="29" t="str">
        <x:v>Primary sector</x:v>
      </x:c>
      <x:c r="B379" s="39" t="d">
        <x:v>2024-08-12T00:00:00.000Z</x:v>
      </x:c>
      <x:c r="C379" s="38" t="n">
        <x:v>-0.0305294255</x:v>
      </x:c>
      <x:c r="D379" s="38" t="n">
        <x:v>0.0416861759</x:v>
      </x:c>
      <x:c r="E379" s="38" t="n">
        <x:v>-0.0511703091</x:v>
      </x:c>
      <x:c r="F379" s="38" t="n">
        <x:v>0.0106261851</x:v>
      </x:c>
      <x:c r="G379" s="38" t="n">
        <x:v>-0.1229683555</x:v>
      </x:c>
      <x:c r="H379" s="38" t="n">
        <x:v>-0.0009940567</x:v>
      </x:c>
      <x:c r="I379" s="38" t="n">
        <x:v>-0.0282832642</x:v>
      </x:c>
      <x:c r="J379" s="38" t="n">
        <x:v>0.1117125242</x:v>
      </x:c>
      <x:c r="K379" s="38" t="n">
        <x:v>0.0159378343</x:v>
      </x:c>
      <x:c r="L379" s="38" t="n">
        <x:v>0.0396886576</x:v>
      </x:c>
      <x:c r="M379" s="38" t="n">
        <x:v>0.0936639951</x:v>
      </x:c>
      <x:c r="N379" s="38" t="n">
        <x:v>-0.0645375224</x:v>
      </x:c>
      <x:c r="O379" s="38" t="n">
        <x:v>-0.0251210786</x:v>
      </x:c>
      <x:c r="P379" s="38" t="n">
        <x:v>0.0206013226</x:v>
      </x:c>
      <x:c r="Q379" s="38" t="n">
        <x:v>-0.001377415</x:v>
      </x:c>
      <x:c r="R379" s="38" t="n">
        <x:v>0.1647972426</x:v>
      </x:c>
      <x:c r="S379" s="38" t="n">
        <x:v>0.0064302014</x:v>
      </x:c>
      <x:c r="T379" s="38" t="n">
        <x:v>0.020854736</x:v>
      </x:c>
      <x:c r="U379" s="38" t="n">
        <x:v>-0.2991833451</x:v>
      </x:c>
      <x:c r="V379" s="38" t="n">
        <x:v>0.0559528017</x:v>
      </x:c>
      <x:c r="W379" s="38" t="n">
        <x:v>0.0326270759</x:v>
      </x:c>
      <x:c r="X379" s="38" t="n">
        <x:v>-0.0788101697</x:v>
      </x:c>
      <x:c r="Y379" s="38" t="n">
        <x:v>0.053260665</x:v>
      </x:c>
      <x:c r="Z379" s="38" t="n">
        <x:v>0.0712967334</x:v>
      </x:c>
      <x:c r="AA379" s="38" t="n">
        <x:v>0.0400299857</x:v>
      </x:c>
      <x:c r="AB379" s="38" t="n">
        <x:v>0.0646955924</x:v>
      </x:c>
      <x:c r="AC379" s="38" t="n">
        <x:v>0.254117185</x:v>
      </x:c>
      <x:c r="AD379" s="38" t="n">
        <x:v>-0.0857231931</x:v>
      </x:c>
      <x:c r="AE379" s="38" t="n">
        <x:v>-0.2612385171</x:v>
      </x:c>
      <x:c r="AF379" s="38" t="n">
        <x:v>-0.1181637376</x:v>
      </x:c>
      <x:c r="AG379" s="38" t="n">
        <x:v>-0.0162973554</x:v>
      </x:c>
      <x:c r="AH379" s="38" t="n">
        <x:v>0.0198107518</x:v>
      </x:c>
      <x:c r="AI379" s="38" t="n">
        <x:v>-0.0575633212</x:v>
      </x:c>
      <x:c r="AJ379" s="38" t="n">
        <x:v>0.0177565178</x:v>
      </x:c>
      <x:c r="AK379" s="38" t="n">
        <x:v>0.0460680109</x:v>
      </x:c>
      <x:c r="AL379" s="38" t="n">
        <x:v>0.1244686515</x:v>
      </x:c>
      <x:c r="AM379" s="38" t="n">
        <x:v>-0.0761661868</x:v>
      </x:c>
      <x:c r="AN379" s="38" t="n">
        <x:v>-0.0588394267</x:v>
      </x:c>
      <x:c r="AO379" s="38" t="n">
        <x:v>-0.0387535025</x:v>
      </x:c>
      <x:c r="AP379" s="38" t="n">
        <x:v>-0.0342258108</x:v>
      </x:c>
      <x:c r="AQ379" s="38" t="n">
        <x:v>-0.0132366739</x:v>
      </x:c>
      <x:c r="AR379" s="38" t="n">
        <x:v>-0.0343019461</x:v>
      </x:c>
      <x:c r="AS379" s="38" t="n">
        <x:v>-0.0002291975</x:v>
      </x:c>
    </x:row>
    <x:row r="380" ht="19" customHeight="1">
      <x:c r="A380" s="29" t="str">
        <x:v>Primary sector</x:v>
      </x:c>
      <x:c r="B380" s="39" t="d">
        <x:v>2024-09-09T00:00:00.000Z</x:v>
      </x:c>
      <x:c r="C380" s="38" t="n">
        <x:v>0.0154647046</x:v>
      </x:c>
      <x:c r="D380" s="38" t="n">
        <x:v>-0.0161281834</x:v>
      </x:c>
      <x:c r="E380" s="38" t="n">
        <x:v>-0.005826877</x:v>
      </x:c>
      <x:c r="F380" s="38" t="n">
        <x:v>0.0240194888</x:v>
      </x:c>
      <x:c r="G380" s="38" t="n">
        <x:v>-0.0159208435</x:v>
      </x:c>
      <x:c r="H380" s="38" t="n">
        <x:v>0.045044387</x:v>
      </x:c>
      <x:c r="I380" s="38" t="n">
        <x:v>0.0024645286</x:v>
      </x:c>
      <x:c r="J380" s="38" t="n">
        <x:v>0.0610268742</x:v>
      </x:c>
      <x:c r="K380" s="38" t="n">
        <x:v>0.0258775991</x:v>
      </x:c>
      <x:c r="L380" s="38" t="n">
        <x:v>-0.0592392017</x:v>
      </x:c>
      <x:c r="M380" s="38" t="n">
        <x:v>-0.1274705606</x:v>
      </x:c>
      <x:c r="N380" s="38" t="n">
        <x:v>-0.0491289199</x:v>
      </x:c>
      <x:c r="O380" s="38" t="n">
        <x:v>-0.0545937957</x:v>
      </x:c>
      <x:c r="P380" s="38" t="n">
        <x:v>0.1117218696</x:v>
      </x:c>
      <x:c r="Q380" s="38" t="n">
        <x:v>-0.1975698891</x:v>
      </x:c>
      <x:c r="R380" s="38" t="n">
        <x:v>0.122255434</x:v>
      </x:c>
      <x:c r="S380" s="38" t="n">
        <x:v>0.0241068863</x:v>
      </x:c>
      <x:c r="T380" s="38" t="n">
        <x:v>-0.0780621079</x:v>
      </x:c>
      <x:c r="U380" s="38" t="n">
        <x:v>-0.1889224827</x:v>
      </x:c>
      <x:c r="V380" s="38" t="n">
        <x:v>-0.1081550452</x:v>
      </x:c>
      <x:c r="W380" s="38" t="n">
        <x:v>0.0267371654</x:v>
      </x:c>
      <x:c r="X380" s="38" t="n">
        <x:v>-0.040017872</x:v>
      </x:c>
      <x:c r="Y380" s="38" t="n">
        <x:v>-0.100101761</x:v>
      </x:c>
      <x:c r="Z380" s="38" t="n">
        <x:v>0.0416068727</x:v>
      </x:c>
      <x:c r="AA380" s="38" t="n">
        <x:v>0.0600617706</x:v>
      </x:c>
      <x:c r="AB380" s="38" t="n">
        <x:v>0.402602624</x:v>
      </x:c>
      <x:c r="AC380" s="38" t="n">
        <x:v>0.0406772911</x:v>
      </x:c>
      <x:c r="AD380" s="38" t="n">
        <x:v>-0.0196811155</x:v>
      </x:c>
      <x:c r="AE380" s="38" t="n">
        <x:v>0.0084389913</x:v>
      </x:c>
      <x:c r="AF380" s="38" t="n">
        <x:v>-0.0983117026</x:v>
      </x:c>
      <x:c r="AG380" s="38" t="n">
        <x:v>-0.1685467576</x:v>
      </x:c>
      <x:c r="AH380" s="38" t="n">
        <x:v>-0.065742883</x:v>
      </x:c>
      <x:c r="AI380" s="38" t="n">
        <x:v>0.0640501565</x:v>
      </x:c>
      <x:c r="AJ380" s="38" t="n">
        <x:v>-0.0458045381</x:v>
      </x:c>
      <x:c r="AK380" s="38" t="n">
        <x:v>0.0273305734</x:v>
      </x:c>
      <x:c r="AL380" s="38" t="n">
        <x:v>0.0650769863</x:v>
      </x:c>
      <x:c r="AM380" s="38" t="n">
        <x:v>0.0314987321</x:v>
      </x:c>
      <x:c r="AN380" s="38" t="n">
        <x:v>-0.0046430877</x:v>
      </x:c>
      <x:c r="AO380" s="38" t="n">
        <x:v>-0.0236666581</x:v>
      </x:c>
      <x:c r="AP380" s="38" t="n">
        <x:v>-0.0144160457</x:v>
      </x:c>
      <x:c r="AQ380" s="38" t="n">
        <x:v>-0.0322134609</x:v>
      </x:c>
      <x:c r="AR380" s="38" t="n">
        <x:v>0.00663777</x:v>
      </x:c>
      <x:c r="AS380" s="38" t="n">
        <x:v>-0.0090293561</x:v>
      </x:c>
    </x:row>
    <x:row r="381" ht="19" customHeight="1">
      <x:c r="A381" s="29" t="str">
        <x:v>Primary sector</x:v>
      </x:c>
      <x:c r="B381" s="39" t="d">
        <x:v>2024-10-07T00:00:00.000Z</x:v>
      </x:c>
      <x:c r="C381" s="38" t="n">
        <x:v>0.3967137226</x:v>
      </x:c>
      <x:c r="D381" s="38" t="n">
        <x:v>-0.0687166017</x:v>
      </x:c>
      <x:c r="E381" s="38" t="n">
        <x:v>-0.0678893722</x:v>
      </x:c>
      <x:c r="F381" s="38" t="n">
        <x:v>0.008114467</x:v>
      </x:c>
      <x:c r="G381" s="38" t="n">
        <x:v>0.0239948044</x:v>
      </x:c>
      <x:c r="H381" s="38" t="n">
        <x:v>0.0322875019</x:v>
      </x:c>
      <x:c r="I381" s="38" t="n">
        <x:v>-0.0055812131</x:v>
      </x:c>
      <x:c r="J381" s="38" t="n">
        <x:v>0.1181464344</x:v>
      </x:c>
      <x:c r="K381" s="38" t="n">
        <x:v>-0.0340210989</x:v>
      </x:c>
      <x:c r="L381" s="38" t="n">
        <x:v>-0.0689804959</x:v>
      </x:c>
      <x:c r="M381" s="38" t="n">
        <x:v>0.1089232953</x:v>
      </x:c>
      <x:c r="N381" s="38" t="n">
        <x:v>0.0383846206</x:v>
      </x:c>
      <x:c r="O381" s="38" t="n">
        <x:v>-0.0084577453</x:v>
      </x:c>
      <x:c r="P381" s="38" t="n">
        <x:v>-0.1387992514</x:v>
      </x:c>
      <x:c r="Q381" s="38" t="n">
        <x:v>0.0950659371</x:v>
      </x:c>
      <x:c r="R381" s="38" t="n">
        <x:v>0.0394944655</x:v>
      </x:c>
      <x:c r="S381" s="38" t="n">
        <x:v>0.0345495222</x:v>
      </x:c>
      <x:c r="T381" s="38" t="n">
        <x:v>0.1402750813</x:v>
      </x:c>
      <x:c r="U381" s="38" t="n">
        <x:v>-0.1454138349</x:v>
      </x:c>
      <x:c r="V381" s="38" t="n">
        <x:v>0.1316961875</x:v>
      </x:c>
      <x:c r="W381" s="38" t="n">
        <x:v>0.0262344234</x:v>
      </x:c>
      <x:c r="X381" s="38" t="n">
        <x:v>0.0643929256</x:v>
      </x:c>
      <x:c r="Y381" s="38" t="n">
        <x:v>0.0584476599</x:v>
      </x:c>
      <x:c r="Z381" s="38" t="n">
        <x:v>-0.034040697</x:v>
      </x:c>
      <x:c r="AA381" s="38" t="n">
        <x:v>-0.0234445273</x:v>
      </x:c>
      <x:c r="AB381" s="38" t="n">
        <x:v>-0.093260993</x:v>
      </x:c>
      <x:c r="AC381" s="38" t="n">
        <x:v>0.1996650332</x:v>
      </x:c>
      <x:c r="AD381" s="38" t="n">
        <x:v>0.0183637273</x:v>
      </x:c>
      <x:c r="AE381" s="38" t="n">
        <x:v>-0.0278224577</x:v>
      </x:c>
      <x:c r="AF381" s="38" t="n">
        <x:v>0.1653422046</x:v>
      </x:c>
      <x:c r="AG381" s="38" t="n">
        <x:v>-0.0422671655</x:v>
      </x:c>
      <x:c r="AH381" s="38" t="n">
        <x:v>-0.0520063464</x:v>
      </x:c>
      <x:c r="AI381" s="38" t="n">
        <x:v>0.0625477446</x:v>
      </x:c>
      <x:c r="AJ381" s="38" t="n">
        <x:v>0.0196961027</x:v>
      </x:c>
      <x:c r="AK381" s="38" t="n">
        <x:v>-0.0233039274</x:v>
      </x:c>
      <x:c r="AL381" s="38" t="n">
        <x:v>0.0075993428</x:v>
      </x:c>
      <x:c r="AM381" s="38" t="n">
        <x:v>-0.0551857362</x:v>
      </x:c>
      <x:c r="AN381" s="38" t="n">
        <x:v>-0.0362514052</x:v>
      </x:c>
      <x:c r="AO381" s="38" t="n">
        <x:v>-0.0334707874</x:v>
      </x:c>
      <x:c r="AP381" s="38" t="n">
        <x:v>0.0991795592</x:v>
      </x:c>
      <x:c r="AQ381" s="38" t="n">
        <x:v>0.0055942686</x:v>
      </x:c>
      <x:c r="AR381" s="38" t="n">
        <x:v>0.0009854382</x:v>
      </x:c>
      <x:c r="AS381" s="38" t="n">
        <x:v>0.0153106293</x:v>
      </x:c>
    </x:row>
    <x:row r="382" ht="19" customHeight="1">
      <x:c r="A382" s="29" t="str">
        <x:v>Primary sector</x:v>
      </x:c>
      <x:c r="B382" s="39" t="d">
        <x:v>2024-11-04T00:00:00.000Z</x:v>
      </x:c>
      <x:c r="C382" s="38" t="n">
        <x:v>0.1093563228</x:v>
      </x:c>
      <x:c r="D382" s="38" t="n">
        <x:v>-0.0697439329</x:v>
      </x:c>
      <x:c r="E382" s="38" t="n">
        <x:v>0.030576397</x:v>
      </x:c>
      <x:c r="F382" s="38" t="n">
        <x:v>0.1513617427</x:v>
      </x:c>
      <x:c r="G382" s="38" t="n">
        <x:v>0.0546513319</x:v>
      </x:c>
      <x:c r="H382" s="38" t="n">
        <x:v>-0.0190340443</x:v>
      </x:c>
      <x:c r="I382" s="38" t="n">
        <x:v>0.0002014692</x:v>
      </x:c>
      <x:c r="J382" s="38" t="n">
        <x:v>0.1516191661</x:v>
      </x:c>
      <x:c r="K382" s="38" t="n">
        <x:v>0.0507012736</x:v>
      </x:c>
      <x:c r="L382" s="38" t="n">
        <x:v>-0.0748371953</x:v>
      </x:c>
      <x:c r="M382" s="38" t="n">
        <x:v>-0.0542206768</x:v>
      </x:c>
      <x:c r="N382" s="38" t="n">
        <x:v>0.0561122978</x:v>
      </x:c>
      <x:c r="O382" s="38" t="n">
        <x:v>0.0753778883</x:v>
      </x:c>
      <x:c r="P382" s="38" t="n">
        <x:v>0.1649732947</x:v>
      </x:c>
      <x:c r="Q382" s="38" t="n">
        <x:v>-0.0272980559</x:v>
      </x:c>
      <x:c r="R382" s="38" t="n">
        <x:v>-0.1673735418</x:v>
      </x:c>
      <x:c r="S382" s="38" t="n">
        <x:v>0.0520681816</x:v>
      </x:c>
      <x:c r="T382" s="38" t="n">
        <x:v>-0.1303865417</x:v>
      </x:c>
      <x:c r="U382" s="38" t="n">
        <x:v>-0.0808929335</x:v>
      </x:c>
      <x:c r="V382" s="38" t="n">
        <x:v>0.4016035532</x:v>
      </x:c>
      <x:c r="W382" s="38" t="n">
        <x:v>0.0905942299</x:v>
      </x:c>
      <x:c r="X382" s="38" t="n">
        <x:v>0.0920750409</x:v>
      </x:c>
      <x:c r="Y382" s="38" t="n">
        <x:v>0.148999948</x:v>
      </x:c>
      <x:c r="Z382" s="38" t="n">
        <x:v>-0.1071705938</x:v>
      </x:c>
      <x:c r="AA382" s="38" t="n">
        <x:v>0.0248856533</x:v>
      </x:c>
      <x:c r="AB382" s="38" t="n">
        <x:v>-0.0548640699</x:v>
      </x:c>
      <x:c r="AC382" s="38" t="n">
        <x:v>0.5165019631</x:v>
      </x:c>
      <x:c r="AD382" s="38" t="n">
        <x:v>0.0215590705</x:v>
      </x:c>
      <x:c r="AE382" s="38" t="n">
        <x:v>0.0744883563</x:v>
      </x:c>
      <x:c r="AF382" s="38" t="n">
        <x:v>0.0421560418</x:v>
      </x:c>
      <x:c r="AG382" s="38" t="n">
        <x:v>0.1101617478</x:v>
      </x:c>
      <x:c r="AH382" s="38" t="n">
        <x:v>-0.2387784781</x:v>
      </x:c>
      <x:c r="AI382" s="38" t="n">
        <x:v>-0.1622872971</x:v>
      </x:c>
      <x:c r="AJ382" s="38" t="n">
        <x:v>-0.1055305793</x:v>
      </x:c>
      <x:c r="AK382" s="38" t="n">
        <x:v>0.1376108725</x:v>
      </x:c>
      <x:c r="AL382" s="38" t="n">
        <x:v>0.0605690495</x:v>
      </x:c>
      <x:c r="AM382" s="38" t="n">
        <x:v>0.0065867019</x:v>
      </x:c>
      <x:c r="AN382" s="38" t="n">
        <x:v>0.0148358693</x:v>
      </x:c>
      <x:c r="AO382" s="38" t="n">
        <x:v>0.0982025864</x:v>
      </x:c>
      <x:c r="AP382" s="38" t="n">
        <x:v>-0.0424992114</x:v>
      </x:c>
      <x:c r="AQ382" s="38" t="n">
        <x:v>-0.0516746284</x:v>
      </x:c>
      <x:c r="AR382" s="38" t="n">
        <x:v>0.0143444083</x:v>
      </x:c>
      <x:c r="AS382" s="38" t="n">
        <x:v>-0.0069249524</x:v>
      </x:c>
    </x:row>
    <x:row r="383" ht="19" customHeight="1">
      <x:c r="A383" s="29" t="str">
        <x:v>Primary sector</x:v>
      </x:c>
      <x:c r="B383" s="39" t="d">
        <x:v>2024-12-02T00:00:00.000Z</x:v>
      </x:c>
      <x:c r="C383" s="38" t="n">
        <x:v>0.1132529758</x:v>
      </x:c>
      <x:c r="D383" s="38" t="n">
        <x:v>0.1946769754</x:v>
      </x:c>
      <x:c r="E383" s="38" t="n">
        <x:v>0.0152324305</x:v>
      </x:c>
      <x:c r="F383" s="38" t="n">
        <x:v>0.0158924618</x:v>
      </x:c>
      <x:c r="G383" s="38" t="n">
        <x:v>0.2069507112</x:v>
      </x:c>
      <x:c r="H383" s="38" t="n">
        <x:v>0.1188527252</x:v>
      </x:c>
      <x:c r="I383" s="38" t="n">
        <x:v>0.0308968219</x:v>
      </x:c>
      <x:c r="J383" s="38" t="n">
        <x:v>0.0599582199</x:v>
      </x:c>
      <x:c r="K383" s="38" t="n">
        <x:v>-0.0292078149</x:v>
      </x:c>
      <x:c r="L383" s="38" t="n">
        <x:v>-0.0039376125</x:v>
      </x:c>
      <x:c r="M383" s="38" t="n">
        <x:v>0.10521786</x:v>
      </x:c>
      <x:c r="N383" s="38" t="n">
        <x:v>0.0532109874</x:v>
      </x:c>
      <x:c r="O383" s="38" t="n">
        <x:v>0.0930755931</x:v>
      </x:c>
      <x:c r="P383" s="38" t="n">
        <x:v>0.0329689251</x:v>
      </x:c>
      <x:c r="Q383" s="38" t="n">
        <x:v>0.1019512264</x:v>
      </x:c>
      <x:c r="R383" s="38" t="n">
        <x:v>0.0396968749</x:v>
      </x:c>
      <x:c r="S383" s="38" t="n">
        <x:v>0.0909703503</x:v>
      </x:c>
      <x:c r="T383" s="38" t="n">
        <x:v>0.2331898876</x:v>
      </x:c>
      <x:c r="U383" s="38" t="n">
        <x:v>-0.0106168573</x:v>
      </x:c>
      <x:c r="V383" s="38" t="n">
        <x:v>0.1890137343</x:v>
      </x:c>
      <x:c r="W383" s="38" t="n">
        <x:v>0.1749720447</x:v>
      </x:c>
      <x:c r="X383" s="38" t="n">
        <x:v>-0.0120515107</x:v>
      </x:c>
      <x:c r="Y383" s="38" t="n">
        <x:v>-0.1124113056</x:v>
      </x:c>
      <x:c r="Z383" s="38" t="n">
        <x:v>0.0290535948</x:v>
      </x:c>
      <x:c r="AA383" s="38" t="n">
        <x:v>-0.0327602186</x:v>
      </x:c>
      <x:c r="AB383" s="38" t="n">
        <x:v>-0.3188617568</x:v>
      </x:c>
      <x:c r="AC383" s="38" t="n">
        <x:v>-0.015237229</x:v>
      </x:c>
      <x:c r="AD383" s="38" t="n">
        <x:v>0.0551505824</x:v>
      </x:c>
      <x:c r="AE383" s="38" t="n">
        <x:v>-0.0539813478</x:v>
      </x:c>
      <x:c r="AF383" s="38" t="n">
        <x:v>0.0735013963</x:v>
      </x:c>
      <x:c r="AG383" s="38" t="n">
        <x:v>0.0669643184</x:v>
      </x:c>
      <x:c r="AH383" s="38" t="n">
        <x:v>-0.0013563971</x:v>
      </x:c>
      <x:c r="AI383" s="38" t="n">
        <x:v>-0.0483620792</x:v>
      </x:c>
      <x:c r="AJ383" s="38" t="n">
        <x:v>0.0489906306</x:v>
      </x:c>
      <x:c r="AK383" s="38" t="n">
        <x:v>-0.0218518461</x:v>
      </x:c>
      <x:c r="AL383" s="38" t="n">
        <x:v>-0.0897470223</x:v>
      </x:c>
      <x:c r="AM383" s="38" t="n">
        <x:v>0.0822809634</x:v>
      </x:c>
      <x:c r="AN383" s="38" t="n">
        <x:v>-0.0476659205</x:v>
      </x:c>
      <x:c r="AO383" s="38" t="n">
        <x:v>0.0730428205</x:v>
      </x:c>
      <x:c r="AP383" s="38" t="n">
        <x:v>0.0530446691</x:v>
      </x:c>
      <x:c r="AQ383" s="38" t="n">
        <x:v>-0.0072180888</x:v>
      </x:c>
      <x:c r="AR383" s="38" t="n">
        <x:v>0.0260676746</x:v>
      </x:c>
      <x:c r="AS383" s="38" t="n">
        <x:v>0.0125108417</x:v>
      </x:c>
    </x:row>
    <x:row r="384" ht="19" customHeight="1">
      <x:c r="A384" s="29" t="str">
        <x:v>Primary sector</x:v>
      </x:c>
      <x:c r="B384" s="39" t="d">
        <x:v>2024-12-30T00:00:00.000Z</x:v>
      </x:c>
      <x:c r="C384" s="38" t="n">
        <x:v>0.05439899</x:v>
      </x:c>
      <x:c r="D384" s="38" t="n">
        <x:v>-0.007000327</x:v>
      </x:c>
      <x:c r="E384" s="38" t="n">
        <x:v>0.0123854992</x:v>
      </x:c>
      <x:c r="F384" s="38" t="n">
        <x:v>0.0349713174</x:v>
      </x:c>
      <x:c r="G384" s="38" t="n">
        <x:v>0.0430780188</x:v>
      </x:c>
      <x:c r="H384" s="38" t="n">
        <x:v>-0.0530113037</x:v>
      </x:c>
      <x:c r="I384" s="38" t="n">
        <x:v>0.0367984788</x:v>
      </x:c>
      <x:c r="J384" s="38" t="n">
        <x:v>-0.0514260373</x:v>
      </x:c>
      <x:c r="K384" s="38" t="n">
        <x:v>-0.0403281321</x:v>
      </x:c>
      <x:c r="L384" s="38" t="n">
        <x:v>-0.0256321169</x:v>
      </x:c>
      <x:c r="M384" s="38" t="n">
        <x:v>0.0385133762</x:v>
      </x:c>
      <x:c r="N384" s="38" t="n">
        <x:v>0.0639402863</x:v>
      </x:c>
      <x:c r="O384" s="38" t="n">
        <x:v>-0.0189117635</x:v>
      </x:c>
      <x:c r="P384" s="38" t="n">
        <x:v>-0.1213846811</x:v>
      </x:c>
      <x:c r="Q384" s="38" t="n">
        <x:v>0.1020135914</x:v>
      </x:c>
      <x:c r="R384" s="38" t="n">
        <x:v>-0.1473880504</x:v>
      </x:c>
      <x:c r="S384" s="38" t="n">
        <x:v>0.0232636605</x:v>
      </x:c>
      <x:c r="T384" s="38" t="n">
        <x:v>0.0117055087</x:v>
      </x:c>
      <x:c r="U384" s="38" t="n">
        <x:v>0.0364853964</x:v>
      </x:c>
      <x:c r="V384" s="38" t="n">
        <x:v>-0.0277831497</x:v>
      </x:c>
      <x:c r="W384" s="38" t="n">
        <x:v>0.0153946008</x:v>
      </x:c>
      <x:c r="X384" s="38" t="n">
        <x:v>-0.0773693759</x:v>
      </x:c>
      <x:c r="Y384" s="38" t="n">
        <x:v>-0.1297302985</x:v>
      </x:c>
      <x:c r="Z384" s="38" t="n">
        <x:v>0.0518823172</x:v>
      </x:c>
      <x:c r="AA384" s="38" t="n">
        <x:v>-0.0302271353</x:v>
      </x:c>
      <x:c r="AB384" s="38" t="n">
        <x:v>-0.1268137531</x:v>
      </x:c>
      <x:c r="AC384" s="38" t="n">
        <x:v>-0.0892934272</x:v>
      </x:c>
      <x:c r="AD384" s="38" t="n">
        <x:v>0.0207280945</x:v>
      </x:c>
      <x:c r="AE384" s="38" t="n">
        <x:v>0.0191707635</x:v>
      </x:c>
      <x:c r="AF384" s="38" t="n">
        <x:v>-0.1065467721</x:v>
      </x:c>
      <x:c r="AG384" s="38" t="n">
        <x:v>0.2542705534</x:v>
      </x:c>
      <x:c r="AH384" s="38" t="n">
        <x:v>0.0705600641</x:v>
      </x:c>
      <x:c r="AI384" s="38" t="n">
        <x:v>-0.0738246494</x:v>
      </x:c>
      <x:c r="AJ384" s="38" t="n">
        <x:v>-0.0353936949</x:v>
      </x:c>
      <x:c r="AK384" s="38" t="n">
        <x:v>0.0220962445</x:v>
      </x:c>
      <x:c r="AL384" s="38" t="n">
        <x:v>0.0747052226</x:v>
      </x:c>
      <x:c r="AM384" s="38" t="n">
        <x:v>-0.0027792013</x:v>
      </x:c>
      <x:c r="AN384" s="38" t="n">
        <x:v>0.1315926666</x:v>
      </x:c>
      <x:c r="AO384" s="38" t="n">
        <x:v>-0.0247022103</x:v>
      </x:c>
      <x:c r="AP384" s="38" t="n">
        <x:v>-0.0462755097</x:v>
      </x:c>
      <x:c r="AQ384" s="38" t="n">
        <x:v>0.0628855844</x:v>
      </x:c>
      <x:c r="AR384" s="38" t="n">
        <x:v>0.0007903456</x:v>
      </x:c>
      <x:c r="AS384" s="38" t="n">
        <x:v>-0.0144000104</x:v>
      </x:c>
    </x:row>
    <x:row r="385" ht="19" customHeight="1">
      <x:c r="A385" s="29" t="str">
        <x:v>Primary sector</x:v>
      </x:c>
      <x:c r="B385" s="39" t="d">
        <x:v>2025-01-27T00:00:00.000Z</x:v>
      </x:c>
      <x:c r="C385" s="38" t="n">
        <x:v>0.0055577846</x:v>
      </x:c>
      <x:c r="D385" s="38" t="n">
        <x:v>-0.0276914131</x:v>
      </x:c>
      <x:c r="E385" s="38" t="n">
        <x:v>0.0517977081</x:v>
      </x:c>
      <x:c r="F385" s="38" t="n">
        <x:v>0.0501598008</x:v>
      </x:c>
      <x:c r="G385" s="38" t="n">
        <x:v>-0.0235411809</x:v>
      </x:c>
      <x:c r="H385" s="38" t="n">
        <x:v>-0.0472149938</x:v>
      </x:c>
      <x:c r="I385" s="38" t="n">
        <x:v>0.0347968532</x:v>
      </x:c>
      <x:c r="J385" s="38" t="n">
        <x:v>-0.1028349658</x:v>
      </x:c>
      <x:c r="K385" s="38" t="n">
        <x:v>0.1582616195</x:v>
      </x:c>
      <x:c r="L385" s="38" t="n">
        <x:v>0.082844572</x:v>
      </x:c>
      <x:c r="M385" s="38" t="n">
        <x:v>-0.0062431995</x:v>
      </x:c>
      <x:c r="N385" s="38" t="n">
        <x:v>0.0904627953</x:v>
      </x:c>
      <x:c r="O385" s="38" t="n">
        <x:v>0.1066578023</x:v>
      </x:c>
      <x:c r="P385" s="38" t="n">
        <x:v>0.1200870665</x:v>
      </x:c>
      <x:c r="Q385" s="38" t="n">
        <x:v>-0.1255596843</x:v>
      </x:c>
      <x:c r="R385" s="38" t="n">
        <x:v>0.2868524783</x:v>
      </x:c>
      <x:c r="S385" s="38" t="n">
        <x:v>0.0107835596</x:v>
      </x:c>
      <x:c r="T385" s="38" t="n">
        <x:v>0.2009680297</x:v>
      </x:c>
      <x:c r="U385" s="38" t="n">
        <x:v>-0.1042628265</x:v>
      </x:c>
      <x:c r="V385" s="38" t="n">
        <x:v>-0.0183834662</x:v>
      </x:c>
      <x:c r="W385" s="38" t="n">
        <x:v>0.0678280498</x:v>
      </x:c>
      <x:c r="X385" s="38" t="n">
        <x:v>-0.1948434421</x:v>
      </x:c>
      <x:c r="Y385" s="38" t="n">
        <x:v>0.1157207992</x:v>
      </x:c>
      <x:c r="Z385" s="38" t="n">
        <x:v>0.0828463022</x:v>
      </x:c>
      <x:c r="AA385" s="38" t="n">
        <x:v>-0.0058816792</x:v>
      </x:c>
      <x:c r="AB385" s="38" t="n">
        <x:v>-0.4663711697</x:v>
      </x:c>
      <x:c r="AC385" s="38" t="n">
        <x:v>-0.1042168095</x:v>
      </x:c>
      <x:c r="AD385" s="38" t="n">
        <x:v>-0.0185409908</x:v>
      </x:c>
      <x:c r="AE385" s="38" t="n">
        <x:v>-0.0013040009</x:v>
      </x:c>
      <x:c r="AF385" s="38" t="n">
        <x:v>-0.0067373107</x:v>
      </x:c>
      <x:c r="AG385" s="38" t="n">
        <x:v>0.0116120044</x:v>
      </x:c>
      <x:c r="AH385" s="38" t="n">
        <x:v>0.0206624121</x:v>
      </x:c>
      <x:c r="AI385" s="38" t="n">
        <x:v>-0.0031868086</x:v>
      </x:c>
      <x:c r="AJ385" s="38" t="n">
        <x:v>-0.0623151529</x:v>
      </x:c>
      <x:c r="AK385" s="38" t="n">
        <x:v>0.0670669543</x:v>
      </x:c>
      <x:c r="AL385" s="38" t="n">
        <x:v>0.091095611</x:v>
      </x:c>
      <x:c r="AM385" s="38" t="n">
        <x:v>-0.021295357</x:v>
      </x:c>
      <x:c r="AN385" s="38" t="n">
        <x:v>0.052176461</x:v>
      </x:c>
      <x:c r="AO385" s="38" t="n">
        <x:v>0.0369718875</x:v>
      </x:c>
      <x:c r="AP385" s="38" t="n">
        <x:v>0.0245154623</x:v>
      </x:c>
      <x:c r="AQ385" s="38" t="n">
        <x:v>0.000499053</x:v>
      </x:c>
      <x:c r="AR385" s="38" t="n">
        <x:v>-0.0137309151</x:v>
      </x:c>
      <x:c r="AS385" s="38" t="n">
        <x:v>0.0002970993</x:v>
      </x:c>
    </x:row>
    <x:row r="386" ht="19" customHeight="1">
      <x:c r="A386" s="29" t="str">
        <x:v>Primary sector</x:v>
      </x:c>
      <x:c r="B386" s="39" t="d">
        <x:v>2025-02-24T00:00:00.000Z</x:v>
      </x:c>
      <x:c r="C386" s="38" t="n">
        <x:v>-0.3057093634</x:v>
      </x:c>
      <x:c r="D386" s="38" t="n">
        <x:v>-0.138743942</x:v>
      </x:c>
      <x:c r="E386" s="38" t="n">
        <x:v>0.0682485668</x:v>
      </x:c>
      <x:c r="F386" s="38" t="n">
        <x:v>0.0743436631</x:v>
      </x:c>
      <x:c r="G386" s="38" t="n">
        <x:v>0.0266048301</x:v>
      </x:c>
      <x:c r="H386" s="38" t="n">
        <x:v>-0.0385818155</x:v>
      </x:c>
      <x:c r="I386" s="38" t="n">
        <x:v>-0.059787117</x:v>
      </x:c>
      <x:c r="J386" s="38" t="n">
        <x:v>-0.2563534733</x:v>
      </x:c>
      <x:c r="K386" s="38" t="n">
        <x:v>0.0743842823</x:v>
      </x:c>
      <x:c r="L386" s="38" t="n">
        <x:v>-0.0824574633</x:v>
      </x:c>
      <x:c r="M386" s="38" t="n">
        <x:v>-0.2096412973</x:v>
      </x:c>
      <x:c r="N386" s="38" t="n">
        <x:v>-0.0117777832</x:v>
      </x:c>
      <x:c r="O386" s="38" t="n">
        <x:v>-0.0131559357</x:v>
      </x:c>
      <x:c r="P386" s="38" t="n">
        <x:v>0.008415569</x:v>
      </x:c>
      <x:c r="Q386" s="38" t="n">
        <x:v>0.2182121769</x:v>
      </x:c>
      <x:c r="R386" s="38" t="n">
        <x:v>0.074918413</x:v>
      </x:c>
      <x:c r="S386" s="38" t="n">
        <x:v>0.079353957</x:v>
      </x:c>
      <x:c r="T386" s="38" t="n">
        <x:v>0.0519547961</x:v>
      </x:c>
      <x:c r="U386" s="38" t="n">
        <x:v>-0.3300728227</x:v>
      </x:c>
      <x:c r="V386" s="38" t="n">
        <x:v>-0.297672743</x:v>
      </x:c>
      <x:c r="W386" s="38" t="n">
        <x:v>0.0052104832</x:v>
      </x:c>
      <x:c r="X386" s="38" t="n">
        <x:v>0.0645505047</x:v>
      </x:c>
      <x:c r="Y386" s="38" t="n">
        <x:v>0.0435237762</x:v>
      </x:c>
      <x:c r="Z386" s="38" t="n">
        <x:v>0.0019150066</x:v>
      </x:c>
      <x:c r="AA386" s="38" t="n">
        <x:v>0.1426100296</x:v>
      </x:c>
      <x:c r="AB386" s="38" t="n">
        <x:v>-0.3006460233</x:v>
      </x:c>
      <x:c r="AC386" s="38" t="n">
        <x:v>-0.0038085428</x:v>
      </x:c>
      <x:c r="AD386" s="38" t="n">
        <x:v>0.0057575905</x:v>
      </x:c>
      <x:c r="AE386" s="38" t="n">
        <x:v>0.0224459903</x:v>
      </x:c>
      <x:c r="AF386" s="38" t="n">
        <x:v>-0.071882744</x:v>
      </x:c>
      <x:c r="AG386" s="38" t="n">
        <x:v>-0.0187413748</x:v>
      </x:c>
      <x:c r="AH386" s="38" t="n">
        <x:v>-0.1405738759</x:v>
      </x:c>
      <x:c r="AI386" s="38" t="n">
        <x:v>-0.1687302062</x:v>
      </x:c>
      <x:c r="AJ386" s="38" t="n">
        <x:v>0.1179886518</x:v>
      </x:c>
      <x:c r="AK386" s="38" t="n">
        <x:v>0.0880409797</x:v>
      </x:c>
      <x:c r="AL386" s="38" t="n">
        <x:v>0.0800212577</x:v>
      </x:c>
      <x:c r="AM386" s="38" t="n">
        <x:v>-0.0446024608</x:v>
      </x:c>
      <x:c r="AN386" s="38" t="n">
        <x:v>-0.2132442539</x:v>
      </x:c>
      <x:c r="AO386" s="38" t="n">
        <x:v>0.0401476072</x:v>
      </x:c>
      <x:c r="AP386" s="38" t="n">
        <x:v>0.0035797564</x:v>
      </x:c>
      <x:c r="AQ386" s="38" t="n">
        <x:v>0.0716640433</x:v>
      </x:c>
      <x:c r="AR386" s="38" t="n">
        <x:v>0.0707073508</x:v>
      </x:c>
      <x:c r="AS386" s="38" t="n">
        <x:v>0.0996665323</x:v>
      </x:c>
    </x:row>
    <x:row r="387" ht="19" customHeight="1">
      <x:c r="A387" s="29" t="str">
        <x:v>Primary sector</x:v>
      </x:c>
      <x:c r="B387" s="39" t="d">
        <x:v>2025-03-24T00:00:00.000Z</x:v>
      </x:c>
      <x:c r="C387" s="38" t="n">
        <x:v>-0.0861997428</x:v>
      </x:c>
      <x:c r="D387" s="38" t="n">
        <x:v>-0.1276957237</x:v>
      </x:c>
      <x:c r="E387" s="38" t="n">
        <x:v>-0.025349218</x:v>
      </x:c>
      <x:c r="F387" s="38" t="n">
        <x:v>-0.0429000458</x:v>
      </x:c>
      <x:c r="G387" s="38" t="n">
        <x:v>-0.1062647997</x:v>
      </x:c>
      <x:c r="H387" s="38" t="n">
        <x:v>-0.0533978503</x:v>
      </x:c>
      <x:c r="I387" s="38" t="n">
        <x:v>0.0564676981</x:v>
      </x:c>
      <x:c r="J387" s="38" t="n">
        <x:v>-0.1115203258</x:v>
      </x:c>
      <x:c r="K387" s="38" t="n">
        <x:v>-0.0025327972</x:v>
      </x:c>
      <x:c r="L387" s="38" t="n">
        <x:v>-0.0222300467</x:v>
      </x:c>
      <x:c r="M387" s="38" t="n">
        <x:v>-0.1088432217</x:v>
      </x:c>
      <x:c r="N387" s="38" t="n">
        <x:v>-0.0424853526</x:v>
      </x:c>
      <x:c r="O387" s="38" t="n">
        <x:v>-0.0647564749</x:v>
      </x:c>
      <x:c r="P387" s="38" t="n">
        <x:v>-0.0414952216</x:v>
      </x:c>
      <x:c r="Q387" s="38" t="n">
        <x:v>-0.0400900327</x:v>
      </x:c>
      <x:c r="R387" s="38" t="n">
        <x:v>-0.1887560408</x:v>
      </x:c>
      <x:c r="S387" s="38" t="n">
        <x:v>0.0181121918</x:v>
      </x:c>
      <x:c r="T387" s="38" t="n">
        <x:v>-0.0486521528</x:v>
      </x:c>
      <x:c r="U387" s="38" t="n">
        <x:v>-0.0046962969</x:v>
      </x:c>
      <x:c r="V387" s="38" t="n">
        <x:v>0.0382001258</x:v>
      </x:c>
      <x:c r="W387" s="38" t="n">
        <x:v>-0.0917432899</x:v>
      </x:c>
      <x:c r="X387" s="38" t="n">
        <x:v>0.0151640786</x:v>
      </x:c>
      <x:c r="Y387" s="38" t="n">
        <x:v>0.0974488288</x:v>
      </x:c>
      <x:c r="Z387" s="38" t="n">
        <x:v>0.0557063399</x:v>
      </x:c>
      <x:c r="AA387" s="38" t="n">
        <x:v>-0.0243308339</x:v>
      </x:c>
      <x:c r="AB387" s="38" t="n">
        <x:v>0.240360756</x:v>
      </x:c>
      <x:c r="AC387" s="38" t="n">
        <x:v>-0.0366400792</x:v>
      </x:c>
      <x:c r="AD387" s="38" t="n">
        <x:v>-0.0424077968</x:v>
      </x:c>
      <x:c r="AE387" s="38" t="n">
        <x:v>0.054811798</x:v>
      </x:c>
      <x:c r="AF387" s="38" t="n">
        <x:v>-0.20022984</x:v>
      </x:c>
      <x:c r="AG387" s="38" t="n">
        <x:v>-0.000132724</x:v>
      </x:c>
      <x:c r="AH387" s="38" t="n">
        <x:v>0.1115648077</x:v>
      </x:c>
      <x:c r="AI387" s="38" t="n">
        <x:v>0.2234023277</x:v>
      </x:c>
      <x:c r="AJ387" s="38" t="n">
        <x:v>-0.1326226547</x:v>
      </x:c>
      <x:c r="AK387" s="38" t="n">
        <x:v>-0.0379342122</x:v>
      </x:c>
      <x:c r="AL387" s="38" t="n">
        <x:v>0.1436670968</x:v>
      </x:c>
      <x:c r="AM387" s="38" t="n">
        <x:v>0.0290197618</x:v>
      </x:c>
      <x:c r="AN387" s="38" t="n">
        <x:v>-0.0036765443</x:v>
      </x:c>
      <x:c r="AO387" s="38" t="n">
        <x:v>-0.0882747046</x:v>
      </x:c>
      <x:c r="AP387" s="38" t="n">
        <x:v>-0.0793672185</x:v>
      </x:c>
      <x:c r="AQ387" s="38" t="n">
        <x:v>-0.0276367981</x:v>
      </x:c>
      <x:c r="AR387" s="38" t="n">
        <x:v>-0.0424110235</x:v>
      </x:c>
      <x:c r="AS387" s="38" t="n">
        <x:v>0.005992026</x:v>
      </x:c>
    </x:row>
    <x:row r="388" ht="19" customHeight="1">
      <x:c r="A388" s="29" t="str">
        <x:v>Primary sector</x:v>
      </x:c>
      <x:c r="B388" s="39" t="d">
        <x:v>2025-04-21T00:00:00.000Z</x:v>
      </x:c>
      <x:c r="C388" s="38" t="n">
        <x:v>0.0751643219</x:v>
      </x:c>
      <x:c r="D388" s="38" t="n">
        <x:v>0.125462116</x:v>
      </x:c>
      <x:c r="E388" s="38" t="n">
        <x:v>-0.059394133</x:v>
      </x:c>
      <x:c r="F388" s="38" t="n">
        <x:v>-0.0087537859</x:v>
      </x:c>
      <x:c r="G388" s="38" t="n">
        <x:v>-0.1248971613</x:v>
      </x:c>
      <x:c r="H388" s="38" t="n">
        <x:v>0.0281207472</x:v>
      </x:c>
      <x:c r="I388" s="38" t="n">
        <x:v>-0.1160328104</x:v>
      </x:c>
      <x:c r="J388" s="38" t="n">
        <x:v>0.1497386857</x:v>
      </x:c>
      <x:c r="K388" s="38" t="n">
        <x:v>-0.1276470513</x:v>
      </x:c>
      <x:c r="L388" s="38" t="n">
        <x:v>-0.012938914</x:v>
      </x:c>
      <x:c r="M388" s="38" t="n">
        <x:v>-0.0245591549</x:v>
      </x:c>
      <x:c r="N388" s="38" t="n">
        <x:v>0.0782121677</x:v>
      </x:c>
      <x:c r="O388" s="38" t="n">
        <x:v>-0.0187092663</x:v>
      </x:c>
      <x:c r="P388" s="38" t="n">
        <x:v>-0.0499243732</x:v>
      </x:c>
      <x:c r="Q388" s="38" t="n">
        <x:v>0.0437762525</x:v>
      </x:c>
      <x:c r="R388" s="38" t="n">
        <x:v>-0.1978692894</x:v>
      </x:c>
      <x:c r="S388" s="38" t="n">
        <x:v>-0.0331182215</x:v>
      </x:c>
      <x:c r="T388" s="38" t="n">
        <x:v>0.0218890946</x:v>
      </x:c>
      <x:c r="U388" s="38" t="n">
        <x:v>-0.2708398057</x:v>
      </x:c>
      <x:c r="V388" s="38" t="n">
        <x:v>0.0629499064</x:v>
      </x:c>
      <x:c r="W388" s="38" t="n">
        <x:v>0.1225091613</x:v>
      </x:c>
      <x:c r="X388" s="38" t="n">
        <x:v>-0.1450956077</x:v>
      </x:c>
      <x:c r="Y388" s="38" t="n">
        <x:v>-0.2163923443</x:v>
      </x:c>
      <x:c r="Z388" s="38" t="n">
        <x:v>0.0716162761</x:v>
      </x:c>
      <x:c r="AA388" s="38" t="n">
        <x:v>-0.0905976761</x:v>
      </x:c>
      <x:c r="AB388" s="38" t="n">
        <x:v>-0.2333759542</x:v>
      </x:c>
      <x:c r="AC388" s="38" t="n">
        <x:v>-0.1304488284</x:v>
      </x:c>
      <x:c r="AD388" s="38" t="n">
        <x:v>-0.0677422068</x:v>
      </x:c>
      <x:c r="AE388" s="38" t="n">
        <x:v>-0.0446617961</x:v>
      </x:c>
      <x:c r="AF388" s="38" t="n">
        <x:v>-0.0007825695</x:v>
      </x:c>
      <x:c r="AG388" s="38" t="n">
        <x:v>-0.0856420546</x:v>
      </x:c>
      <x:c r="AH388" s="38" t="n">
        <x:v>0.0723410348</x:v>
      </x:c>
      <x:c r="AI388" s="38" t="n">
        <x:v>-0.3411996155</x:v>
      </x:c>
      <x:c r="AJ388" s="38" t="n">
        <x:v>0.1574635828</x:v>
      </x:c>
      <x:c r="AK388" s="38" t="n">
        <x:v>-0.0838489116</x:v>
      </x:c>
      <x:c r="AL388" s="38" t="n">
        <x:v>-0.119425082</x:v>
      </x:c>
      <x:c r="AM388" s="38" t="n">
        <x:v>-0.0768878087</x:v>
      </x:c>
      <x:c r="AN388" s="38" t="n">
        <x:v>-0.0023019208</x:v>
      </x:c>
      <x:c r="AO388" s="38" t="n">
        <x:v>0.0440001258</x:v>
      </x:c>
      <x:c r="AP388" s="38" t="n">
        <x:v>-0.065248757</x:v>
      </x:c>
      <x:c r="AQ388" s="38" t="n">
        <x:v>-0.0394099915</x:v>
      </x:c>
      <x:c r="AR388" s="38" t="n">
        <x:v>-0.0617503194</x:v>
      </x:c>
      <x:c r="AS388" s="38" t="n">
        <x:v>-0.0230065194</x:v>
      </x:c>
    </x:row>
    <x:row r="389" ht="19" customHeight="1">
      <x:c r="A389" s="29" t="str">
        <x:v>Primary sector</x:v>
      </x:c>
      <x:c r="B389" s="39" t="d">
        <x:v>2025-05-19T00:00:00.000Z</x:v>
      </x:c>
      <x:c r="C389" s="38" t="n">
        <x:v>0.1945111027</x:v>
      </x:c>
      <x:c r="D389" s="38" t="n">
        <x:v>0.0276154718</x:v>
      </x:c>
      <x:c r="E389" s="38" t="n">
        <x:v>-0.1151323409</x:v>
      </x:c>
      <x:c r="F389" s="38" t="n">
        <x:v>-0.0694937476</x:v>
      </x:c>
      <x:c r="G389" s="38" t="n">
        <x:v>0.1417596335</x:v>
      </x:c>
      <x:c r="H389" s="38" t="n">
        <x:v>-0.0908699293</x:v>
      </x:c>
      <x:c r="I389" s="38" t="n">
        <x:v>-0.0616969747</x:v>
      </x:c>
      <x:c r="J389" s="38" t="n">
        <x:v>0.0541076432</x:v>
      </x:c>
      <x:c r="K389" s="38" t="n">
        <x:v>0.0585983391</x:v>
      </x:c>
      <x:c r="L389" s="38" t="n">
        <x:v>0.1628147901</x:v>
      </x:c>
      <x:c r="M389" s="38" t="n">
        <x:v>0.2137707314</x:v>
      </x:c>
      <x:c r="N389" s="38" t="n">
        <x:v>0.1294223915</x:v>
      </x:c>
      <x:c r="O389" s="38" t="n">
        <x:v>-0.0158256166</x:v>
      </x:c>
      <x:c r="P389" s="38" t="n">
        <x:v>0.0350075966</x:v>
      </x:c>
      <x:c r="Q389" s="38" t="n">
        <x:v>-0.010521758</x:v>
      </x:c>
      <x:c r="R389" s="38" t="n">
        <x:v>-0.2668997921</x:v>
      </x:c>
      <x:c r="S389" s="38" t="n">
        <x:v>0.0400731077</x:v>
      </x:c>
      <x:c r="T389" s="38" t="n">
        <x:v>0.1831353864</x:v>
      </x:c>
      <x:c r="U389" s="38" t="n">
        <x:v>-0.012268467</x:v>
      </x:c>
      <x:c r="V389" s="38" t="n">
        <x:v>0.0075898818</x:v>
      </x:c>
      <x:c r="W389" s="38" t="n">
        <x:v>0.0278450113</x:v>
      </x:c>
      <x:c r="X389" s="38" t="n">
        <x:v>-0.0721661105</x:v>
      </x:c>
      <x:c r="Y389" s="38" t="n">
        <x:v>-0.0300557686</x:v>
      </x:c>
      <x:c r="Z389" s="38" t="n">
        <x:v>-0.0764756106</x:v>
      </x:c>
      <x:c r="AA389" s="38" t="n">
        <x:v>0.0137353563</x:v>
      </x:c>
      <x:c r="AB389" s="38" t="n">
        <x:v>0.1464286003</x:v>
      </x:c>
      <x:c r="AC389" s="38" t="n">
        <x:v>-0.3483518649</x:v>
      </x:c>
      <x:c r="AD389" s="38" t="n">
        <x:v>-0.0397542835</x:v>
      </x:c>
      <x:c r="AE389" s="38" t="n">
        <x:v>-0.0388268411</x:v>
      </x:c>
      <x:c r="AF389" s="38" t="n">
        <x:v>-0.025291147</x:v>
      </x:c>
      <x:c r="AG389" s="38" t="n">
        <x:v>0.0376324421</x:v>
      </x:c>
      <x:c r="AH389" s="38" t="n">
        <x:v>-0.0733861778</x:v>
      </x:c>
      <x:c r="AI389" s="38" t="n">
        <x:v>-0.0855155849</x:v>
      </x:c>
      <x:c r="AJ389" s="38" t="n">
        <x:v>-0.179423462</x:v>
      </x:c>
      <x:c r="AK389" s="38" t="n">
        <x:v>0.0042619402</x:v>
      </x:c>
      <x:c r="AL389" s="38" t="n">
        <x:v>0.0101180201</x:v>
      </x:c>
      <x:c r="AM389" s="38" t="n">
        <x:v>0.0719678144</x:v>
      </x:c>
      <x:c r="AN389" s="38" t="n">
        <x:v>-0.0246880107</x:v>
      </x:c>
      <x:c r="AO389" s="38" t="n">
        <x:v>-0.0762985111</x:v>
      </x:c>
      <x:c r="AP389" s="38" t="n">
        <x:v>-0.0918861246</x:v>
      </x:c>
      <x:c r="AQ389" s="38" t="n">
        <x:v>-0.0579078421</x:v>
      </x:c>
      <x:c r="AR389" s="38" t="n">
        <x:v>0.0538082874</x:v>
      </x:c>
      <x:c r="AS389" s="38" t="n">
        <x:v>-0.0929635438</x:v>
      </x:c>
    </x:row>
    <x:row r="390" ht="19" customHeight="1">
      <x:c r="A390" s="29" t="str">
        <x:v>Primary sector</x:v>
      </x:c>
      <x:c r="B390" s="39" t="d">
        <x:v>2025-06-16T00:00:00.000Z</x:v>
      </x:c>
      <x:c r="C390" s="38" t="n">
        <x:v>0.1749927783</x:v>
      </x:c>
      <x:c r="D390" s="38" t="n">
        <x:v>-0.0863969073</x:v>
      </x:c>
      <x:c r="E390" s="38" t="n">
        <x:v>-0.0052665766</x:v>
      </x:c>
      <x:c r="F390" s="38" t="n">
        <x:v>-0.0328283284</x:v>
      </x:c>
      <x:c r="G390" s="38" t="n">
        <x:v>0.0649601001</x:v>
      </x:c>
      <x:c r="H390" s="38" t="n">
        <x:v>0.0605733587</x:v>
      </x:c>
      <x:c r="I390" s="38" t="n">
        <x:v>0.027684591</x:v>
      </x:c>
      <x:c r="J390" s="38" t="n">
        <x:v>0.0102887052</x:v>
      </x:c>
      <x:c r="K390" s="38" t="n">
        <x:v>0.1198723606</x:v>
      </x:c>
      <x:c r="L390" s="38" t="n">
        <x:v>-0.0180920195</x:v>
      </x:c>
      <x:c r="M390" s="38" t="n">
        <x:v>0.0918428928</x:v>
      </x:c>
      <x:c r="N390" s="38" t="n">
        <x:v>-0.0101548033</x:v>
      </x:c>
      <x:c r="O390" s="38" t="n">
        <x:v>-0.0093094841</x:v>
      </x:c>
      <x:c r="P390" s="38" t="n">
        <x:v>0.148698609</x:v>
      </x:c>
      <x:c r="Q390" s="38" t="n">
        <x:v>0.0837571729</x:v>
      </x:c>
      <x:c r="R390" s="38" t="n">
        <x:v>-0.1497017863</x:v>
      </x:c>
      <x:c r="S390" s="38" t="n">
        <x:v>-0.0565277386</x:v>
      </x:c>
      <x:c r="T390" s="38" t="n">
        <x:v>0.1009261155</x:v>
      </x:c>
      <x:c r="U390" s="38" t="n">
        <x:v>-0.0231976621</x:v>
      </x:c>
      <x:c r="V390" s="38" t="n">
        <x:v>0.0582530502</x:v>
      </x:c>
      <x:c r="W390" s="38" t="n">
        <x:v>-0.0102307893</x:v>
      </x:c>
      <x:c r="X390" s="38" t="n">
        <x:v>-0.0007301393</x:v>
      </x:c>
      <x:c r="Y390" s="38" t="n">
        <x:v>0.2920347976</x:v>
      </x:c>
      <x:c r="Z390" s="38" t="n">
        <x:v>0.1188580952</x:v>
      </x:c>
      <x:c r="AA390" s="38" t="n">
        <x:v>-0.0783841596</x:v>
      </x:c>
      <x:c r="AB390" s="38" t="n">
        <x:v>0.0691848595</x:v>
      </x:c>
      <x:c r="AC390" s="38" t="n">
        <x:v>0.2777000727</x:v>
      </x:c>
      <x:c r="AD390" s="38" t="n">
        <x:v>-0.008610031</x:v>
      </x:c>
      <x:c r="AE390" s="38" t="n">
        <x:v>0.0191782198</x:v>
      </x:c>
      <x:c r="AF390" s="38" t="n">
        <x:v>-0.0415890942</x:v>
      </x:c>
      <x:c r="AG390" s="38" t="n">
        <x:v>-0.0399252229</x:v>
      </x:c>
      <x:c r="AH390" s="38" t="n">
        <x:v>0.0861597456</x:v>
      </x:c>
      <x:c r="AI390" s="38" t="n">
        <x:v>0.0029011535</x:v>
      </x:c>
      <x:c r="AJ390" s="38" t="n">
        <x:v>0.0483383253</x:v>
      </x:c>
      <x:c r="AK390" s="38" t="n">
        <x:v>-0.0211909829</x:v>
      </x:c>
      <x:c r="AL390" s="38" t="n">
        <x:v>-0.1384289545</x:v>
      </x:c>
      <x:c r="AM390" s="38" t="n">
        <x:v>-0.0016744669</x:v>
      </x:c>
      <x:c r="AN390" s="38" t="n">
        <x:v>-0.0926177491</x:v>
      </x:c>
      <x:c r="AO390" s="38" t="n">
        <x:v>-0.030261481</x:v>
      </x:c>
      <x:c r="AP390" s="38" t="n">
        <x:v>-0.035247036</x:v>
      </x:c>
      <x:c r="AQ390" s="38" t="n">
        <x:v>-0.0388495659</x:v>
      </x:c>
      <x:c r="AR390" s="38" t="n">
        <x:v>-0.0307107562</x:v>
      </x:c>
      <x:c r="AS390" s="38" t="n">
        <x:v>-0.0694797988</x:v>
      </x:c>
    </x:row>
    <x:row r="391" ht="19" customHeight="1">
      <x:c r="A391" s="29" t="str">
        <x:v>Primary sector</x:v>
      </x:c>
      <x:c r="B391" s="39" t="d">
        <x:v>2025-07-14T00:00:00.000Z</x:v>
      </x:c>
      <x:c r="C391" s="38" t="n">
        <x:v>-0.0567580943</x:v>
      </x:c>
      <x:c r="D391" s="38" t="n">
        <x:v>-0.1807040064</x:v>
      </x:c>
      <x:c r="E391" s="38" t="n">
        <x:v>0.0327342218</x:v>
      </x:c>
      <x:c r="F391" s="38" t="n">
        <x:v>0.027110745</x:v>
      </x:c>
      <x:c r="G391" s="38" t="n">
        <x:v>-0.0096835332</x:v>
      </x:c>
      <x:c r="H391" s="38" t="n">
        <x:v>-0.0200720725</x:v>
      </x:c>
      <x:c r="I391" s="38" t="n">
        <x:v>0.02732777</x:v>
      </x:c>
      <x:c r="J391" s="38" t="n">
        <x:v>-0.0409853757</x:v>
      </x:c>
      <x:c r="K391" s="38" t="n">
        <x:v>-0.0035989399</x:v>
      </x:c>
      <x:c r="L391" s="38" t="n">
        <x:v>0.0732634619</x:v>
      </x:c>
      <x:c r="M391" s="38" t="n">
        <x:v>-0.0513254359</x:v>
      </x:c>
      <x:c r="N391" s="38" t="n">
        <x:v>0.0166872186</x:v>
      </x:c>
      <x:c r="O391" s="38" t="n">
        <x:v>-0.020359977</x:v>
      </x:c>
      <x:c r="P391" s="38" t="n">
        <x:v>0.0021751598</x:v>
      </x:c>
      <x:c r="Q391" s="38" t="n">
        <x:v>-0.080839134</x:v>
      </x:c>
      <x:c r="R391" s="38" t="n">
        <x:v>-0.0273562638</x:v>
      </x:c>
      <x:c r="S391" s="38" t="n">
        <x:v>-0.0026480602</x:v>
      </x:c>
      <x:c r="T391" s="38" t="n">
        <x:v>0.0621165172</x:v>
      </x:c>
      <x:c r="U391" s="38" t="n">
        <x:v>0.211297097</x:v>
      </x:c>
      <x:c r="V391" s="38" t="n">
        <x:v>-0.1153684484</x:v>
      </x:c>
      <x:c r="W391" s="38" t="n">
        <x:v>-0.0789118453</x:v>
      </x:c>
      <x:c r="X391" s="38" t="n">
        <x:v>0.0262668331</x:v>
      </x:c>
      <x:c r="Y391" s="38" t="n">
        <x:v>-0.2936837619</x:v>
      </x:c>
      <x:c r="Z391" s="38" t="n">
        <x:v>-0.0517252828</x:v>
      </x:c>
      <x:c r="AA391" s="38" t="n">
        <x:v>-0.1019229347</x:v>
      </x:c>
      <x:c r="AB391" s="38" t="n">
        <x:v>0.1967480395</x:v>
      </x:c>
      <x:c r="AC391" s="38" t="n">
        <x:v>0.3546831091</x:v>
      </x:c>
      <x:c r="AD391" s="38" t="n">
        <x:v>-0.0399817272</x:v>
      </x:c>
      <x:c r="AE391" s="38" t="n">
        <x:v>-0.0259827703</x:v>
      </x:c>
      <x:c r="AF391" s="38" t="n">
        <x:v>0.104237125</x:v>
      </x:c>
      <x:c r="AG391" s="38" t="n">
        <x:v>0.1201221082</x:v>
      </x:c>
      <x:c r="AH391" s="38" t="n">
        <x:v>0.0876419944</x:v>
      </x:c>
      <x:c r="AI391" s="38" t="n">
        <x:v>0.1117322589</x:v>
      </x:c>
      <x:c r="AJ391" s="38" t="n">
        <x:v>0.0161954405</x:v>
      </x:c>
      <x:c r="AK391" s="38" t="n">
        <x:v>0.0500134968</x:v>
      </x:c>
      <x:c r="AL391" s="38" t="n">
        <x:v>-0.1941557448</x:v>
      </x:c>
      <x:c r="AM391" s="38" t="n">
        <x:v>0.0180004133</x:v>
      </x:c>
      <x:c r="AN391" s="38" t="n">
        <x:v>0.0643621731</x:v>
      </x:c>
      <x:c r="AO391" s="38" t="n">
        <x:v>-0.0575282041</x:v>
      </x:c>
      <x:c r="AP391" s="38" t="n">
        <x:v>-0.0048207694</x:v>
      </x:c>
      <x:c r="AQ391" s="38" t="n">
        <x:v>0.0223785156</x:v>
      </x:c>
      <x:c r="AR391" s="38" t="n">
        <x:v>0.1485228709</x:v>
      </x:c>
      <x:c r="AS391" s="38" t="n">
        <x:v>-0.0670792362</x:v>
      </x:c>
    </x:row>
    <x:row r="392" ht="19" customHeight="1">
      <x:c r="A392" s="29" t="str">
        <x:v>Primary sector</x:v>
      </x:c>
      <x:c r="B392" s="39" t="d">
        <x:v>2025-08-11T00:00:00.000Z</x:v>
      </x:c>
      <x:c r="C392" s="38" t="n">
        <x:v>-0.030941174</x:v>
      </x:c>
      <x:c r="D392" s="38" t="n">
        <x:v>-0.1139883549</x:v>
      </x:c>
      <x:c r="E392" s="38" t="n">
        <x:v>0.0392522733</x:v>
      </x:c>
      <x:c r="F392" s="38" t="n">
        <x:v>0.0161450765</x:v>
      </x:c>
      <x:c r="G392" s="38" t="n">
        <x:v>-0.1141985316</x:v>
      </x:c>
      <x:c r="H392" s="38" t="n">
        <x:v>-0.2903778518</x:v>
      </x:c>
      <x:c r="I392" s="38" t="n">
        <x:v>-0.0303678878</x:v>
      </x:c>
      <x:c r="J392" s="38" t="n">
        <x:v>0.2417205801</x:v>
      </x:c>
      <x:c r="K392" s="38" t="n">
        <x:v>0.0708800509</x:v>
      </x:c>
      <x:c r="L392" s="38" t="n">
        <x:v>-0.0836669993</x:v>
      </x:c>
      <x:c r="M392" s="38" t="n">
        <x:v>-0.0774464321</x:v>
      </x:c>
      <x:c r="N392" s="38" t="n">
        <x:v>-0.022100258</x:v>
      </x:c>
      <x:c r="O392" s="38" t="n">
        <x:v>0.042840318</x:v>
      </x:c>
      <x:c r="P392" s="38" t="n">
        <x:v>0.1737854699</x:v>
      </x:c>
      <x:c r="Q392" s="38" t="n">
        <x:v>0.1798334475</x:v>
      </x:c>
      <x:c r="R392" s="38" t="n">
        <x:v>0.0715403436</x:v>
      </x:c>
      <x:c r="S392" s="38" t="n">
        <x:v>-0.024122883</x:v>
      </x:c>
      <x:c r="T392" s="38" t="n">
        <x:v>-0.0370465724</x:v>
      </x:c>
      <x:c r="U392" s="38" t="n">
        <x:v>-0.1605700035</x:v>
      </x:c>
      <x:c r="V392" s="38" t="n">
        <x:v>-0.027061946</x:v>
      </x:c>
      <x:c r="W392" s="38" t="n">
        <x:v>-0.043900776</x:v>
      </x:c>
      <x:c r="X392" s="38" t="n">
        <x:v>-0.0868980462</x:v>
      </x:c>
      <x:c r="Y392" s="38" t="n">
        <x:v>0.1094848911</x:v>
      </x:c>
      <x:c r="Z392" s="38" t="n">
        <x:v>0.2698010788</x:v>
      </x:c>
      <x:c r="AA392" s="38" t="n">
        <x:v>0.0027455521</x:v>
      </x:c>
      <x:c r="AB392" s="38" t="n">
        <x:v>0.1234694844</x:v>
      </x:c>
      <x:c r="AC392" s="38" t="n">
        <x:v>-0.2800567132</x:v>
      </x:c>
      <x:c r="AD392" s="38" t="n">
        <x:v>-0.0330766218</x:v>
      </x:c>
      <x:c r="AE392" s="38" t="n">
        <x:v>0.0336960354</x:v>
      </x:c>
      <x:c r="AF392" s="38" t="n">
        <x:v>-0.0241319417</x:v>
      </x:c>
      <x:c r="AG392" s="38" t="n">
        <x:v>0.0235742146</x:v>
      </x:c>
      <x:c r="AH392" s="38" t="n">
        <x:v>0.1084915986</x:v>
      </x:c>
      <x:c r="AI392" s="38" t="n">
        <x:v>0.1292343573</x:v>
      </x:c>
      <x:c r="AJ392" s="38" t="n">
        <x:v>-0.2007850492</x:v>
      </x:c>
      <x:c r="AK392" s="38" t="n">
        <x:v>0.0554139636</x:v>
      </x:c>
      <x:c r="AL392" s="38" t="n">
        <x:v>-0.1591629825</x:v>
      </x:c>
      <x:c r="AM392" s="38" t="n">
        <x:v>-0.0113199353</x:v>
      </x:c>
      <x:c r="AN392" s="38" t="n">
        <x:v>0.0694748605</x:v>
      </x:c>
      <x:c r="AO392" s="38" t="n">
        <x:v>0.008343683</x:v>
      </x:c>
      <x:c r="AP392" s="38" t="n">
        <x:v>0.1141224395</x:v>
      </x:c>
      <x:c r="AQ392" s="38" t="n">
        <x:v>-0.020451731</x:v>
      </x:c>
      <x:c r="AR392" s="38" t="n">
        <x:v>0.0638863609</x:v>
      </x:c>
      <x:c r="AS392" s="38" t="n">
        <x:v>0.0012678093</x:v>
      </x:c>
    </x:row>
    <x:row r="393" ht="19" customHeight="1">
      <x:c r="A393" s="29" t="str">
        <x:v>Primary sector</x:v>
      </x:c>
      <x:c r="B393" s="39" t="d">
        <x:v>2025-09-08T00:00:00.000Z</x:v>
      </x:c>
      <x:c r="C393" s="38" t="n">
        <x:v>0.0519979931</x:v>
      </x:c>
      <x:c r="D393" s="38" t="n">
        <x:v>-0.2776455688</x:v>
      </x:c>
      <x:c r="E393" s="38" t="n">
        <x:v>-0.0177814964</x:v>
      </x:c>
      <x:c r="F393" s="38" t="n">
        <x:v>0.0129461899</x:v>
      </x:c>
      <x:c r="G393" s="38" t="n">
        <x:v>-0.020687933</x:v>
      </x:c>
      <x:c r="H393" s="38" t="n">
        <x:v>-0.2309725616</x:v>
      </x:c>
      <x:c r="I393" s="38" t="n">
        <x:v>-0.0845440645</x:v>
      </x:c>
      <x:c r="J393" s="38" t="n">
        <x:v>0.0494422579</x:v>
      </x:c>
      <x:c r="K393" s="38" t="n">
        <x:v>0.2514411848</x:v>
      </x:c>
      <x:c r="L393" s="38" t="n">
        <x:v>0.1210619816</x:v>
      </x:c>
      <x:c r="M393" s="38" t="n">
        <x:v>0.008084207</x:v>
      </x:c>
      <x:c r="N393" s="38" t="n">
        <x:v>-0.0312228556</x:v>
      </x:c>
      <x:c r="O393" s="38" t="n">
        <x:v>0.0317098997</x:v>
      </x:c>
      <x:c r="P393" s="38" t="n">
        <x:v>0.2604239328</x:v>
      </x:c>
      <x:c r="Q393" s="38" t="n">
        <x:v>-0.0392460783</x:v>
      </x:c>
      <x:c r="R393" s="38" t="n">
        <x:v>0.1844202285</x:v>
      </x:c>
      <x:c r="S393" s="38" t="n">
        <x:v>-0.0518097748</x:v>
      </x:c>
      <x:c r="T393" s="38" t="n">
        <x:v>0.0817697993</x:v>
      </x:c>
      <x:c r="U393" s="38" t="n">
        <x:v>-0.2956886188</x:v>
      </x:c>
      <x:c r="V393" s="38" t="n">
        <x:v>0.0594879044</x:v>
      </x:c>
      <x:c r="W393" s="38" t="n">
        <x:v>-0.1297842028</x:v>
      </x:c>
      <x:c r="X393" s="38" t="n">
        <x:v>-0.0441796396</x:v>
      </x:c>
      <x:c r="Y393" s="38" t="n">
        <x:v>0.2547642716</x:v>
      </x:c>
      <x:c r="Z393" s="38" t="n">
        <x:v>0.1090115526</x:v>
      </x:c>
      <x:c r="AA393" s="38" t="n">
        <x:v>-0.0060248934</x:v>
      </x:c>
      <x:c r="AB393" s="38" t="n">
        <x:v>-0.1568072131</x:v>
      </x:c>
      <x:c r="AC393" s="38" t="n">
        <x:v>-0.0798900224</x:v>
      </x:c>
      <x:c r="AD393" s="38" t="n">
        <x:v>0.0705253345</x:v>
      </x:c>
      <x:c r="AE393" s="38" t="n">
        <x:v>-0.0580204812</x:v>
      </x:c>
      <x:c r="AF393" s="38" t="n">
        <x:v>0.185964021</x:v>
      </x:c>
      <x:c r="AG393" s="38" t="n">
        <x:v>-0.1382933429</x:v>
      </x:c>
      <x:c r="AH393" s="38" t="n">
        <x:v>0.0280007383</x:v>
      </x:c>
      <x:c r="AI393" s="38" t="n">
        <x:v>-0.193594152</x:v>
      </x:c>
      <x:c r="AJ393" s="38" t="n">
        <x:v>0.0665989524</x:v>
      </x:c>
      <x:c r="AK393" s="38" t="n">
        <x:v>-0.0130839671</x:v>
      </x:c>
      <x:c r="AL393" s="38" t="n">
        <x:v>0.088723252</x:v>
      </x:c>
      <x:c r="AM393" s="38" t="n">
        <x:v>-0.0525361592</x:v>
      </x:c>
      <x:c r="AN393" s="38" t="n">
        <x:v>0.1018345426</x:v>
      </x:c>
      <x:c r="AO393" s="38" t="n">
        <x:v>0.0137651443</x:v>
      </x:c>
      <x:c r="AP393" s="38" t="n">
        <x:v>0.0629469274</x:v>
      </x:c>
      <x:c r="AQ393" s="38" t="n">
        <x:v>-0.0274009721</x:v>
      </x:c>
      <x:c r="AR393" s="38" t="n">
        <x:v>0.0124988055</x:v>
      </x:c>
      <x:c r="AS393" s="38" t="n">
        <x:v>0.0260335675</x:v>
      </x:c>
    </x:row>
    <x:row r="394" ht="19" customHeight="1">
      <x:c r="A394" s="29" t="str">
        <x:v>Primary sector</x:v>
      </x:c>
      <x:c r="B394" s="39" t="d">
        <x:v>2025-10-06T00:00:00.000Z</x:v>
      </x:c>
      <x:c r="C394" s="38" t="n">
        <x:v>-0.1613835613</x:v>
      </x:c>
      <x:c r="D394" s="38" t="n">
        <x:v>0.077475164</x:v>
      </x:c>
      <x:c r="E394" s="38" t="n">
        <x:v>0.0350540297</x:v>
      </x:c>
      <x:c r="F394" s="38" t="n">
        <x:v>-0.0125606216</x:v>
      </x:c>
      <x:c r="G394" s="38" t="n">
        <x:v>-0.015746531</x:v>
      </x:c>
      <x:c r="H394" s="38" t="n">
        <x:v>0.0944229972</x:v>
      </x:c>
      <x:c r="I394" s="38" t="n">
        <x:v>-0.0045841503</x:v>
      </x:c>
      <x:c r="J394" s="38" t="n">
        <x:v>0.1137347572</x:v>
      </x:c>
      <x:c r="K394" s="38" t="n">
        <x:v>0.0493106644</x:v>
      </x:c>
      <x:c r="L394" s="38" t="n">
        <x:v>0.0578138141</x:v>
      </x:c>
      <x:c r="M394" s="38" t="n">
        <x:v>0.0500597297</x:v>
      </x:c>
      <x:c r="N394" s="38" t="n">
        <x:v>0.1127936663</x:v>
      </x:c>
      <x:c r="O394" s="38" t="n">
        <x:v>-0.0301829615</x:v>
      </x:c>
      <x:c r="P394" s="38" t="n">
        <x:v>0.1160380109</x:v>
      </x:c>
      <x:c r="Q394" s="38" t="n">
        <x:v>0.0890588806</x:v>
      </x:c>
      <x:c r="R394" s="38" t="n">
        <x:v>-0.052393091</x:v>
      </x:c>
      <x:c r="S394" s="38" t="n">
        <x:v>0.0531075859</x:v>
      </x:c>
      <x:c r="T394" s="38" t="n">
        <x:v>-0.0593439947</x:v>
      </x:c>
      <x:c r="U394" s="38" t="n">
        <x:v>0.1983245651</x:v>
      </x:c>
      <x:c r="V394" s="38" t="n">
        <x:v>-0.0442693761</x:v>
      </x:c>
      <x:c r="W394" s="38" t="n">
        <x:v>0.1159703612</x:v>
      </x:c>
      <x:c r="X394" s="38" t="n">
        <x:v>-0.0541343365</x:v>
      </x:c>
      <x:c r="Y394" s="38" t="n">
        <x:v>0.0876896901</x:v>
      </x:c>
      <x:c r="Z394" s="38" t="n">
        <x:v>0.1712984485</x:v>
      </x:c>
      <x:c r="AA394" s="38" t="n">
        <x:v>-0.0213155551</x:v>
      </x:c>
      <x:c r="AB394" s="38" t="n">
        <x:v>0.6002539837</x:v>
      </x:c>
      <x:c r="AC394" s="38" t="n">
        <x:v>-0.2253647112</x:v>
      </x:c>
      <x:c r="AD394" s="38" t="n">
        <x:v>-0.0228954371</x:v>
      </x:c>
      <x:c r="AE394" s="38" t="n">
        <x:v>0.0297161423</x:v>
      </x:c>
      <x:c r="AF394" s="38" t="n">
        <x:v>-0.0800178498</x:v>
      </x:c>
      <x:c r="AG394" s="38" t="n">
        <x:v>0.0338875383</x:v>
      </x:c>
      <x:c r="AH394" s="38" t="n">
        <x:v>0.0596893369</x:v>
      </x:c>
      <x:c r="AI394" s="38" t="n">
        <x:v>0.3354752823</x:v>
      </x:c>
      <x:c r="AJ394" s="38" t="n">
        <x:v>0.0566705823</x:v>
      </x:c>
      <x:c r="AK394" s="38" t="n">
        <x:v>0.0105845744</x:v>
      </x:c>
      <x:c r="AL394" s="38" t="n">
        <x:v>0.1644579074</x:v>
      </x:c>
      <x:c r="AM394" s="38" t="n">
        <x:v>0.0080120051</x:v>
      </x:c>
      <x:c r="AN394" s="38" t="n">
        <x:v>-0.0075943907</x:v>
      </x:c>
      <x:c r="AO394" s="38" t="n">
        <x:v>-0.0132133818</x:v>
      </x:c>
      <x:c r="AP394" s="38" t="n">
        <x:v>-0.0898369794</x:v>
      </x:c>
      <x:c r="AQ394" s="38" t="n">
        <x:v>0.0568970325</x:v>
      </x:c>
      <x:c r="AR394" s="38" t="n">
        <x:v>0.0552284985</x:v>
      </x:c>
      <x:c r="AS394" s="38" t="n">
        <x:v>0.0075744407</x:v>
      </x:c>
    </x:row>
    <x:row r="395" ht="19" customHeight="1">
      <x:c r="A395" s="29" t="str">
        <x:v>Primary sector</x:v>
      </x:c>
      <x:c r="B395" s="39" t="d">
        <x:v>2025-11-03T00:00:00.000Z</x:v>
      </x:c>
      <x:c r="C395" s="38" t="n">
        <x:v>-0.0785745478</x:v>
      </x:c>
      <x:c r="D395" s="38" t="n">
        <x:v>0.2840438484</x:v>
      </x:c>
      <x:c r="E395" s="38" t="n">
        <x:v>0.0747567226</x:v>
      </x:c>
      <x:c r="F395" s="38" t="n">
        <x:v>0.0296267245</x:v>
      </x:c>
      <x:c r="G395" s="38" t="n">
        <x:v>0.0195128296</x:v>
      </x:c>
      <x:c r="H395" s="38" t="n">
        <x:v>-0.3893271628</x:v>
      </x:c>
      <x:c r="I395" s="38" t="n">
        <x:v>0.1491265185</x:v>
      </x:c>
      <x:c r="J395" s="38" t="n">
        <x:v>0.1349113102</x:v>
      </x:c>
      <x:c r="K395" s="38" t="n">
        <x:v>0.3073755332</x:v>
      </x:c>
      <x:c r="L395" s="38" t="n">
        <x:v>0.0548814818</x:v>
      </x:c>
      <x:c r="M395" s="38" t="n">
        <x:v>-0.0398774483</x:v>
      </x:c>
      <x:c r="N395" s="38" t="n">
        <x:v>-0.0308692681</x:v>
      </x:c>
      <x:c r="O395" s="38" t="n">
        <x:v>-0.2539706465</x:v>
      </x:c>
      <x:c r="P395" s="38" t="n">
        <x:v>0.4181240221</x:v>
      </x:c>
      <x:c r="Q395" s="38" t="n">
        <x:v>-0.1028099594</x:v>
      </x:c>
      <x:c r="R395" s="38" t="n">
        <x:v>0.3590820851</x:v>
      </x:c>
      <x:c r="S395" s="38" t="n">
        <x:v>0.0218284088</x:v>
      </x:c>
      <x:c r="T395" s="38" t="n">
        <x:v>0.0875996398</x:v>
      </x:c>
      <x:c r="U395" s="38" t="n">
        <x:v>-0.1604973188</x:v>
      </x:c>
      <x:c r="V395" s="38" t="n">
        <x:v>-0.2556120868</x:v>
      </x:c>
      <x:c r="W395" s="38" t="n">
        <x:v>-0.1147707211</x:v>
      </x:c>
      <x:c r="X395" s="38" t="n">
        <x:v>-0.0515166042</x:v>
      </x:c>
      <x:c r="Y395" s="38" t="n">
        <x:v>0.3102870194</x:v>
      </x:c>
      <x:c r="Z395" s="38" t="n">
        <x:v>0.0150424042</x:v>
      </x:c>
      <x:c r="AA395" s="38" t="n">
        <x:v>-0.1442146221</x:v>
      </x:c>
      <x:c r="AB395" s="38" t="n">
        <x:v>0.1689686727</x:v>
      </x:c>
      <x:c r="AC395" s="38" t="n">
        <x:v>-0.2578955262</x:v>
      </x:c>
      <x:c r="AD395" s="38" t="n">
        <x:v>0.0096900958</x:v>
      </x:c>
      <x:c r="AE395" s="38" t="n">
        <x:v>0.2000776288</x:v>
      </x:c>
      <x:c r="AF395" s="38" t="n">
        <x:v>-0.1126288693</x:v>
      </x:c>
      <x:c r="AG395" s="38" t="n">
        <x:v>-0.1282972938</x:v>
      </x:c>
      <x:c r="AH395" s="38" t="n">
        <x:v>0.1497784368</x:v>
      </x:c>
      <x:c r="AI395" s="38" t="n">
        <x:v>0.09464067</x:v>
      </x:c>
      <x:c r="AJ395" s="38" t="n">
        <x:v>0.0845723372</x:v>
      </x:c>
      <x:c r="AK395" s="38" t="n">
        <x:v>0.1834432669</x:v>
      </x:c>
      <x:c r="AL395" s="38" t="n">
        <x:v>0.330876105</x:v>
      </x:c>
      <x:c r="AM395" s="38" t="n">
        <x:v>-0.0480512049</x:v>
      </x:c>
      <x:c r="AN395" s="38" t="n">
        <x:v>0.2506216746</x:v>
      </x:c>
      <x:c r="AO395" s="38" t="n">
        <x:v>-0.0059024884</x:v>
      </x:c>
      <x:c r="AP395" s="38" t="n">
        <x:v>-0.032062426</x:v>
      </x:c>
      <x:c r="AQ395" s="38" t="n">
        <x:v>0.1039705616</x:v>
      </x:c>
      <x:c r="AR395" s="38" t="n">
        <x:v>-0.0569601983</x:v>
      </x:c>
      <x:c r="AS395" s="38" t="n">
        <x:v>0.0229095635</x:v>
      </x:c>
    </x:row>
    <x:row r="396" ht="19" customHeight="1">
      <x:c r="A396" s="29" t="str">
        <x:v>Primary sector</x:v>
      </x:c>
      <x:c r="B396" s="39" t="d">
        <x:v>2025-12-01T00:00:00.000Z</x:v>
      </x:c>
      <x:c r="C396" s="38" t="n">
        <x:v>-0.1905957823</x:v>
      </x:c>
      <x:c r="D396" s="38" t="n">
        <x:v>0.0250530545</x:v>
      </x:c>
      <x:c r="E396" s="38" t="n">
        <x:v>0.0068108976</x:v>
      </x:c>
      <x:c r="F396" s="38" t="n">
        <x:v>0.0055324847</x:v>
      </x:c>
      <x:c r="G396" s="38" t="n">
        <x:v>-0.1186576299</x:v>
      </x:c>
      <x:c r="H396" s="38" t="n">
        <x:v>0.1054941073</x:v>
      </x:c>
      <x:c r="I396" s="38" t="n">
        <x:v>-0.126575845</x:v>
      </x:c>
      <x:c r="J396" s="38" t="n">
        <x:v>-0.0232541789</x:v>
      </x:c>
      <x:c r="K396" s="38" t="n">
        <x:v>-0.128970691</x:v>
      </x:c>
      <x:c r="L396" s="38" t="n">
        <x:v>-0.0583342373</x:v>
      </x:c>
      <x:c r="M396" s="38" t="n">
        <x:v>-0.0786569724</x:v>
      </x:c>
      <x:c r="N396" s="38" t="n">
        <x:v>0.0229837536</x:v>
      </x:c>
      <x:c r="O396" s="38" t="n">
        <x:v>0.1078646956</x:v>
      </x:c>
      <x:c r="P396" s="38" t="n">
        <x:v>-0.0681075095</x:v>
      </x:c>
      <x:c r="Q396" s="38" t="n">
        <x:v>0.0151016209</x:v>
      </x:c>
      <x:c r="R396" s="38" t="n">
        <x:v>-0.0386266144</x:v>
      </x:c>
      <x:c r="S396" s="38" t="n">
        <x:v>-0.0463560131</x:v>
      </x:c>
      <x:c r="T396" s="38" t="n">
        <x:v>-0.2659168347</x:v>
      </x:c>
      <x:c r="U396" s="38" t="n">
        <x:v>0.0954667228</x:v>
      </x:c>
      <x:c r="V396" s="38" t="n">
        <x:v>-0.1005036937</x:v>
      </x:c>
      <x:c r="W396" s="38" t="n">
        <x:v>-0.2146805337</x:v>
      </x:c>
      <x:c r="X396" s="38" t="n">
        <x:v>-0.0504836151</x:v>
      </x:c>
      <x:c r="Y396" s="38" t="n">
        <x:v>-0.130255479</x:v>
      </x:c>
      <x:c r="Z396" s="38" t="n">
        <x:v>-0.0339566165</x:v>
      </x:c>
      <x:c r="AA396" s="38" t="n">
        <x:v>0.019046134</x:v>
      </x:c>
      <x:c r="AB396" s="38" t="n">
        <x:v>0.0362454594</x:v>
      </x:c>
      <x:c r="AC396" s="38" t="n">
        <x:v>0.2370146265</x:v>
      </x:c>
      <x:c r="AD396" s="38" t="n">
        <x:v>-0.066210164</x:v>
      </x:c>
      <x:c r="AE396" s="38" t="n">
        <x:v>-0.1123701773</x:v>
      </x:c>
      <x:c r="AF396" s="38" t="n">
        <x:v>-0.0365053175</x:v>
      </x:c>
      <x:c r="AG396" s="38" t="n">
        <x:v>0.0070954837</x:v>
      </x:c>
      <x:c r="AH396" s="38" t="n">
        <x:v>-0.0677819315</x:v>
      </x:c>
      <x:c r="AI396" s="38" t="n">
        <x:v>-0.1386368918</x:v>
      </x:c>
      <x:c r="AJ396" s="38" t="n">
        <x:v>0.025833228</x:v>
      </x:c>
      <x:c r="AK396" s="38" t="n">
        <x:v>0.0640420638</x:v>
      </x:c>
      <x:c r="AL396" s="38" t="n">
        <x:v>-0.1826850138</x:v>
      </x:c>
      <x:c r="AM396" s="38" t="n">
        <x:v>-0.0714111837</x:v>
      </x:c>
      <x:c r="AN396" s="38" t="n">
        <x:v>0.0851454898</x:v>
      </x:c>
      <x:c r="AO396" s="38" t="n">
        <x:v>-0.0822504264</x:v>
      </x:c>
      <x:c r="AP396" s="38" t="n">
        <x:v>-0.0799067826</x:v>
      </x:c>
      <x:c r="AQ396" s="38" t="n">
        <x:v>-0.0394644591</x:v>
      </x:c>
      <x:c r="AR396" s="38" t="n">
        <x:v>0.0555210616</x:v>
      </x:c>
      <x:c r="AS396" s="38" t="n">
        <x:v>-0.0055867791</x:v>
      </x:c>
    </x:row>
    <x:row r="397" ht="19" customHeight="1">
      <x:c r="A397" s="29" t="str">
        <x:v>Primary sector</x:v>
      </x:c>
      <x:c r="B397" s="39" t="d">
        <x:v>2025-12-29T00:00:00.000Z</x:v>
      </x:c>
      <x:c r="C397" s="38" t="n">
        <x:v>-0.0312296009</x:v>
      </x:c>
      <x:c r="D397" s="38" t="n">
        <x:v>-0.0862888391</x:v>
      </x:c>
      <x:c r="E397" s="38" t="n">
        <x:v>-0.0527578727</x:v>
      </x:c>
      <x:c r="F397" s="38" t="n">
        <x:v>-0.0201445153</x:v>
      </x:c>
      <x:c r="G397" s="38" t="n">
        <x:v>0.0934102899</x:v>
      </x:c>
      <x:c r="H397" s="38" t="n">
        <x:v>0.1481672027</x:v>
      </x:c>
      <x:c r="I397" s="38" t="n">
        <x:v>0.003134164</x:v>
      </x:c>
      <x:c r="J397" s="38" t="n">
        <x:v>-0.0889988528</x:v>
      </x:c>
      <x:c r="K397" s="38" t="n">
        <x:v>0.0153264784</x:v>
      </x:c>
      <x:c r="L397" s="38" t="n">
        <x:v>-0.0876024758</x:v>
      </x:c>
      <x:c r="M397" s="38" t="n">
        <x:v>-0.0716516933</x:v>
      </x:c>
      <x:c r="N397" s="38" t="n">
        <x:v>-0.0431110685</x:v>
      </x:c>
      <x:c r="O397" s="38" t="n">
        <x:v>-0.021280776</x:v>
      </x:c>
      <x:c r="P397" s="38" t="n">
        <x:v>0.1445363981</x:v>
      </x:c>
      <x:c r="Q397" s="38" t="n">
        <x:v>0.0333421562</x:v>
      </x:c>
      <x:c r="R397" s="38" t="n">
        <x:v>0.064391238</x:v>
      </x:c>
      <x:c r="S397" s="38" t="n">
        <x:v>-0.0147571949</x:v>
      </x:c>
      <x:c r="T397" s="38" t="n">
        <x:v>-0.0229156274</x:v>
      </x:c>
      <x:c r="U397" s="38" t="n">
        <x:v>0.0979364737</x:v>
      </x:c>
      <x:c r="V397" s="38" t="n">
        <x:v>-0.058193115</x:v>
      </x:c>
      <x:c r="W397" s="38" t="n">
        <x:v>-0.1600424448</x:v>
      </x:c>
      <x:c r="X397" s="38" t="n">
        <x:v>0.0886383224</x:v>
      </x:c>
      <x:c r="Y397" s="38" t="n">
        <x:v>0.402068843</x:v>
      </x:c>
      <x:c r="Z397" s="38" t="n">
        <x:v>0.0882993272</x:v>
      </x:c>
      <x:c r="AA397" s="38" t="n">
        <x:v>-0.0231030619</x:v>
      </x:c>
      <x:c r="AB397" s="38" t="n">
        <x:v>-0.1014647442</x:v>
      </x:c>
      <x:c r="AC397" s="38" t="n">
        <x:v>-0.0435065901</x:v>
      </x:c>
      <x:c r="AD397" s="38" t="n">
        <x:v>-0.0048492324</x:v>
      </x:c>
      <x:c r="AE397" s="38" t="n">
        <x:v>0.0044641836</x:v>
      </x:c>
      <x:c r="AF397" s="38" t="n">
        <x:v>0.0726075826</x:v>
      </x:c>
      <x:c r="AG397" s="38" t="n">
        <x:v>0.1247549241</x:v>
      </x:c>
      <x:c r="AH397" s="38" t="n">
        <x:v>0.1427969406</x:v>
      </x:c>
      <x:c r="AI397" s="38" t="n">
        <x:v>0.0886772838</x:v>
      </x:c>
      <x:c r="AJ397" s="38" t="n">
        <x:v>0.04357771</x:v>
      </x:c>
      <x:c r="AK397" s="38" t="n">
        <x:v>-0.1610286653</x:v>
      </x:c>
      <x:c r="AL397" s="38" t="n">
        <x:v>0.1243956851</x:v>
      </x:c>
      <x:c r="AM397" s="38" t="n">
        <x:v>-0.0187710977</x:v>
      </x:c>
      <x:c r="AN397" s="38" t="n">
        <x:v>-0.0094035771</x:v>
      </x:c>
      <x:c r="AO397" s="38" t="n">
        <x:v>-0.0961294789</x:v>
      </x:c>
      <x:c r="AP397" s="38" t="n">
        <x:v>-0.0517229371</x:v>
      </x:c>
      <x:c r="AQ397" s="38" t="n">
        <x:v>-0.0468193726</x:v>
      </x:c>
      <x:c r="AR397" s="38" t="n">
        <x:v>-0.0118127588</x:v>
      </x:c>
      <x:c r="AS397" s="38" t="n">
        <x:v>-0.0534565458</x:v>
      </x:c>
    </x:row>
    <x:row r="398" ht="19" customHeight="1">
      <x:c r="A398" s="29" t="str">
        <x:v>Primary sector</x:v>
      </x:c>
      <x:c r="B398" s="39" t="d">
        <x:v>2026-01-26T00:00:00.000Z</x:v>
      </x:c>
      <x:c r="C398" s="38" t="n">
        <x:v>-0.0919207995</x:v>
      </x:c>
      <x:c r="D398" s="38" t="n">
        <x:v>0.146525056</x:v>
      </x:c>
      <x:c r="E398" s="38" t="n">
        <x:v>0.0172305543</x:v>
      </x:c>
      <x:c r="F398" s="38" t="n">
        <x:v>0.0223955241</x:v>
      </x:c>
      <x:c r="G398" s="38" t="n">
        <x:v>-0.0369560311</x:v>
      </x:c>
      <x:c r="H398" s="38" t="n">
        <x:v>-0.0221236072</x:v>
      </x:c>
      <x:c r="I398" s="38" t="n">
        <x:v>0.013698499</x:v>
      </x:c>
      <x:c r="J398" s="38" t="n">
        <x:v>0.0430678531</x:v>
      </x:c>
      <x:c r="K398" s="38" t="n">
        <x:v>0.3487211566</x:v>
      </x:c>
      <x:c r="L398" s="38" t="n">
        <x:v>-0.0697378494</x:v>
      </x:c>
      <x:c r="M398" s="38" t="n">
        <x:v>0.2039120278</x:v>
      </x:c>
      <x:c r="N398" s="38" t="n">
        <x:v>0.0272572373</x:v>
      </x:c>
      <x:c r="O398" s="38" t="n">
        <x:v>-0.0296199328</x:v>
      </x:c>
      <x:c r="P398" s="38" t="n">
        <x:v>0.2881323035</x:v>
      </x:c>
      <x:c r="Q398" s="38" t="n">
        <x:v>0.067559878</x:v>
      </x:c>
      <x:c r="R398" s="38" t="n">
        <x:v>0.2247489811</x:v>
      </x:c>
      <x:c r="S398" s="38" t="n">
        <x:v>0.0545992966</x:v>
      </x:c>
      <x:c r="T398" s="38" t="n">
        <x:v>-0.2112129365</x:v>
      </x:c>
      <x:c r="U398" s="38" t="n">
        <x:v>0.4626063024</x:v>
      </x:c>
      <x:c r="V398" s="38" t="n">
        <x:v>-0.2924040688</x:v>
      </x:c>
      <x:c r="W398" s="38" t="n">
        <x:v>-0.1948874079</x:v>
      </x:c>
      <x:c r="X398" s="38" t="n">
        <x:v>0.0561754345</x:v>
      </x:c>
      <x:c r="Y398" s="38" t="n">
        <x:v>0.2598243298</x:v>
      </x:c>
      <x:c r="Z398" s="38" t="n">
        <x:v>-0.1026167442</x:v>
      </x:c>
      <x:c r="AA398" s="38" t="n">
        <x:v>-0.0319363689</x:v>
      </x:c>
      <x:c r="AB398" s="38" t="n">
        <x:v>0.1234290549</x:v>
      </x:c>
      <x:c r="AC398" s="38" t="n">
        <x:v>-0.2110962025</x:v>
      </x:c>
      <x:c r="AD398" s="38" t="n">
        <x:v>-0.0192197854</x:v>
      </x:c>
      <x:c r="AE398" s="38" t="n">
        <x:v>-0.0851531127</x:v>
      </x:c>
      <x:c r="AF398" s="38" t="n">
        <x:v>-0.1728500256</x:v>
      </x:c>
      <x:c r="AG398" s="38" t="n">
        <x:v>-0.0658969878</x:v>
      </x:c>
      <x:c r="AH398" s="38" t="n">
        <x:v>0.1260879015</x:v>
      </x:c>
      <x:c r="AI398" s="38" t="n">
        <x:v>0.0630359964</x:v>
      </x:c>
      <x:c r="AJ398" s="38" t="n">
        <x:v>-0.0640026764</x:v>
      </x:c>
      <x:c r="AK398" s="38" t="n">
        <x:v>-0.1110202764</x:v>
      </x:c>
      <x:c r="AL398" s="38" t="n">
        <x:v>0.0002997046</x:v>
      </x:c>
      <x:c r="AM398" s="38" t="n">
        <x:v>-0.1821499421</x:v>
      </x:c>
      <x:c r="AN398" s="38" t="n">
        <x:v>-0.0168511331</x:v>
      </x:c>
      <x:c r="AO398" s="38" t="n">
        <x:v>0.0429224681</x:v>
      </x:c>
      <x:c r="AP398" s="38" t="n">
        <x:v>0.0567608473</x:v>
      </x:c>
      <x:c r="AQ398" s="38" t="n">
        <x:v>-0.0075477107</x:v>
      </x:c>
      <x:c r="AR398" s="38" t="n">
        <x:v>0.1236248615</x:v>
      </x:c>
      <x:c r="AS398" s="38" t="n">
        <x:v>-0.0470419284</x:v>
      </x:c>
    </x:row>
    <x:row r="399" ht="19" customHeight="1">
      <x:c r="A399" s="29" t="str">
        <x:v>Primary sector</x:v>
      </x:c>
      <x:c r="B399" s="39" t="d">
        <x:v>2026-02-23T00:00:00.000Z</x:v>
      </x:c>
      <x:c r="C399" s="38" t="n">
        <x:v>0.0250324713</x:v>
      </x:c>
      <x:c r="D399" s="38" t="n">
        <x:v>-0.2161776453</x:v>
      </x:c>
      <x:c r="E399" s="38" t="n">
        <x:v>0.0185882497</x:v>
      </x:c>
      <x:c r="F399" s="38" t="n">
        <x:v>0.028747487</x:v>
      </x:c>
      <x:c r="G399" s="38" t="n">
        <x:v>-0.0708941913</x:v>
      </x:c>
      <x:c r="H399" s="38" t="n">
        <x:v>-0.0643519871</x:v>
      </x:c>
      <x:c r="I399" s="38" t="n">
        <x:v>-0.1284605648</x:v>
      </x:c>
      <x:c r="J399" s="38" t="n">
        <x:v>0.2149303255</x:v>
      </x:c>
      <x:c r="K399" s="38" t="n">
        <x:v>-0.0584281178</x:v>
      </x:c>
      <x:c r="L399" s="38" t="n">
        <x:v>0.0227578339</x:v>
      </x:c>
      <x:c r="M399" s="38" t="n">
        <x:v>0.0177723158</x:v>
      </x:c>
      <x:c r="N399" s="38" t="n">
        <x:v>0.0024656265</x:v>
      </x:c>
      <x:c r="O399" s="38" t="n">
        <x:v>0.007426246</x:v>
      </x:c>
      <x:c r="P399" s="38" t="n">
        <x:v>0.1140343701</x:v>
      </x:c>
      <x:c r="Q399" s="38" t="n">
        <x:v>0.0325738716</x:v>
      </x:c>
      <x:c r="R399" s="38" t="n">
        <x:v>0.1243956662</x:v>
      </x:c>
      <x:c r="S399" s="38" t="n">
        <x:v>0.12090682</x:v>
      </x:c>
      <x:c r="T399" s="38" t="n">
        <x:v>-0.0329603786</x:v>
      </x:c>
      <x:c r="U399" s="38" t="n">
        <x:v>0.2202011202</x:v>
      </x:c>
      <x:c r="V399" s="38" t="n">
        <x:v>0.0709929813</x:v>
      </x:c>
      <x:c r="W399" s="38" t="n">
        <x:v>0.2526376375</x:v>
      </x:c>
      <x:c r="X399" s="38" t="n">
        <x:v>0.0639641099</x:v>
      </x:c>
      <x:c r="Y399" s="38" t="n">
        <x:v>-0.0672169106</x:v>
      </x:c>
      <x:c r="Z399" s="38" t="n">
        <x:v>0.0317064202</x:v>
      </x:c>
      <x:c r="AA399" s="38" t="n">
        <x:v>0.0502406041</x:v>
      </x:c>
      <x:c r="AB399" s="38" t="n">
        <x:v>-0.0774942381</x:v>
      </x:c>
      <x:c r="AC399" s="38" t="n">
        <x:v>-0.3621082165</x:v>
      </x:c>
      <x:c r="AD399" s="38" t="n">
        <x:v>0.0412528781</x:v>
      </x:c>
      <x:c r="AE399" s="38" t="n">
        <x:v>0.0035672427</x:v>
      </x:c>
      <x:c r="AF399" s="38" t="n">
        <x:v>0.0438753201</x:v>
      </x:c>
      <x:c r="AG399" s="38" t="n">
        <x:v>-0.0894639463</x:v>
      </x:c>
      <x:c r="AH399" s="38" t="n">
        <x:v>-0.076049361</x:v>
      </x:c>
      <x:c r="AI399" s="38" t="n">
        <x:v>-0.1155743646</x:v>
      </x:c>
      <x:c r="AJ399" s="38" t="n">
        <x:v>-0.0682940136</x:v>
      </x:c>
      <x:c r="AK399" s="38" t="n">
        <x:v>0.0068155427</x:v>
      </x:c>
      <x:c r="AL399" s="38" t="n">
        <x:v>0.3415354362</x:v>
      </x:c>
      <x:c r="AM399" s="38" t="n">
        <x:v>-0.0884448698</x:v>
      </x:c>
      <x:c r="AN399" s="38" t="n">
        <x:v>-0.1209691398</x:v>
      </x:c>
      <x:c r="AO399" s="38" t="n">
        <x:v>0.0272654362</x:v>
      </x:c>
      <x:c r="AP399" s="38" t="n">
        <x:v>0.0481755548</x:v>
      </x:c>
      <x:c r="AQ399" s="38" t="n">
        <x:v>0.0161342478</x:v>
      </x:c>
      <x:c r="AR399" s="38" t="n">
        <x:v>0.0671831289</x:v>
      </x:c>
      <x:c r="AS399" s="38" t="n">
        <x:v>0.0974804924</x:v>
      </x:c>
    </x:row>
    <x:row r="400" ht="19" customHeight="1">
      <x:c r="A400" s="29" t="str">
        <x:v>Primary sector</x:v>
      </x:c>
      <x:c r="B400" s="39" t="d">
        <x:v>2026-03-23T00:00:00.000Z</x:v>
      </x:c>
      <x:c r="C400" s="38" t="n">
        <x:v>-0.0456497283</x:v>
      </x:c>
      <x:c r="D400" s="38" t="n">
        <x:v>0.2180701134</x:v>
      </x:c>
      <x:c r="E400" s="38" t="n">
        <x:v>0.0366053645</x:v>
      </x:c>
      <x:c r="F400" s="38" t="n">
        <x:v>0.0850561341</x:v>
      </x:c>
      <x:c r="G400" s="38" t="n">
        <x:v>0.0113187389</x:v>
      </x:c>
      <x:c r="H400" s="38" t="n">
        <x:v>-0.1495418716</x:v>
      </x:c>
      <x:c r="I400" s="38" t="n">
        <x:v>0.1798603319</x:v>
      </x:c>
      <x:c r="J400" s="38" t="n">
        <x:v>0.2072335483</x:v>
      </x:c>
      <x:c r="K400" s="38" t="n">
        <x:v>0.103072369</x:v>
      </x:c>
      <x:c r="L400" s="38" t="n">
        <x:v>0.1282718052</x:v>
      </x:c>
      <x:c r="M400" s="38" t="n">
        <x:v>0.3501646207</x:v>
      </x:c>
      <x:c r="N400" s="38" t="n">
        <x:v>0.0051370192</x:v>
      </x:c>
      <x:c r="O400" s="38" t="n">
        <x:v>-0.0606324933</x:v>
      </x:c>
      <x:c r="P400" s="38" t="n">
        <x:v>0.0926372636</x:v>
      </x:c>
      <x:c r="Q400" s="38" t="n">
        <x:v>-0.0161210697</x:v>
      </x:c>
      <x:c r="R400" s="38" t="n">
        <x:v>0.5792666008</x:v>
      </x:c>
      <x:c r="S400" s="38" t="n">
        <x:v>-0.0599500686</x:v>
      </x:c>
      <x:c r="T400" s="38" t="n">
        <x:v>0.4609050613</x:v>
      </x:c>
      <x:c r="U400" s="38" t="n">
        <x:v>0.1717971163</x:v>
      </x:c>
      <x:c r="V400" s="38" t="n">
        <x:v>-0.1069567226</x:v>
      </x:c>
      <x:c r="W400" s="38" t="n">
        <x:v>0.1601537672</x:v>
      </x:c>
      <x:c r="X400" s="38" t="n">
        <x:v>0.0184493623</x:v>
      </x:c>
      <x:c r="Y400" s="38" t="n">
        <x:v>-0.0937784635</x:v>
      </x:c>
      <x:c r="Z400" s="38" t="n">
        <x:v>-0.2104378279</x:v>
      </x:c>
      <x:c r="AA400" s="38" t="n">
        <x:v>-0.0643090261</x:v>
      </x:c>
      <x:c r="AB400" s="38" t="n">
        <x:v>0.239663016</x:v>
      </x:c>
      <x:c r="AC400" s="38" t="n">
        <x:v>0.3922790203</x:v>
      </x:c>
      <x:c r="AD400" s="38" t="n">
        <x:v>-0.0453714884</x:v>
      </x:c>
      <x:c r="AE400" s="38" t="n">
        <x:v>-0.0918060501</x:v>
      </x:c>
      <x:c r="AF400" s="38" t="n">
        <x:v>0.2247149579</x:v>
      </x:c>
      <x:c r="AG400" s="38" t="n">
        <x:v>-0.0057395088</x:v>
      </x:c>
      <x:c r="AH400" s="38" t="n">
        <x:v>-0.1568591548</x:v>
      </x:c>
      <x:c r="AI400" s="38" t="n">
        <x:v>0.2320769229</x:v>
      </x:c>
      <x:c r="AJ400" s="38" t="n">
        <x:v>-0.0912321732</x:v>
      </x:c>
      <x:c r="AK400" s="38" t="n">
        <x:v>0.0255774991</x:v>
      </x:c>
      <x:c r="AL400" s="38" t="n">
        <x:v>0.0633819946</x:v>
      </x:c>
      <x:c r="AM400" s="38" t="n">
        <x:v>0.0435899638</x:v>
      </x:c>
      <x:c r="AN400" s="38" t="n">
        <x:v>0.0191716825</x:v>
      </x:c>
      <x:c r="AO400" s="38" t="n">
        <x:v>0.1165360829</x:v>
      </x:c>
      <x:c r="AP400" s="38" t="n">
        <x:v>-0.0805356234</x:v>
      </x:c>
      <x:c r="AQ400" s="38" t="n">
        <x:v>0.0387381045</x:v>
      </x:c>
      <x:c r="AR400" s="38" t="n">
        <x:v>0.0807593994</x:v>
      </x:c>
      <x:c r="AS400" s="38" t="n">
        <x:v>-0.0605339802</x:v>
      </x:c>
    </x:row>
    <x:row r="401" ht="19" customHeight="1">
      <x:c r="A401" s="29" t="str">
        <x:v>Primary sector</x:v>
      </x:c>
      <x:c r="B401" s="39" t="d">
        <x:v>2026-04-20T00:00:00.000Z</x:v>
      </x:c>
      <x:c r="C401" s="38" t="n">
        <x:v>-0.0827255493</x:v>
      </x:c>
      <x:c r="D401" s="38" t="n">
        <x:v>0.0248973299</x:v>
      </x:c>
      <x:c r="E401" s="38" t="n">
        <x:v>0.0497363336</x:v>
      </x:c>
      <x:c r="F401" s="38" t="n">
        <x:v>0.030572461</x:v>
      </x:c>
      <x:c r="G401" s="38" t="n">
        <x:v>-0.0384099828</x:v>
      </x:c>
      <x:c r="H401" s="38" t="n">
        <x:v>0.0050055885</x:v>
      </x:c>
      <x:c r="I401" s="38" t="n">
        <x:v>0.14895656</x:v>
      </x:c>
      <x:c r="J401" s="38" t="n">
        <x:v>0.0381120138</x:v>
      </x:c>
      <x:c r="K401" s="38" t="n">
        <x:v>-0.0041376675</x:v>
      </x:c>
      <x:c r="L401" s="38" t="n">
        <x:v>0.0258388016</x:v>
      </x:c>
      <x:c r="M401" s="38" t="n">
        <x:v>-0.0563188597</x:v>
      </x:c>
      <x:c r="N401" s="38" t="n">
        <x:v>-0.0805733334</x:v>
      </x:c>
      <x:c r="O401" s="38" t="n">
        <x:v>-0.1612882607</x:v>
      </x:c>
      <x:c r="P401" s="38" t="n">
        <x:v>-0.0062559558</x:v>
      </x:c>
      <x:c r="Q401" s="38" t="n">
        <x:v>0.025251204</x:v>
      </x:c>
      <x:c r="R401" s="38" t="n">
        <x:v>-0.1860248271</x:v>
      </x:c>
      <x:c r="S401" s="38" t="n">
        <x:v>-0.0846902624</x:v>
      </x:c>
      <x:c r="T401" s="38" t="n">
        <x:v>-0.2876723505</x:v>
      </x:c>
      <x:c r="U401" s="38" t="n">
        <x:v>-0.0773071467</x:v>
      </x:c>
      <x:c r="V401" s="38" t="n">
        <x:v>-0.2309360357</x:v>
      </x:c>
      <x:c r="W401" s="38" t="n">
        <x:v>-0.1605543895</x:v>
      </x:c>
      <x:c r="X401" s="38" t="n">
        <x:v>-0.0496186806</x:v>
      </x:c>
      <x:c r="Y401" s="38" t="n">
        <x:v>-0.0945874331</x:v>
      </x:c>
      <x:c r="Z401" s="38" t="n">
        <x:v>0.0958325326</x:v>
      </x:c>
      <x:c r="AA401" s="38" t="n">
        <x:v>-0.0150629402</x:v>
      </x:c>
      <x:c r="AB401" s="38" t="n">
        <x:v>0.5025110885</x:v>
      </x:c>
      <x:c r="AC401" s="38" t="n">
        <x:v>-0.0003544724</x:v>
      </x:c>
      <x:c r="AD401" s="38" t="n">
        <x:v>0.0184204327</x:v>
      </x:c>
      <x:c r="AE401" s="38" t="n">
        <x:v>-0.1361008235</x:v>
      </x:c>
      <x:c r="AF401" s="38" t="n">
        <x:v>-0.0707916144</x:v>
      </x:c>
      <x:c r="AG401" s="38" t="n">
        <x:v>0.0979804333</x:v>
      </x:c>
      <x:c r="AH401" s="38" t="n">
        <x:v>-0.1067279365</x:v>
      </x:c>
      <x:c r="AI401" s="38" t="n">
        <x:v>0.1580408313</x:v>
      </x:c>
      <x:c r="AJ401" s="38" t="n">
        <x:v>0.0180617599</x:v>
      </x:c>
      <x:c r="AK401" s="38" t="n">
        <x:v>-0.0488970917</x:v>
      </x:c>
      <x:c r="AL401" s="38" t="n">
        <x:v>0.140729165</x:v>
      </x:c>
      <x:c r="AM401" s="38" t="n">
        <x:v>-0.0276328323</x:v>
      </x:c>
      <x:c r="AN401" s="38" t="n">
        <x:v>0.0614818034</x:v>
      </x:c>
      <x:c r="AO401" s="38" t="n">
        <x:v>-0.0562643564</x:v>
      </x:c>
      <x:c r="AP401" s="38" t="n">
        <x:v>-0.0741619209</x:v>
      </x:c>
      <x:c r="AQ401" s="38" t="n">
        <x:v>-0.0038909939</x:v>
      </x:c>
      <x:c r="AR401" s="38" t="n">
        <x:v>-0.0332620817</x:v>
      </x:c>
      <x:c r="AS401" s="38" t="n">
        <x:v>-0.0541222577</x:v>
      </x:c>
    </x:row>
    <x:row r="402" ht="19" customHeight="1">
      <x:c r="A402" s="29" t="str">
        <x:v>Primary sector</x:v>
      </x:c>
      <x:c r="B402" s="39" t="d">
        <x:v>2026-05-18T00:00:00.000Z</x:v>
      </x:c>
      <x:c r="C402" s="38" t="n">
        <x:v>-0.1221704816</x:v>
      </x:c>
      <x:c r="D402" s="38" t="n">
        <x:v>0.0092998468</x:v>
      </x:c>
      <x:c r="E402" s="38" t="n">
        <x:v>0.0274530479</x:v>
      </x:c>
      <x:c r="F402" s="38" t="n">
        <x:v>0.012223025</x:v>
      </x:c>
      <x:c r="G402" s="38" t="n">
        <x:v>-0.0151355375</x:v>
      </x:c>
      <x:c r="H402" s="38" t="n">
        <x:v>-0.0639380653</x:v>
      </x:c>
      <x:c r="I402" s="38" t="n">
        <x:v>0.0145866456</x:v>
      </x:c>
      <x:c r="J402" s="38" t="n">
        <x:v>0.0212236904</x:v>
      </x:c>
      <x:c r="K402" s="38" t="n">
        <x:v>0.1138031991</x:v>
      </x:c>
      <x:c r="L402" s="38" t="n">
        <x:v>-0.0213954703</x:v>
      </x:c>
      <x:c r="M402" s="38" t="n">
        <x:v>0.1028235716</x:v>
      </x:c>
      <x:c r="N402" s="38" t="n">
        <x:v>0.0132902805</x:v>
      </x:c>
      <x:c r="O402" s="38" t="n">
        <x:v>0.0708422011</x:v>
      </x:c>
      <x:c r="P402" s="38" t="n">
        <x:v>-0.1056634571</x:v>
      </x:c>
      <x:c r="Q402" s="38" t="n">
        <x:v>0.094388605</x:v>
      </x:c>
      <x:c r="R402" s="38" t="n">
        <x:v>0.484645302</x:v>
      </x:c>
      <x:c r="S402" s="38" t="n">
        <x:v>0.0272081865</x:v>
      </x:c>
      <x:c r="T402" s="38" t="n">
        <x:v>-0.0234905127</x:v>
      </x:c>
      <x:c r="U402" s="38" t="n">
        <x:v>-0.1475978966</x:v>
      </x:c>
      <x:c r="V402" s="38" t="n">
        <x:v>0.006757323</x:v>
      </x:c>
      <x:c r="W402" s="38" t="n">
        <x:v>-0.0258681069</x:v>
      </x:c>
      <x:c r="X402" s="38" t="n">
        <x:v>-0.065647789</x:v>
      </x:c>
      <x:c r="Y402" s="38" t="n">
        <x:v>0.2698503106</x:v>
      </x:c>
      <x:c r="Z402" s="38" t="n">
        <x:v>-0.140646634</x:v>
      </x:c>
      <x:c r="AA402" s="38" t="n">
        <x:v>-0.0004541251</x:v>
      </x:c>
      <x:c r="AB402" s="38" t="n">
        <x:v>-0.2758738884</x:v>
      </x:c>
      <x:c r="AC402" s="38" t="n">
        <x:v>-0.2069763535</x:v>
      </x:c>
      <x:c r="AD402" s="38" t="n">
        <x:v>-0.0552497003</x:v>
      </x:c>
      <x:c r="AE402" s="38" t="n">
        <x:v>0.2961807225</x:v>
      </x:c>
      <x:c r="AF402" s="38" t="n">
        <x:v>0.2451273722</x:v>
      </x:c>
      <x:c r="AG402" s="38" t="n">
        <x:v>-0.0981264775</x:v>
      </x:c>
      <x:c r="AH402" s="38" t="n">
        <x:v>-0.113308978</x:v>
      </x:c>
      <x:c r="AI402" s="38" t="n">
        <x:v>0.127404153</x:v>
      </x:c>
      <x:c r="AJ402" s="38" t="n">
        <x:v>0.2109574726</x:v>
      </x:c>
      <x:c r="AK402" s="38" t="n">
        <x:v>0.0416434657</x:v>
      </x:c>
      <x:c r="AL402" s="38" t="n">
        <x:v>0.4202159913</x:v>
      </x:c>
      <x:c r="AM402" s="38" t="n">
        <x:v>-0.1010418589</x:v>
      </x:c>
      <x:c r="AN402" s="38" t="n">
        <x:v>0.1382004372</x:v>
      </x:c>
      <x:c r="AO402" s="38" t="n">
        <x:v>-0.0059468105</x:v>
      </x:c>
      <x:c r="AP402" s="38" t="n">
        <x:v>-0.0891157169</x:v>
      </x:c>
      <x:c r="AQ402" s="38" t="n">
        <x:v>0.0948909757</x:v>
      </x:c>
      <x:c r="AR402" s="38" t="n">
        <x:v>0.0183004315</x:v>
      </x:c>
      <x:c r="AS402" s="38" t="n">
        <x:v>0.0606971509</x:v>
      </x:c>
    </x:row>
    <x:row r="403" ht="19" customHeight="1">
      <x:c r="A403" s="29" t="str">
        <x:v>Primary sector</x:v>
      </x:c>
      <x:c r="B403" s="39" t="d">
        <x:v>2026-06-15T00:00:00.000Z</x:v>
      </x:c>
      <x:c r="C403" s="38" t="n">
        <x:v>0.0751109634</x:v>
      </x:c>
      <x:c r="D403" s="38" t="n">
        <x:v>-0.0264895788</x:v>
      </x:c>
      <x:c r="E403" s="38" t="n">
        <x:v>-0.0034317669</x:v>
      </x:c>
      <x:c r="F403" s="38" t="n">
        <x:v>-0.0064612812</x:v>
      </x:c>
      <x:c r="G403" s="38" t="n">
        <x:v>0.0898962047</x:v>
      </x:c>
      <x:c r="H403" s="38" t="n">
        <x:v>0.0290607784</x:v>
      </x:c>
      <x:c r="I403" s="38" t="n">
        <x:v>-0.0822002546</x:v>
      </x:c>
      <x:c r="J403" s="38" t="n">
        <x:v>0.0327069086</x:v>
      </x:c>
      <x:c r="K403" s="38" t="n">
        <x:v>0.2441504308</x:v>
      </x:c>
      <x:c r="L403" s="38" t="n">
        <x:v>0.1160502686</x:v>
      </x:c>
      <x:c r="M403" s="38" t="n">
        <x:v>-0.2629612894</x:v>
      </x:c>
      <x:c r="N403" s="38" t="n">
        <x:v>-0.1357380289</x:v>
      </x:c>
      <x:c r="O403" s="38" t="n">
        <x:v>0.1028453705</x:v>
      </x:c>
      <x:c r="P403" s="38" t="n">
        <x:v>0.4683317793</x:v>
      </x:c>
      <x:c r="Q403" s="38" t="n">
        <x:v>-0.0997367804</x:v>
      </x:c>
      <x:c r="R403" s="38" t="n">
        <x:v>-0.0802460046</x:v>
      </x:c>
      <x:c r="S403" s="38" t="n">
        <x:v>-0.2352064932</x:v>
      </x:c>
      <x:c r="T403" s="38" t="n">
        <x:v>0.0543249599</x:v>
      </x:c>
      <x:c r="U403" s="38" t="n">
        <x:v>0.5224782843</x:v>
      </x:c>
      <x:c r="V403" s="38" t="n">
        <x:v>0.0717789168</x:v>
      </x:c>
      <x:c r="W403" s="38" t="n">
        <x:v>-0.0944025478</x:v>
      </x:c>
      <x:c r="X403" s="38" t="n">
        <x:v>-0.050647857</x:v>
      </x:c>
      <x:c r="Y403" s="38" t="n">
        <x:v>0.438597448</x:v>
      </x:c>
      <x:c r="Z403" s="38" t="n">
        <x:v>0.0080638467</x:v>
      </x:c>
      <x:c r="AA403" s="38" t="n">
        <x:v>0.0281214479</x:v>
      </x:c>
      <x:c r="AB403" s="38" t="n">
        <x:v>0.2496651883</x:v>
      </x:c>
      <x:c r="AC403" s="38" t="n">
        <x:v>0.2220563958</x:v>
      </x:c>
      <x:c r="AD403" s="38" t="n">
        <x:v>0.1027719962</x:v>
      </x:c>
      <x:c r="AE403" s="38" t="n">
        <x:v>-0.0415829239</x:v>
      </x:c>
      <x:c r="AF403" s="38" t="n">
        <x:v>0.2478603857</x:v>
      </x:c>
      <x:c r="AG403" s="38" t="n">
        <x:v>0.0597379046</x:v>
      </x:c>
      <x:c r="AH403" s="38" t="n">
        <x:v>-0.2031431411</x:v>
      </x:c>
      <x:c r="AI403" s="38" t="n">
        <x:v>0.0356108018</x:v>
      </x:c>
      <x:c r="AJ403" s="38" t="n">
        <x:v>0.0415663967</x:v>
      </x:c>
      <x:c r="AK403" s="38" t="n">
        <x:v>-0.032739436</x:v>
      </x:c>
      <x:c r="AL403" s="38" t="n">
        <x:v>-0.3578748728</x:v>
      </x:c>
      <x:c r="AM403" s="38" t="n">
        <x:v>-0.1643287797</x:v>
      </x:c>
      <x:c r="AN403" s="38" t="n">
        <x:v>0.0199075051</x:v>
      </x:c>
      <x:c r="AO403" s="38" t="n">
        <x:v>-0.0891150128</x:v>
      </x:c>
      <x:c r="AP403" s="38" t="n">
        <x:v>0.1755489567</x:v>
      </x:c>
      <x:c r="AQ403" s="38" t="n">
        <x:v>0.0161267928</x:v>
      </x:c>
      <x:c r="AR403" s="38" t="n">
        <x:v>-0.0166371474</x:v>
      </x:c>
      <x:c r="AS403" s="38" t="n">
        <x:v>-0.0050680998</x:v>
      </x:c>
    </x:row>
    <x:row r="404" ht="19" customHeight="1">
      <x:c r="A404" s="29" t="str">
        <x:v>Primary sector</x:v>
      </x:c>
      <x:c r="B404" s="39" t="d">
        <x:v>2026-07-13T00:00:00.000Z</x:v>
      </x:c>
      <x:c r="C404" s="38" t="n">
        <x:v>-0.1080049445</x:v>
      </x:c>
      <x:c r="D404" s="38" t="n">
        <x:v>-0.2425622895</x:v>
      </x:c>
      <x:c r="E404" s="38" t="n">
        <x:v>0.0243813082</x:v>
      </x:c>
      <x:c r="F404" s="38" t="n">
        <x:v>-0.0009321588</x:v>
      </x:c>
      <x:c r="G404" s="38" t="n">
        <x:v>-0.0783758256</x:v>
      </x:c>
      <x:c r="H404" s="38" t="n">
        <x:v>0.1194911031</x:v>
      </x:c>
      <x:c r="I404" s="38" t="n">
        <x:v>0.0356085729</x:v>
      </x:c>
      <x:c r="J404" s="38" t="n">
        <x:v>-0.2499526103</x:v>
      </x:c>
      <x:c r="K404" s="38" t="n">
        <x:v>-0.1608630738</x:v>
      </x:c>
      <x:c r="L404" s="38" t="n">
        <x:v>0.2855558699</x:v>
      </x:c>
      <x:c r="M404" s="38" t="n">
        <x:v>0.2724497334</x:v>
      </x:c>
      <x:c r="N404" s="38" t="n">
        <x:v>0.1639137102</x:v>
      </x:c>
      <x:c r="O404" s="38" t="n">
        <x:v>-0.0409789955</x:v>
      </x:c>
      <x:c r="P404" s="38" t="n">
        <x:v>-0.3946414174</x:v>
      </x:c>
      <x:c r="Q404" s="38" t="n">
        <x:v>0.1581678572</x:v>
      </x:c>
      <x:c r="R404" s="38" t="n">
        <x:v>-0.2976383801</x:v>
      </x:c>
      <x:c r="S404" s="38" t="n">
        <x:v>0.0046301213</x:v>
      </x:c>
      <x:c r="T404" s="38" t="n">
        <x:v>0.3247099918</x:v>
      </x:c>
      <x:c r="U404" s="38" t="n">
        <x:v>-0.08304879</x:v>
      </x:c>
      <x:c r="V404" s="38" t="n">
        <x:v>0.2877161416</x:v>
      </x:c>
      <x:c r="W404" s="38" t="n">
        <x:v>-0.2000008136</x:v>
      </x:c>
      <x:c r="X404" s="38" t="n">
        <x:v>0.0957903185</x:v>
      </x:c>
      <x:c r="Y404" s="38" t="n">
        <x:v>-0.1369146802</x:v>
      </x:c>
      <x:c r="Z404" s="38" t="n">
        <x:v>-0.2124177202</x:v>
      </x:c>
      <x:c r="AA404" s="38" t="n">
        <x:v>-0.0294353331</x:v>
      </x:c>
      <x:c r="AB404" s="38" t="n">
        <x:v>0.4972204714</x:v>
      </x:c>
      <x:c r="AC404" s="38" t="n">
        <x:v>-0.3224258458</x:v>
      </x:c>
      <x:c r="AD404" s="38" t="n">
        <x:v>-0.0604289598</x:v>
      </x:c>
      <x:c r="AE404" s="38" t="n">
        <x:v>0.0590524283</x:v>
      </x:c>
      <x:c r="AF404" s="38" t="n">
        <x:v>0.1001077452</x:v>
      </x:c>
      <x:c r="AG404" s="38" t="n">
        <x:v>-0.030515765</x:v>
      </x:c>
      <x:c r="AH404" s="38" t="n">
        <x:v>-0.093772898</x:v>
      </x:c>
      <x:c r="AI404" s="38" t="n">
        <x:v>0.211993801</x:v>
      </x:c>
      <x:c r="AJ404" s="38" t="n">
        <x:v>-0.0823886906</x:v>
      </x:c>
      <x:c r="AK404" s="38" t="n">
        <x:v>0.1877223908</x:v>
      </x:c>
      <x:c r="AL404" s="38" t="n">
        <x:v>-0.2703078306</x:v>
      </x:c>
      <x:c r="AM404" s="38" t="n">
        <x:v>0.1293235443</x:v>
      </x:c>
      <x:c r="AN404" s="38" t="n">
        <x:v>-0.1085086866</x:v>
      </x:c>
      <x:c r="AO404" s="38" t="n">
        <x:v>-0.0531044728</x:v>
      </x:c>
      <x:c r="AP404" s="38" t="n">
        <x:v>0.0356707626</x:v>
      </x:c>
      <x:c r="AQ404" s="38" t="n">
        <x:v>-0.0053173255</x:v>
      </x:c>
      <x:c r="AR404" s="38" t="n">
        <x:v>0.0242632409</x:v>
      </x:c>
      <x:c r="AS404" s="38" t="n">
        <x:v>-0.0366146571</x:v>
      </x:c>
    </x:row>
    <x:row r="405" ht="19" customHeight="1">
      <x:c r="A405" s="29" t="str">
        <x:v>Primary sector</x:v>
      </x:c>
      <x:c r="B405" s="39" t="d">
        <x:v>2026-08-10T00:00:00.000Z</x:v>
      </x:c>
      <x:c r="C405" s="38" t="n">
        <x:v>-0.1219219432</x:v>
      </x:c>
      <x:c r="D405" s="38" t="n">
        <x:v>-0.0271509515</x:v>
      </x:c>
      <x:c r="E405" s="38" t="n">
        <x:v>-0.051692857</x:v>
      </x:c>
      <x:c r="F405" s="38" t="n">
        <x:v>-0.0471141125</x:v>
      </x:c>
      <x:c r="G405" s="38" t="n">
        <x:v>0.0706375185</x:v>
      </x:c>
      <x:c r="H405" s="38" t="n">
        <x:v>-0.0861353631</x:v>
      </x:c>
      <x:c r="I405" s="38" t="n">
        <x:v>0.0252391422</x:v>
      </x:c>
      <x:c r="J405" s="38" t="n">
        <x:v>-0.1014611581</x:v>
      </x:c>
      <x:c r="K405" s="38" t="n">
        <x:v>0.0299427628</x:v>
      </x:c>
      <x:c r="L405" s="38" t="n">
        <x:v>0.0123398957</x:v>
      </x:c>
      <x:c r="M405" s="38" t="n">
        <x:v>-0.0339897791</x:v>
      </x:c>
      <x:c r="N405" s="38" t="n">
        <x:v>-0.0283798789</x:v>
      </x:c>
      <x:c r="O405" s="38" t="n">
        <x:v>-0.0467271613</x:v>
      </x:c>
      <x:c r="P405" s="38" t="n">
        <x:v>-0.169570633</x:v>
      </x:c>
      <x:c r="Q405" s="38" t="n">
        <x:v>-0.1339499332</x:v>
      </x:c>
      <x:c r="R405" s="38" t="n">
        <x:v>-0.0318688173</x:v>
      </x:c>
      <x:c r="S405" s="38" t="n">
        <x:v>0.1309641638</x:v>
      </x:c>
      <x:c r="T405" s="38" t="n">
        <x:v>0.1029759721</x:v>
      </x:c>
      <x:c r="U405" s="38" t="n">
        <x:v>-0.0985238559</x:v>
      </x:c>
      <x:c r="V405" s="38" t="n">
        <x:v>0.1947710562</x:v>
      </x:c>
      <x:c r="W405" s="38" t="n">
        <x:v>0.1509391568</x:v>
      </x:c>
      <x:c r="X405" s="38" t="n">
        <x:v>0.1436115781</x:v>
      </x:c>
      <x:c r="Y405" s="38" t="n">
        <x:v>-0.0617732904</x:v>
      </x:c>
      <x:c r="Z405" s="38" t="n">
        <x:v>0.3657944333</x:v>
      </x:c>
      <x:c r="AA405" s="38" t="n">
        <x:v>-0.0183685571</x:v>
      </x:c>
      <x:c r="AB405" s="38" t="n">
        <x:v>0.3095496768</x:v>
      </x:c>
      <x:c r="AC405" s="38" t="n">
        <x:v>-0.1080856438</x:v>
      </x:c>
      <x:c r="AD405" s="38" t="n">
        <x:v>-0.068508059</x:v>
      </x:c>
      <x:c r="AE405" s="38" t="n">
        <x:v>-0.0765111445</x:v>
      </x:c>
      <x:c r="AF405" s="38" t="n">
        <x:v>0.271327738</x:v>
      </x:c>
      <x:c r="AG405" s="38" t="n">
        <x:v>0.0017960644</x:v>
      </x:c>
      <x:c r="AH405" s="38" t="n">
        <x:v>0.3032526018</x:v>
      </x:c>
      <x:c r="AI405" s="38" t="n">
        <x:v>-0.2180013534</x:v>
      </x:c>
      <x:c r="AJ405" s="38" t="n">
        <x:v>-0.0853762553</x:v>
      </x:c>
      <x:c r="AK405" s="38" t="n">
        <x:v>-0.0622639149</x:v>
      </x:c>
      <x:c r="AL405" s="38" t="n">
        <x:v>-0.0204637178</x:v>
      </x:c>
      <x:c r="AM405" s="38" t="n">
        <x:v>0.2630453565</x:v>
      </x:c>
      <x:c r="AN405" s="38" t="n">
        <x:v>-0.082012197</x:v>
      </x:c>
      <x:c r="AO405" s="38" t="n">
        <x:v>-0.0214648538</x:v>
      </x:c>
      <x:c r="AP405" s="38" t="n">
        <x:v>-0.0493581966</x:v>
      </x:c>
      <x:c r="AQ405" s="38" t="n">
        <x:v>0.0862901301</x:v>
      </x:c>
      <x:c r="AR405" s="38" t="n">
        <x:v>-0.0055063724</x:v>
      </x:c>
      <x:c r="AS405" s="38" t="n">
        <x:v>0.0066843171</x:v>
      </x:c>
    </x:row>
    <x:row r="406" ht="19" customHeight="1">
      <x:c r="A406" s="29" t="str">
        <x:v>Other sectors</x:v>
      </x:c>
      <x:c r="B406" s="39" t="d">
        <x:v>2020-07-20T00:00:00.000Z</x:v>
      </x:c>
      <x:c r="C406" s="38" t="n">
        <x:v>-0.0515746202</x:v>
      </x:c>
      <x:c r="D406" s="38" t="n">
        <x:v>0.0737330718</x:v>
      </x:c>
      <x:c r="E406" s="38" t="n">
        <x:v>0.0249075363</x:v>
      </x:c>
      <x:c r="F406" s="38" t="n">
        <x:v>0.0093495032</x:v>
      </x:c>
      <x:c r="G406" s="38" t="n">
        <x:v>0.0176282692</x:v>
      </x:c>
      <x:c r="H406" s="38" t="n">
        <x:v>0.0093531824</x:v>
      </x:c>
      <x:c r="I406" s="38" t="n">
        <x:v>0.0090023083</x:v>
      </x:c>
      <x:c r="J406" s="38" t="n">
        <x:v>-0.0470628553</x:v>
      </x:c>
      <x:c r="K406" s="38" t="n">
        <x:v>0.0141360899</x:v>
      </x:c>
      <x:c r="L406" s="38" t="n">
        <x:v>-0.0134719732</x:v>
      </x:c>
      <x:c r="M406" s="38" t="n">
        <x:v>0.0343994616</x:v>
      </x:c>
      <x:c r="N406" s="38" t="n">
        <x:v>-0.0327124817</x:v>
      </x:c>
      <x:c r="O406" s="38" t="n">
        <x:v>0.0456064159</x:v>
      </x:c>
      <x:c r="P406" s="38" t="n">
        <x:v>0.0091060924</x:v>
      </x:c>
      <x:c r="Q406" s="38" t="n">
        <x:v>-0.0800359819</x:v>
      </x:c>
      <x:c r="R406" s="38"/>
      <x:c r="S406" s="38" t="n">
        <x:v>0.0100115161</x:v>
      </x:c>
      <x:c r="T406" s="38" t="n">
        <x:v>-0.0574642561</x:v>
      </x:c>
      <x:c r="U406" s="38" t="n">
        <x:v>0.0445021233</x:v>
      </x:c>
      <x:c r="V406" s="38" t="n">
        <x:v>-0.114873355</x:v>
      </x:c>
      <x:c r="W406" s="38" t="n">
        <x:v>-0.0193461752</x:v>
      </x:c>
      <x:c r="X406" s="38" t="n">
        <x:v>0.0458644575</x:v>
      </x:c>
      <x:c r="Y406" s="38" t="n">
        <x:v>0.0257976929</x:v>
      </x:c>
      <x:c r="Z406" s="38" t="n">
        <x:v>-0.0236104511</x:v>
      </x:c>
      <x:c r="AA406" s="38" t="n">
        <x:v>0.0326434938</x:v>
      </x:c>
      <x:c r="AB406" s="38" t="n">
        <x:v>-0.0249787562</x:v>
      </x:c>
      <x:c r="AC406" s="38"/>
      <x:c r="AD406" s="38" t="n">
        <x:v>0.0094883251</x:v>
      </x:c>
      <x:c r="AE406" s="38" t="n">
        <x:v>0.0074779279</x:v>
      </x:c>
      <x:c r="AF406" s="38" t="n">
        <x:v>-0.0150695124</x:v>
      </x:c>
      <x:c r="AG406" s="38" t="n">
        <x:v>-0.0333583472</x:v>
      </x:c>
      <x:c r="AH406" s="38" t="n">
        <x:v>-0.0492065991</x:v>
      </x:c>
      <x:c r="AI406" s="38" t="n">
        <x:v>0.124577209</x:v>
      </x:c>
      <x:c r="AJ406" s="38" t="n">
        <x:v>-0.0509122297</x:v>
      </x:c>
      <x:c r="AK406" s="38" t="n">
        <x:v>-0.0182653375</x:v>
      </x:c>
      <x:c r="AL406" s="38" t="n">
        <x:v>-0.0032827357</x:v>
      </x:c>
      <x:c r="AM406" s="38" t="n">
        <x:v>-0.0359104245</x:v>
      </x:c>
      <x:c r="AN406" s="38" t="n">
        <x:v>-0.026814326</x:v>
      </x:c>
      <x:c r="AO406" s="38" t="n">
        <x:v>0.025887258</x:v>
      </x:c>
      <x:c r="AP406" s="38" t="n">
        <x:v>0.009966211</x:v>
      </x:c>
      <x:c r="AQ406" s="38" t="n">
        <x:v>0.031105252</x:v>
      </x:c>
      <x:c r="AR406" s="38" t="n">
        <x:v>-0.0050607519</x:v>
      </x:c>
      <x:c r="AS406" s="38" t="n">
        <x:v>0.00935664</x:v>
      </x:c>
    </x:row>
    <x:row r="407" ht="19" customHeight="1">
      <x:c r="A407" s="29" t="str">
        <x:v>Other sectors</x:v>
      </x:c>
      <x:c r="B407" s="39" t="d">
        <x:v>2020-08-17T00:00:00.000Z</x:v>
      </x:c>
      <x:c r="C407" s="38" t="n">
        <x:v>-0.0348186115</x:v>
      </x:c>
      <x:c r="D407" s="38" t="n">
        <x:v>-0.1115402895</x:v>
      </x:c>
      <x:c r="E407" s="38" t="n">
        <x:v>-0.0478073225</x:v>
      </x:c>
      <x:c r="F407" s="38" t="n">
        <x:v>-0.0194859186</x:v>
      </x:c>
      <x:c r="G407" s="38" t="n">
        <x:v>0.0167064191</x:v>
      </x:c>
      <x:c r="H407" s="38" t="n">
        <x:v>0.0181265366</x:v>
      </x:c>
      <x:c r="I407" s="38" t="n">
        <x:v>-0.010413616</x:v>
      </x:c>
      <x:c r="J407" s="38" t="n">
        <x:v>0.0252916615</x:v>
      </x:c>
      <x:c r="K407" s="38" t="n">
        <x:v>-0.1786832347</x:v>
      </x:c>
      <x:c r="L407" s="38" t="n">
        <x:v>-0.0282055293</x:v>
      </x:c>
      <x:c r="M407" s="38" t="n">
        <x:v>0.0341183646</x:v>
      </x:c>
      <x:c r="N407" s="38" t="n">
        <x:v>0.0596111162</x:v>
      </x:c>
      <x:c r="O407" s="38" t="n">
        <x:v>-0.0266261272</x:v>
      </x:c>
      <x:c r="P407" s="38" t="n">
        <x:v>-0.2627534075</x:v>
      </x:c>
      <x:c r="Q407" s="38" t="n">
        <x:v>-0.0083018917</x:v>
      </x:c>
      <x:c r="R407" s="38"/>
      <x:c r="S407" s="38" t="n">
        <x:v>0.0058309701</x:v>
      </x:c>
      <x:c r="T407" s="38" t="n">
        <x:v>0.0140763541</x:v>
      </x:c>
      <x:c r="U407" s="38" t="n">
        <x:v>-0.0579763722</x:v>
      </x:c>
      <x:c r="V407" s="38" t="n">
        <x:v>-0.0794649696</x:v>
      </x:c>
      <x:c r="W407" s="38" t="n">
        <x:v>-0.0301113138</x:v>
      </x:c>
      <x:c r="X407" s="38" t="n">
        <x:v>-0.0089111872</x:v>
      </x:c>
      <x:c r="Y407" s="38" t="n">
        <x:v>-0.1972023901</x:v>
      </x:c>
      <x:c r="Z407" s="38" t="n">
        <x:v>-0.0409881078</x:v>
      </x:c>
      <x:c r="AA407" s="38" t="n">
        <x:v>0.017597834</x:v>
      </x:c>
      <x:c r="AB407" s="38" t="n">
        <x:v>-0.1161350065</x:v>
      </x:c>
      <x:c r="AC407" s="38"/>
      <x:c r="AD407" s="38" t="n">
        <x:v>0.0401752841</x:v>
      </x:c>
      <x:c r="AE407" s="38" t="n">
        <x:v>-0.0658162482</x:v>
      </x:c>
      <x:c r="AF407" s="38" t="n">
        <x:v>-0.0465848911</x:v>
      </x:c>
      <x:c r="AG407" s="38" t="n">
        <x:v>-0.0497127368</x:v>
      </x:c>
      <x:c r="AH407" s="38" t="n">
        <x:v>-0.0906386219</x:v>
      </x:c>
      <x:c r="AI407" s="38" t="n">
        <x:v>-0.0163428295</x:v>
      </x:c>
      <x:c r="AJ407" s="38" t="n">
        <x:v>-0.0610959871</x:v>
      </x:c>
      <x:c r="AK407" s="38" t="n">
        <x:v>0.0267775641</x:v>
      </x:c>
      <x:c r="AL407" s="38" t="n">
        <x:v>0.0280397042</x:v>
      </x:c>
      <x:c r="AM407" s="38" t="n">
        <x:v>-0.003993682</x:v>
      </x:c>
      <x:c r="AN407" s="38" t="n">
        <x:v>-0.0354039566</x:v>
      </x:c>
      <x:c r="AO407" s="38" t="n">
        <x:v>0.0006742629</x:v>
      </x:c>
      <x:c r="AP407" s="38" t="n">
        <x:v>0.0004193206</x:v>
      </x:c>
      <x:c r="AQ407" s="38" t="n">
        <x:v>-0.0333059784</x:v>
      </x:c>
      <x:c r="AR407" s="38" t="n">
        <x:v>0.0074713487</x:v>
      </x:c>
      <x:c r="AS407" s="38" t="n">
        <x:v>0.0248740828</x:v>
      </x:c>
    </x:row>
    <x:row r="408" ht="19" customHeight="1">
      <x:c r="A408" s="29" t="str">
        <x:v>Other sectors</x:v>
      </x:c>
      <x:c r="B408" s="39" t="d">
        <x:v>2020-09-14T00:00:00.000Z</x:v>
      </x:c>
      <x:c r="C408" s="38" t="n">
        <x:v>-0.0356891123</x:v>
      </x:c>
      <x:c r="D408" s="38" t="n">
        <x:v>-0.1244220497</x:v>
      </x:c>
      <x:c r="E408" s="38" t="n">
        <x:v>-0.0052179128</x:v>
      </x:c>
      <x:c r="F408" s="38" t="n">
        <x:v>-0.0157965357</x:v>
      </x:c>
      <x:c r="G408" s="38" t="n">
        <x:v>0.0299596869</x:v>
      </x:c>
      <x:c r="H408" s="38" t="n">
        <x:v>-0.0358770238</x:v>
      </x:c>
      <x:c r="I408" s="38" t="n">
        <x:v>-0.0253994198</x:v>
      </x:c>
      <x:c r="J408" s="38" t="n">
        <x:v>-0.056466719</x:v>
      </x:c>
      <x:c r="K408" s="38" t="n">
        <x:v>0.0083305557</x:v>
      </x:c>
      <x:c r="L408" s="38" t="n">
        <x:v>-0.0010783705</x:v>
      </x:c>
      <x:c r="M408" s="38" t="n">
        <x:v>0.0292844745</x:v>
      </x:c>
      <x:c r="N408" s="38" t="n">
        <x:v>0.0069601705</x:v>
      </x:c>
      <x:c r="O408" s="38" t="n">
        <x:v>-0.046577563</x:v>
      </x:c>
      <x:c r="P408" s="38" t="n">
        <x:v>-0.0171564078</x:v>
      </x:c>
      <x:c r="Q408" s="38" t="n">
        <x:v>0.0208996183</x:v>
      </x:c>
      <x:c r="R408" s="38"/>
      <x:c r="S408" s="38" t="n">
        <x:v>-0.0087532858</x:v>
      </x:c>
      <x:c r="T408" s="38" t="n">
        <x:v>-0.0326847027</x:v>
      </x:c>
      <x:c r="U408" s="38" t="n">
        <x:v>-0.0125340803</x:v>
      </x:c>
      <x:c r="V408" s="38" t="n">
        <x:v>-0.0518692398</x:v>
      </x:c>
      <x:c r="W408" s="38" t="n">
        <x:v>0.0046562746</x:v>
      </x:c>
      <x:c r="X408" s="38" t="n">
        <x:v>0.0507155522</x:v>
      </x:c>
      <x:c r="Y408" s="38" t="n">
        <x:v>0.0722213464</x:v>
      </x:c>
      <x:c r="Z408" s="38" t="n">
        <x:v>-0.0721010303</x:v>
      </x:c>
      <x:c r="AA408" s="38" t="n">
        <x:v>0.0086305868</x:v>
      </x:c>
      <x:c r="AB408" s="38" t="n">
        <x:v>-0.0602972725</x:v>
      </x:c>
      <x:c r="AC408" s="38"/>
      <x:c r="AD408" s="38" t="n">
        <x:v>-0.0009190492</x:v>
      </x:c>
      <x:c r="AE408" s="38" t="n">
        <x:v>0.0184994159</x:v>
      </x:c>
      <x:c r="AF408" s="38" t="n">
        <x:v>0.0372194737</x:v>
      </x:c>
      <x:c r="AG408" s="38" t="n">
        <x:v>-0.0491007489</x:v>
      </x:c>
      <x:c r="AH408" s="38" t="n">
        <x:v>-0.0719423057</x:v>
      </x:c>
      <x:c r="AI408" s="38" t="n">
        <x:v>-0.0343807239</x:v>
      </x:c>
      <x:c r="AJ408" s="38" t="n">
        <x:v>0.0132727193</x:v>
      </x:c>
      <x:c r="AK408" s="38" t="n">
        <x:v>0.0013165649</x:v>
      </x:c>
      <x:c r="AL408" s="38" t="n">
        <x:v>-0.0616816996</x:v>
      </x:c>
      <x:c r="AM408" s="38" t="n">
        <x:v>-0.0088131799</x:v>
      </x:c>
      <x:c r="AN408" s="38" t="n">
        <x:v>-0.0398286647</x:v>
      </x:c>
      <x:c r="AO408" s="38" t="n">
        <x:v>-0.0221148004</x:v>
      </x:c>
      <x:c r="AP408" s="38" t="n">
        <x:v>-0.0318452802</x:v>
      </x:c>
      <x:c r="AQ408" s="38" t="n">
        <x:v>0.0419710864</x:v>
      </x:c>
      <x:c r="AR408" s="38" t="n">
        <x:v>-0.0247445348</x:v>
      </x:c>
      <x:c r="AS408" s="38" t="n">
        <x:v>0.0164671782</x:v>
      </x:c>
    </x:row>
    <x:row r="409" ht="19" customHeight="1">
      <x:c r="A409" s="29" t="str">
        <x:v>Other sectors</x:v>
      </x:c>
      <x:c r="B409" s="39" t="d">
        <x:v>2020-10-12T00:00:00.000Z</x:v>
      </x:c>
      <x:c r="C409" s="38" t="n">
        <x:v>-0.0488309745</x:v>
      </x:c>
      <x:c r="D409" s="38" t="n">
        <x:v>0.0011558666</x:v>
      </x:c>
      <x:c r="E409" s="38" t="n">
        <x:v>0.0359799607</x:v>
      </x:c>
      <x:c r="F409" s="38" t="n">
        <x:v>0.0035295668</x:v>
      </x:c>
      <x:c r="G409" s="38" t="n">
        <x:v>-0.0090370167</x:v>
      </x:c>
      <x:c r="H409" s="38" t="n">
        <x:v>0.0369774313</x:v>
      </x:c>
      <x:c r="I409" s="38" t="n">
        <x:v>0.0181759406</x:v>
      </x:c>
      <x:c r="J409" s="38" t="n">
        <x:v>-0.0347987179</x:v>
      </x:c>
      <x:c r="K409" s="38" t="n">
        <x:v>-0.0311740906</x:v>
      </x:c>
      <x:c r="L409" s="38" t="n">
        <x:v>-0.0574426684</x:v>
      </x:c>
      <x:c r="M409" s="38" t="n">
        <x:v>-0.0535571679</x:v>
      </x:c>
      <x:c r="N409" s="38" t="n">
        <x:v>0.002499224</x:v>
      </x:c>
      <x:c r="O409" s="38" t="n">
        <x:v>0.0256545815</x:v>
      </x:c>
      <x:c r="P409" s="38" t="n">
        <x:v>-0.0353178416</x:v>
      </x:c>
      <x:c r="Q409" s="38" t="n">
        <x:v>0.0322318576</x:v>
      </x:c>
      <x:c r="R409" s="38"/>
      <x:c r="S409" s="38" t="n">
        <x:v>0.0027110547</x:v>
      </x:c>
      <x:c r="T409" s="38" t="n">
        <x:v>0.2449388027</x:v>
      </x:c>
      <x:c r="U409" s="38" t="n">
        <x:v>0.0424301649</x:v>
      </x:c>
      <x:c r="V409" s="38" t="n">
        <x:v>0.0840646466</x:v>
      </x:c>
      <x:c r="W409" s="38" t="n">
        <x:v>0.0293933586</x:v>
      </x:c>
      <x:c r="X409" s="38" t="n">
        <x:v>0.0364557997</x:v>
      </x:c>
      <x:c r="Y409" s="38" t="n">
        <x:v>-0.0287996584</x:v>
      </x:c>
      <x:c r="Z409" s="38" t="n">
        <x:v>0.0368896713</x:v>
      </x:c>
      <x:c r="AA409" s="38" t="n">
        <x:v>-0.0120337324</x:v>
      </x:c>
      <x:c r="AB409" s="38" t="n">
        <x:v>-0.0518428556</x:v>
      </x:c>
      <x:c r="AC409" s="38"/>
      <x:c r="AD409" s="38" t="n">
        <x:v>0.015081692</x:v>
      </x:c>
      <x:c r="AE409" s="38" t="n">
        <x:v>0.0346112759</x:v>
      </x:c>
      <x:c r="AF409" s="38" t="n">
        <x:v>-0.0304705434</x:v>
      </x:c>
      <x:c r="AG409" s="38" t="n">
        <x:v>0.0159728201</x:v>
      </x:c>
      <x:c r="AH409" s="38" t="n">
        <x:v>0.0155173945</x:v>
      </x:c>
      <x:c r="AI409" s="38" t="n">
        <x:v>-0.0021898346</x:v>
      </x:c>
      <x:c r="AJ409" s="38" t="n">
        <x:v>-0.0330156537</x:v>
      </x:c>
      <x:c r="AK409" s="38" t="n">
        <x:v>-0.0201275597</x:v>
      </x:c>
      <x:c r="AL409" s="38" t="n">
        <x:v>-0.0230689642</x:v>
      </x:c>
      <x:c r="AM409" s="38" t="n">
        <x:v>0.03282339</x:v>
      </x:c>
      <x:c r="AN409" s="38" t="n">
        <x:v>0.0537547472</x:v>
      </x:c>
      <x:c r="AO409" s="38" t="n">
        <x:v>0.0345579009</x:v>
      </x:c>
      <x:c r="AP409" s="38" t="n">
        <x:v>0.0080829788</x:v>
      </x:c>
      <x:c r="AQ409" s="38" t="n">
        <x:v>-0.0222062855</x:v>
      </x:c>
      <x:c r="AR409" s="38" t="n">
        <x:v>-0.0184792563</x:v>
      </x:c>
      <x:c r="AS409" s="38" t="n">
        <x:v>-0.0258612975</x:v>
      </x:c>
    </x:row>
    <x:row r="410" ht="19" customHeight="1">
      <x:c r="A410" s="29" t="str">
        <x:v>Other sectors</x:v>
      </x:c>
      <x:c r="B410" s="39" t="d">
        <x:v>2020-11-09T00:00:00.000Z</x:v>
      </x:c>
      <x:c r="C410" s="38" t="n">
        <x:v>-0.0079132044</x:v>
      </x:c>
      <x:c r="D410" s="38" t="n">
        <x:v>-0.0346747947</x:v>
      </x:c>
      <x:c r="E410" s="38" t="n">
        <x:v>-0.0294739609</x:v>
      </x:c>
      <x:c r="F410" s="38" t="n">
        <x:v>-0.0064745005</x:v>
      </x:c>
      <x:c r="G410" s="38" t="n">
        <x:v>0.0287279813</x:v>
      </x:c>
      <x:c r="H410" s="38" t="n">
        <x:v>-0.0329029109</x:v>
      </x:c>
      <x:c r="I410" s="38" t="n">
        <x:v>-0.0165427839</x:v>
      </x:c>
      <x:c r="J410" s="38" t="n">
        <x:v>-0.1202994885</x:v>
      </x:c>
      <x:c r="K410" s="38" t="n">
        <x:v>-0.0069572964</x:v>
      </x:c>
      <x:c r="L410" s="38" t="n">
        <x:v>0.0476417909</x:v>
      </x:c>
      <x:c r="M410" s="38" t="n">
        <x:v>-0.0099258011</x:v>
      </x:c>
      <x:c r="N410" s="38" t="n">
        <x:v>-0.0226257065</x:v>
      </x:c>
      <x:c r="O410" s="38" t="n">
        <x:v>0.0383782109</x:v>
      </x:c>
      <x:c r="P410" s="38" t="n">
        <x:v>-0.0036221835</x:v>
      </x:c>
      <x:c r="Q410" s="38" t="n">
        <x:v>0.0058023363</x:v>
      </x:c>
      <x:c r="R410" s="38"/>
      <x:c r="S410" s="38" t="n">
        <x:v>-0.0259330008</x:v>
      </x:c>
      <x:c r="T410" s="38" t="n">
        <x:v>0.0261125715</x:v>
      </x:c>
      <x:c r="U410" s="38" t="n">
        <x:v>0.0601645216</x:v>
      </x:c>
      <x:c r="V410" s="38" t="n">
        <x:v>0.0377837543</x:v>
      </x:c>
      <x:c r="W410" s="38" t="n">
        <x:v>-0.0706315218</x:v>
      </x:c>
      <x:c r="X410" s="38" t="n">
        <x:v>0.0032681641</x:v>
      </x:c>
      <x:c r="Y410" s="38" t="n">
        <x:v>0.0053040529</x:v>
      </x:c>
      <x:c r="Z410" s="38" t="n">
        <x:v>-0.0338122322</x:v>
      </x:c>
      <x:c r="AA410" s="38" t="n">
        <x:v>-0.0369576259</x:v>
      </x:c>
      <x:c r="AB410" s="38" t="n">
        <x:v>-0.0504112895</x:v>
      </x:c>
      <x:c r="AC410" s="38"/>
      <x:c r="AD410" s="38" t="n">
        <x:v>-0.0068671342</x:v>
      </x:c>
      <x:c r="AE410" s="38" t="n">
        <x:v>0.0190737504</x:v>
      </x:c>
      <x:c r="AF410" s="38" t="n">
        <x:v>0.0098977247</x:v>
      </x:c>
      <x:c r="AG410" s="38" t="n">
        <x:v>0.0265911272</x:v>
      </x:c>
      <x:c r="AH410" s="38" t="n">
        <x:v>0.0335876857</x:v>
      </x:c>
      <x:c r="AI410" s="38" t="n">
        <x:v>0.0155104341</x:v>
      </x:c>
      <x:c r="AJ410" s="38" t="n">
        <x:v>-0.0582751077</x:v>
      </x:c>
      <x:c r="AK410" s="38" t="n">
        <x:v>0.0469720763</x:v>
      </x:c>
      <x:c r="AL410" s="38" t="n">
        <x:v>-0.0386864861</x:v>
      </x:c>
      <x:c r="AM410" s="38" t="n">
        <x:v>-0.0034469978</x:v>
      </x:c>
      <x:c r="AN410" s="38" t="n">
        <x:v>0.0519663647</x:v>
      </x:c>
      <x:c r="AO410" s="38" t="n">
        <x:v>-0.0151210306</x:v>
      </x:c>
      <x:c r="AP410" s="38" t="n">
        <x:v>-0.0335279953</x:v>
      </x:c>
      <x:c r="AQ410" s="38" t="n">
        <x:v>0.0215498408</x:v>
      </x:c>
      <x:c r="AR410" s="38" t="n">
        <x:v>-0.0214942402</x:v>
      </x:c>
      <x:c r="AS410" s="38" t="n">
        <x:v>0.0104264717</x:v>
      </x:c>
    </x:row>
    <x:row r="411" ht="19" customHeight="1">
      <x:c r="A411" s="29" t="str">
        <x:v>Other sectors</x:v>
      </x:c>
      <x:c r="B411" s="39" t="d">
        <x:v>2020-12-07T00:00:00.000Z</x:v>
      </x:c>
      <x:c r="C411" s="38" t="n">
        <x:v>-0.0712605438</x:v>
      </x:c>
      <x:c r="D411" s="38" t="n">
        <x:v>-0.0351104411</x:v>
      </x:c>
      <x:c r="E411" s="38" t="n">
        <x:v>-0.0152936875</x:v>
      </x:c>
      <x:c r="F411" s="38" t="n">
        <x:v>-0.0098151084</x:v>
      </x:c>
      <x:c r="G411" s="38" t="n">
        <x:v>0.0925329095</x:v>
      </x:c>
      <x:c r="H411" s="38" t="n">
        <x:v>0.028307624</x:v>
      </x:c>
      <x:c r="I411" s="38" t="n">
        <x:v>-0.0339276917</x:v>
      </x:c>
      <x:c r="J411" s="38" t="n">
        <x:v>-0.0475834938</x:v>
      </x:c>
      <x:c r="K411" s="38" t="n">
        <x:v>0.0351835065</x:v>
      </x:c>
      <x:c r="L411" s="38" t="n">
        <x:v>-0.0464897766</x:v>
      </x:c>
      <x:c r="M411" s="38" t="n">
        <x:v>0.0259300287</x:v>
      </x:c>
      <x:c r="N411" s="38" t="n">
        <x:v>0.0448585678</x:v>
      </x:c>
      <x:c r="O411" s="38" t="n">
        <x:v>-0.0155678254</x:v>
      </x:c>
      <x:c r="P411" s="38" t="n">
        <x:v>0.0533385242</x:v>
      </x:c>
      <x:c r="Q411" s="38" t="n">
        <x:v>0.0269464069</x:v>
      </x:c>
      <x:c r="R411" s="38"/>
      <x:c r="S411" s="38" t="n">
        <x:v>0.0159700415</x:v>
      </x:c>
      <x:c r="T411" s="38" t="n">
        <x:v>0.0424685652</x:v>
      </x:c>
      <x:c r="U411" s="38" t="n">
        <x:v>0.3269071714</x:v>
      </x:c>
      <x:c r="V411" s="38" t="n">
        <x:v>0.001818626</x:v>
      </x:c>
      <x:c r="W411" s="38" t="n">
        <x:v>0.0115943394</x:v>
      </x:c>
      <x:c r="X411" s="38" t="n">
        <x:v>-0.0317897097</x:v>
      </x:c>
      <x:c r="Y411" s="38" t="n">
        <x:v>0.0529239441</x:v>
      </x:c>
      <x:c r="Z411" s="38" t="n">
        <x:v>-0.1552609355</x:v>
      </x:c>
      <x:c r="AA411" s="38" t="n">
        <x:v>-0.0294375428</x:v>
      </x:c>
      <x:c r="AB411" s="38" t="n">
        <x:v>-0.0051839394</x:v>
      </x:c>
      <x:c r="AC411" s="38"/>
      <x:c r="AD411" s="38" t="n">
        <x:v>-0.02769243</x:v>
      </x:c>
      <x:c r="AE411" s="38" t="n">
        <x:v>-0.0179740047</x:v>
      </x:c>
      <x:c r="AF411" s="38" t="n">
        <x:v>0.0255084587</x:v>
      </x:c>
      <x:c r="AG411" s="38" t="n">
        <x:v>0.100227616</x:v>
      </x:c>
      <x:c r="AH411" s="38" t="n">
        <x:v>-0.0045622516</x:v>
      </x:c>
      <x:c r="AI411" s="38" t="n">
        <x:v>-0.0044170075</x:v>
      </x:c>
      <x:c r="AJ411" s="38" t="n">
        <x:v>0.0356510903</x:v>
      </x:c>
      <x:c r="AK411" s="38" t="n">
        <x:v>-0.0354190995</x:v>
      </x:c>
      <x:c r="AL411" s="38" t="n">
        <x:v>-0.0176284178</x:v>
      </x:c>
      <x:c r="AM411" s="38" t="n">
        <x:v>-0.043402359</x:v>
      </x:c>
      <x:c r="AN411" s="38" t="n">
        <x:v>-0.0834886172</x:v>
      </x:c>
      <x:c r="AO411" s="38" t="n">
        <x:v>0.0032196634</x:v>
      </x:c>
      <x:c r="AP411" s="38" t="n">
        <x:v>-0.0421764253</x:v>
      </x:c>
      <x:c r="AQ411" s="38" t="n">
        <x:v>-0.0124174441</x:v>
      </x:c>
      <x:c r="AR411" s="38" t="n">
        <x:v>0.0114260276</x:v>
      </x:c>
      <x:c r="AS411" s="38" t="n">
        <x:v>-0.0270446712</x:v>
      </x:c>
    </x:row>
    <x:row r="412" ht="19" customHeight="1">
      <x:c r="A412" s="29" t="str">
        <x:v>Other sectors</x:v>
      </x:c>
      <x:c r="B412" s="39" t="d">
        <x:v>2021-01-04T00:00:00.000Z</x:v>
      </x:c>
      <x:c r="C412" s="38" t="n">
        <x:v>0.0645236267</x:v>
      </x:c>
      <x:c r="D412" s="38" t="n">
        <x:v>-0.0406335759</x:v>
      </x:c>
      <x:c r="E412" s="38" t="n">
        <x:v>-0.0371660409</x:v>
      </x:c>
      <x:c r="F412" s="38" t="n">
        <x:v>-0.0562683501</x:v>
      </x:c>
      <x:c r="G412" s="38" t="n">
        <x:v>-0.0369532711</x:v>
      </x:c>
      <x:c r="H412" s="38" t="n">
        <x:v>0.003399269</x:v>
      </x:c>
      <x:c r="I412" s="38" t="n">
        <x:v>-0.0185009752</x:v>
      </x:c>
      <x:c r="J412" s="38" t="n">
        <x:v>0.0487897724</x:v>
      </x:c>
      <x:c r="K412" s="38" t="n">
        <x:v>-0.1417299434</x:v>
      </x:c>
      <x:c r="L412" s="38" t="n">
        <x:v>-0.0380699891</x:v>
      </x:c>
      <x:c r="M412" s="38" t="n">
        <x:v>0.00865432</x:v>
      </x:c>
      <x:c r="N412" s="38" t="n">
        <x:v>-0.0107580854</x:v>
      </x:c>
      <x:c r="O412" s="38" t="n">
        <x:v>0.0620932628</x:v>
      </x:c>
      <x:c r="P412" s="38" t="n">
        <x:v>-0.0468034844</x:v>
      </x:c>
      <x:c r="Q412" s="38" t="n">
        <x:v>-0.0589366768</x:v>
      </x:c>
      <x:c r="R412" s="38"/>
      <x:c r="S412" s="38" t="n">
        <x:v>0.062885135</x:v>
      </x:c>
      <x:c r="T412" s="38" t="n">
        <x:v>-0.1092555551</x:v>
      </x:c>
      <x:c r="U412" s="38" t="n">
        <x:v>-0.2057610782</x:v>
      </x:c>
      <x:c r="V412" s="38" t="n">
        <x:v>-0.0096471039</x:v>
      </x:c>
      <x:c r="W412" s="38" t="n">
        <x:v>0.0097768138</x:v>
      </x:c>
      <x:c r="X412" s="38" t="n">
        <x:v>0.017758761</x:v>
      </x:c>
      <x:c r="Y412" s="38" t="n">
        <x:v>0.006412411</x:v>
      </x:c>
      <x:c r="Z412" s="38" t="n">
        <x:v>-0.0537349717</x:v>
      </x:c>
      <x:c r="AA412" s="38" t="n">
        <x:v>0.0009146609</x:v>
      </x:c>
      <x:c r="AB412" s="38" t="n">
        <x:v>-0.0692511934</x:v>
      </x:c>
      <x:c r="AC412" s="38"/>
      <x:c r="AD412" s="38" t="n">
        <x:v>0.0039283744</x:v>
      </x:c>
      <x:c r="AE412" s="38" t="n">
        <x:v>-0.0626998748</x:v>
      </x:c>
      <x:c r="AF412" s="38" t="n">
        <x:v>-0.1053121292</x:v>
      </x:c>
      <x:c r="AG412" s="38" t="n">
        <x:v>-0.0732669669</x:v>
      </x:c>
      <x:c r="AH412" s="38" t="n">
        <x:v>-0.0410166346</x:v>
      </x:c>
      <x:c r="AI412" s="38" t="n">
        <x:v>-0.0348190223</x:v>
      </x:c>
      <x:c r="AJ412" s="38" t="n">
        <x:v>-0.0210894509</x:v>
      </x:c>
      <x:c r="AK412" s="38" t="n">
        <x:v>-0.0194548076</x:v>
      </x:c>
      <x:c r="AL412" s="38" t="n">
        <x:v>-0.0415370697</x:v>
      </x:c>
      <x:c r="AM412" s="38" t="n">
        <x:v>-0.022542603</x:v>
      </x:c>
      <x:c r="AN412" s="38" t="n">
        <x:v>-0.0261345364</x:v>
      </x:c>
      <x:c r="AO412" s="38" t="n">
        <x:v>-0.0472616117</x:v>
      </x:c>
      <x:c r="AP412" s="38" t="n">
        <x:v>-0.019308101</x:v>
      </x:c>
      <x:c r="AQ412" s="38" t="n">
        <x:v>-0.037397344</x:v>
      </x:c>
      <x:c r="AR412" s="38" t="n">
        <x:v>-0.003917719</x:v>
      </x:c>
      <x:c r="AS412" s="38" t="n">
        <x:v>-0.0072419283</x:v>
      </x:c>
    </x:row>
    <x:row r="413" ht="19" customHeight="1">
      <x:c r="A413" s="29" t="str">
        <x:v>Other sectors</x:v>
      </x:c>
      <x:c r="B413" s="39" t="d">
        <x:v>2021-02-01T00:00:00.000Z</x:v>
      </x:c>
      <x:c r="C413" s="38" t="n">
        <x:v>-0.0006869283</x:v>
      </x:c>
      <x:c r="D413" s="38" t="n">
        <x:v>-0.0557230086</x:v>
      </x:c>
      <x:c r="E413" s="38" t="n">
        <x:v>0.0024344896</x:v>
      </x:c>
      <x:c r="F413" s="38" t="n">
        <x:v>-0.0118526495</x:v>
      </x:c>
      <x:c r="G413" s="38" t="n">
        <x:v>0.005351763</x:v>
      </x:c>
      <x:c r="H413" s="38" t="n">
        <x:v>0.0537397177</x:v>
      </x:c>
      <x:c r="I413" s="38" t="n">
        <x:v>-0.0058758517</x:v>
      </x:c>
      <x:c r="J413" s="38" t="n">
        <x:v>-0.0363682767</x:v>
      </x:c>
      <x:c r="K413" s="38" t="n">
        <x:v>0.0530479886</x:v>
      </x:c>
      <x:c r="L413" s="38" t="n">
        <x:v>0.0131359367</x:v>
      </x:c>
      <x:c r="M413" s="38" t="n">
        <x:v>-0.0066881613</x:v>
      </x:c>
      <x:c r="N413" s="38" t="n">
        <x:v>0.0443050587</x:v>
      </x:c>
      <x:c r="O413" s="38" t="n">
        <x:v>0.0697643962</x:v>
      </x:c>
      <x:c r="P413" s="38" t="n">
        <x:v>0.0617002883</x:v>
      </x:c>
      <x:c r="Q413" s="38" t="n">
        <x:v>-0.0591124519</x:v>
      </x:c>
      <x:c r="R413" s="38"/>
      <x:c r="S413" s="38" t="n">
        <x:v>-0.0308409473</x:v>
      </x:c>
      <x:c r="T413" s="38" t="n">
        <x:v>-0.018633254</x:v>
      </x:c>
      <x:c r="U413" s="38" t="n">
        <x:v>0.2967396839</x:v>
      </x:c>
      <x:c r="V413" s="38" t="n">
        <x:v>0.192926027</x:v>
      </x:c>
      <x:c r="W413" s="38" t="n">
        <x:v>0.0207932109</x:v>
      </x:c>
      <x:c r="X413" s="38" t="n">
        <x:v>-0.0140925545</x:v>
      </x:c>
      <x:c r="Y413" s="38" t="n">
        <x:v>-0.0056994793</x:v>
      </x:c>
      <x:c r="Z413" s="38" t="n">
        <x:v>0.0106218671</x:v>
      </x:c>
      <x:c r="AA413" s="38" t="n">
        <x:v>-0.0419013622</x:v>
      </x:c>
      <x:c r="AB413" s="38" t="n">
        <x:v>0.0750864538</x:v>
      </x:c>
      <x:c r="AC413" s="38" t="n">
        <x:v>0.2123547133</x:v>
      </x:c>
      <x:c r="AD413" s="38" t="n">
        <x:v>-0.0194753474</x:v>
      </x:c>
      <x:c r="AE413" s="38" t="n">
        <x:v>0.1591172767</x:v>
      </x:c>
      <x:c r="AF413" s="38" t="n">
        <x:v>0.0862943991</x:v>
      </x:c>
      <x:c r="AG413" s="38" t="n">
        <x:v>0.0131583923</x:v>
      </x:c>
      <x:c r="AH413" s="38" t="n">
        <x:v>0.0232233951</x:v>
      </x:c>
      <x:c r="AI413" s="38" t="n">
        <x:v>-0.0810545443</x:v>
      </x:c>
      <x:c r="AJ413" s="38" t="n">
        <x:v>0.1208132552</x:v>
      </x:c>
      <x:c r="AK413" s="38" t="n">
        <x:v>-0.0362560105</x:v>
      </x:c>
      <x:c r="AL413" s="38" t="n">
        <x:v>0.0216935306</x:v>
      </x:c>
      <x:c r="AM413" s="38" t="n">
        <x:v>0.0432097971</x:v>
      </x:c>
      <x:c r="AN413" s="38" t="n">
        <x:v>0.0457183082</x:v>
      </x:c>
      <x:c r="AO413" s="38" t="n">
        <x:v>-0.0362807567</x:v>
      </x:c>
      <x:c r="AP413" s="38" t="n">
        <x:v>0.0316045074</x:v>
      </x:c>
      <x:c r="AQ413" s="38" t="n">
        <x:v>-0.002460494</x:v>
      </x:c>
      <x:c r="AR413" s="38" t="n">
        <x:v>0.0278399572</x:v>
      </x:c>
      <x:c r="AS413" s="38" t="n">
        <x:v>0.0104588381</x:v>
      </x:c>
    </x:row>
    <x:row r="414" ht="19" customHeight="1">
      <x:c r="A414" s="29" t="str">
        <x:v>Other sectors</x:v>
      </x:c>
      <x:c r="B414" s="39" t="d">
        <x:v>2021-03-01T00:00:00.000Z</x:v>
      </x:c>
      <x:c r="C414" s="38" t="n">
        <x:v>-0.1207700219</x:v>
      </x:c>
      <x:c r="D414" s="38" t="n">
        <x:v>-0.123957175</x:v>
      </x:c>
      <x:c r="E414" s="38" t="n">
        <x:v>0.0315353841</x:v>
      </x:c>
      <x:c r="F414" s="38" t="n">
        <x:v>-0.0148011483</x:v>
      </x:c>
      <x:c r="G414" s="38" t="n">
        <x:v>0.0296502712</x:v>
      </x:c>
      <x:c r="H414" s="38" t="n">
        <x:v>-0.0128330844</x:v>
      </x:c>
      <x:c r="I414" s="38" t="n">
        <x:v>0.0127003967</x:v>
      </x:c>
      <x:c r="J414" s="38" t="n">
        <x:v>0.166404282</x:v>
      </x:c>
      <x:c r="K414" s="38" t="n">
        <x:v>0.1004915798</x:v>
      </x:c>
      <x:c r="L414" s="38" t="n">
        <x:v>-0.0041495003</x:v>
      </x:c>
      <x:c r="M414" s="38" t="n">
        <x:v>-0.1053118791</x:v>
      </x:c>
      <x:c r="N414" s="38" t="n">
        <x:v>-0.0644335829</x:v>
      </x:c>
      <x:c r="O414" s="38" t="n">
        <x:v>0.0383975644</x:v>
      </x:c>
      <x:c r="P414" s="38" t="n">
        <x:v>0.0909146624</x:v>
      </x:c>
      <x:c r="Q414" s="38" t="n">
        <x:v>-0.0187383014</x:v>
      </x:c>
      <x:c r="R414" s="38"/>
      <x:c r="S414" s="38" t="n">
        <x:v>0.0515548039</x:v>
      </x:c>
      <x:c r="T414" s="38" t="n">
        <x:v>-0.1616374405</x:v>
      </x:c>
      <x:c r="U414" s="38" t="n">
        <x:v>-0.0634636805</x:v>
      </x:c>
      <x:c r="V414" s="38" t="n">
        <x:v>-0.0831865897</x:v>
      </x:c>
      <x:c r="W414" s="38" t="n">
        <x:v>0.0050500676</x:v>
      </x:c>
      <x:c r="X414" s="38" t="n">
        <x:v>0.005874526</x:v>
      </x:c>
      <x:c r="Y414" s="38" t="n">
        <x:v>0.0586749379</x:v>
      </x:c>
      <x:c r="Z414" s="38" t="n">
        <x:v>-0.0779995444</x:v>
      </x:c>
      <x:c r="AA414" s="38" t="n">
        <x:v>-0.0141787171</x:v>
      </x:c>
      <x:c r="AB414" s="38" t="n">
        <x:v>-0.1630968111</x:v>
      </x:c>
      <x:c r="AC414" s="38" t="n">
        <x:v>-0.3136649831</x:v>
      </x:c>
      <x:c r="AD414" s="38" t="n">
        <x:v>0.017128307</x:v>
      </x:c>
      <x:c r="AE414" s="38" t="n">
        <x:v>0.0873101462</x:v>
      </x:c>
      <x:c r="AF414" s="38" t="n">
        <x:v>-0.0033580203</x:v>
      </x:c>
      <x:c r="AG414" s="38" t="n">
        <x:v>0.1033678244</x:v>
      </x:c>
      <x:c r="AH414" s="38" t="n">
        <x:v>0.0530684339</x:v>
      </x:c>
      <x:c r="AI414" s="38" t="n">
        <x:v>0.003887826</x:v>
      </x:c>
      <x:c r="AJ414" s="38" t="n">
        <x:v>-0.0298516342</x:v>
      </x:c>
      <x:c r="AK414" s="38" t="n">
        <x:v>0.0222488457</x:v>
      </x:c>
      <x:c r="AL414" s="38" t="n">
        <x:v>-0.0620574912</x:v>
      </x:c>
      <x:c r="AM414" s="38" t="n">
        <x:v>0.0242909848</x:v>
      </x:c>
      <x:c r="AN414" s="38" t="n">
        <x:v>-0.0102358162</x:v>
      </x:c>
      <x:c r="AO414" s="38" t="n">
        <x:v>-0.0273182749</x:v>
      </x:c>
      <x:c r="AP414" s="38" t="n">
        <x:v>-0.0229949491</x:v>
      </x:c>
      <x:c r="AQ414" s="38" t="n">
        <x:v>0.024549076</x:v>
      </x:c>
      <x:c r="AR414" s="38" t="n">
        <x:v>-0.0201009937</x:v>
      </x:c>
      <x:c r="AS414" s="38" t="n">
        <x:v>0.0223999735</x:v>
      </x:c>
    </x:row>
    <x:row r="415" ht="19" customHeight="1">
      <x:c r="A415" s="29" t="str">
        <x:v>Other sectors</x:v>
      </x:c>
      <x:c r="B415" s="39" t="d">
        <x:v>2021-03-29T00:00:00.000Z</x:v>
      </x:c>
      <x:c r="C415" s="38" t="n">
        <x:v>-0.0412942535</x:v>
      </x:c>
      <x:c r="D415" s="38" t="n">
        <x:v>-0.0217421086</x:v>
      </x:c>
      <x:c r="E415" s="38" t="n">
        <x:v>0.0040628834</x:v>
      </x:c>
      <x:c r="F415" s="38" t="n">
        <x:v>0.016829161</x:v>
      </x:c>
      <x:c r="G415" s="38" t="n">
        <x:v>-0.0022945379</x:v>
      </x:c>
      <x:c r="H415" s="38" t="n">
        <x:v>0.0204075712</x:v>
      </x:c>
      <x:c r="I415" s="38" t="n">
        <x:v>-0.0015042371</x:v>
      </x:c>
      <x:c r="J415" s="38" t="n">
        <x:v>-0.0709020612</x:v>
      </x:c>
      <x:c r="K415" s="38" t="n">
        <x:v>-0.0559836653</x:v>
      </x:c>
      <x:c r="L415" s="38" t="n">
        <x:v>-0.0104933534</x:v>
      </x:c>
      <x:c r="M415" s="38" t="n">
        <x:v>0.0031336445</x:v>
      </x:c>
      <x:c r="N415" s="38" t="n">
        <x:v>-0.0190635468</x:v>
      </x:c>
      <x:c r="O415" s="38" t="n">
        <x:v>0.0262589222</x:v>
      </x:c>
      <x:c r="P415" s="38" t="n">
        <x:v>-0.0894875616</x:v>
      </x:c>
      <x:c r="Q415" s="38" t="n">
        <x:v>-0.0841756045</x:v>
      </x:c>
      <x:c r="R415" s="38"/>
      <x:c r="S415" s="38" t="n">
        <x:v>-0.0171127092</x:v>
      </x:c>
      <x:c r="T415" s="38" t="n">
        <x:v>0.0001348161</x:v>
      </x:c>
      <x:c r="U415" s="38" t="n">
        <x:v>-0.0677203596</x:v>
      </x:c>
      <x:c r="V415" s="38" t="n">
        <x:v>-0.0729563944</x:v>
      </x:c>
      <x:c r="W415" s="38" t="n">
        <x:v>0.0231254448</x:v>
      </x:c>
      <x:c r="X415" s="38" t="n">
        <x:v>0.0312008436</x:v>
      </x:c>
      <x:c r="Y415" s="38" t="n">
        <x:v>-0.0543412997</x:v>
      </x:c>
      <x:c r="Z415" s="38" t="n">
        <x:v>0.0599759407</x:v>
      </x:c>
      <x:c r="AA415" s="38" t="n">
        <x:v>0.0249104361</x:v>
      </x:c>
      <x:c r="AB415" s="38" t="n">
        <x:v>-0.0555903991</x:v>
      </x:c>
      <x:c r="AC415" s="38" t="n">
        <x:v>0.6969009247</x:v>
      </x:c>
      <x:c r="AD415" s="38" t="n">
        <x:v>0.0228191872</x:v>
      </x:c>
      <x:c r="AE415" s="38" t="n">
        <x:v>-0.0531964012</x:v>
      </x:c>
      <x:c r="AF415" s="38" t="n">
        <x:v>0.0536426635</x:v>
      </x:c>
      <x:c r="AG415" s="38" t="n">
        <x:v>0.0377001029</x:v>
      </x:c>
      <x:c r="AH415" s="38" t="n">
        <x:v>0.0690893793</x:v>
      </x:c>
      <x:c r="AI415" s="38" t="n">
        <x:v>-0.0018239522</x:v>
      </x:c>
      <x:c r="AJ415" s="38" t="n">
        <x:v>-0.0746108665</x:v>
      </x:c>
      <x:c r="AK415" s="38" t="n">
        <x:v>-0.0142873129</x:v>
      </x:c>
      <x:c r="AL415" s="38" t="n">
        <x:v>0.0186832989</x:v>
      </x:c>
      <x:c r="AM415" s="38" t="n">
        <x:v>0.024193065</x:v>
      </x:c>
      <x:c r="AN415" s="38" t="n">
        <x:v>0.0110859775</x:v>
      </x:c>
      <x:c r="AO415" s="38" t="n">
        <x:v>0.030502484</x:v>
      </x:c>
      <x:c r="AP415" s="38" t="n">
        <x:v>0.0940010453</x:v>
      </x:c>
      <x:c r="AQ415" s="38" t="n">
        <x:v>0.0036456138</x:v>
      </x:c>
      <x:c r="AR415" s="38" t="n">
        <x:v>0.0064058489</x:v>
      </x:c>
      <x:c r="AS415" s="38" t="n">
        <x:v>-0.0015512639</x:v>
      </x:c>
    </x:row>
    <x:row r="416" ht="19" customHeight="1">
      <x:c r="A416" s="29" t="str">
        <x:v>Other sectors</x:v>
      </x:c>
      <x:c r="B416" s="39" t="d">
        <x:v>2021-04-26T00:00:00.000Z</x:v>
      </x:c>
      <x:c r="C416" s="38" t="n">
        <x:v>-0.049797872</x:v>
      </x:c>
      <x:c r="D416" s="38" t="n">
        <x:v>-0.0023539555</x:v>
      </x:c>
      <x:c r="E416" s="38" t="n">
        <x:v>-0.0184489018</x:v>
      </x:c>
      <x:c r="F416" s="38" t="n">
        <x:v>0.0258727097</x:v>
      </x:c>
      <x:c r="G416" s="38" t="n">
        <x:v>-0.0311627081</x:v>
      </x:c>
      <x:c r="H416" s="38" t="n">
        <x:v>-0.0086376814</x:v>
      </x:c>
      <x:c r="I416" s="38" t="n">
        <x:v>0.0143588025</x:v>
      </x:c>
      <x:c r="J416" s="38" t="n">
        <x:v>0.0072886884</x:v>
      </x:c>
      <x:c r="K416" s="38" t="n">
        <x:v>0.0910380689</x:v>
      </x:c>
      <x:c r="L416" s="38" t="n">
        <x:v>-0.0075223127</x:v>
      </x:c>
      <x:c r="M416" s="38" t="n">
        <x:v>0.0098888808</x:v>
      </x:c>
      <x:c r="N416" s="38" t="n">
        <x:v>-0.0239590374</x:v>
      </x:c>
      <x:c r="O416" s="38" t="n">
        <x:v>-0.0141355568</x:v>
      </x:c>
      <x:c r="P416" s="38" t="n">
        <x:v>0.0047920684</x:v>
      </x:c>
      <x:c r="Q416" s="38" t="n">
        <x:v>0.0371130893</x:v>
      </x:c>
      <x:c r="R416" s="38" t="n">
        <x:v>0.0160115715</x:v>
      </x:c>
      <x:c r="S416" s="38" t="n">
        <x:v>-0.0204228816</x:v>
      </x:c>
      <x:c r="T416" s="38" t="n">
        <x:v>0.058754992</x:v>
      </x:c>
      <x:c r="U416" s="38" t="n">
        <x:v>0.1837673815</x:v>
      </x:c>
      <x:c r="V416" s="38" t="n">
        <x:v>-0.019782216</x:v>
      </x:c>
      <x:c r="W416" s="38" t="n">
        <x:v>-0.0702054912</x:v>
      </x:c>
      <x:c r="X416" s="38" t="n">
        <x:v>0.0069698288</x:v>
      </x:c>
      <x:c r="Y416" s="38" t="n">
        <x:v>-0.0294772052</x:v>
      </x:c>
      <x:c r="Z416" s="38" t="n">
        <x:v>-0.039282149</x:v>
      </x:c>
      <x:c r="AA416" s="38" t="n">
        <x:v>0.0081997837</x:v>
      </x:c>
      <x:c r="AB416" s="38" t="n">
        <x:v>-0.052220296</x:v>
      </x:c>
      <x:c r="AC416" s="38" t="n">
        <x:v>-0.2387756767</x:v>
      </x:c>
      <x:c r="AD416" s="38" t="n">
        <x:v>-0.0134979973</x:v>
      </x:c>
      <x:c r="AE416" s="38" t="n">
        <x:v>-0.071431809</x:v>
      </x:c>
      <x:c r="AF416" s="38" t="n">
        <x:v>0.0087975376</x:v>
      </x:c>
      <x:c r="AG416" s="38" t="n">
        <x:v>-0.0725275768</x:v>
      </x:c>
      <x:c r="AH416" s="38" t="n">
        <x:v>0.0164491833</x:v>
      </x:c>
      <x:c r="AI416" s="38" t="n">
        <x:v>-0.039690986</x:v>
      </x:c>
      <x:c r="AJ416" s="38" t="n">
        <x:v>-0.0411924877</x:v>
      </x:c>
      <x:c r="AK416" s="38" t="n">
        <x:v>-0.0458959468</x:v>
      </x:c>
      <x:c r="AL416" s="38" t="n">
        <x:v>0.1001290583</x:v>
      </x:c>
      <x:c r="AM416" s="38" t="n">
        <x:v>-0.0144855997</x:v>
      </x:c>
      <x:c r="AN416" s="38" t="n">
        <x:v>0.0208477245</x:v>
      </x:c>
      <x:c r="AO416" s="38" t="n">
        <x:v>-0.0009297262</x:v>
      </x:c>
      <x:c r="AP416" s="38" t="n">
        <x:v>-0.000022441</x:v>
      </x:c>
      <x:c r="AQ416" s="38" t="n">
        <x:v>-0.0000883077</x:v>
      </x:c>
      <x:c r="AR416" s="38" t="n">
        <x:v>-0.0316792846</x:v>
      </x:c>
      <x:c r="AS416" s="38" t="n">
        <x:v>0.0104889908</x:v>
      </x:c>
    </x:row>
    <x:row r="417" ht="19" customHeight="1">
      <x:c r="A417" s="29" t="str">
        <x:v>Other sectors</x:v>
      </x:c>
      <x:c r="B417" s="39" t="d">
        <x:v>2021-05-24T00:00:00.000Z</x:v>
      </x:c>
      <x:c r="C417" s="38" t="n">
        <x:v>-0.0277058337</x:v>
      </x:c>
      <x:c r="D417" s="38" t="n">
        <x:v>0.143240425</x:v>
      </x:c>
      <x:c r="E417" s="38" t="n">
        <x:v>-0.0074575817</x:v>
      </x:c>
      <x:c r="F417" s="38" t="n">
        <x:v>-0.0119531231</x:v>
      </x:c>
      <x:c r="G417" s="38" t="n">
        <x:v>-0.0208700964</x:v>
      </x:c>
      <x:c r="H417" s="38" t="n">
        <x:v>-0.0338948138</x:v>
      </x:c>
      <x:c r="I417" s="38" t="n">
        <x:v>-0.0089782692</x:v>
      </x:c>
      <x:c r="J417" s="38" t="n">
        <x:v>-0.0301289477</x:v>
      </x:c>
      <x:c r="K417" s="38" t="n">
        <x:v>0.0245337437</x:v>
      </x:c>
      <x:c r="L417" s="38" t="n">
        <x:v>0.0120700873</x:v>
      </x:c>
      <x:c r="M417" s="38" t="n">
        <x:v>-0.0084985268</x:v>
      </x:c>
      <x:c r="N417" s="38" t="n">
        <x:v>0.0191258318</x:v>
      </x:c>
      <x:c r="O417" s="38" t="n">
        <x:v>-0.0164367814</x:v>
      </x:c>
      <x:c r="P417" s="38" t="n">
        <x:v>0.0247261354</x:v>
      </x:c>
      <x:c r="Q417" s="38" t="n">
        <x:v>-0.0655943391</x:v>
      </x:c>
      <x:c r="R417" s="38" t="n">
        <x:v>-0.0189704643</x:v>
      </x:c>
      <x:c r="S417" s="38" t="n">
        <x:v>0.0392763376</x:v>
      </x:c>
      <x:c r="T417" s="38" t="n">
        <x:v>-0.0103714923</x:v>
      </x:c>
      <x:c r="U417" s="38" t="n">
        <x:v>0.0026953966</x:v>
      </x:c>
      <x:c r="V417" s="38" t="n">
        <x:v>-0.0717156948</x:v>
      </x:c>
      <x:c r="W417" s="38" t="n">
        <x:v>-0.0074784522</x:v>
      </x:c>
      <x:c r="X417" s="38" t="n">
        <x:v>0.0014723605</x:v>
      </x:c>
      <x:c r="Y417" s="38" t="n">
        <x:v>-0.0449698122</x:v>
      </x:c>
      <x:c r="Z417" s="38" t="n">
        <x:v>0.0676625576</x:v>
      </x:c>
      <x:c r="AA417" s="38" t="n">
        <x:v>-0.0399904317</x:v>
      </x:c>
      <x:c r="AB417" s="38" t="n">
        <x:v>0.0170506307</x:v>
      </x:c>
      <x:c r="AC417" s="38" t="n">
        <x:v>0.1622744232</x:v>
      </x:c>
      <x:c r="AD417" s="38" t="n">
        <x:v>0.011597981</x:v>
      </x:c>
      <x:c r="AE417" s="38" t="n">
        <x:v>0.1431256388</x:v>
      </x:c>
      <x:c r="AF417" s="38" t="n">
        <x:v>-0.0291126807</x:v>
      </x:c>
      <x:c r="AG417" s="38" t="n">
        <x:v>0.0163783257</x:v>
      </x:c>
      <x:c r="AH417" s="38" t="n">
        <x:v>0.0067157704</x:v>
      </x:c>
      <x:c r="AI417" s="38" t="n">
        <x:v>-0.0155617765</x:v>
      </x:c>
      <x:c r="AJ417" s="38" t="n">
        <x:v>0.0034499537</x:v>
      </x:c>
      <x:c r="AK417" s="38" t="n">
        <x:v>-0.0223216517</x:v>
      </x:c>
      <x:c r="AL417" s="38" t="n">
        <x:v>0.0603009899</x:v>
      </x:c>
      <x:c r="AM417" s="38" t="n">
        <x:v>-0.0047209068</x:v>
      </x:c>
      <x:c r="AN417" s="38" t="n">
        <x:v>0.004620867</x:v>
      </x:c>
      <x:c r="AO417" s="38" t="n">
        <x:v>0.0121374573</x:v>
      </x:c>
      <x:c r="AP417" s="38" t="n">
        <x:v>-0.0067832272</x:v>
      </x:c>
      <x:c r="AQ417" s="38" t="n">
        <x:v>0.000231801</x:v>
      </x:c>
      <x:c r="AR417" s="38" t="n">
        <x:v>0.0027273003</x:v>
      </x:c>
      <x:c r="AS417" s="38" t="n">
        <x:v>0.0038734517</x:v>
      </x:c>
    </x:row>
    <x:row r="418" ht="19" customHeight="1">
      <x:c r="A418" s="29" t="str">
        <x:v>Other sectors</x:v>
      </x:c>
      <x:c r="B418" s="39" t="d">
        <x:v>2021-06-21T00:00:00.000Z</x:v>
      </x:c>
      <x:c r="C418" s="38" t="n">
        <x:v>0.1157578536</x:v>
      </x:c>
      <x:c r="D418" s="38" t="n">
        <x:v>-0.0063855953</x:v>
      </x:c>
      <x:c r="E418" s="38" t="n">
        <x:v>0.0013357195</x:v>
      </x:c>
      <x:c r="F418" s="38" t="n">
        <x:v>-0.0241225364</x:v>
      </x:c>
      <x:c r="G418" s="38" t="n">
        <x:v>0.0102907618</x:v>
      </x:c>
      <x:c r="H418" s="38" t="n">
        <x:v>0.0812356746</x:v>
      </x:c>
      <x:c r="I418" s="38" t="n">
        <x:v>-0.0107973385</x:v>
      </x:c>
      <x:c r="J418" s="38" t="n">
        <x:v>-0.0779151746</x:v>
      </x:c>
      <x:c r="K418" s="38" t="n">
        <x:v>-0.1368211709</x:v>
      </x:c>
      <x:c r="L418" s="38" t="n">
        <x:v>-0.0472070342</x:v>
      </x:c>
      <x:c r="M418" s="38" t="n">
        <x:v>-0.0136281738</x:v>
      </x:c>
      <x:c r="N418" s="38" t="n">
        <x:v>0.037236824</x:v>
      </x:c>
      <x:c r="O418" s="38" t="n">
        <x:v>0.0330666029</x:v>
      </x:c>
      <x:c r="P418" s="38" t="n">
        <x:v>-0.0966879452</x:v>
      </x:c>
      <x:c r="Q418" s="38" t="n">
        <x:v>0.0265363359</x:v>
      </x:c>
      <x:c r="R418" s="38" t="n">
        <x:v>0.0461173907</x:v>
      </x:c>
      <x:c r="S418" s="38" t="n">
        <x:v>-0.0057002492</x:v>
      </x:c>
      <x:c r="T418" s="38" t="n">
        <x:v>0.0805364605</x:v>
      </x:c>
      <x:c r="U418" s="38" t="n">
        <x:v>0.1104215247</x:v>
      </x:c>
      <x:c r="V418" s="38" t="n">
        <x:v>0.1640162515</x:v>
      </x:c>
      <x:c r="W418" s="38" t="n">
        <x:v>0.0377551219</x:v>
      </x:c>
      <x:c r="X418" s="38" t="n">
        <x:v>0.0091595225</x:v>
      </x:c>
      <x:c r="Y418" s="38" t="n">
        <x:v>-0.0930537491</x:v>
      </x:c>
      <x:c r="Z418" s="38" t="n">
        <x:v>-0.0452706227</x:v>
      </x:c>
      <x:c r="AA418" s="38" t="n">
        <x:v>0.0044592346</x:v>
      </x:c>
      <x:c r="AB418" s="38" t="n">
        <x:v>-0.0411687444</x:v>
      </x:c>
      <x:c r="AC418" s="38" t="n">
        <x:v>-0.0554394103</x:v>
      </x:c>
      <x:c r="AD418" s="38" t="n">
        <x:v>0.0194192179</x:v>
      </x:c>
      <x:c r="AE418" s="38" t="n">
        <x:v>0.0304146535</x:v>
      </x:c>
      <x:c r="AF418" s="38" t="n">
        <x:v>-0.0542708544</x:v>
      </x:c>
      <x:c r="AG418" s="38" t="n">
        <x:v>0.0356714129</x:v>
      </x:c>
      <x:c r="AH418" s="38" t="n">
        <x:v>0.0280104381</x:v>
      </x:c>
      <x:c r="AI418" s="38" t="n">
        <x:v>-0.0006700476</x:v>
      </x:c>
      <x:c r="AJ418" s="38" t="n">
        <x:v>0.0593282069</x:v>
      </x:c>
      <x:c r="AK418" s="38" t="n">
        <x:v>0.0373612267</x:v>
      </x:c>
      <x:c r="AL418" s="38" t="n">
        <x:v>-0.0103026894</x:v>
      </x:c>
      <x:c r="AM418" s="38" t="n">
        <x:v>0.0204859068</x:v>
      </x:c>
      <x:c r="AN418" s="38" t="n">
        <x:v>-0.0280316975</x:v>
      </x:c>
      <x:c r="AO418" s="38" t="n">
        <x:v>0.0213297989</x:v>
      </x:c>
      <x:c r="AP418" s="38" t="n">
        <x:v>0.0208476742</x:v>
      </x:c>
      <x:c r="AQ418" s="38" t="n">
        <x:v>0.0023681392</x:v>
      </x:c>
      <x:c r="AR418" s="38" t="n">
        <x:v>-0.0216722616</x:v>
      </x:c>
      <x:c r="AS418" s="38" t="n">
        <x:v>-0.0085904531</x:v>
      </x:c>
    </x:row>
    <x:row r="419" ht="19" customHeight="1">
      <x:c r="A419" s="29" t="str">
        <x:v>Other sectors</x:v>
      </x:c>
      <x:c r="B419" s="39" t="d">
        <x:v>2021-07-19T00:00:00.000Z</x:v>
      </x:c>
      <x:c r="C419" s="38" t="n">
        <x:v>0.0174621548</x:v>
      </x:c>
      <x:c r="D419" s="38" t="n">
        <x:v>0.1110643529</x:v>
      </x:c>
      <x:c r="E419" s="38" t="n">
        <x:v>0.003647455</x:v>
      </x:c>
      <x:c r="F419" s="38" t="n">
        <x:v>-0.0164031823</x:v>
      </x:c>
      <x:c r="G419" s="38" t="n">
        <x:v>0.0331503212</x:v>
      </x:c>
      <x:c r="H419" s="38" t="n">
        <x:v>0.1028612117</x:v>
      </x:c>
      <x:c r="I419" s="38" t="n">
        <x:v>0.0170089582</x:v>
      </x:c>
      <x:c r="J419" s="38" t="n">
        <x:v>-0.0764181617</x:v>
      </x:c>
      <x:c r="K419" s="38" t="n">
        <x:v>-0.0384202022</x:v>
      </x:c>
      <x:c r="L419" s="38" t="n">
        <x:v>-0.0722582452</x:v>
      </x:c>
      <x:c r="M419" s="38" t="n">
        <x:v>0.0483263075</x:v>
      </x:c>
      <x:c r="N419" s="38" t="n">
        <x:v>0.0435514126</x:v>
      </x:c>
      <x:c r="O419" s="38" t="n">
        <x:v>0.0065223939</x:v>
      </x:c>
      <x:c r="P419" s="38" t="n">
        <x:v>-0.0971231448</x:v>
      </x:c>
      <x:c r="Q419" s="38" t="n">
        <x:v>-0.1378654776</x:v>
      </x:c>
      <x:c r="R419" s="38" t="n">
        <x:v>0.0586882138</x:v>
      </x:c>
      <x:c r="S419" s="38" t="n">
        <x:v>0.0054829806</x:v>
      </x:c>
      <x:c r="T419" s="38" t="n">
        <x:v>0.0817695696</x:v>
      </x:c>
      <x:c r="U419" s="38" t="n">
        <x:v>0.3194204924</x:v>
      </x:c>
      <x:c r="V419" s="38" t="n">
        <x:v>0.0357048936</x:v>
      </x:c>
      <x:c r="W419" s="38" t="n">
        <x:v>-0.0324907795</x:v>
      </x:c>
      <x:c r="X419" s="38" t="n">
        <x:v>0.0845050606</x:v>
      </x:c>
      <x:c r="Y419" s="38" t="n">
        <x:v>-0.0901780653</x:v>
      </x:c>
      <x:c r="Z419" s="38" t="n">
        <x:v>0.0350416618</x:v>
      </x:c>
      <x:c r="AA419" s="38" t="n">
        <x:v>-0.0032918888</x:v>
      </x:c>
      <x:c r="AB419" s="38" t="n">
        <x:v>-0.138991714</x:v>
      </x:c>
      <x:c r="AC419" s="38" t="n">
        <x:v>0.0514175071</x:v>
      </x:c>
      <x:c r="AD419" s="38" t="n">
        <x:v>0.0211304411</x:v>
      </x:c>
      <x:c r="AE419" s="38" t="n">
        <x:v>-0.0414234281</x:v>
      </x:c>
      <x:c r="AF419" s="38" t="n">
        <x:v>-0.0044810384</x:v>
      </x:c>
      <x:c r="AG419" s="38" t="n">
        <x:v>-0.041348486</x:v>
      </x:c>
      <x:c r="AH419" s="38" t="n">
        <x:v>-0.0035776395</x:v>
      </x:c>
      <x:c r="AI419" s="38" t="n">
        <x:v>-0.0149501928</x:v>
      </x:c>
      <x:c r="AJ419" s="38" t="n">
        <x:v>-0.0093138665</x:v>
      </x:c>
      <x:c r="AK419" s="38" t="n">
        <x:v>0.0168955194</x:v>
      </x:c>
      <x:c r="AL419" s="38" t="n">
        <x:v>0.0355772458</x:v>
      </x:c>
      <x:c r="AM419" s="38" t="n">
        <x:v>0.0374173866</x:v>
      </x:c>
      <x:c r="AN419" s="38" t="n">
        <x:v>0.0145596669</x:v>
      </x:c>
      <x:c r="AO419" s="38" t="n">
        <x:v>0.0403064516</x:v>
      </x:c>
      <x:c r="AP419" s="38" t="n">
        <x:v>0.0568603577</x:v>
      </x:c>
      <x:c r="AQ419" s="38" t="n">
        <x:v>0.0454527726</x:v>
      </x:c>
      <x:c r="AR419" s="38" t="n">
        <x:v>0.0087708886</x:v>
      </x:c>
      <x:c r="AS419" s="38" t="n">
        <x:v>0.0049506772</x:v>
      </x:c>
    </x:row>
    <x:row r="420" ht="19" customHeight="1">
      <x:c r="A420" s="29" t="str">
        <x:v>Other sectors</x:v>
      </x:c>
      <x:c r="B420" s="39" t="d">
        <x:v>2021-08-16T00:00:00.000Z</x:v>
      </x:c>
      <x:c r="C420" s="38" t="n">
        <x:v>-0.0475712229</x:v>
      </x:c>
      <x:c r="D420" s="38" t="n">
        <x:v>0.0435008525</x:v>
      </x:c>
      <x:c r="E420" s="38" t="n">
        <x:v>-0.0019430679</x:v>
      </x:c>
      <x:c r="F420" s="38" t="n">
        <x:v>0.0315363813</x:v>
      </x:c>
      <x:c r="G420" s="38" t="n">
        <x:v>0.0265335494</x:v>
      </x:c>
      <x:c r="H420" s="38" t="n">
        <x:v>0.0408002776</x:v>
      </x:c>
      <x:c r="I420" s="38" t="n">
        <x:v>-0.0545380836</x:v>
      </x:c>
      <x:c r="J420" s="38" t="n">
        <x:v>0.0131452868</x:v>
      </x:c>
      <x:c r="K420" s="38" t="n">
        <x:v>0.0570655826</x:v>
      </x:c>
      <x:c r="L420" s="38" t="n">
        <x:v>0.0090175759</x:v>
      </x:c>
      <x:c r="M420" s="38" t="n">
        <x:v>-0.0424163186</x:v>
      </x:c>
      <x:c r="N420" s="38" t="n">
        <x:v>-0.0089804353</x:v>
      </x:c>
      <x:c r="O420" s="38" t="n">
        <x:v>0.0361634971</x:v>
      </x:c>
      <x:c r="P420" s="38" t="n">
        <x:v>0.0113626325</x:v>
      </x:c>
      <x:c r="Q420" s="38" t="n">
        <x:v>0.0160477583</x:v>
      </x:c>
      <x:c r="R420" s="38" t="n">
        <x:v>0.0179976772</x:v>
      </x:c>
      <x:c r="S420" s="38" t="n">
        <x:v>-0.0299287221</x:v>
      </x:c>
      <x:c r="T420" s="38" t="n">
        <x:v>0.0565583274</x:v>
      </x:c>
      <x:c r="U420" s="38" t="n">
        <x:v>0.0871368876</x:v>
      </x:c>
      <x:c r="V420" s="38" t="n">
        <x:v>0.0018278589</x:v>
      </x:c>
      <x:c r="W420" s="38" t="n">
        <x:v>0.031962298</x:v>
      </x:c>
      <x:c r="X420" s="38" t="n">
        <x:v>0.0518447254</x:v>
      </x:c>
      <x:c r="Y420" s="38" t="n">
        <x:v>-0.0472208392</x:v>
      </x:c>
      <x:c r="Z420" s="38" t="n">
        <x:v>0.0084391429</x:v>
      </x:c>
      <x:c r="AA420" s="38" t="n">
        <x:v>-0.0022300801</x:v>
      </x:c>
      <x:c r="AB420" s="38" t="n">
        <x:v>0.0435044616</x:v>
      </x:c>
      <x:c r="AC420" s="38" t="n">
        <x:v>0.3466130876</x:v>
      </x:c>
      <x:c r="AD420" s="38" t="n">
        <x:v>0.031944704</x:v>
      </x:c>
      <x:c r="AE420" s="38" t="n">
        <x:v>-0.0143818181</x:v>
      </x:c>
      <x:c r="AF420" s="38" t="n">
        <x:v>-0.0009916936</x:v>
      </x:c>
      <x:c r="AG420" s="38" t="n">
        <x:v>-0.0015035591</x:v>
      </x:c>
      <x:c r="AH420" s="38" t="n">
        <x:v>0.0570249151</x:v>
      </x:c>
      <x:c r="AI420" s="38" t="n">
        <x:v>0.0796492198</x:v>
      </x:c>
      <x:c r="AJ420" s="38" t="n">
        <x:v>0.030252145</x:v>
      </x:c>
      <x:c r="AK420" s="38" t="n">
        <x:v>-0.0250659461</x:v>
      </x:c>
      <x:c r="AL420" s="38" t="n">
        <x:v>0.032765215</x:v>
      </x:c>
      <x:c r="AM420" s="38" t="n">
        <x:v>0.0280422899</x:v>
      </x:c>
      <x:c r="AN420" s="38" t="n">
        <x:v>0.0688497728</x:v>
      </x:c>
      <x:c r="AO420" s="38" t="n">
        <x:v>0.0451771225</x:v>
      </x:c>
      <x:c r="AP420" s="38" t="n">
        <x:v>0.020877805</x:v>
      </x:c>
      <x:c r="AQ420" s="38" t="n">
        <x:v>-0.0108967596</x:v>
      </x:c>
      <x:c r="AR420" s="38" t="n">
        <x:v>-0.0021478419</x:v>
      </x:c>
      <x:c r="AS420" s="38" t="n">
        <x:v>-0.0021044075</x:v>
      </x:c>
    </x:row>
    <x:row r="421" ht="19" customHeight="1">
      <x:c r="A421" s="29" t="str">
        <x:v>Other sectors</x:v>
      </x:c>
      <x:c r="B421" s="39" t="d">
        <x:v>2021-09-13T00:00:00.000Z</x:v>
      </x:c>
      <x:c r="C421" s="38" t="n">
        <x:v>0.0121414092</x:v>
      </x:c>
      <x:c r="D421" s="38" t="n">
        <x:v>-0.0241820358</x:v>
      </x:c>
      <x:c r="E421" s="38" t="n">
        <x:v>-0.0447179522</x:v>
      </x:c>
      <x:c r="F421" s="38" t="n">
        <x:v>0.0036580968</x:v>
      </x:c>
      <x:c r="G421" s="38" t="n">
        <x:v>0.0030953407</x:v>
      </x:c>
      <x:c r="H421" s="38" t="n">
        <x:v>-0.007806794</x:v>
      </x:c>
      <x:c r="I421" s="38" t="n">
        <x:v>0.0125342838</x:v>
      </x:c>
      <x:c r="J421" s="38" t="n">
        <x:v>-0.100051211</x:v>
      </x:c>
      <x:c r="K421" s="38" t="n">
        <x:v>-0.1423220382</x:v>
      </x:c>
      <x:c r="L421" s="38" t="n">
        <x:v>-0.006171588</x:v>
      </x:c>
      <x:c r="M421" s="38" t="n">
        <x:v>0.0234744128</x:v>
      </x:c>
      <x:c r="N421" s="38" t="n">
        <x:v>0.0241384556</x:v>
      </x:c>
      <x:c r="O421" s="38" t="n">
        <x:v>-0.0491370583</x:v>
      </x:c>
      <x:c r="P421" s="38" t="n">
        <x:v>-0.0784062286</x:v>
      </x:c>
      <x:c r="Q421" s="38" t="n">
        <x:v>0.1948443977</x:v>
      </x:c>
      <x:c r="R421" s="38" t="n">
        <x:v>0.2651825543</x:v>
      </x:c>
      <x:c r="S421" s="38" t="n">
        <x:v>-0.0588662073</x:v>
      </x:c>
      <x:c r="T421" s="38" t="n">
        <x:v>-0.0285161591</x:v>
      </x:c>
      <x:c r="U421" s="38" t="n">
        <x:v>0.0722537165</x:v>
      </x:c>
      <x:c r="V421" s="38" t="n">
        <x:v>-0.0893647279</x:v>
      </x:c>
      <x:c r="W421" s="38" t="n">
        <x:v>0.0716518169</x:v>
      </x:c>
      <x:c r="X421" s="38" t="n">
        <x:v>-0.0558535865</x:v>
      </x:c>
      <x:c r="Y421" s="38" t="n">
        <x:v>0.0021919003</x:v>
      </x:c>
      <x:c r="Z421" s="38" t="n">
        <x:v>-0.0635260338</x:v>
      </x:c>
      <x:c r="AA421" s="38" t="n">
        <x:v>-0.0461007158</x:v>
      </x:c>
      <x:c r="AB421" s="38" t="n">
        <x:v>0.0404453659</x:v>
      </x:c>
      <x:c r="AC421" s="38" t="n">
        <x:v>0.2979313311</x:v>
      </x:c>
      <x:c r="AD421" s="38" t="n">
        <x:v>-0.0101793606</x:v>
      </x:c>
      <x:c r="AE421" s="38" t="n">
        <x:v>0.0042952007</x:v>
      </x:c>
      <x:c r="AF421" s="38" t="n">
        <x:v>-0.0550805209</x:v>
      </x:c>
      <x:c r="AG421" s="38" t="n">
        <x:v>-0.0191406481</x:v>
      </x:c>
      <x:c r="AH421" s="38" t="n">
        <x:v>-0.0478683187</x:v>
      </x:c>
      <x:c r="AI421" s="38" t="n">
        <x:v>-0.016546667</x:v>
      </x:c>
      <x:c r="AJ421" s="38" t="n">
        <x:v>-0.1039001951</x:v>
      </x:c>
      <x:c r="AK421" s="38" t="n">
        <x:v>-0.0227941047</x:v>
      </x:c>
      <x:c r="AL421" s="38" t="n">
        <x:v>-0.0645061548</x:v>
      </x:c>
      <x:c r="AM421" s="38" t="n">
        <x:v>-0.022332238</x:v>
      </x:c>
      <x:c r="AN421" s="38" t="n">
        <x:v>-0.0077077542</x:v>
      </x:c>
      <x:c r="AO421" s="38" t="n">
        <x:v>-0.044090223</x:v>
      </x:c>
      <x:c r="AP421" s="38" t="n">
        <x:v>-0.0089740729</x:v>
      </x:c>
      <x:c r="AQ421" s="38" t="n">
        <x:v>-0.0403886333</x:v>
      </x:c>
      <x:c r="AR421" s="38" t="n">
        <x:v>-0.0540012217</x:v>
      </x:c>
      <x:c r="AS421" s="38" t="n">
        <x:v>-0.021236524</x:v>
      </x:c>
    </x:row>
    <x:row r="422" ht="19" customHeight="1">
      <x:c r="A422" s="29" t="str">
        <x:v>Other sectors</x:v>
      </x:c>
      <x:c r="B422" s="39" t="d">
        <x:v>2021-10-11T00:00:00.000Z</x:v>
      </x:c>
      <x:c r="C422" s="38" t="n">
        <x:v>0.0172189905</x:v>
      </x:c>
      <x:c r="D422" s="38" t="n">
        <x:v>0.0971487906</x:v>
      </x:c>
      <x:c r="E422" s="38" t="n">
        <x:v>0.001365006</x:v>
      </x:c>
      <x:c r="F422" s="38" t="n">
        <x:v>-0.0617667011</x:v>
      </x:c>
      <x:c r="G422" s="38" t="n">
        <x:v>-0.0557160356</x:v>
      </x:c>
      <x:c r="H422" s="38" t="n">
        <x:v>-0.016020591</x:v>
      </x:c>
      <x:c r="I422" s="38" t="n">
        <x:v>-0.0018255513</x:v>
      </x:c>
      <x:c r="J422" s="38" t="n">
        <x:v>0.0743615944</x:v>
      </x:c>
      <x:c r="K422" s="38" t="n">
        <x:v>-0.0605633278</x:v>
      </x:c>
      <x:c r="L422" s="38" t="n">
        <x:v>-0.0157554496</x:v>
      </x:c>
      <x:c r="M422" s="38" t="n">
        <x:v>-0.0291523395</x:v>
      </x:c>
      <x:c r="N422" s="38" t="n">
        <x:v>0.0192202656</x:v>
      </x:c>
      <x:c r="O422" s="38" t="n">
        <x:v>0.0196723641</x:v>
      </x:c>
      <x:c r="P422" s="38" t="n">
        <x:v>-0.0955222036</x:v>
      </x:c>
      <x:c r="Q422" s="38" t="n">
        <x:v>0.0002229735</x:v>
      </x:c>
      <x:c r="R422" s="38" t="n">
        <x:v>-0.0181933315</x:v>
      </x:c>
      <x:c r="S422" s="38" t="n">
        <x:v>0.0560856008</x:v>
      </x:c>
      <x:c r="T422" s="38" t="n">
        <x:v>0.0715519054</x:v>
      </x:c>
      <x:c r="U422" s="38" t="n">
        <x:v>-0.1345032369</x:v>
      </x:c>
      <x:c r="V422" s="38" t="n">
        <x:v>0.0044779139</x:v>
      </x:c>
      <x:c r="W422" s="38" t="n">
        <x:v>0.0951898416</x:v>
      </x:c>
      <x:c r="X422" s="38" t="n">
        <x:v>-0.0313600128</x:v>
      </x:c>
      <x:c r="Y422" s="38" t="n">
        <x:v>-0.0843572208</x:v>
      </x:c>
      <x:c r="Z422" s="38" t="n">
        <x:v>-0.0426904752</x:v>
      </x:c>
      <x:c r="AA422" s="38" t="n">
        <x:v>-0.0315564394</x:v>
      </x:c>
      <x:c r="AB422" s="38" t="n">
        <x:v>-0.1679810478</x:v>
      </x:c>
      <x:c r="AC422" s="38" t="n">
        <x:v>0.1508955606</x:v>
      </x:c>
      <x:c r="AD422" s="38" t="n">
        <x:v>0.0170694092</x:v>
      </x:c>
      <x:c r="AE422" s="38" t="n">
        <x:v>0.0804378444</x:v>
      </x:c>
      <x:c r="AF422" s="38" t="n">
        <x:v>-0.0326947417</x:v>
      </x:c>
      <x:c r="AG422" s="38" t="n">
        <x:v>0.0294730975</x:v>
      </x:c>
      <x:c r="AH422" s="38" t="n">
        <x:v>0.0316217824</x:v>
      </x:c>
      <x:c r="AI422" s="38" t="n">
        <x:v>0.0725225982</x:v>
      </x:c>
      <x:c r="AJ422" s="38" t="n">
        <x:v>0.0478804758</x:v>
      </x:c>
      <x:c r="AK422" s="38" t="n">
        <x:v>-0.02148693</x:v>
      </x:c>
      <x:c r="AL422" s="38" t="n">
        <x:v>0.0120824685</x:v>
      </x:c>
      <x:c r="AM422" s="38" t="n">
        <x:v>0.0309425887</x:v>
      </x:c>
      <x:c r="AN422" s="38" t="n">
        <x:v>0.015936486</x:v>
      </x:c>
      <x:c r="AO422" s="38" t="n">
        <x:v>-0.0264105768</x:v>
      </x:c>
      <x:c r="AP422" s="38" t="n">
        <x:v>0.0144975961</x:v>
      </x:c>
      <x:c r="AQ422" s="38" t="n">
        <x:v>-0.0222847626</x:v>
      </x:c>
      <x:c r="AR422" s="38" t="n">
        <x:v>0.0045007804</x:v>
      </x:c>
      <x:c r="AS422" s="38" t="n">
        <x:v>0.0031793208</x:v>
      </x:c>
    </x:row>
    <x:row r="423" ht="19" customHeight="1">
      <x:c r="A423" s="29" t="str">
        <x:v>Other sectors</x:v>
      </x:c>
      <x:c r="B423" s="39" t="d">
        <x:v>2021-11-08T00:00:00.000Z</x:v>
      </x:c>
      <x:c r="C423" s="38" t="n">
        <x:v>-0.0246498268</x:v>
      </x:c>
      <x:c r="D423" s="38" t="n">
        <x:v>-0.0565170771</x:v>
      </x:c>
      <x:c r="E423" s="38" t="n">
        <x:v>-0.0090001584</x:v>
      </x:c>
      <x:c r="F423" s="38" t="n">
        <x:v>-0.0142329862</x:v>
      </x:c>
      <x:c r="G423" s="38" t="n">
        <x:v>-0.0772473927</x:v>
      </x:c>
      <x:c r="H423" s="38" t="n">
        <x:v>-0.0037728616</x:v>
      </x:c>
      <x:c r="I423" s="38" t="n">
        <x:v>-0.0124096713</x:v>
      </x:c>
      <x:c r="J423" s="38" t="n">
        <x:v>0.0946622941</x:v>
      </x:c>
      <x:c r="K423" s="38" t="n">
        <x:v>0.1199747947</x:v>
      </x:c>
      <x:c r="L423" s="38" t="n">
        <x:v>-0.0327841997</x:v>
      </x:c>
      <x:c r="M423" s="38" t="n">
        <x:v>0.0210003323</x:v>
      </x:c>
      <x:c r="N423" s="38" t="n">
        <x:v>-0.0424452974</x:v>
      </x:c>
      <x:c r="O423" s="38" t="n">
        <x:v>-0.0185813263</x:v>
      </x:c>
      <x:c r="P423" s="38" t="n">
        <x:v>0.0048156264</x:v>
      </x:c>
      <x:c r="Q423" s="38" t="n">
        <x:v>-0.0326590446</x:v>
      </x:c>
      <x:c r="R423" s="38" t="n">
        <x:v>0.1774382221</x:v>
      </x:c>
      <x:c r="S423" s="38" t="n">
        <x:v>0.0364128473</x:v>
      </x:c>
      <x:c r="T423" s="38" t="n">
        <x:v>0.0548727159</x:v>
      </x:c>
      <x:c r="U423" s="38" t="n">
        <x:v>-0.2170871949</x:v>
      </x:c>
      <x:c r="V423" s="38" t="n">
        <x:v>-0.0916571073</x:v>
      </x:c>
      <x:c r="W423" s="38" t="n">
        <x:v>0.0742504718</x:v>
      </x:c>
      <x:c r="X423" s="38" t="n">
        <x:v>0.0272835859</x:v>
      </x:c>
      <x:c r="Y423" s="38" t="n">
        <x:v>0.062041704</x:v>
      </x:c>
      <x:c r="Z423" s="38" t="n">
        <x:v>0.0363570697</x:v>
      </x:c>
      <x:c r="AA423" s="38" t="n">
        <x:v>0.0324191275</x:v>
      </x:c>
      <x:c r="AB423" s="38" t="n">
        <x:v>-0.1029503683</x:v>
      </x:c>
      <x:c r="AC423" s="38" t="n">
        <x:v>-0.2476338365</x:v>
      </x:c>
      <x:c r="AD423" s="38" t="n">
        <x:v>0.0116684974</x:v>
      </x:c>
      <x:c r="AE423" s="38" t="n">
        <x:v>0.1379200695</x:v>
      </x:c>
      <x:c r="AF423" s="38" t="n">
        <x:v>-0.0763770086</x:v>
      </x:c>
      <x:c r="AG423" s="38" t="n">
        <x:v>0.0186715712</x:v>
      </x:c>
      <x:c r="AH423" s="38" t="n">
        <x:v>-0.0519183794</x:v>
      </x:c>
      <x:c r="AI423" s="38" t="n">
        <x:v>0.1243358628</x:v>
      </x:c>
      <x:c r="AJ423" s="38" t="n">
        <x:v>0.0211094499</x:v>
      </x:c>
      <x:c r="AK423" s="38" t="n">
        <x:v>0.0207133729</x:v>
      </x:c>
      <x:c r="AL423" s="38" t="n">
        <x:v>-0.0584556395</x:v>
      </x:c>
      <x:c r="AM423" s="38" t="n">
        <x:v>0.0446624505</x:v>
      </x:c>
      <x:c r="AN423" s="38" t="n">
        <x:v>0.0169617782</x:v>
      </x:c>
      <x:c r="AO423" s="38" t="n">
        <x:v>0.0573376673</x:v>
      </x:c>
      <x:c r="AP423" s="38" t="n">
        <x:v>0.0203065705</x:v>
      </x:c>
      <x:c r="AQ423" s="38" t="n">
        <x:v>0.0140320595</x:v>
      </x:c>
      <x:c r="AR423" s="38" t="n">
        <x:v>-0.0069217365</x:v>
      </x:c>
      <x:c r="AS423" s="38" t="n">
        <x:v>0.000508397</x:v>
      </x:c>
    </x:row>
    <x:row r="424" ht="19" customHeight="1">
      <x:c r="A424" s="29" t="str">
        <x:v>Other sectors</x:v>
      </x:c>
      <x:c r="B424" s="39" t="d">
        <x:v>2021-12-06T00:00:00.000Z</x:v>
      </x:c>
      <x:c r="C424" s="38" t="n">
        <x:v>0.0373113748</x:v>
      </x:c>
      <x:c r="D424" s="38" t="n">
        <x:v>-0.0351598922</x:v>
      </x:c>
      <x:c r="E424" s="38" t="n">
        <x:v>-0.0083042167</x:v>
      </x:c>
      <x:c r="F424" s="38" t="n">
        <x:v>0.0068681158</x:v>
      </x:c>
      <x:c r="G424" s="38" t="n">
        <x:v>0.0086379188</x:v>
      </x:c>
      <x:c r="H424" s="38" t="n">
        <x:v>-0.0486092315</x:v>
      </x:c>
      <x:c r="I424" s="38" t="n">
        <x:v>-0.0307530314</x:v>
      </x:c>
      <x:c r="J424" s="38" t="n">
        <x:v>-0.0469373513</x:v>
      </x:c>
      <x:c r="K424" s="38" t="n">
        <x:v>-0.0807374067</x:v>
      </x:c>
      <x:c r="L424" s="38" t="n">
        <x:v>-0.0481035535</x:v>
      </x:c>
      <x:c r="M424" s="38" t="n">
        <x:v>-0.0190508338</x:v>
      </x:c>
      <x:c r="N424" s="38" t="n">
        <x:v>0.0677143012</x:v>
      </x:c>
      <x:c r="O424" s="38" t="n">
        <x:v>-0.0085183653</x:v>
      </x:c>
      <x:c r="P424" s="38" t="n">
        <x:v>-0.0698077711</x:v>
      </x:c>
      <x:c r="Q424" s="38" t="n">
        <x:v>-0.0766344245</x:v>
      </x:c>
      <x:c r="R424" s="38" t="n">
        <x:v>-0.3241731172</x:v>
      </x:c>
      <x:c r="S424" s="38" t="n">
        <x:v>0.0141349402</x:v>
      </x:c>
      <x:c r="T424" s="38" t="n">
        <x:v>-0.2782166261</x:v>
      </x:c>
      <x:c r="U424" s="38" t="n">
        <x:v>0.1177287627</x:v>
      </x:c>
      <x:c r="V424" s="38" t="n">
        <x:v>-0.1165210788</x:v>
      </x:c>
      <x:c r="W424" s="38" t="n">
        <x:v>-0.0590539641</x:v>
      </x:c>
      <x:c r="X424" s="38" t="n">
        <x:v>0.0050415753</x:v>
      </x:c>
      <x:c r="Y424" s="38" t="n">
        <x:v>0.0183571686</x:v>
      </x:c>
      <x:c r="Z424" s="38" t="n">
        <x:v>0.0078558866</x:v>
      </x:c>
      <x:c r="AA424" s="38" t="n">
        <x:v>-0.002368082</x:v>
      </x:c>
      <x:c r="AB424" s="38" t="n">
        <x:v>-0.1201688468</x:v>
      </x:c>
      <x:c r="AC424" s="38" t="n">
        <x:v>-0.2504327887</x:v>
      </x:c>
      <x:c r="AD424" s="38" t="n">
        <x:v>0.0339835889</x:v>
      </x:c>
      <x:c r="AE424" s="38" t="n">
        <x:v>0.0935814626</x:v>
      </x:c>
      <x:c r="AF424" s="38" t="n">
        <x:v>-0.0179646216</x:v>
      </x:c>
      <x:c r="AG424" s="38" t="n">
        <x:v>-0.0110470135</x:v>
      </x:c>
      <x:c r="AH424" s="38" t="n">
        <x:v>0.0123084063</x:v>
      </x:c>
      <x:c r="AI424" s="38" t="n">
        <x:v>-0.1149958599</x:v>
      </x:c>
      <x:c r="AJ424" s="38" t="n">
        <x:v>-0.0497287954</x:v>
      </x:c>
      <x:c r="AK424" s="38" t="n">
        <x:v>-0.0259578511</x:v>
      </x:c>
      <x:c r="AL424" s="38" t="n">
        <x:v>0.0054661493</x:v>
      </x:c>
      <x:c r="AM424" s="38" t="n">
        <x:v>-0.0046153995</x:v>
      </x:c>
      <x:c r="AN424" s="38" t="n">
        <x:v>0.0069515043</x:v>
      </x:c>
      <x:c r="AO424" s="38" t="n">
        <x:v>0.0430141452</x:v>
      </x:c>
      <x:c r="AP424" s="38" t="n">
        <x:v>0.1021361074</x:v>
      </x:c>
      <x:c r="AQ424" s="38" t="n">
        <x:v>-0.0253828901</x:v>
      </x:c>
      <x:c r="AR424" s="38" t="n">
        <x:v>-0.0006253225</x:v>
      </x:c>
      <x:c r="AS424" s="38" t="n">
        <x:v>0.0100633163</x:v>
      </x:c>
    </x:row>
    <x:row r="425" ht="19" customHeight="1">
      <x:c r="A425" s="29" t="str">
        <x:v>Other sectors</x:v>
      </x:c>
      <x:c r="B425" s="39" t="d">
        <x:v>2022-01-03T00:00:00.000Z</x:v>
      </x:c>
      <x:c r="C425" s="38" t="n">
        <x:v>0.0418905729</x:v>
      </x:c>
      <x:c r="D425" s="38" t="n">
        <x:v>-0.0888260413</x:v>
      </x:c>
      <x:c r="E425" s="38" t="n">
        <x:v>0.023980331</x:v>
      </x:c>
      <x:c r="F425" s="38" t="n">
        <x:v>0.00519215</x:v>
      </x:c>
      <x:c r="G425" s="38" t="n">
        <x:v>0.0221244556</x:v>
      </x:c>
      <x:c r="H425" s="38" t="n">
        <x:v>-0.0272594784</x:v>
      </x:c>
      <x:c r="I425" s="38" t="n">
        <x:v>-0.0040008276</x:v>
      </x:c>
      <x:c r="J425" s="38" t="n">
        <x:v>-0.0338021386</x:v>
      </x:c>
      <x:c r="K425" s="38" t="n">
        <x:v>0.072161636</x:v>
      </x:c>
      <x:c r="L425" s="38" t="n">
        <x:v>0.0200379451</x:v>
      </x:c>
      <x:c r="M425" s="38" t="n">
        <x:v>0.0389153769</x:v>
      </x:c>
      <x:c r="N425" s="38" t="n">
        <x:v>-0.0448218505</x:v>
      </x:c>
      <x:c r="O425" s="38" t="n">
        <x:v>-0.0960262394</x:v>
      </x:c>
      <x:c r="P425" s="38" t="n">
        <x:v>0.1001092419</x:v>
      </x:c>
      <x:c r="Q425" s="38" t="n">
        <x:v>-0.1359695634</x:v>
      </x:c>
      <x:c r="R425" s="38" t="n">
        <x:v>-0.0818335045</x:v>
      </x:c>
      <x:c r="S425" s="38" t="n">
        <x:v>-0.0144363131</x:v>
      </x:c>
      <x:c r="T425" s="38" t="n">
        <x:v>-0.1674902108</x:v>
      </x:c>
      <x:c r="U425" s="38" t="n">
        <x:v>-0.1636477276</x:v>
      </x:c>
      <x:c r="V425" s="38" t="n">
        <x:v>-0.0183488123</x:v>
      </x:c>
      <x:c r="W425" s="38" t="n">
        <x:v>-0.0719764862</x:v>
      </x:c>
      <x:c r="X425" s="38" t="n">
        <x:v>0.0047520713</x:v>
      </x:c>
      <x:c r="Y425" s="38" t="n">
        <x:v>0.0821274232</x:v>
      </x:c>
      <x:c r="Z425" s="38" t="n">
        <x:v>0.0140111047</x:v>
      </x:c>
      <x:c r="AA425" s="38" t="n">
        <x:v>0.0596849546</x:v>
      </x:c>
      <x:c r="AB425" s="38" t="n">
        <x:v>-0.0037848563</x:v>
      </x:c>
      <x:c r="AC425" s="38" t="n">
        <x:v>-0.1917321029</x:v>
      </x:c>
      <x:c r="AD425" s="38" t="n">
        <x:v>-0.0025592613</x:v>
      </x:c>
      <x:c r="AE425" s="38" t="n">
        <x:v>0.083835459</x:v>
      </x:c>
      <x:c r="AF425" s="38" t="n">
        <x:v>0.0698014526</x:v>
      </x:c>
      <x:c r="AG425" s="38" t="n">
        <x:v>0.0119842798</x:v>
      </x:c>
      <x:c r="AH425" s="38" t="n">
        <x:v>0.0232514034</x:v>
      </x:c>
      <x:c r="AI425" s="38" t="n">
        <x:v>0.0511008521</x:v>
      </x:c>
      <x:c r="AJ425" s="38" t="n">
        <x:v>0.0290896636</x:v>
      </x:c>
      <x:c r="AK425" s="38" t="n">
        <x:v>-0.0034567319</x:v>
      </x:c>
      <x:c r="AL425" s="38" t="n">
        <x:v>0.0365342654</x:v>
      </x:c>
      <x:c r="AM425" s="38" t="n">
        <x:v>-0.0305142488</x:v>
      </x:c>
      <x:c r="AN425" s="38" t="n">
        <x:v>0.0141364405</x:v>
      </x:c>
      <x:c r="AO425" s="38" t="n">
        <x:v>-0.0541397125</x:v>
      </x:c>
      <x:c r="AP425" s="38" t="n">
        <x:v>-0.0412747912</x:v>
      </x:c>
      <x:c r="AQ425" s="38" t="n">
        <x:v>0.0052576472</x:v>
      </x:c>
      <x:c r="AR425" s="38" t="n">
        <x:v>0.0060421865</x:v>
      </x:c>
      <x:c r="AS425" s="38" t="n">
        <x:v>0.0322842812</x:v>
      </x:c>
    </x:row>
    <x:row r="426" ht="19" customHeight="1">
      <x:c r="A426" s="29" t="str">
        <x:v>Other sectors</x:v>
      </x:c>
      <x:c r="B426" s="39" t="d">
        <x:v>2022-01-31T00:00:00.000Z</x:v>
      </x:c>
      <x:c r="C426" s="38" t="n">
        <x:v>0.0069652377</x:v>
      </x:c>
      <x:c r="D426" s="38" t="n">
        <x:v>-0.0077944428</x:v>
      </x:c>
      <x:c r="E426" s="38" t="n">
        <x:v>-0.0186655266</x:v>
      </x:c>
      <x:c r="F426" s="38" t="n">
        <x:v>0.0023085102</x:v>
      </x:c>
      <x:c r="G426" s="38" t="n">
        <x:v>-0.0422988614</x:v>
      </x:c>
      <x:c r="H426" s="38" t="n">
        <x:v>0.005138204</x:v>
      </x:c>
      <x:c r="I426" s="38" t="n">
        <x:v>0.013851477</x:v>
      </x:c>
      <x:c r="J426" s="38" t="n">
        <x:v>-0.0566865861</x:v>
      </x:c>
      <x:c r="K426" s="38" t="n">
        <x:v>0.0031188359</x:v>
      </x:c>
      <x:c r="L426" s="38" t="n">
        <x:v>-0.0448272214</x:v>
      </x:c>
      <x:c r="M426" s="38" t="n">
        <x:v>-0.0149873898</x:v>
      </x:c>
      <x:c r="N426" s="38" t="n">
        <x:v>0.0416557616</x:v>
      </x:c>
      <x:c r="O426" s="38" t="n">
        <x:v>-0.0322014248</x:v>
      </x:c>
      <x:c r="P426" s="38" t="n">
        <x:v>-0.1091938988</x:v>
      </x:c>
      <x:c r="Q426" s="38" t="n">
        <x:v>0.0277735924</x:v>
      </x:c>
      <x:c r="R426" s="38" t="n">
        <x:v>-0.192050431</x:v>
      </x:c>
      <x:c r="S426" s="38" t="n">
        <x:v>0.0328178811</x:v>
      </x:c>
      <x:c r="T426" s="38" t="n">
        <x:v>-0.0125004625</x:v>
      </x:c>
      <x:c r="U426" s="38" t="n">
        <x:v>-0.1553943039</x:v>
      </x:c>
      <x:c r="V426" s="38" t="n">
        <x:v>0.0125062918</x:v>
      </x:c>
      <x:c r="W426" s="38" t="n">
        <x:v>-0.1635552046</x:v>
      </x:c>
      <x:c r="X426" s="38" t="n">
        <x:v>-0.0088106763</x:v>
      </x:c>
      <x:c r="Y426" s="38" t="n">
        <x:v>-0.1064811721</x:v>
      </x:c>
      <x:c r="Z426" s="38" t="n">
        <x:v>0.0277037149</x:v>
      </x:c>
      <x:c r="AA426" s="38" t="n">
        <x:v>-0.0116224819</x:v>
      </x:c>
      <x:c r="AB426" s="38" t="n">
        <x:v>-0.0880261799</x:v>
      </x:c>
      <x:c r="AC426" s="38" t="n">
        <x:v>-0.0615802573</x:v>
      </x:c>
      <x:c r="AD426" s="38" t="n">
        <x:v>0.0052374322</x:v>
      </x:c>
      <x:c r="AE426" s="38" t="n">
        <x:v>-0.1710229723</x:v>
      </x:c>
      <x:c r="AF426" s="38" t="n">
        <x:v>-0.0592971361</x:v>
      </x:c>
      <x:c r="AG426" s="38" t="n">
        <x:v>-0.0027667089</x:v>
      </x:c>
      <x:c r="AH426" s="38" t="n">
        <x:v>-0.0308763022</x:v>
      </x:c>
      <x:c r="AI426" s="38" t="n">
        <x:v>-0.0381772376</x:v>
      </x:c>
      <x:c r="AJ426" s="38" t="n">
        <x:v>-0.0745473443</x:v>
      </x:c>
      <x:c r="AK426" s="38" t="n">
        <x:v>-0.0749752347</x:v>
      </x:c>
      <x:c r="AL426" s="38" t="n">
        <x:v>-0.0706055546</x:v>
      </x:c>
      <x:c r="AM426" s="38" t="n">
        <x:v>-0.0166591333</x:v>
      </x:c>
      <x:c r="AN426" s="38" t="n">
        <x:v>0.0864415356</x:v>
      </x:c>
      <x:c r="AO426" s="38" t="n">
        <x:v>-0.0259250658</x:v>
      </x:c>
      <x:c r="AP426" s="38" t="n">
        <x:v>-0.0267309403</x:v>
      </x:c>
      <x:c r="AQ426" s="38" t="n">
        <x:v>-0.0325620613</x:v>
      </x:c>
      <x:c r="AR426" s="38" t="n">
        <x:v>-0.0275797302</x:v>
      </x:c>
      <x:c r="AS426" s="38" t="n">
        <x:v>-0.0131053269</x:v>
      </x:c>
    </x:row>
    <x:row r="427" ht="19" customHeight="1">
      <x:c r="A427" s="29" t="str">
        <x:v>Other sectors</x:v>
      </x:c>
      <x:c r="B427" s="39" t="d">
        <x:v>2022-02-28T00:00:00.000Z</x:v>
      </x:c>
      <x:c r="C427" s="38" t="n">
        <x:v>0.0236228138</x:v>
      </x:c>
      <x:c r="D427" s="38" t="n">
        <x:v>0.108328905</x:v>
      </x:c>
      <x:c r="E427" s="38" t="n">
        <x:v>0.0371300687</x:v>
      </x:c>
      <x:c r="F427" s="38" t="n">
        <x:v>-0.017019693</x:v>
      </x:c>
      <x:c r="G427" s="38" t="n">
        <x:v>0.0904002153</x:v>
      </x:c>
      <x:c r="H427" s="38" t="n">
        <x:v>0.0016317706</x:v>
      </x:c>
      <x:c r="I427" s="38" t="n">
        <x:v>0.0459562918</x:v>
      </x:c>
      <x:c r="J427" s="38" t="n">
        <x:v>-0.0151965836</x:v>
      </x:c>
      <x:c r="K427" s="38" t="n">
        <x:v>-0.1436522054</x:v>
      </x:c>
      <x:c r="L427" s="38" t="n">
        <x:v>-0.0848442082</x:v>
      </x:c>
      <x:c r="M427" s="38" t="n">
        <x:v>0.0566708411</x:v>
      </x:c>
      <x:c r="N427" s="38" t="n">
        <x:v>0.083810861</x:v>
      </x:c>
      <x:c r="O427" s="38" t="n">
        <x:v>0.1371408745</x:v>
      </x:c>
      <x:c r="P427" s="38" t="n">
        <x:v>-0.1752456325</x:v>
      </x:c>
      <x:c r="Q427" s="38" t="n">
        <x:v>-0.0879536579</x:v>
      </x:c>
      <x:c r="R427" s="38" t="n">
        <x:v>-0.0577479853</x:v>
      </x:c>
      <x:c r="S427" s="38" t="n">
        <x:v>-0.0274420488</x:v>
      </x:c>
      <x:c r="T427" s="38" t="n">
        <x:v>0.0058938895</x:v>
      </x:c>
      <x:c r="U427" s="38" t="n">
        <x:v>-0.1005434255</x:v>
      </x:c>
      <x:c r="V427" s="38" t="n">
        <x:v>0.0554642049</x:v>
      </x:c>
      <x:c r="W427" s="38" t="n">
        <x:v>-0.0014851769</x:v>
      </x:c>
      <x:c r="X427" s="38" t="n">
        <x:v>0.0042003659</x:v>
      </x:c>
      <x:c r="Y427" s="38" t="n">
        <x:v>-0.1225688966</x:v>
      </x:c>
      <x:c r="Z427" s="38" t="n">
        <x:v>0.0366245765</x:v>
      </x:c>
      <x:c r="AA427" s="38" t="n">
        <x:v>0.0000606144</x:v>
      </x:c>
      <x:c r="AB427" s="38" t="n">
        <x:v>-0.2397541298</x:v>
      </x:c>
      <x:c r="AC427" s="38" t="n">
        <x:v>0.4377575127</x:v>
      </x:c>
      <x:c r="AD427" s="38" t="n">
        <x:v>-0.0095234248</x:v>
      </x:c>
      <x:c r="AE427" s="38" t="n">
        <x:v>-0.0419578871</x:v>
      </x:c>
      <x:c r="AF427" s="38" t="n">
        <x:v>0.0289868888</x:v>
      </x:c>
      <x:c r="AG427" s="38" t="n">
        <x:v>-0.0512999006</x:v>
      </x:c>
      <x:c r="AH427" s="38" t="n">
        <x:v>0.0283819535</x:v>
      </x:c>
      <x:c r="AI427" s="38" t="n">
        <x:v>0.0437926224</x:v>
      </x:c>
      <x:c r="AJ427" s="38" t="n">
        <x:v>0.047868255</x:v>
      </x:c>
      <x:c r="AK427" s="38" t="n">
        <x:v>0.0084807361</x:v>
      </x:c>
      <x:c r="AL427" s="38" t="n">
        <x:v>-0.0996977698</x:v>
      </x:c>
      <x:c r="AM427" s="38" t="n">
        <x:v>0.0596832859</x:v>
      </x:c>
      <x:c r="AN427" s="38" t="n">
        <x:v>-0.0512345684</x:v>
      </x:c>
      <x:c r="AO427" s="38" t="n">
        <x:v>0.0057948295</x:v>
      </x:c>
      <x:c r="AP427" s="38" t="n">
        <x:v>-0.0403978433</x:v>
      </x:c>
      <x:c r="AQ427" s="38" t="n">
        <x:v>0.0058265376</x:v>
      </x:c>
      <x:c r="AR427" s="38" t="n">
        <x:v>-0.0265325009</x:v>
      </x:c>
      <x:c r="AS427" s="38" t="n">
        <x:v>0.0581155596</x:v>
      </x:c>
    </x:row>
    <x:row r="428" ht="19" customHeight="1">
      <x:c r="A428" s="29" t="str">
        <x:v>Other sectors</x:v>
      </x:c>
      <x:c r="B428" s="39" t="d">
        <x:v>2022-03-28T00:00:00.000Z</x:v>
      </x:c>
      <x:c r="C428" s="38" t="n">
        <x:v>-0.002928658</x:v>
      </x:c>
      <x:c r="D428" s="38" t="n">
        <x:v>0.0549291185</x:v>
      </x:c>
      <x:c r="E428" s="38" t="n">
        <x:v>-0.0130127933</x:v>
      </x:c>
      <x:c r="F428" s="38" t="n">
        <x:v>-0.0055154086</x:v>
      </x:c>
      <x:c r="G428" s="38" t="n">
        <x:v>-0.0452096707</x:v>
      </x:c>
      <x:c r="H428" s="38" t="n">
        <x:v>0.0373519714</x:v>
      </x:c>
      <x:c r="I428" s="38" t="n">
        <x:v>0.0225086</x:v>
      </x:c>
      <x:c r="J428" s="38" t="n">
        <x:v>-0.0814987751</x:v>
      </x:c>
      <x:c r="K428" s="38" t="n">
        <x:v>-0.222977857</x:v>
      </x:c>
      <x:c r="L428" s="38" t="n">
        <x:v>0.0798409257</x:v>
      </x:c>
      <x:c r="M428" s="38" t="n">
        <x:v>0.0388826881</x:v>
      </x:c>
      <x:c r="N428" s="38" t="n">
        <x:v>0.022102209</x:v>
      </x:c>
      <x:c r="O428" s="38" t="n">
        <x:v>0.0988577159</x:v>
      </x:c>
      <x:c r="P428" s="38" t="n">
        <x:v>-0.1399367795</x:v>
      </x:c>
      <x:c r="Q428" s="38" t="n">
        <x:v>0.0485655723</x:v>
      </x:c>
      <x:c r="R428" s="38" t="n">
        <x:v>0.06298553</x:v>
      </x:c>
      <x:c r="S428" s="38" t="n">
        <x:v>-0.0198224153</x:v>
      </x:c>
      <x:c r="T428" s="38" t="n">
        <x:v>0.0255020503</x:v>
      </x:c>
      <x:c r="U428" s="38" t="n">
        <x:v>0.0906052908</x:v>
      </x:c>
      <x:c r="V428" s="38" t="n">
        <x:v>-0.0003812486</x:v>
      </x:c>
      <x:c r="W428" s="38" t="n">
        <x:v>-0.0291442074</x:v>
      </x:c>
      <x:c r="X428" s="38" t="n">
        <x:v>0.0083123176</x:v>
      </x:c>
      <x:c r="Y428" s="38" t="n">
        <x:v>-0.1691210617</x:v>
      </x:c>
      <x:c r="Z428" s="38" t="n">
        <x:v>0.0161295372</x:v>
      </x:c>
      <x:c r="AA428" s="38" t="n">
        <x:v>0.0474842089</x:v>
      </x:c>
      <x:c r="AB428" s="38" t="n">
        <x:v>-0.0570013792</x:v>
      </x:c>
      <x:c r="AC428" s="38" t="n">
        <x:v>-0.2161584861</x:v>
      </x:c>
      <x:c r="AD428" s="38" t="n">
        <x:v>0.0071021062</x:v>
      </x:c>
      <x:c r="AE428" s="38" t="n">
        <x:v>-0.1025357001</x:v>
      </x:c>
      <x:c r="AF428" s="38" t="n">
        <x:v>-0.031131625</x:v>
      </x:c>
      <x:c r="AG428" s="38" t="n">
        <x:v>-0.0123165707</x:v>
      </x:c>
      <x:c r="AH428" s="38" t="n">
        <x:v>-0.0689376342</x:v>
      </x:c>
      <x:c r="AI428" s="38" t="n">
        <x:v>-0.0978307465</x:v>
      </x:c>
      <x:c r="AJ428" s="38" t="n">
        <x:v>0.0578672709</x:v>
      </x:c>
      <x:c r="AK428" s="38" t="n">
        <x:v>0.0450504998</x:v>
      </x:c>
      <x:c r="AL428" s="38" t="n">
        <x:v>0.0746444574</x:v>
      </x:c>
      <x:c r="AM428" s="38" t="n">
        <x:v>-0.0193842342</x:v>
      </x:c>
      <x:c r="AN428" s="38" t="n">
        <x:v>-0.0670921712</x:v>
      </x:c>
      <x:c r="AO428" s="38" t="n">
        <x:v>0.0401962405</x:v>
      </x:c>
      <x:c r="AP428" s="38" t="n">
        <x:v>-0.0703486149</x:v>
      </x:c>
      <x:c r="AQ428" s="38" t="n">
        <x:v>0.0091151361</x:v>
      </x:c>
      <x:c r="AR428" s="38" t="n">
        <x:v>0.0159730545</x:v>
      </x:c>
      <x:c r="AS428" s="38" t="n">
        <x:v>0.0428308406</x:v>
      </x:c>
    </x:row>
    <x:row r="429" ht="19" customHeight="1">
      <x:c r="A429" s="29" t="str">
        <x:v>Other sectors</x:v>
      </x:c>
      <x:c r="B429" s="39" t="d">
        <x:v>2022-04-25T00:00:00.000Z</x:v>
      </x:c>
      <x:c r="C429" s="38" t="n">
        <x:v>0.1273807113</x:v>
      </x:c>
      <x:c r="D429" s="38" t="n">
        <x:v>-0.068932705</x:v>
      </x:c>
      <x:c r="E429" s="38" t="n">
        <x:v>0.020914113</x:v>
      </x:c>
      <x:c r="F429" s="38" t="n">
        <x:v>0.0234036269</x:v>
      </x:c>
      <x:c r="G429" s="38" t="n">
        <x:v>0.004385005</x:v>
      </x:c>
      <x:c r="H429" s="38" t="n">
        <x:v>0.0151688224</x:v>
      </x:c>
      <x:c r="I429" s="38" t="n">
        <x:v>-0.061758788</x:v>
      </x:c>
      <x:c r="J429" s="38" t="n">
        <x:v>0.0016657773</x:v>
      </x:c>
      <x:c r="K429" s="38" t="n">
        <x:v>0.0202229499</x:v>
      </x:c>
      <x:c r="L429" s="38" t="n">
        <x:v>0.0993319586</x:v>
      </x:c>
      <x:c r="M429" s="38" t="n">
        <x:v>-0.0429669662</x:v>
      </x:c>
      <x:c r="N429" s="38" t="n">
        <x:v>-0.0346334612</x:v>
      </x:c>
      <x:c r="O429" s="38" t="n">
        <x:v>-0.0381819372</x:v>
      </x:c>
      <x:c r="P429" s="38" t="n">
        <x:v>0.1120392088</x:v>
      </x:c>
      <x:c r="Q429" s="38" t="n">
        <x:v>-0.1334806728</x:v>
      </x:c>
      <x:c r="R429" s="38" t="n">
        <x:v>-0.209142075</x:v>
      </x:c>
      <x:c r="S429" s="38" t="n">
        <x:v>-0.0496178608</x:v>
      </x:c>
      <x:c r="T429" s="38" t="n">
        <x:v>-0.1514536646</x:v>
      </x:c>
      <x:c r="U429" s="38" t="n">
        <x:v>-0.1305065413</x:v>
      </x:c>
      <x:c r="V429" s="38" t="n">
        <x:v>-0.1174152487</x:v>
      </x:c>
      <x:c r="W429" s="38" t="n">
        <x:v>-0.3379089983</x:v>
      </x:c>
      <x:c r="X429" s="38" t="n">
        <x:v>-0.005014179</x:v>
      </x:c>
      <x:c r="Y429" s="38" t="n">
        <x:v>-0.0336146757</x:v>
      </x:c>
      <x:c r="Z429" s="38" t="n">
        <x:v>0.0112301622</x:v>
      </x:c>
      <x:c r="AA429" s="38" t="n">
        <x:v>-0.0426003365</x:v>
      </x:c>
      <x:c r="AB429" s="38" t="n">
        <x:v>0.0540070986</x:v>
      </x:c>
      <x:c r="AC429" s="38" t="n">
        <x:v>0.0320878223</x:v>
      </x:c>
      <x:c r="AD429" s="38" t="n">
        <x:v>0.0474999717</x:v>
      </x:c>
      <x:c r="AE429" s="38" t="n">
        <x:v>0.0210463591</x:v>
      </x:c>
      <x:c r="AF429" s="38" t="n">
        <x:v>0.0135094206</x:v>
      </x:c>
      <x:c r="AG429" s="38" t="n">
        <x:v>-0.0777971206</x:v>
      </x:c>
      <x:c r="AH429" s="38" t="n">
        <x:v>0.0739060053</x:v>
      </x:c>
      <x:c r="AI429" s="38" t="n">
        <x:v>-0.0263540807</x:v>
      </x:c>
      <x:c r="AJ429" s="38" t="n">
        <x:v>0.0138466637</x:v>
      </x:c>
      <x:c r="AK429" s="38" t="n">
        <x:v>0.0138218961</x:v>
      </x:c>
      <x:c r="AL429" s="38" t="n">
        <x:v>-0.003902096</x:v>
      </x:c>
      <x:c r="AM429" s="38" t="n">
        <x:v>0.0289241815</x:v>
      </x:c>
      <x:c r="AN429" s="38" t="n">
        <x:v>0.0170119589</x:v>
      </x:c>
      <x:c r="AO429" s="38" t="n">
        <x:v>-0.0397429291</x:v>
      </x:c>
      <x:c r="AP429" s="38" t="n">
        <x:v>0.0853239526</x:v>
      </x:c>
      <x:c r="AQ429" s="38" t="n">
        <x:v>0.0032631963</x:v>
      </x:c>
      <x:c r="AR429" s="38" t="n">
        <x:v>0.0112719208</x:v>
      </x:c>
      <x:c r="AS429" s="38" t="n">
        <x:v>-0.0337244423</x:v>
      </x:c>
    </x:row>
    <x:row r="430" ht="19" customHeight="1">
      <x:c r="A430" s="29" t="str">
        <x:v>Other sectors</x:v>
      </x:c>
      <x:c r="B430" s="39" t="d">
        <x:v>2022-05-23T00:00:00.000Z</x:v>
      </x:c>
      <x:c r="C430" s="38" t="n">
        <x:v>-0.0153502964</x:v>
      </x:c>
      <x:c r="D430" s="38" t="n">
        <x:v>-0.0211395235</x:v>
      </x:c>
      <x:c r="E430" s="38" t="n">
        <x:v>-0.0093952842</x:v>
      </x:c>
      <x:c r="F430" s="38" t="n">
        <x:v>-0.0273050746</x:v>
      </x:c>
      <x:c r="G430" s="38" t="n">
        <x:v>-0.0223833447</x:v>
      </x:c>
      <x:c r="H430" s="38" t="n">
        <x:v>0.0349932025</x:v>
      </x:c>
      <x:c r="I430" s="38" t="n">
        <x:v>-0.0080589005</x:v>
      </x:c>
      <x:c r="J430" s="38" t="n">
        <x:v>0.0026389995</x:v>
      </x:c>
      <x:c r="K430" s="38" t="n">
        <x:v>0.0228386222</x:v>
      </x:c>
      <x:c r="L430" s="38" t="n">
        <x:v>-0.0223184265</x:v>
      </x:c>
      <x:c r="M430" s="38" t="n">
        <x:v>-0.058927879</x:v>
      </x:c>
      <x:c r="N430" s="38" t="n">
        <x:v>-0.0210729744</x:v>
      </x:c>
      <x:c r="O430" s="38" t="n">
        <x:v>-0.0067769031</x:v>
      </x:c>
      <x:c r="P430" s="38" t="n">
        <x:v>0.1038719435</x:v>
      </x:c>
      <x:c r="Q430" s="38" t="n">
        <x:v>-0.0453499008</x:v>
      </x:c>
      <x:c r="R430" s="38" t="n">
        <x:v>0.1109048629</x:v>
      </x:c>
      <x:c r="S430" s="38" t="n">
        <x:v>-0.1119337574</x:v>
      </x:c>
      <x:c r="T430" s="38" t="n">
        <x:v>-0.3217018606</x:v>
      </x:c>
      <x:c r="U430" s="38" t="n">
        <x:v>-0.0057709734</x:v>
      </x:c>
      <x:c r="V430" s="38" t="n">
        <x:v>-0.0710143732</x:v>
      </x:c>
      <x:c r="W430" s="38" t="n">
        <x:v>-0.0353914156</x:v>
      </x:c>
      <x:c r="X430" s="38" t="n">
        <x:v>0.0212479634</x:v>
      </x:c>
      <x:c r="Y430" s="38" t="n">
        <x:v>-0.0423351162</x:v>
      </x:c>
      <x:c r="Z430" s="38" t="n">
        <x:v>-0.0640087794</x:v>
      </x:c>
      <x:c r="AA430" s="38" t="n">
        <x:v>0.0732903024</x:v>
      </x:c>
      <x:c r="AB430" s="38" t="n">
        <x:v>-0.0411001499</x:v>
      </x:c>
      <x:c r="AC430" s="38" t="n">
        <x:v>-0.3908248687</x:v>
      </x:c>
      <x:c r="AD430" s="38" t="n">
        <x:v>-0.0488555282</x:v>
      </x:c>
      <x:c r="AE430" s="38" t="n">
        <x:v>-0.0355521299</x:v>
      </x:c>
      <x:c r="AF430" s="38" t="n">
        <x:v>-0.0538574058</x:v>
      </x:c>
      <x:c r="AG430" s="38" t="n">
        <x:v>-0.1371101477</x:v>
      </x:c>
      <x:c r="AH430" s="38" t="n">
        <x:v>-0.0051237519</x:v>
      </x:c>
      <x:c r="AI430" s="38" t="n">
        <x:v>0.1172242471</x:v>
      </x:c>
      <x:c r="AJ430" s="38" t="n">
        <x:v>0.0261714606</x:v>
      </x:c>
      <x:c r="AK430" s="38" t="n">
        <x:v>-0.0053827119</x:v>
      </x:c>
      <x:c r="AL430" s="38" t="n">
        <x:v>-0.0277361615</x:v>
      </x:c>
      <x:c r="AM430" s="38" t="n">
        <x:v>-0.0289337906</x:v>
      </x:c>
      <x:c r="AN430" s="38" t="n">
        <x:v>-0.035190188</x:v>
      </x:c>
      <x:c r="AO430" s="38" t="n">
        <x:v>-0.0764236361</x:v>
      </x:c>
      <x:c r="AP430" s="38" t="n">
        <x:v>0.0414992165</x:v>
      </x:c>
      <x:c r="AQ430" s="38" t="n">
        <x:v>-0.001477176</x:v>
      </x:c>
      <x:c r="AR430" s="38" t="n">
        <x:v>-0.0200954022</x:v>
      </x:c>
      <x:c r="AS430" s="38" t="n">
        <x:v>-0.0222707172</x:v>
      </x:c>
    </x:row>
    <x:row r="431" ht="19" customHeight="1">
      <x:c r="A431" s="29" t="str">
        <x:v>Other sectors</x:v>
      </x:c>
      <x:c r="B431" s="39" t="d">
        <x:v>2022-06-20T00:00:00.000Z</x:v>
      </x:c>
      <x:c r="C431" s="38" t="n">
        <x:v>-0.0098323031</x:v>
      </x:c>
      <x:c r="D431" s="38" t="n">
        <x:v>-0.111440007</x:v>
      </x:c>
      <x:c r="E431" s="38" t="n">
        <x:v>-0.0236942889</x:v>
      </x:c>
      <x:c r="F431" s="38" t="n">
        <x:v>-0.020996087</x:v>
      </x:c>
      <x:c r="G431" s="38" t="n">
        <x:v>0.0232904599</x:v>
      </x:c>
      <x:c r="H431" s="38" t="n">
        <x:v>-0.0552824467</x:v>
      </x:c>
      <x:c r="I431" s="38" t="n">
        <x:v>0.0102432222</x:v>
      </x:c>
      <x:c r="J431" s="38" t="n">
        <x:v>-0.0614933998</x:v>
      </x:c>
      <x:c r="K431" s="38" t="n">
        <x:v>-0.0861907928</x:v>
      </x:c>
      <x:c r="L431" s="38" t="n">
        <x:v>0.0025954018</x:v>
      </x:c>
      <x:c r="M431" s="38" t="n">
        <x:v>0.0226050964</x:v>
      </x:c>
      <x:c r="N431" s="38" t="n">
        <x:v>-0.0836825642</x:v>
      </x:c>
      <x:c r="O431" s="38" t="n">
        <x:v>-0.0139698249</x:v>
      </x:c>
      <x:c r="P431" s="38" t="n">
        <x:v>-0.1809864512</x:v>
      </x:c>
      <x:c r="Q431" s="38" t="n">
        <x:v>0.0394009406</x:v>
      </x:c>
      <x:c r="R431" s="38" t="n">
        <x:v>0.1103716022</x:v>
      </x:c>
      <x:c r="S431" s="38" t="n">
        <x:v>0.0831402599</x:v>
      </x:c>
      <x:c r="T431" s="38" t="n">
        <x:v>-0.0121446272</x:v>
      </x:c>
      <x:c r="U431" s="38" t="n">
        <x:v>0.0290895847</x:v>
      </x:c>
      <x:c r="V431" s="38" t="n">
        <x:v>-0.0251941754</x:v>
      </x:c>
      <x:c r="W431" s="38" t="n">
        <x:v>0.0535963815</x:v>
      </x:c>
      <x:c r="X431" s="38" t="n">
        <x:v>0.0165081281</x:v>
      </x:c>
      <x:c r="Y431" s="38" t="n">
        <x:v>-0.1235012821</x:v>
      </x:c>
      <x:c r="Z431" s="38" t="n">
        <x:v>0.0387251627</x:v>
      </x:c>
      <x:c r="AA431" s="38" t="n">
        <x:v>-0.0059553928</x:v>
      </x:c>
      <x:c r="AB431" s="38" t="n">
        <x:v>0.037711434</x:v>
      </x:c>
      <x:c r="AC431" s="38" t="n">
        <x:v>0.0458426104</x:v>
      </x:c>
      <x:c r="AD431" s="38" t="n">
        <x:v>0.0041146126</x:v>
      </x:c>
      <x:c r="AE431" s="38" t="n">
        <x:v>-0.0332765466</x:v>
      </x:c>
      <x:c r="AF431" s="38" t="n">
        <x:v>0.0288334183</x:v>
      </x:c>
      <x:c r="AG431" s="38" t="n">
        <x:v>0.1267245391</x:v>
      </x:c>
      <x:c r="AH431" s="38" t="n">
        <x:v>0.0087462028</x:v>
      </x:c>
      <x:c r="AI431" s="38" t="n">
        <x:v>-0.0731793694</x:v>
      </x:c>
      <x:c r="AJ431" s="38" t="n">
        <x:v>0.0063976054</x:v>
      </x:c>
      <x:c r="AK431" s="38" t="n">
        <x:v>-0.0435014852</x:v>
      </x:c>
      <x:c r="AL431" s="38" t="n">
        <x:v>0.0287987303</x:v>
      </x:c>
      <x:c r="AM431" s="38" t="n">
        <x:v>0.0275098963</x:v>
      </x:c>
      <x:c r="AN431" s="38" t="n">
        <x:v>0.0712525049</x:v>
      </x:c>
      <x:c r="AO431" s="38" t="n">
        <x:v>0.0304910452</x:v>
      </x:c>
      <x:c r="AP431" s="38" t="n">
        <x:v>-0.015336639</x:v>
      </x:c>
      <x:c r="AQ431" s="38" t="n">
        <x:v>0.0067670492</x:v>
      </x:c>
      <x:c r="AR431" s="38" t="n">
        <x:v>0.0061952748</x:v>
      </x:c>
      <x:c r="AS431" s="38" t="n">
        <x:v>-0.0760402149</x:v>
      </x:c>
    </x:row>
    <x:row r="432" ht="19" customHeight="1">
      <x:c r="A432" s="29" t="str">
        <x:v>Other sectors</x:v>
      </x:c>
      <x:c r="B432" s="39" t="d">
        <x:v>2022-07-18T00:00:00.000Z</x:v>
      </x:c>
      <x:c r="C432" s="38" t="n">
        <x:v>-0.0365635832</x:v>
      </x:c>
      <x:c r="D432" s="38" t="n">
        <x:v>-0.1410327438</x:v>
      </x:c>
      <x:c r="E432" s="38" t="n">
        <x:v>0.001882625</x:v>
      </x:c>
      <x:c r="F432" s="38" t="n">
        <x:v>-0.0205610145</x:v>
      </x:c>
      <x:c r="G432" s="38" t="n">
        <x:v>0.0270981115</x:v>
      </x:c>
      <x:c r="H432" s="38" t="n">
        <x:v>-0.0239203427</x:v>
      </x:c>
      <x:c r="I432" s="38" t="n">
        <x:v>0.0024708478</x:v>
      </x:c>
      <x:c r="J432" s="38" t="n">
        <x:v>0.0744543777</x:v>
      </x:c>
      <x:c r="K432" s="38" t="n">
        <x:v>-0.1065190987</x:v>
      </x:c>
      <x:c r="L432" s="38" t="n">
        <x:v>-0.0012680556</x:v>
      </x:c>
      <x:c r="M432" s="38" t="n">
        <x:v>-0.0334089941</x:v>
      </x:c>
      <x:c r="N432" s="38" t="n">
        <x:v>-0.060687971</x:v>
      </x:c>
      <x:c r="O432" s="38" t="n">
        <x:v>0.0579825159</x:v>
      </x:c>
      <x:c r="P432" s="38" t="n">
        <x:v>-0.1164722423</x:v>
      </x:c>
      <x:c r="Q432" s="38" t="n">
        <x:v>-0.0109714331</x:v>
      </x:c>
      <x:c r="R432" s="38" t="n">
        <x:v>-0.1765893985</x:v>
      </x:c>
      <x:c r="S432" s="38" t="n">
        <x:v>-0.0214427518</x:v>
      </x:c>
      <x:c r="T432" s="38" t="n">
        <x:v>-0.0776334286</x:v>
      </x:c>
      <x:c r="U432" s="38" t="n">
        <x:v>0.1786880439</x:v>
      </x:c>
      <x:c r="V432" s="38" t="n">
        <x:v>0.0158798164</x:v>
      </x:c>
      <x:c r="W432" s="38" t="n">
        <x:v>0.1704570058</x:v>
      </x:c>
      <x:c r="X432" s="38" t="n">
        <x:v>0.100423771</x:v>
      </x:c>
      <x:c r="Y432" s="38" t="n">
        <x:v>-0.0138263024</x:v>
      </x:c>
      <x:c r="Z432" s="38" t="n">
        <x:v>-0.2117039936</x:v>
      </x:c>
      <x:c r="AA432" s="38" t="n">
        <x:v>-0.0413891486</x:v>
      </x:c>
      <x:c r="AB432" s="38" t="n">
        <x:v>-0.0683805557</x:v>
      </x:c>
      <x:c r="AC432" s="38" t="n">
        <x:v>-0.2893462395</x:v>
      </x:c>
      <x:c r="AD432" s="38" t="n">
        <x:v>0.0020637849</x:v>
      </x:c>
      <x:c r="AE432" s="38" t="n">
        <x:v>0.036522981</x:v>
      </x:c>
      <x:c r="AF432" s="38" t="n">
        <x:v>-0.0632097637</x:v>
      </x:c>
      <x:c r="AG432" s="38" t="n">
        <x:v>0.1238607876</x:v>
      </x:c>
      <x:c r="AH432" s="38" t="n">
        <x:v>-0.0427612332</x:v>
      </x:c>
      <x:c r="AI432" s="38" t="n">
        <x:v>0.0164596927</x:v>
      </x:c>
      <x:c r="AJ432" s="38" t="n">
        <x:v>0.0101546155</x:v>
      </x:c>
      <x:c r="AK432" s="38" t="n">
        <x:v>-0.0342189478</x:v>
      </x:c>
      <x:c r="AL432" s="38" t="n">
        <x:v>0.0375150574</x:v>
      </x:c>
      <x:c r="AM432" s="38" t="n">
        <x:v>0.0057122234</x:v>
      </x:c>
      <x:c r="AN432" s="38" t="n">
        <x:v>-0.0589118929</x:v>
      </x:c>
      <x:c r="AO432" s="38" t="n">
        <x:v>0.019130237</x:v>
      </x:c>
      <x:c r="AP432" s="38" t="n">
        <x:v>0.0377039909</x:v>
      </x:c>
      <x:c r="AQ432" s="38" t="n">
        <x:v>-0.0371206708</x:v>
      </x:c>
      <x:c r="AR432" s="38" t="n">
        <x:v>-0.0524863891</x:v>
      </x:c>
      <x:c r="AS432" s="38" t="n">
        <x:v>0.0303018478</x:v>
      </x:c>
    </x:row>
    <x:row r="433" ht="19" customHeight="1">
      <x:c r="A433" s="29" t="str">
        <x:v>Other sectors</x:v>
      </x:c>
      <x:c r="B433" s="39" t="d">
        <x:v>2022-08-15T00:00:00.000Z</x:v>
      </x:c>
      <x:c r="C433" s="38" t="n">
        <x:v>-0.0663163037</x:v>
      </x:c>
      <x:c r="D433" s="38" t="n">
        <x:v>0.1772583545</x:v>
      </x:c>
      <x:c r="E433" s="38" t="n">
        <x:v>0.0265052198</x:v>
      </x:c>
      <x:c r="F433" s="38" t="n">
        <x:v>0.0004623074</x:v>
      </x:c>
      <x:c r="G433" s="38" t="n">
        <x:v>0.0817759686</x:v>
      </x:c>
      <x:c r="H433" s="38" t="n">
        <x:v>0.1804350058</x:v>
      </x:c>
      <x:c r="I433" s="38" t="n">
        <x:v>0.0281813951</x:v>
      </x:c>
      <x:c r="J433" s="38" t="n">
        <x:v>-0.0147134237</x:v>
      </x:c>
      <x:c r="K433" s="38" t="n">
        <x:v>-0.072295835</x:v>
      </x:c>
      <x:c r="L433" s="38" t="n">
        <x:v>-0.0081278213</x:v>
      </x:c>
      <x:c r="M433" s="38" t="n">
        <x:v>0.0906380812</x:v>
      </x:c>
      <x:c r="N433" s="38" t="n">
        <x:v>0.0956042901</x:v>
      </x:c>
      <x:c r="O433" s="38" t="n">
        <x:v>0.1276460786</x:v>
      </x:c>
      <x:c r="P433" s="38" t="n">
        <x:v>-0.1199408301</x:v>
      </x:c>
      <x:c r="Q433" s="38" t="n">
        <x:v>0.0254958185</x:v>
      </x:c>
      <x:c r="R433" s="38" t="n">
        <x:v>-0.0292561709</x:v>
      </x:c>
      <x:c r="S433" s="38" t="n">
        <x:v>-0.0295484266</x:v>
      </x:c>
      <x:c r="T433" s="38" t="n">
        <x:v>0.0925046558</x:v>
      </x:c>
      <x:c r="U433" s="38" t="n">
        <x:v>-0.1109910924</x:v>
      </x:c>
      <x:c r="V433" s="38" t="n">
        <x:v>0.0963433582</x:v>
      </x:c>
      <x:c r="W433" s="38" t="n">
        <x:v>0.0497781847</x:v>
      </x:c>
      <x:c r="X433" s="38" t="n">
        <x:v>-0.0734685505</x:v>
      </x:c>
      <x:c r="Y433" s="38" t="n">
        <x:v>-0.0925958973</x:v>
      </x:c>
      <x:c r="Z433" s="38" t="n">
        <x:v>-0.0975146582</x:v>
      </x:c>
      <x:c r="AA433" s="38" t="n">
        <x:v>0.0860282221</x:v>
      </x:c>
      <x:c r="AB433" s="38" t="n">
        <x:v>-0.0421854081</x:v>
      </x:c>
      <x:c r="AC433" s="38" t="n">
        <x:v>0.0164706248</x:v>
      </x:c>
      <x:c r="AD433" s="38" t="n">
        <x:v>0.0206958072</x:v>
      </x:c>
      <x:c r="AE433" s="38" t="n">
        <x:v>0.1415999545</x:v>
      </x:c>
      <x:c r="AF433" s="38" t="n">
        <x:v>-0.0558616424</x:v>
      </x:c>
      <x:c r="AG433" s="38" t="n">
        <x:v>-0.0099003624</x:v>
      </x:c>
      <x:c r="AH433" s="38" t="n">
        <x:v>0.1024041777</x:v>
      </x:c>
      <x:c r="AI433" s="38" t="n">
        <x:v>0.0046894577</x:v>
      </x:c>
      <x:c r="AJ433" s="38" t="n">
        <x:v>-0.0028939365</x:v>
      </x:c>
      <x:c r="AK433" s="38" t="n">
        <x:v>-0.0635033713</x:v>
      </x:c>
      <x:c r="AL433" s="38" t="n">
        <x:v>-0.0646838339</x:v>
      </x:c>
      <x:c r="AM433" s="38" t="n">
        <x:v>0.0580354139</x:v>
      </x:c>
      <x:c r="AN433" s="38" t="n">
        <x:v>0.0556638136</x:v>
      </x:c>
      <x:c r="AO433" s="38" t="n">
        <x:v>0.0001307097</x:v>
      </x:c>
      <x:c r="AP433" s="38" t="n">
        <x:v>-0.0028862733</x:v>
      </x:c>
      <x:c r="AQ433" s="38" t="n">
        <x:v>0.0035160929</x:v>
      </x:c>
      <x:c r="AR433" s="38" t="n">
        <x:v>-0.0164308084</x:v>
      </x:c>
      <x:c r="AS433" s="38" t="n">
        <x:v>0.0090327592</x:v>
      </x:c>
    </x:row>
    <x:row r="434" ht="19" customHeight="1">
      <x:c r="A434" s="29" t="str">
        <x:v>Other sectors</x:v>
      </x:c>
      <x:c r="B434" s="39" t="d">
        <x:v>2022-09-12T00:00:00.000Z</x:v>
      </x:c>
      <x:c r="C434" s="38" t="n">
        <x:v>0.072838623</x:v>
      </x:c>
      <x:c r="D434" s="38" t="n">
        <x:v>0.0841324434</x:v>
      </x:c>
      <x:c r="E434" s="38" t="n">
        <x:v>-0.0145531538</x:v>
      </x:c>
      <x:c r="F434" s="38" t="n">
        <x:v>-0.0198466986</x:v>
      </x:c>
      <x:c r="G434" s="38" t="n">
        <x:v>0.0135439628</x:v>
      </x:c>
      <x:c r="H434" s="38" t="n">
        <x:v>0.0409997355</x:v>
      </x:c>
      <x:c r="I434" s="38" t="n">
        <x:v>-0.0461904008</x:v>
      </x:c>
      <x:c r="J434" s="38" t="n">
        <x:v>0.0152645138</x:v>
      </x:c>
      <x:c r="K434" s="38" t="n">
        <x:v>-0.0376850394</x:v>
      </x:c>
      <x:c r="L434" s="38" t="n">
        <x:v>-0.0852845944</x:v>
      </x:c>
      <x:c r="M434" s="38" t="n">
        <x:v>-0.0674275391</x:v>
      </x:c>
      <x:c r="N434" s="38" t="n">
        <x:v>-0.046403457</x:v>
      </x:c>
      <x:c r="O434" s="38" t="n">
        <x:v>-0.0197245976</x:v>
      </x:c>
      <x:c r="P434" s="38" t="n">
        <x:v>-0.057555119</x:v>
      </x:c>
      <x:c r="Q434" s="38" t="n">
        <x:v>0.1367746338</x:v>
      </x:c>
      <x:c r="R434" s="38" t="n">
        <x:v>0.1297588864</x:v>
      </x:c>
      <x:c r="S434" s="38" t="n">
        <x:v>-0.0245309666</x:v>
      </x:c>
      <x:c r="T434" s="38" t="n">
        <x:v>-0.1364476023</x:v>
      </x:c>
      <x:c r="U434" s="38" t="n">
        <x:v>-0.0448544248</x:v>
      </x:c>
      <x:c r="V434" s="38" t="n">
        <x:v>-0.0227328638</x:v>
      </x:c>
      <x:c r="W434" s="38" t="n">
        <x:v>0.0917139159</x:v>
      </x:c>
      <x:c r="X434" s="38" t="n">
        <x:v>-0.0197390792</x:v>
      </x:c>
      <x:c r="Y434" s="38" t="n">
        <x:v>0.0511348127</x:v>
      </x:c>
      <x:c r="Z434" s="38" t="n">
        <x:v>0.0400391261</x:v>
      </x:c>
      <x:c r="AA434" s="38" t="n">
        <x:v>-0.0004104202</x:v>
      </x:c>
      <x:c r="AB434" s="38" t="n">
        <x:v>-0.0783415191</x:v>
      </x:c>
      <x:c r="AC434" s="38" t="n">
        <x:v>-0.0732645172</x:v>
      </x:c>
      <x:c r="AD434" s="38" t="n">
        <x:v>0.0061903677</x:v>
      </x:c>
      <x:c r="AE434" s="38" t="n">
        <x:v>-0.0145942615</x:v>
      </x:c>
      <x:c r="AF434" s="38" t="n">
        <x:v>-0.0308060183</x:v>
      </x:c>
      <x:c r="AG434" s="38" t="n">
        <x:v>-0.0297754648</x:v>
      </x:c>
      <x:c r="AH434" s="38" t="n">
        <x:v>-0.0192543937</x:v>
      </x:c>
      <x:c r="AI434" s="38" t="n">
        <x:v>-0.0222228112</x:v>
      </x:c>
      <x:c r="AJ434" s="38" t="n">
        <x:v>0.0029144373</x:v>
      </x:c>
      <x:c r="AK434" s="38" t="n">
        <x:v>-0.0225900802</x:v>
      </x:c>
      <x:c r="AL434" s="38" t="n">
        <x:v>0.028476629</x:v>
      </x:c>
      <x:c r="AM434" s="38" t="n">
        <x:v>-0.0685696401</x:v>
      </x:c>
      <x:c r="AN434" s="38" t="n">
        <x:v>-0.0683939063</x:v>
      </x:c>
      <x:c r="AO434" s="38" t="n">
        <x:v>-0.0403747706</x:v>
      </x:c>
      <x:c r="AP434" s="38" t="n">
        <x:v>-0.0612780527</x:v>
      </x:c>
      <x:c r="AQ434" s="38" t="n">
        <x:v>-0.0310172742</x:v>
      </x:c>
      <x:c r="AR434" s="38" t="n">
        <x:v>0.003300243</x:v>
      </x:c>
      <x:c r="AS434" s="38" t="n">
        <x:v>-0.0406178235</x:v>
      </x:c>
    </x:row>
    <x:row r="435" ht="19" customHeight="1">
      <x:c r="A435" s="29" t="str">
        <x:v>Other sectors</x:v>
      </x:c>
      <x:c r="B435" s="39" t="d">
        <x:v>2022-10-10T00:00:00.000Z</x:v>
      </x:c>
      <x:c r="C435" s="38" t="n">
        <x:v>-0.052066975</x:v>
      </x:c>
      <x:c r="D435" s="38" t="n">
        <x:v>0.0760009908</x:v>
      </x:c>
      <x:c r="E435" s="38" t="n">
        <x:v>0.0055575434</x:v>
      </x:c>
      <x:c r="F435" s="38" t="n">
        <x:v>0.0074961651</x:v>
      </x:c>
      <x:c r="G435" s="38" t="n">
        <x:v>0.0153879008</x:v>
      </x:c>
      <x:c r="H435" s="38" t="n">
        <x:v>0.0382025384</x:v>
      </x:c>
      <x:c r="I435" s="38" t="n">
        <x:v>0.0328183891</x:v>
      </x:c>
      <x:c r="J435" s="38" t="n">
        <x:v>0.0484070391</x:v>
      </x:c>
      <x:c r="K435" s="38" t="n">
        <x:v>-0.0296709175</x:v>
      </x:c>
      <x:c r="L435" s="38" t="n">
        <x:v>0.0422490318</x:v>
      </x:c>
      <x:c r="M435" s="38" t="n">
        <x:v>0.0721589158</x:v>
      </x:c>
      <x:c r="N435" s="38" t="n">
        <x:v>0.0465403722</x:v>
      </x:c>
      <x:c r="O435" s="38" t="n">
        <x:v>0.0115982574</x:v>
      </x:c>
      <x:c r="P435" s="38" t="n">
        <x:v>-0.0006813132</x:v>
      </x:c>
      <x:c r="Q435" s="38" t="n">
        <x:v>0.0292119351</x:v>
      </x:c>
      <x:c r="R435" s="38" t="n">
        <x:v>-0.1135435093</x:v>
      </x:c>
      <x:c r="S435" s="38" t="n">
        <x:v>-0.0849574136</x:v>
      </x:c>
      <x:c r="T435" s="38" t="n">
        <x:v>-0.1077695103</x:v>
      </x:c>
      <x:c r="U435" s="38" t="n">
        <x:v>-0.0078291031</x:v>
      </x:c>
      <x:c r="V435" s="38" t="n">
        <x:v>0.0132272418</x:v>
      </x:c>
      <x:c r="W435" s="38" t="n">
        <x:v>0.1406558425</x:v>
      </x:c>
      <x:c r="X435" s="38" t="n">
        <x:v>-0.0528406143</x:v>
      </x:c>
      <x:c r="Y435" s="38" t="n">
        <x:v>0.0326788439</x:v>
      </x:c>
      <x:c r="Z435" s="38" t="n">
        <x:v>0.1245676085</x:v>
      </x:c>
      <x:c r="AA435" s="38" t="n">
        <x:v>-0.0461519508</x:v>
      </x:c>
      <x:c r="AB435" s="38" t="n">
        <x:v>-0.0436165892</x:v>
      </x:c>
      <x:c r="AC435" s="38" t="n">
        <x:v>0.0972999493</x:v>
      </x:c>
      <x:c r="AD435" s="38" t="n">
        <x:v>-0.0685771475</x:v>
      </x:c>
      <x:c r="AE435" s="38" t="n">
        <x:v>-0.0289073333</x:v>
      </x:c>
      <x:c r="AF435" s="38" t="n">
        <x:v>-0.0403994696</x:v>
      </x:c>
      <x:c r="AG435" s="38" t="n">
        <x:v>0.0025114786</x:v>
      </x:c>
      <x:c r="AH435" s="38" t="n">
        <x:v>-0.015053341</x:v>
      </x:c>
      <x:c r="AI435" s="38" t="n">
        <x:v>-0.1229146788</x:v>
      </x:c>
      <x:c r="AJ435" s="38" t="n">
        <x:v>-0.0397592077</x:v>
      </x:c>
      <x:c r="AK435" s="38" t="n">
        <x:v>-0.0468450474</x:v>
      </x:c>
      <x:c r="AL435" s="38" t="n">
        <x:v>0.0127330688</x:v>
      </x:c>
      <x:c r="AM435" s="38" t="n">
        <x:v>0.0429348321</x:v>
      </x:c>
      <x:c r="AN435" s="38" t="n">
        <x:v>0.0904764551</x:v>
      </x:c>
      <x:c r="AO435" s="38" t="n">
        <x:v>-0.0269363345</x:v>
      </x:c>
      <x:c r="AP435" s="38" t="n">
        <x:v>0.0981589495</x:v>
      </x:c>
      <x:c r="AQ435" s="38" t="n">
        <x:v>-0.0403810816</x:v>
      </x:c>
      <x:c r="AR435" s="38" t="n">
        <x:v>-0.0224548411</x:v>
      </x:c>
      <x:c r="AS435" s="38" t="n">
        <x:v>0.0265984494</x:v>
      </x:c>
    </x:row>
    <x:row r="436" ht="19" customHeight="1">
      <x:c r="A436" s="29" t="str">
        <x:v>Other sectors</x:v>
      </x:c>
      <x:c r="B436" s="39" t="d">
        <x:v>2022-11-07T00:00:00.000Z</x:v>
      </x:c>
      <x:c r="C436" s="38" t="n">
        <x:v>-0.0372960257</x:v>
      </x:c>
      <x:c r="D436" s="38" t="n">
        <x:v>0.0542950175</x:v>
      </x:c>
      <x:c r="E436" s="38" t="n">
        <x:v>-0.0294183182</x:v>
      </x:c>
      <x:c r="F436" s="38" t="n">
        <x:v>0.0152093841</x:v>
      </x:c>
      <x:c r="G436" s="38" t="n">
        <x:v>-0.1291391729</x:v>
      </x:c>
      <x:c r="H436" s="38" t="n">
        <x:v>-0.0450066158</x:v>
      </x:c>
      <x:c r="I436" s="38" t="n">
        <x:v>-0.0731417679</x:v>
      </x:c>
      <x:c r="J436" s="38" t="n">
        <x:v>-0.0038617322</x:v>
      </x:c>
      <x:c r="K436" s="38" t="n">
        <x:v>-0.0874136379</x:v>
      </x:c>
      <x:c r="L436" s="38" t="n">
        <x:v>-0.0338612277</x:v>
      </x:c>
      <x:c r="M436" s="38" t="n">
        <x:v>-0.0726524897</x:v>
      </x:c>
      <x:c r="N436" s="38" t="n">
        <x:v>-0.0860238621</x:v>
      </x:c>
      <x:c r="O436" s="38" t="n">
        <x:v>0.0218963334</x:v>
      </x:c>
      <x:c r="P436" s="38" t="n">
        <x:v>-0.0285299714</x:v>
      </x:c>
      <x:c r="Q436" s="38" t="n">
        <x:v>0.0914730826</x:v>
      </x:c>
      <x:c r="R436" s="38" t="n">
        <x:v>-0.1986281416</x:v>
      </x:c>
      <x:c r="S436" s="38" t="n">
        <x:v>-0.0558208297</x:v>
      </x:c>
      <x:c r="T436" s="38" t="n">
        <x:v>0.1007922234</x:v>
      </x:c>
      <x:c r="U436" s="38" t="n">
        <x:v>0.1385929008</x:v>
      </x:c>
      <x:c r="V436" s="38" t="n">
        <x:v>0.1890282098</x:v>
      </x:c>
      <x:c r="W436" s="38" t="n">
        <x:v>0.0745553371</x:v>
      </x:c>
      <x:c r="X436" s="38" t="n">
        <x:v>0.0175195294</x:v>
      </x:c>
      <x:c r="Y436" s="38" t="n">
        <x:v>-0.0221745001</x:v>
      </x:c>
      <x:c r="Z436" s="38" t="n">
        <x:v>-0.1125682017</x:v>
      </x:c>
      <x:c r="AA436" s="38" t="n">
        <x:v>-0.0178138311</x:v>
      </x:c>
      <x:c r="AB436" s="38" t="n">
        <x:v>-0.0774571181</x:v>
      </x:c>
      <x:c r="AC436" s="38" t="n">
        <x:v>-0.1870490793</x:v>
      </x:c>
      <x:c r="AD436" s="38" t="n">
        <x:v>-0.0024402901</x:v>
      </x:c>
      <x:c r="AE436" s="38" t="n">
        <x:v>0.0353841362</x:v>
      </x:c>
      <x:c r="AF436" s="38" t="n">
        <x:v>-0.0498407901</x:v>
      </x:c>
      <x:c r="AG436" s="38" t="n">
        <x:v>0.079261158</x:v>
      </x:c>
      <x:c r="AH436" s="38" t="n">
        <x:v>-0.0453683212</x:v>
      </x:c>
      <x:c r="AI436" s="38" t="n">
        <x:v>0.0168080927</x:v>
      </x:c>
      <x:c r="AJ436" s="38" t="n">
        <x:v>-0.0366427329</x:v>
      </x:c>
      <x:c r="AK436" s="38" t="n">
        <x:v>0.044229791</x:v>
      </x:c>
      <x:c r="AL436" s="38" t="n">
        <x:v>-0.0686608381</x:v>
      </x:c>
      <x:c r="AM436" s="38" t="n">
        <x:v>-0.0240144596</x:v>
      </x:c>
      <x:c r="AN436" s="38" t="n">
        <x:v>-0.0271832462</x:v>
      </x:c>
      <x:c r="AO436" s="38" t="n">
        <x:v>0.0508247138</x:v>
      </x:c>
      <x:c r="AP436" s="38" t="n">
        <x:v>-0.0138345637</x:v>
      </x:c>
      <x:c r="AQ436" s="38" t="n">
        <x:v>-0.0290549981</x:v>
      </x:c>
      <x:c r="AR436" s="38" t="n">
        <x:v>-0.0420715752</x:v>
      </x:c>
      <x:c r="AS436" s="38" t="n">
        <x:v>0.0027105358</x:v>
      </x:c>
    </x:row>
    <x:row r="437" ht="19" customHeight="1">
      <x:c r="A437" s="29" t="str">
        <x:v>Other sectors</x:v>
      </x:c>
      <x:c r="B437" s="39" t="d">
        <x:v>2022-12-05T00:00:00.000Z</x:v>
      </x:c>
      <x:c r="C437" s="38" t="n">
        <x:v>-0.0092096782</x:v>
      </x:c>
      <x:c r="D437" s="38" t="n">
        <x:v>-0.0265218117</x:v>
      </x:c>
      <x:c r="E437" s="38" t="n">
        <x:v>0.0023275798</x:v>
      </x:c>
      <x:c r="F437" s="38" t="n">
        <x:v>0.0065697587</x:v>
      </x:c>
      <x:c r="G437" s="38" t="n">
        <x:v>0.0464953373</x:v>
      </x:c>
      <x:c r="H437" s="38" t="n">
        <x:v>-0.018205908</x:v>
      </x:c>
      <x:c r="I437" s="38" t="n">
        <x:v>-0.0802635958</x:v>
      </x:c>
      <x:c r="J437" s="38" t="n">
        <x:v>-0.0010359988</x:v>
      </x:c>
      <x:c r="K437" s="38" t="n">
        <x:v>-0.0491849081</x:v>
      </x:c>
      <x:c r="L437" s="38" t="n">
        <x:v>-0.0100773593</x:v>
      </x:c>
      <x:c r="M437" s="38" t="n">
        <x:v>0.0375141336</x:v>
      </x:c>
      <x:c r="N437" s="38" t="n">
        <x:v>-0.0023929977</x:v>
      </x:c>
      <x:c r="O437" s="38" t="n">
        <x:v>-0.0165898541</x:v>
      </x:c>
      <x:c r="P437" s="38" t="n">
        <x:v>-0.0705209947</x:v>
      </x:c>
      <x:c r="Q437" s="38" t="n">
        <x:v>-0.1258358974</x:v>
      </x:c>
      <x:c r="R437" s="38" t="n">
        <x:v>0.0044544918</x:v>
      </x:c>
      <x:c r="S437" s="38" t="n">
        <x:v>0.0277375058</x:v>
      </x:c>
      <x:c r="T437" s="38" t="n">
        <x:v>0.0144797424</x:v>
      </x:c>
      <x:c r="U437" s="38" t="n">
        <x:v>0.0497541371</x:v>
      </x:c>
      <x:c r="V437" s="38" t="n">
        <x:v>-0.0915092114</x:v>
      </x:c>
      <x:c r="W437" s="38" t="n">
        <x:v>0.0398380378</x:v>
      </x:c>
      <x:c r="X437" s="38" t="n">
        <x:v>0.0525752881</x:v>
      </x:c>
      <x:c r="Y437" s="38" t="n">
        <x:v>-0.1091480405</x:v>
      </x:c>
      <x:c r="Z437" s="38" t="n">
        <x:v>-0.0532314563</x:v>
      </x:c>
      <x:c r="AA437" s="38" t="n">
        <x:v>0.0014786781</x:v>
      </x:c>
      <x:c r="AB437" s="38" t="n">
        <x:v>0.0935012368</x:v>
      </x:c>
      <x:c r="AC437" s="38" t="n">
        <x:v>-0.1276832526</x:v>
      </x:c>
      <x:c r="AD437" s="38" t="n">
        <x:v>0.00939714</x:v>
      </x:c>
      <x:c r="AE437" s="38" t="n">
        <x:v>-0.0610215787</x:v>
      </x:c>
      <x:c r="AF437" s="38" t="n">
        <x:v>0.1156717481</x:v>
      </x:c>
      <x:c r="AG437" s="38" t="n">
        <x:v>0.0104468633</x:v>
      </x:c>
      <x:c r="AH437" s="38" t="n">
        <x:v>-0.0347946035</x:v>
      </x:c>
      <x:c r="AI437" s="38" t="n">
        <x:v>-0.0745953664</x:v>
      </x:c>
      <x:c r="AJ437" s="38" t="n">
        <x:v>-0.0276862011</x:v>
      </x:c>
      <x:c r="AK437" s="38" t="n">
        <x:v>-0.0824594656</x:v>
      </x:c>
      <x:c r="AL437" s="38" t="n">
        <x:v>0.0686833164</x:v>
      </x:c>
      <x:c r="AM437" s="38" t="n">
        <x:v>-0.0140630889</x:v>
      </x:c>
      <x:c r="AN437" s="38" t="n">
        <x:v>-0.0328085978</x:v>
      </x:c>
      <x:c r="AO437" s="38" t="n">
        <x:v>-0.0801866153</x:v>
      </x:c>
      <x:c r="AP437" s="38" t="n">
        <x:v>0.0178263769</x:v>
      </x:c>
      <x:c r="AQ437" s="38" t="n">
        <x:v>-0.0027474369</x:v>
      </x:c>
      <x:c r="AR437" s="38" t="n">
        <x:v>-0.0286303275</x:v>
      </x:c>
      <x:c r="AS437" s="38" t="n">
        <x:v>-0.0239361042</x:v>
      </x:c>
    </x:row>
    <x:row r="438" ht="19" customHeight="1">
      <x:c r="A438" s="29" t="str">
        <x:v>Other sectors</x:v>
      </x:c>
      <x:c r="B438" s="39" t="d">
        <x:v>2023-01-02T00:00:00.000Z</x:v>
      </x:c>
      <x:c r="C438" s="38" t="n">
        <x:v>-0.0736962523</x:v>
      </x:c>
      <x:c r="D438" s="38" t="n">
        <x:v>0.0971837811</x:v>
      </x:c>
      <x:c r="E438" s="38" t="n">
        <x:v>-0.0330099386</x:v>
      </x:c>
      <x:c r="F438" s="38" t="n">
        <x:v>-0.0865078956</x:v>
      </x:c>
      <x:c r="G438" s="38" t="n">
        <x:v>0.0067300653</x:v>
      </x:c>
      <x:c r="H438" s="38" t="n">
        <x:v>-0.0432339637</x:v>
      </x:c>
      <x:c r="I438" s="38" t="n">
        <x:v>0.0184194492</x:v>
      </x:c>
      <x:c r="J438" s="38" t="n">
        <x:v>-0.1197591919</x:v>
      </x:c>
      <x:c r="K438" s="38" t="n">
        <x:v>0.0171304529</x:v>
      </x:c>
      <x:c r="L438" s="38" t="n">
        <x:v>0.0171364167</x:v>
      </x:c>
      <x:c r="M438" s="38" t="n">
        <x:v>-0.1495315477</x:v>
      </x:c>
      <x:c r="N438" s="38" t="n">
        <x:v>-0.0269055818</x:v>
      </x:c>
      <x:c r="O438" s="38" t="n">
        <x:v>-0.1179288016</x:v>
      </x:c>
      <x:c r="P438" s="38" t="n">
        <x:v>0.0026007084</x:v>
      </x:c>
      <x:c r="Q438" s="38" t="n">
        <x:v>0.0596751245</x:v>
      </x:c>
      <x:c r="R438" s="38" t="n">
        <x:v>-0.1170691426</x:v>
      </x:c>
      <x:c r="S438" s="38" t="n">
        <x:v>-0.0243993119</x:v>
      </x:c>
      <x:c r="T438" s="38" t="n">
        <x:v>-0.1333963101</x:v>
      </x:c>
      <x:c r="U438" s="38" t="n">
        <x:v>-0.0390179546</x:v>
      </x:c>
      <x:c r="V438" s="38" t="n">
        <x:v>-0.039165809</x:v>
      </x:c>
      <x:c r="W438" s="38" t="n">
        <x:v>-0.0241747672</x:v>
      </x:c>
      <x:c r="X438" s="38" t="n">
        <x:v>0.0020664606</x:v>
      </x:c>
      <x:c r="Y438" s="38" t="n">
        <x:v>-0.0162251527</x:v>
      </x:c>
      <x:c r="Z438" s="38" t="n">
        <x:v>0.0537029256</x:v>
      </x:c>
      <x:c r="AA438" s="38" t="n">
        <x:v>-0.0058729887</x:v>
      </x:c>
      <x:c r="AB438" s="38" t="n">
        <x:v>0.157816236</x:v>
      </x:c>
      <x:c r="AC438" s="38" t="n">
        <x:v>-0.2377412257</x:v>
      </x:c>
      <x:c r="AD438" s="38" t="n">
        <x:v>-0.0113331154</x:v>
      </x:c>
      <x:c r="AE438" s="38" t="n">
        <x:v>-0.0587892906</x:v>
      </x:c>
      <x:c r="AF438" s="38" t="n">
        <x:v>0.0763302012</x:v>
      </x:c>
      <x:c r="AG438" s="38" t="n">
        <x:v>0.0876431648</x:v>
      </x:c>
      <x:c r="AH438" s="38" t="n">
        <x:v>-0.0561771757</x:v>
      </x:c>
      <x:c r="AI438" s="38" t="n">
        <x:v>0.0111447817</x:v>
      </x:c>
      <x:c r="AJ438" s="38" t="n">
        <x:v>-0.0123996114</x:v>
      </x:c>
      <x:c r="AK438" s="38" t="n">
        <x:v>-0.0309629097</x:v>
      </x:c>
      <x:c r="AL438" s="38" t="n">
        <x:v>0.0153459011</x:v>
      </x:c>
      <x:c r="AM438" s="38" t="n">
        <x:v>-0.0436405003</x:v>
      </x:c>
      <x:c r="AN438" s="38" t="n">
        <x:v>-0.0251321676</x:v>
      </x:c>
      <x:c r="AO438" s="38" t="n">
        <x:v>-0.0134386148</x:v>
      </x:c>
      <x:c r="AP438" s="38" t="n">
        <x:v>-0.0175558845</x:v>
      </x:c>
      <x:c r="AQ438" s="38" t="n">
        <x:v>-0.0246686291</x:v>
      </x:c>
      <x:c r="AR438" s="38" t="n">
        <x:v>0.0021485571</x:v>
      </x:c>
      <x:c r="AS438" s="38" t="n">
        <x:v>0.0057381423</x:v>
      </x:c>
    </x:row>
    <x:row r="439" ht="19" customHeight="1">
      <x:c r="A439" s="29" t="str">
        <x:v>Other sectors</x:v>
      </x:c>
      <x:c r="B439" s="39" t="d">
        <x:v>2023-01-30T00:00:00.000Z</x:v>
      </x:c>
      <x:c r="C439" s="38" t="n">
        <x:v>0.0043152428</x:v>
      </x:c>
      <x:c r="D439" s="38" t="n">
        <x:v>-0.002574333</x:v>
      </x:c>
      <x:c r="E439" s="38" t="n">
        <x:v>-0.0243139201</x:v>
      </x:c>
      <x:c r="F439" s="38" t="n">
        <x:v>0.0329595449</x:v>
      </x:c>
      <x:c r="G439" s="38" t="n">
        <x:v>-0.0056518332</x:v>
      </x:c>
      <x:c r="H439" s="38" t="n">
        <x:v>0.0894037178</x:v>
      </x:c>
      <x:c r="I439" s="38" t="n">
        <x:v>0.0433871983</x:v>
      </x:c>
      <x:c r="J439" s="38" t="n">
        <x:v>-0.0662484124</x:v>
      </x:c>
      <x:c r="K439" s="38" t="n">
        <x:v>0.005583425</x:v>
      </x:c>
      <x:c r="L439" s="38" t="n">
        <x:v>0.0327549386</x:v>
      </x:c>
      <x:c r="M439" s="38" t="n">
        <x:v>-0.0251890883</x:v>
      </x:c>
      <x:c r="N439" s="38" t="n">
        <x:v>0.0686785058</x:v>
      </x:c>
      <x:c r="O439" s="38" t="n">
        <x:v>-0.021527014</x:v>
      </x:c>
      <x:c r="P439" s="38" t="n">
        <x:v>0.0113644804</x:v>
      </x:c>
      <x:c r="Q439" s="38" t="n">
        <x:v>-0.0934881537</x:v>
      </x:c>
      <x:c r="R439" s="38" t="n">
        <x:v>0.0603575541</x:v>
      </x:c>
      <x:c r="S439" s="38" t="n">
        <x:v>-0.0078454361</x:v>
      </x:c>
      <x:c r="T439" s="38" t="n">
        <x:v>0.1839595962</x:v>
      </x:c>
      <x:c r="U439" s="38" t="n">
        <x:v>-0.0148642027</x:v>
      </x:c>
      <x:c r="V439" s="38" t="n">
        <x:v>0.0140766868</x:v>
      </x:c>
      <x:c r="W439" s="38" t="n">
        <x:v>0.0012030192</x:v>
      </x:c>
      <x:c r="X439" s="38" t="n">
        <x:v>-0.0421548315</x:v>
      </x:c>
      <x:c r="Y439" s="38" t="n">
        <x:v>0.0036462957</x:v>
      </x:c>
      <x:c r="Z439" s="38" t="n">
        <x:v>-0.0731724628</x:v>
      </x:c>
      <x:c r="AA439" s="38" t="n">
        <x:v>0.014328461</x:v>
      </x:c>
      <x:c r="AB439" s="38" t="n">
        <x:v>0.0727266407</x:v>
      </x:c>
      <x:c r="AC439" s="38" t="n">
        <x:v>0.3931067579</x:v>
      </x:c>
      <x:c r="AD439" s="38" t="n">
        <x:v>-0.0391099033</x:v>
      </x:c>
      <x:c r="AE439" s="38" t="n">
        <x:v>-0.0434179208</x:v>
      </x:c>
      <x:c r="AF439" s="38" t="n">
        <x:v>-0.0427777087</x:v>
      </x:c>
      <x:c r="AG439" s="38" t="n">
        <x:v>-0.0725098443</x:v>
      </x:c>
      <x:c r="AH439" s="38" t="n">
        <x:v>0.0093263871</x:v>
      </x:c>
      <x:c r="AI439" s="38" t="n">
        <x:v>0.0667073495</x:v>
      </x:c>
      <x:c r="AJ439" s="38" t="n">
        <x:v>-0.0298632044</x:v>
      </x:c>
      <x:c r="AK439" s="38" t="n">
        <x:v>0.0582133188</x:v>
      </x:c>
      <x:c r="AL439" s="38" t="n">
        <x:v>-0.1075554929</x:v>
      </x:c>
      <x:c r="AM439" s="38" t="n">
        <x:v>0.0372578853</x:v>
      </x:c>
      <x:c r="AN439" s="38" t="n">
        <x:v>0.0240415791</x:v>
      </x:c>
      <x:c r="AO439" s="38" t="n">
        <x:v>-0.0013060132</x:v>
      </x:c>
      <x:c r="AP439" s="38" t="n">
        <x:v>-0.039083769</x:v>
      </x:c>
      <x:c r="AQ439" s="38" t="n">
        <x:v>0.0004531549</x:v>
      </x:c>
      <x:c r="AR439" s="38" t="n">
        <x:v>-0.0382572629</x:v>
      </x:c>
      <x:c r="AS439" s="38" t="n">
        <x:v>-0.0314233741</x:v>
      </x:c>
    </x:row>
    <x:row r="440" ht="19" customHeight="1">
      <x:c r="A440" s="29" t="str">
        <x:v>Other sectors</x:v>
      </x:c>
      <x:c r="B440" s="39" t="d">
        <x:v>2023-02-27T00:00:00.000Z</x:v>
      </x:c>
      <x:c r="C440" s="38" t="n">
        <x:v>-0.0914235528</x:v>
      </x:c>
      <x:c r="D440" s="38" t="n">
        <x:v>0.1425879739</x:v>
      </x:c>
      <x:c r="E440" s="38" t="n">
        <x:v>0.0296059</x:v>
      </x:c>
      <x:c r="F440" s="38" t="n">
        <x:v>-0.003746317</x:v>
      </x:c>
      <x:c r="G440" s="38" t="n">
        <x:v>-0.0104897383</x:v>
      </x:c>
      <x:c r="H440" s="38" t="n">
        <x:v>-0.0618798062</x:v>
      </x:c>
      <x:c r="I440" s="38" t="n">
        <x:v>-0.0370005598</x:v>
      </x:c>
      <x:c r="J440" s="38" t="n">
        <x:v>0.0608916839</x:v>
      </x:c>
      <x:c r="K440" s="38" t="n">
        <x:v>-0.1528537651</x:v>
      </x:c>
      <x:c r="L440" s="38" t="n">
        <x:v>0.0478813086</x:v>
      </x:c>
      <x:c r="M440" s="38" t="n">
        <x:v>0.0423035841</x:v>
      </x:c>
      <x:c r="N440" s="38" t="n">
        <x:v>0.0131229056</x:v>
      </x:c>
      <x:c r="O440" s="38" t="n">
        <x:v>0.0258488442</x:v>
      </x:c>
      <x:c r="P440" s="38" t="n">
        <x:v>-0.2602863022</x:v>
      </x:c>
      <x:c r="Q440" s="38" t="n">
        <x:v>-0.0007113782</x:v>
      </x:c>
      <x:c r="R440" s="38" t="n">
        <x:v>0.1049003333</x:v>
      </x:c>
      <x:c r="S440" s="38" t="n">
        <x:v>0.0568702836</x:v>
      </x:c>
      <x:c r="T440" s="38" t="n">
        <x:v>-0.0046316864</x:v>
      </x:c>
      <x:c r="U440" s="38" t="n">
        <x:v>-0.2654271145</x:v>
      </x:c>
      <x:c r="V440" s="38" t="n">
        <x:v>0.1208119132</x:v>
      </x:c>
      <x:c r="W440" s="38" t="n">
        <x:v>-0.0585257002</x:v>
      </x:c>
      <x:c r="X440" s="38" t="n">
        <x:v>0.0271415825</x:v>
      </x:c>
      <x:c r="Y440" s="38" t="n">
        <x:v>-0.2244675517</x:v>
      </x:c>
      <x:c r="Z440" s="38" t="n">
        <x:v>-0.0568986996</x:v>
      </x:c>
      <x:c r="AA440" s="38" t="n">
        <x:v>0.0693201209</x:v>
      </x:c>
      <x:c r="AB440" s="38" t="n">
        <x:v>-0.1431390858</x:v>
      </x:c>
      <x:c r="AC440" s="38" t="n">
        <x:v>-0.149352561</x:v>
      </x:c>
      <x:c r="AD440" s="38" t="n">
        <x:v>0.0263194138</x:v>
      </x:c>
      <x:c r="AE440" s="38" t="n">
        <x:v>0.0452953506</x:v>
      </x:c>
      <x:c r="AF440" s="38" t="n">
        <x:v>-0.1192086513</x:v>
      </x:c>
      <x:c r="AG440" s="38" t="n">
        <x:v>0.0352555526</x:v>
      </x:c>
      <x:c r="AH440" s="38" t="n">
        <x:v>0.0055803021</x:v>
      </x:c>
      <x:c r="AI440" s="38" t="n">
        <x:v>-0.0755471246</x:v>
      </x:c>
      <x:c r="AJ440" s="38" t="n">
        <x:v>-0.0509388211</x:v>
      </x:c>
      <x:c r="AK440" s="38" t="n">
        <x:v>0.0761308751</x:v>
      </x:c>
      <x:c r="AL440" s="38" t="n">
        <x:v>0.002053383</x:v>
      </x:c>
      <x:c r="AM440" s="38" t="n">
        <x:v>0.0129361961</x:v>
      </x:c>
      <x:c r="AN440" s="38" t="n">
        <x:v>-0.1034691099</x:v>
      </x:c>
      <x:c r="AO440" s="38" t="n">
        <x:v>-0.0257381149</x:v>
      </x:c>
      <x:c r="AP440" s="38" t="n">
        <x:v>-0.0487666399</x:v>
      </x:c>
      <x:c r="AQ440" s="38" t="n">
        <x:v>0.0111106916</x:v>
      </x:c>
      <x:c r="AR440" s="38" t="n">
        <x:v>-0.0304770551</x:v>
      </x:c>
      <x:c r="AS440" s="38" t="n">
        <x:v>0.0218142625</x:v>
      </x:c>
    </x:row>
    <x:row r="441" ht="19" customHeight="1">
      <x:c r="A441" s="29" t="str">
        <x:v>Other sectors</x:v>
      </x:c>
      <x:c r="B441" s="39" t="d">
        <x:v>2023-03-27T00:00:00.000Z</x:v>
      </x:c>
      <x:c r="C441" s="38" t="n">
        <x:v>0.0661323993</x:v>
      </x:c>
      <x:c r="D441" s="38" t="n">
        <x:v>0.0333004846</x:v>
      </x:c>
      <x:c r="E441" s="38" t="n">
        <x:v>-0.0239938609</x:v>
      </x:c>
      <x:c r="F441" s="38" t="n">
        <x:v>-0.0093980443</x:v>
      </x:c>
      <x:c r="G441" s="38" t="n">
        <x:v>-0.0001826162</x:v>
      </x:c>
      <x:c r="H441" s="38" t="n">
        <x:v>0.0919261765</x:v>
      </x:c>
      <x:c r="I441" s="38" t="n">
        <x:v>0.029599371</x:v>
      </x:c>
      <x:c r="J441" s="38" t="n">
        <x:v>-0.1440639142</x:v>
      </x:c>
      <x:c r="K441" s="38" t="n">
        <x:v>-0.0806588954</x:v>
      </x:c>
      <x:c r="L441" s="38" t="n">
        <x:v>0.0259481285</x:v>
      </x:c>
      <x:c r="M441" s="38" t="n">
        <x:v>-0.1052528733</x:v>
      </x:c>
      <x:c r="N441" s="38" t="n">
        <x:v>-0.0148467485</x:v>
      </x:c>
      <x:c r="O441" s="38" t="n">
        <x:v>-0.0682309574</x:v>
      </x:c>
      <x:c r="P441" s="38" t="n">
        <x:v>-0.0501123253</x:v>
      </x:c>
      <x:c r="Q441" s="38" t="n">
        <x:v>-0.0782422502</x:v>
      </x:c>
      <x:c r="R441" s="38" t="n">
        <x:v>-0.0062129093</x:v>
      </x:c>
      <x:c r="S441" s="38" t="n">
        <x:v>-0.0011225365</x:v>
      </x:c>
      <x:c r="T441" s="38" t="n">
        <x:v>0.0537706847</x:v>
      </x:c>
      <x:c r="U441" s="38" t="n">
        <x:v>0.0832704739</x:v>
      </x:c>
      <x:c r="V441" s="38" t="n">
        <x:v>-0.0462947863</x:v>
      </x:c>
      <x:c r="W441" s="38" t="n">
        <x:v>-0.0562334534</x:v>
      </x:c>
      <x:c r="X441" s="38" t="n">
        <x:v>-0.0255185239</x:v>
      </x:c>
      <x:c r="Y441" s="38" t="n">
        <x:v>-0.0109057753</x:v>
      </x:c>
      <x:c r="Z441" s="38" t="n">
        <x:v>0.1249988236</x:v>
      </x:c>
      <x:c r="AA441" s="38" t="n">
        <x:v>0.008320509</x:v>
      </x:c>
      <x:c r="AB441" s="38" t="n">
        <x:v>0.0401824344</x:v>
      </x:c>
      <x:c r="AC441" s="38" t="n">
        <x:v>0.1935823885</x:v>
      </x:c>
      <x:c r="AD441" s="38" t="n">
        <x:v>-0.0008897555</x:v>
      </x:c>
      <x:c r="AE441" s="38" t="n">
        <x:v>-0.0361268341</x:v>
      </x:c>
      <x:c r="AF441" s="38" t="n">
        <x:v>0.1085191962</x:v>
      </x:c>
      <x:c r="AG441" s="38" t="n">
        <x:v>-0.0249233843</x:v>
      </x:c>
      <x:c r="AH441" s="38" t="n">
        <x:v>-0.0987226391</x:v>
      </x:c>
      <x:c r="AI441" s="38" t="n">
        <x:v>0.0144124229</x:v>
      </x:c>
      <x:c r="AJ441" s="38" t="n">
        <x:v>0.0630664232</x:v>
      </x:c>
      <x:c r="AK441" s="38" t="n">
        <x:v>-0.0172510769</x:v>
      </x:c>
      <x:c r="AL441" s="38" t="n">
        <x:v>-0.0613503004</x:v>
      </x:c>
      <x:c r="AM441" s="38" t="n">
        <x:v>0.0534375948</x:v>
      </x:c>
      <x:c r="AN441" s="38" t="n">
        <x:v>0.0415624273</x:v>
      </x:c>
      <x:c r="AO441" s="38" t="n">
        <x:v>-0.0136368994</x:v>
      </x:c>
      <x:c r="AP441" s="38" t="n">
        <x:v>-0.0198418264</x:v>
      </x:c>
      <x:c r="AQ441" s="38" t="n">
        <x:v>0.0117147738</x:v>
      </x:c>
      <x:c r="AR441" s="38" t="n">
        <x:v>-0.0197348437</x:v>
      </x:c>
      <x:c r="AS441" s="38" t="n">
        <x:v>0.0054293035</x:v>
      </x:c>
    </x:row>
    <x:row r="442" ht="19" customHeight="1">
      <x:c r="A442" s="29" t="str">
        <x:v>Other sectors</x:v>
      </x:c>
      <x:c r="B442" s="39" t="d">
        <x:v>2023-04-24T00:00:00.000Z</x:v>
      </x:c>
      <x:c r="C442" s="38" t="n">
        <x:v>-0.0026827957</x:v>
      </x:c>
      <x:c r="D442" s="38" t="n">
        <x:v>0.024327175</x:v>
      </x:c>
      <x:c r="E442" s="38" t="n">
        <x:v>-0.0042149942</x:v>
      </x:c>
      <x:c r="F442" s="38" t="n">
        <x:v>-0.0249586708</x:v>
      </x:c>
      <x:c r="G442" s="38" t="n">
        <x:v>0.0399900854</x:v>
      </x:c>
      <x:c r="H442" s="38" t="n">
        <x:v>0.1985712371</x:v>
      </x:c>
      <x:c r="I442" s="38" t="n">
        <x:v>0.1078776884</x:v>
      </x:c>
      <x:c r="J442" s="38" t="n">
        <x:v>0.0178118723</x:v>
      </x:c>
      <x:c r="K442" s="38" t="n">
        <x:v>0.0261904744</x:v>
      </x:c>
      <x:c r="L442" s="38" t="n">
        <x:v>-0.2155836239</x:v>
      </x:c>
      <x:c r="M442" s="38" t="n">
        <x:v>-0.0350291806</x:v>
      </x:c>
      <x:c r="N442" s="38" t="n">
        <x:v>-0.0496079849</x:v>
      </x:c>
      <x:c r="O442" s="38" t="n">
        <x:v>-0.181790272</x:v>
      </x:c>
      <x:c r="P442" s="38" t="n">
        <x:v>0.0657970113</x:v>
      </x:c>
      <x:c r="Q442" s="38" t="n">
        <x:v>-0.4137197115</x:v>
      </x:c>
      <x:c r="R442" s="38" t="n">
        <x:v>-0.1767109167</x:v>
      </x:c>
      <x:c r="S442" s="38" t="n">
        <x:v>-0.0283011416</x:v>
      </x:c>
      <x:c r="T442" s="38" t="n">
        <x:v>-0.0625782746</x:v>
      </x:c>
      <x:c r="U442" s="38" t="n">
        <x:v>-0.1345368295</x:v>
      </x:c>
      <x:c r="V442" s="38" t="n">
        <x:v>-0.0370140472</x:v>
      </x:c>
      <x:c r="W442" s="38" t="n">
        <x:v>-0.0764703419</x:v>
      </x:c>
      <x:c r="X442" s="38" t="n">
        <x:v>0.0813656513</x:v>
      </x:c>
      <x:c r="Y442" s="38" t="n">
        <x:v>0.1337386964</x:v>
      </x:c>
      <x:c r="Z442" s="38" t="n">
        <x:v>0.0080943365</x:v>
      </x:c>
      <x:c r="AA442" s="38" t="n">
        <x:v>-0.0673026209</x:v>
      </x:c>
      <x:c r="AB442" s="38" t="n">
        <x:v>0.0478232882</x:v>
      </x:c>
      <x:c r="AC442" s="38" t="n">
        <x:v>0.2218896161</x:v>
      </x:c>
      <x:c r="AD442" s="38" t="n">
        <x:v>0.0450161148</x:v>
      </x:c>
      <x:c r="AE442" s="38" t="n">
        <x:v>-0.0216366332</x:v>
      </x:c>
      <x:c r="AF442" s="38" t="n">
        <x:v>-0.1004425928</x:v>
      </x:c>
      <x:c r="AG442" s="38" t="n">
        <x:v>-0.0094788958</x:v>
      </x:c>
      <x:c r="AH442" s="38" t="n">
        <x:v>0.0070421312</x:v>
      </x:c>
      <x:c r="AI442" s="38" t="n">
        <x:v>0.0689996177</x:v>
      </x:c>
      <x:c r="AJ442" s="38" t="n">
        <x:v>0.0673626467</x:v>
      </x:c>
      <x:c r="AK442" s="38" t="n">
        <x:v>0.046789703</x:v>
      </x:c>
      <x:c r="AL442" s="38" t="n">
        <x:v>-0.1336045181</x:v>
      </x:c>
      <x:c r="AM442" s="38" t="n">
        <x:v>0.1060732257</x:v>
      </x:c>
      <x:c r="AN442" s="38" t="n">
        <x:v>0.1326321039</x:v>
      </x:c>
      <x:c r="AO442" s="38" t="n">
        <x:v>0.0205695518</x:v>
      </x:c>
      <x:c r="AP442" s="38" t="n">
        <x:v>0.0491736324</x:v>
      </x:c>
      <x:c r="AQ442" s="38" t="n">
        <x:v>0.0120658132</x:v>
      </x:c>
      <x:c r="AR442" s="38" t="n">
        <x:v>0.0156014307</x:v>
      </x:c>
      <x:c r="AS442" s="38" t="n">
        <x:v>0.013507303</x:v>
      </x:c>
    </x:row>
    <x:row r="443" ht="19" customHeight="1">
      <x:c r="A443" s="29" t="str">
        <x:v>Other sectors</x:v>
      </x:c>
      <x:c r="B443" s="39" t="d">
        <x:v>2023-05-22T00:00:00.000Z</x:v>
      </x:c>
      <x:c r="C443" s="38" t="n">
        <x:v>-0.0070452013</x:v>
      </x:c>
      <x:c r="D443" s="38" t="n">
        <x:v>0.0133731147</x:v>
      </x:c>
      <x:c r="E443" s="38" t="n">
        <x:v>-0.0184524702</x:v>
      </x:c>
      <x:c r="F443" s="38" t="n">
        <x:v>-0.0383790731</x:v>
      </x:c>
      <x:c r="G443" s="38" t="n">
        <x:v>-0.1485520838</x:v>
      </x:c>
      <x:c r="H443" s="38" t="n">
        <x:v>-0.0193175135</x:v>
      </x:c>
      <x:c r="I443" s="38" t="n">
        <x:v>-0.0658364802</x:v>
      </x:c>
      <x:c r="J443" s="38" t="n">
        <x:v>-0.1229674621</x:v>
      </x:c>
      <x:c r="K443" s="38" t="n">
        <x:v>-0.2419894677</x:v>
      </x:c>
      <x:c r="L443" s="38" t="n">
        <x:v>0.0789611859</x:v>
      </x:c>
      <x:c r="M443" s="38" t="n">
        <x:v>-0.0340312907</x:v>
      </x:c>
      <x:c r="N443" s="38" t="n">
        <x:v>-0.1602972406</x:v>
      </x:c>
      <x:c r="O443" s="38" t="n">
        <x:v>-0.0160362938</x:v>
      </x:c>
      <x:c r="P443" s="38" t="n">
        <x:v>-0.142603992</x:v>
      </x:c>
      <x:c r="Q443" s="38" t="n">
        <x:v>0.2527704395</x:v>
      </x:c>
      <x:c r="R443" s="38" t="n">
        <x:v>0.0074570739</x:v>
      </x:c>
      <x:c r="S443" s="38" t="n">
        <x:v>-0.025356668</x:v>
      </x:c>
      <x:c r="T443" s="38" t="n">
        <x:v>-0.0447984868</x:v>
      </x:c>
      <x:c r="U443" s="38" t="n">
        <x:v>-0.0522159274</x:v>
      </x:c>
      <x:c r="V443" s="38" t="n">
        <x:v>-0.0543362414</x:v>
      </x:c>
      <x:c r="W443" s="38" t="n">
        <x:v>0.1169463764</x:v>
      </x:c>
      <x:c r="X443" s="38" t="n">
        <x:v>-0.0022261675</x:v>
      </x:c>
      <x:c r="Y443" s="38" t="n">
        <x:v>-0.1448329023</x:v>
      </x:c>
      <x:c r="Z443" s="38" t="n">
        <x:v>-0.0697391107</x:v>
      </x:c>
      <x:c r="AA443" s="38" t="n">
        <x:v>-0.0127786125</x:v>
      </x:c>
      <x:c r="AB443" s="38" t="n">
        <x:v>0.0388379326</x:v>
      </x:c>
      <x:c r="AC443" s="38" t="n">
        <x:v>0.1097922152</x:v>
      </x:c>
      <x:c r="AD443" s="38" t="n">
        <x:v>0.007301686</x:v>
      </x:c>
      <x:c r="AE443" s="38" t="n">
        <x:v>0.0063094583</x:v>
      </x:c>
      <x:c r="AF443" s="38" t="n">
        <x:v>0.0157693753</x:v>
      </x:c>
      <x:c r="AG443" s="38" t="n">
        <x:v>0.0011498826</x:v>
      </x:c>
      <x:c r="AH443" s="38" t="n">
        <x:v>0.0403784007</x:v>
      </x:c>
      <x:c r="AI443" s="38" t="n">
        <x:v>-0.0487723654</x:v>
      </x:c>
      <x:c r="AJ443" s="38" t="n">
        <x:v>0.0907630276</x:v>
      </x:c>
      <x:c r="AK443" s="38" t="n">
        <x:v>0.0156067517</x:v>
      </x:c>
      <x:c r="AL443" s="38" t="n">
        <x:v>-0.109249771</x:v>
      </x:c>
      <x:c r="AM443" s="38" t="n">
        <x:v>-0.0650950838</x:v>
      </x:c>
      <x:c r="AN443" s="38" t="n">
        <x:v>-0.1056164205</x:v>
      </x:c>
      <x:c r="AO443" s="38" t="n">
        <x:v>-0.0008997264</x:v>
      </x:c>
      <x:c r="AP443" s="38" t="n">
        <x:v>-0.0009716805</x:v>
      </x:c>
      <x:c r="AQ443" s="38" t="n">
        <x:v>0.0073388217</x:v>
      </x:c>
      <x:c r="AR443" s="38" t="n">
        <x:v>0.0154480554</x:v>
      </x:c>
      <x:c r="AS443" s="38" t="n">
        <x:v>0.0304476639</x:v>
      </x:c>
    </x:row>
    <x:row r="444" ht="19" customHeight="1">
      <x:c r="A444" s="29" t="str">
        <x:v>Other sectors</x:v>
      </x:c>
      <x:c r="B444" s="39" t="d">
        <x:v>2023-06-19T00:00:00.000Z</x:v>
      </x:c>
      <x:c r="C444" s="38" t="n">
        <x:v>-0.0209940073</x:v>
      </x:c>
      <x:c r="D444" s="38" t="n">
        <x:v>0.0899240732</x:v>
      </x:c>
      <x:c r="E444" s="38" t="n">
        <x:v>0.015471758</x:v>
      </x:c>
      <x:c r="F444" s="38" t="n">
        <x:v>-0.0168826914</x:v>
      </x:c>
      <x:c r="G444" s="38" t="n">
        <x:v>-0.0263789543</x:v>
      </x:c>
      <x:c r="H444" s="38" t="n">
        <x:v>-0.085714481</x:v>
      </x:c>
      <x:c r="I444" s="38" t="n">
        <x:v>0.0271901039</x:v>
      </x:c>
      <x:c r="J444" s="38" t="n">
        <x:v>-0.0490957537</x:v>
      </x:c>
      <x:c r="K444" s="38" t="n">
        <x:v>-0.0637476447</x:v>
      </x:c>
      <x:c r="L444" s="38" t="n">
        <x:v>-0.0215698521</x:v>
      </x:c>
      <x:c r="M444" s="38" t="n">
        <x:v>0.0502872337</x:v>
      </x:c>
      <x:c r="N444" s="38" t="n">
        <x:v>-0.0367953149</x:v>
      </x:c>
      <x:c r="O444" s="38" t="n">
        <x:v>-0.0083820242</x:v>
      </x:c>
      <x:c r="P444" s="38" t="n">
        <x:v>-0.1393233587</x:v>
      </x:c>
      <x:c r="Q444" s="38" t="n">
        <x:v>-0.0502036437</x:v>
      </x:c>
      <x:c r="R444" s="38" t="n">
        <x:v>0.0839772922</x:v>
      </x:c>
      <x:c r="S444" s="38" t="n">
        <x:v>0.0306421543</x:v>
      </x:c>
      <x:c r="T444" s="38" t="n">
        <x:v>-0.0188474923</x:v>
      </x:c>
      <x:c r="U444" s="38" t="n">
        <x:v>-0.1248350215</x:v>
      </x:c>
      <x:c r="V444" s="38" t="n">
        <x:v>-0.0791747891</x:v>
      </x:c>
      <x:c r="W444" s="38" t="n">
        <x:v>0.0799623792</x:v>
      </x:c>
      <x:c r="X444" s="38" t="n">
        <x:v>0.0269246024</x:v>
      </x:c>
      <x:c r="Y444" s="38" t="n">
        <x:v>-0.1215720327</x:v>
      </x:c>
      <x:c r="Z444" s="38" t="n">
        <x:v>-0.0817788865</x:v>
      </x:c>
      <x:c r="AA444" s="38" t="n">
        <x:v>0.0227206851</x:v>
      </x:c>
      <x:c r="AB444" s="38" t="n">
        <x:v>-0.1603472539</x:v>
      </x:c>
      <x:c r="AC444" s="38" t="n">
        <x:v>0.2607695808</x:v>
      </x:c>
      <x:c r="AD444" s="38" t="n">
        <x:v>0.0380742813</x:v>
      </x:c>
      <x:c r="AE444" s="38" t="n">
        <x:v>0.0274961813</x:v>
      </x:c>
      <x:c r="AF444" s="38" t="n">
        <x:v>0.0579830403</x:v>
      </x:c>
      <x:c r="AG444" s="38" t="n">
        <x:v>-0.0307638906</x:v>
      </x:c>
      <x:c r="AH444" s="38" t="n">
        <x:v>-0.0258220446</x:v>
      </x:c>
      <x:c r="AI444" s="38" t="n">
        <x:v>-0.114205902</x:v>
      </x:c>
      <x:c r="AJ444" s="38" t="n">
        <x:v>0.042207226</x:v>
      </x:c>
      <x:c r="AK444" s="38" t="n">
        <x:v>0.001842142</x:v>
      </x:c>
      <x:c r="AL444" s="38" t="n">
        <x:v>-0.0086647811</x:v>
      </x:c>
      <x:c r="AM444" s="38" t="n">
        <x:v>0.0131725355</x:v>
      </x:c>
      <x:c r="AN444" s="38" t="n">
        <x:v>-0.0898716026</x:v>
      </x:c>
      <x:c r="AO444" s="38" t="n">
        <x:v>0.0226815021</x:v>
      </x:c>
      <x:c r="AP444" s="38" t="n">
        <x:v>-0.0268003292</x:v>
      </x:c>
      <x:c r="AQ444" s="38" t="n">
        <x:v>0.0245484978</x:v>
      </x:c>
      <x:c r="AR444" s="38" t="n">
        <x:v>0.0377388316</x:v>
      </x:c>
      <x:c r="AS444" s="38" t="n">
        <x:v>0.0175966581</x:v>
      </x:c>
    </x:row>
    <x:row r="445" ht="19" customHeight="1">
      <x:c r="A445" s="29" t="str">
        <x:v>Other sectors</x:v>
      </x:c>
      <x:c r="B445" s="39" t="d">
        <x:v>2023-07-17T00:00:00.000Z</x:v>
      </x:c>
      <x:c r="C445" s="38" t="n">
        <x:v>0.0592023802</x:v>
      </x:c>
      <x:c r="D445" s="38" t="n">
        <x:v>0.0210896493</x:v>
      </x:c>
      <x:c r="E445" s="38" t="n">
        <x:v>-0.020079875</x:v>
      </x:c>
      <x:c r="F445" s="38" t="n">
        <x:v>0.0117834585</x:v>
      </x:c>
      <x:c r="G445" s="38" t="n">
        <x:v>-0.0797958617</x:v>
      </x:c>
      <x:c r="H445" s="38" t="n">
        <x:v>0.0269382092</x:v>
      </x:c>
      <x:c r="I445" s="38" t="n">
        <x:v>-0.0627124834</x:v>
      </x:c>
      <x:c r="J445" s="38" t="n">
        <x:v>-0.0413999554</x:v>
      </x:c>
      <x:c r="K445" s="38" t="n">
        <x:v>-0.0726450755</x:v>
      </x:c>
      <x:c r="L445" s="38" t="n">
        <x:v>-0.014838266</x:v>
      </x:c>
      <x:c r="M445" s="38" t="n">
        <x:v>0.0449298306</x:v>
      </x:c>
      <x:c r="N445" s="38" t="n">
        <x:v>0.0868113017</x:v>
      </x:c>
      <x:c r="O445" s="38" t="n">
        <x:v>-0.0138043853</x:v>
      </x:c>
      <x:c r="P445" s="38" t="n">
        <x:v>-0.0283892501</x:v>
      </x:c>
      <x:c r="Q445" s="38" t="n">
        <x:v>-0.0257590979</x:v>
      </x:c>
      <x:c r="R445" s="38" t="n">
        <x:v>0.1402173966</x:v>
      </x:c>
      <x:c r="S445" s="38" t="n">
        <x:v>0.0023575894</x:v>
      </x:c>
      <x:c r="T445" s="38" t="n">
        <x:v>-0.0737340535</x:v>
      </x:c>
      <x:c r="U445" s="38" t="n">
        <x:v>0.0421363229</x:v>
      </x:c>
      <x:c r="V445" s="38" t="n">
        <x:v>-0.1645274394</x:v>
      </x:c>
      <x:c r="W445" s="38" t="n">
        <x:v>-0.0443458359</x:v>
      </x:c>
      <x:c r="X445" s="38" t="n">
        <x:v>0.0219227468</x:v>
      </x:c>
      <x:c r="Y445" s="38" t="n">
        <x:v>-0.0269414235</x:v>
      </x:c>
      <x:c r="Z445" s="38" t="n">
        <x:v>-0.0077410546</x:v>
      </x:c>
      <x:c r="AA445" s="38" t="n">
        <x:v>-0.1104262597</x:v>
      </x:c>
      <x:c r="AB445" s="38" t="n">
        <x:v>0.0571533217</x:v>
      </x:c>
      <x:c r="AC445" s="38" t="n">
        <x:v>0.3089145712</x:v>
      </x:c>
      <x:c r="AD445" s="38" t="n">
        <x:v>-0.0133294679</x:v>
      </x:c>
      <x:c r="AE445" s="38" t="n">
        <x:v>-0.0491843053</x:v>
      </x:c>
      <x:c r="AF445" s="38" t="n">
        <x:v>-0.0510555332</x:v>
      </x:c>
      <x:c r="AG445" s="38" t="n">
        <x:v>-0.0364169008</x:v>
      </x:c>
      <x:c r="AH445" s="38" t="n">
        <x:v>0.0788993622</x:v>
      </x:c>
      <x:c r="AI445" s="38" t="n">
        <x:v>-0.1209607229</x:v>
      </x:c>
      <x:c r="AJ445" s="38" t="n">
        <x:v>-0.0333397081</x:v>
      </x:c>
      <x:c r="AK445" s="38" t="n">
        <x:v>-0.0119501158</x:v>
      </x:c>
      <x:c r="AL445" s="38" t="n">
        <x:v>-0.0608922985</x:v>
      </x:c>
      <x:c r="AM445" s="38" t="n">
        <x:v>-0.0452193693</x:v>
      </x:c>
      <x:c r="AN445" s="38" t="n">
        <x:v>-0.0495424374</x:v>
      </x:c>
      <x:c r="AO445" s="38" t="n">
        <x:v>0.0170951763</x:v>
      </x:c>
      <x:c r="AP445" s="38" t="n">
        <x:v>0.003292131</x:v>
      </x:c>
      <x:c r="AQ445" s="38" t="n">
        <x:v>-0.037111781</x:v>
      </x:c>
      <x:c r="AR445" s="38" t="n">
        <x:v>-0.0102422313</x:v>
      </x:c>
      <x:c r="AS445" s="38" t="n">
        <x:v>-0.0190535581</x:v>
      </x:c>
    </x:row>
    <x:row r="446" ht="19" customHeight="1">
      <x:c r="A446" s="29" t="str">
        <x:v>Other sectors</x:v>
      </x:c>
      <x:c r="B446" s="39" t="d">
        <x:v>2023-08-14T00:00:00.000Z</x:v>
      </x:c>
      <x:c r="C446" s="38" t="n">
        <x:v>0.0953958067</x:v>
      </x:c>
      <x:c r="D446" s="38" t="n">
        <x:v>-0.108184409</x:v>
      </x:c>
      <x:c r="E446" s="38" t="n">
        <x:v>0.0052482971</x:v>
      </x:c>
      <x:c r="F446" s="38" t="n">
        <x:v>-0.0108839606</x:v>
      </x:c>
      <x:c r="G446" s="38" t="n">
        <x:v>0.0809398276</x:v>
      </x:c>
      <x:c r="H446" s="38" t="n">
        <x:v>-0.0333665551</x:v>
      </x:c>
      <x:c r="I446" s="38" t="n">
        <x:v>0.0964858678</x:v>
      </x:c>
      <x:c r="J446" s="38" t="n">
        <x:v>0.0686827872</x:v>
      </x:c>
      <x:c r="K446" s="38" t="n">
        <x:v>0.2425279303</x:v>
      </x:c>
      <x:c r="L446" s="38" t="n">
        <x:v>0.0259833176</x:v>
      </x:c>
      <x:c r="M446" s="38" t="n">
        <x:v>-0.018040945</x:v>
      </x:c>
      <x:c r="N446" s="38" t="n">
        <x:v>0.004983532</x:v>
      </x:c>
      <x:c r="O446" s="38" t="n">
        <x:v>0.0424115954</x:v>
      </x:c>
      <x:c r="P446" s="38" t="n">
        <x:v>0.1453857428</x:v>
      </x:c>
      <x:c r="Q446" s="38" t="n">
        <x:v>0.035738716</x:v>
      </x:c>
      <x:c r="R446" s="38" t="n">
        <x:v>-0.3213256447</x:v>
      </x:c>
      <x:c r="S446" s="38" t="n">
        <x:v>0.0818785691</x:v>
      </x:c>
      <x:c r="T446" s="38" t="n">
        <x:v>-0.1162612502</x:v>
      </x:c>
      <x:c r="U446" s="38" t="n">
        <x:v>-0.1833311929</x:v>
      </x:c>
      <x:c r="V446" s="38" t="n">
        <x:v>0.1409450762</x:v>
      </x:c>
      <x:c r="W446" s="38" t="n">
        <x:v>0.0483151273</x:v>
      </x:c>
      <x:c r="X446" s="38" t="n">
        <x:v>0.0993616025</x:v>
      </x:c>
      <x:c r="Y446" s="38" t="n">
        <x:v>0.0755788207</x:v>
      </x:c>
      <x:c r="Z446" s="38" t="n">
        <x:v>0.0295681092</x:v>
      </x:c>
      <x:c r="AA446" s="38" t="n">
        <x:v>0.1007037287</x:v>
      </x:c>
      <x:c r="AB446" s="38" t="n">
        <x:v>-0.0224303095</x:v>
      </x:c>
      <x:c r="AC446" s="38" t="n">
        <x:v>-0.3593200388</x:v>
      </x:c>
      <x:c r="AD446" s="38" t="n">
        <x:v>0.0610015552</x:v>
      </x:c>
      <x:c r="AE446" s="38" t="n">
        <x:v>-0.0348257106</x:v>
      </x:c>
      <x:c r="AF446" s="38" t="n">
        <x:v>0.0416930449</x:v>
      </x:c>
      <x:c r="AG446" s="38" t="n">
        <x:v>0.1512123456</x:v>
      </x:c>
      <x:c r="AH446" s="38" t="n">
        <x:v>-0.0340046227</x:v>
      </x:c>
      <x:c r="AI446" s="38" t="n">
        <x:v>0.1065889019</x:v>
      </x:c>
      <x:c r="AJ446" s="38" t="n">
        <x:v>0.1314969861</x:v>
      </x:c>
      <x:c r="AK446" s="38" t="n">
        <x:v>0.0571995315</x:v>
      </x:c>
      <x:c r="AL446" s="38" t="n">
        <x:v>0.0219361183</x:v>
      </x:c>
      <x:c r="AM446" s="38" t="n">
        <x:v>0.000686165</x:v>
      </x:c>
      <x:c r="AN446" s="38" t="n">
        <x:v>0.0838743368</x:v>
      </x:c>
      <x:c r="AO446" s="38" t="n">
        <x:v>0.037556475</x:v>
      </x:c>
      <x:c r="AP446" s="38" t="n">
        <x:v>0.0989777443</x:v>
      </x:c>
      <x:c r="AQ446" s="38" t="n">
        <x:v>0.0362622246</x:v>
      </x:c>
      <x:c r="AR446" s="38" t="n">
        <x:v>0.0329699237</x:v>
      </x:c>
      <x:c r="AS446" s="38" t="n">
        <x:v>0.0486047257</x:v>
      </x:c>
    </x:row>
    <x:row r="447" ht="19" customHeight="1">
      <x:c r="A447" s="29" t="str">
        <x:v>Other sectors</x:v>
      </x:c>
      <x:c r="B447" s="39" t="d">
        <x:v>2023-09-11T00:00:00.000Z</x:v>
      </x:c>
      <x:c r="C447" s="38" t="n">
        <x:v>0.0644861276</x:v>
      </x:c>
      <x:c r="D447" s="38" t="n">
        <x:v>0.010423676</x:v>
      </x:c>
      <x:c r="E447" s="38" t="n">
        <x:v>-0.0111617574</x:v>
      </x:c>
      <x:c r="F447" s="38" t="n">
        <x:v>0.0001180108</x:v>
      </x:c>
      <x:c r="G447" s="38" t="n">
        <x:v>-0.0439999052</x:v>
      </x:c>
      <x:c r="H447" s="38" t="n">
        <x:v>0.0102894602</x:v>
      </x:c>
      <x:c r="I447" s="38" t="n">
        <x:v>0.0200970917</x:v>
      </x:c>
      <x:c r="J447" s="38" t="n">
        <x:v>0.0191003073</x:v>
      </x:c>
      <x:c r="K447" s="38" t="n">
        <x:v>-0.121008743</x:v>
      </x:c>
      <x:c r="L447" s="38" t="n">
        <x:v>0.0206783745</x:v>
      </x:c>
      <x:c r="M447" s="38" t="n">
        <x:v>-0.0084316503</x:v>
      </x:c>
      <x:c r="N447" s="38" t="n">
        <x:v>0.0119604613</x:v>
      </x:c>
      <x:c r="O447" s="38" t="n">
        <x:v>-0.0498860886</x:v>
      </x:c>
      <x:c r="P447" s="38" t="n">
        <x:v>0.0198287298</x:v>
      </x:c>
      <x:c r="Q447" s="38" t="n">
        <x:v>0.1324222213</x:v>
      </x:c>
      <x:c r="R447" s="38" t="n">
        <x:v>-0.3264368781</x:v>
      </x:c>
      <x:c r="S447" s="38" t="n">
        <x:v>0.0148769277</x:v>
      </x:c>
      <x:c r="T447" s="38" t="n">
        <x:v>-0.0509871489</x:v>
      </x:c>
      <x:c r="U447" s="38" t="n">
        <x:v>0.1438724022</x:v>
      </x:c>
      <x:c r="V447" s="38" t="n">
        <x:v>0.030378758</x:v>
      </x:c>
      <x:c r="W447" s="38" t="n">
        <x:v>-0.0173853189</x:v>
      </x:c>
      <x:c r="X447" s="38" t="n">
        <x:v>-0.0193122052</x:v>
      </x:c>
      <x:c r="Y447" s="38" t="n">
        <x:v>0.039377992</x:v>
      </x:c>
      <x:c r="Z447" s="38" t="n">
        <x:v>0.0371301805</x:v>
      </x:c>
      <x:c r="AA447" s="38" t="n">
        <x:v>0.0317708976</x:v>
      </x:c>
      <x:c r="AB447" s="38" t="n">
        <x:v>-0.0397840968</x:v>
      </x:c>
      <x:c r="AC447" s="38" t="n">
        <x:v>-0.0557149175</x:v>
      </x:c>
      <x:c r="AD447" s="38" t="n">
        <x:v>0.0231867097</x:v>
      </x:c>
      <x:c r="AE447" s="38" t="n">
        <x:v>0.0140681118</x:v>
      </x:c>
      <x:c r="AF447" s="38" t="n">
        <x:v>-0.0116587032</x:v>
      </x:c>
      <x:c r="AG447" s="38" t="n">
        <x:v>-0.0663593943</x:v>
      </x:c>
      <x:c r="AH447" s="38" t="n">
        <x:v>-0.0116009605</x:v>
      </x:c>
      <x:c r="AI447" s="38" t="n">
        <x:v>-0.0130678398</x:v>
      </x:c>
      <x:c r="AJ447" s="38" t="n">
        <x:v>0.0826882304</x:v>
      </x:c>
      <x:c r="AK447" s="38" t="n">
        <x:v>0.0168321293</x:v>
      </x:c>
      <x:c r="AL447" s="38" t="n">
        <x:v>0.0123445795</x:v>
      </x:c>
      <x:c r="AM447" s="38" t="n">
        <x:v>0.0431157337</x:v>
      </x:c>
      <x:c r="AN447" s="38" t="n">
        <x:v>0.0379695632</x:v>
      </x:c>
      <x:c r="AO447" s="38" t="n">
        <x:v>-0.0228578365</x:v>
      </x:c>
      <x:c r="AP447" s="38" t="n">
        <x:v>-0.0208143807</x:v>
      </x:c>
      <x:c r="AQ447" s="38" t="n">
        <x:v>-0.0199531992</x:v>
      </x:c>
      <x:c r="AR447" s="38" t="n">
        <x:v>-0.0381927891</x:v>
      </x:c>
      <x:c r="AS447" s="38" t="n">
        <x:v>0.0482803995</x:v>
      </x:c>
    </x:row>
    <x:row r="448" ht="19" customHeight="1">
      <x:c r="A448" s="29" t="str">
        <x:v>Other sectors</x:v>
      </x:c>
      <x:c r="B448" s="39" t="d">
        <x:v>2023-10-09T00:00:00.000Z</x:v>
      </x:c>
      <x:c r="C448" s="38" t="n">
        <x:v>0.0192748367</x:v>
      </x:c>
      <x:c r="D448" s="38" t="n">
        <x:v>0.1356938518</x:v>
      </x:c>
      <x:c r="E448" s="38" t="n">
        <x:v>0.0103596239</x:v>
      </x:c>
      <x:c r="F448" s="38" t="n">
        <x:v>0.0184046451</x:v>
      </x:c>
      <x:c r="G448" s="38" t="n">
        <x:v>0.0484361429</x:v>
      </x:c>
      <x:c r="H448" s="38" t="n">
        <x:v>-0.0203951674</x:v>
      </x:c>
      <x:c r="I448" s="38" t="n">
        <x:v>-0.0219827283</x:v>
      </x:c>
      <x:c r="J448" s="38" t="n">
        <x:v>-0.0817540316</x:v>
      </x:c>
      <x:c r="K448" s="38" t="n">
        <x:v>0.0941379031</x:v>
      </x:c>
      <x:c r="L448" s="38" t="n">
        <x:v>-0.1081971332</x:v>
      </x:c>
      <x:c r="M448" s="38" t="n">
        <x:v>0.0023004648</x:v>
      </x:c>
      <x:c r="N448" s="38" t="n">
        <x:v>-0.0267180801</x:v>
      </x:c>
      <x:c r="O448" s="38" t="n">
        <x:v>0.0212672333</x:v>
      </x:c>
      <x:c r="P448" s="38" t="n">
        <x:v>0.0780434437</x:v>
      </x:c>
      <x:c r="Q448" s="38" t="n">
        <x:v>-0.0786047121</x:v>
      </x:c>
      <x:c r="R448" s="38" t="n">
        <x:v>-0.0829488266</x:v>
      </x:c>
      <x:c r="S448" s="38" t="n">
        <x:v>0.0613736588</x:v>
      </x:c>
      <x:c r="T448" s="38" t="n">
        <x:v>-0.0216194916</x:v>
      </x:c>
      <x:c r="U448" s="38" t="n">
        <x:v>0.0074355982</x:v>
      </x:c>
      <x:c r="V448" s="38" t="n">
        <x:v>0.0926308115</x:v>
      </x:c>
      <x:c r="W448" s="38" t="n">
        <x:v>-0.069139843</x:v>
      </x:c>
      <x:c r="X448" s="38" t="n">
        <x:v>-0.007324105</x:v>
      </x:c>
      <x:c r="Y448" s="38" t="n">
        <x:v>-0.0269201481</x:v>
      </x:c>
      <x:c r="Z448" s="38" t="n">
        <x:v>0.0331792001</x:v>
      </x:c>
      <x:c r="AA448" s="38" t="n">
        <x:v>0.1429801927</x:v>
      </x:c>
      <x:c r="AB448" s="38" t="n">
        <x:v>-0.07198626</x:v>
      </x:c>
      <x:c r="AC448" s="38" t="n">
        <x:v>-0.1018114686</x:v>
      </x:c>
      <x:c r="AD448" s="38" t="n">
        <x:v>0.0148743725</x:v>
      </x:c>
      <x:c r="AE448" s="38" t="n">
        <x:v>0.0552020068</x:v>
      </x:c>
      <x:c r="AF448" s="38" t="n">
        <x:v>-0.0237230815</x:v>
      </x:c>
      <x:c r="AG448" s="38" t="n">
        <x:v>-0.0107164216</x:v>
      </x:c>
      <x:c r="AH448" s="38" t="n">
        <x:v>0.0691865548</x:v>
      </x:c>
      <x:c r="AI448" s="38" t="n">
        <x:v>-0.02078465</x:v>
      </x:c>
      <x:c r="AJ448" s="38" t="n">
        <x:v>-0.0149774391</x:v>
      </x:c>
      <x:c r="AK448" s="38" t="n">
        <x:v>0.0539356393</x:v>
      </x:c>
      <x:c r="AL448" s="38" t="n">
        <x:v>-0.1289378788</x:v>
      </x:c>
      <x:c r="AM448" s="38" t="n">
        <x:v>0.0034332898</x:v>
      </x:c>
      <x:c r="AN448" s="38" t="n">
        <x:v>-0.0480234536</x:v>
      </x:c>
      <x:c r="AO448" s="38" t="n">
        <x:v>0.0636862335</x:v>
      </x:c>
      <x:c r="AP448" s="38" t="n">
        <x:v>-0.0289235532</x:v>
      </x:c>
      <x:c r="AQ448" s="38" t="n">
        <x:v>-0.0289608724</x:v>
      </x:c>
      <x:c r="AR448" s="38" t="n">
        <x:v>-0.0196881443</x:v>
      </x:c>
      <x:c r="AS448" s="38" t="n">
        <x:v>-0.0185467159</x:v>
      </x:c>
    </x:row>
    <x:row r="449" ht="19" customHeight="1">
      <x:c r="A449" s="29" t="str">
        <x:v>Other sectors</x:v>
      </x:c>
      <x:c r="B449" s="39" t="d">
        <x:v>2023-11-06T00:00:00.000Z</x:v>
      </x:c>
      <x:c r="C449" s="38" t="n">
        <x:v>0.0141671974</x:v>
      </x:c>
      <x:c r="D449" s="38" t="n">
        <x:v>-0.142835557</x:v>
      </x:c>
      <x:c r="E449" s="38" t="n">
        <x:v>0.0260790505</x:v>
      </x:c>
      <x:c r="F449" s="38" t="n">
        <x:v>0.0086852844</x:v>
      </x:c>
      <x:c r="G449" s="38" t="n">
        <x:v>0.0152675086</x:v>
      </x:c>
      <x:c r="H449" s="38" t="n">
        <x:v>0.1339165816</x:v>
      </x:c>
      <x:c r="I449" s="38" t="n">
        <x:v>0.085528158</x:v>
      </x:c>
      <x:c r="J449" s="38" t="n">
        <x:v>0.0465693859</x:v>
      </x:c>
      <x:c r="K449" s="38" t="n">
        <x:v>-0.0925548443</x:v>
      </x:c>
      <x:c r="L449" s="38" t="n">
        <x:v>0.0485986091</x:v>
      </x:c>
      <x:c r="M449" s="38" t="n">
        <x:v>0.0451859405</x:v>
      </x:c>
      <x:c r="N449" s="38" t="n">
        <x:v>-0.0739524613</x:v>
      </x:c>
      <x:c r="O449" s="38" t="n">
        <x:v>0.0461274637</x:v>
      </x:c>
      <x:c r="P449" s="38" t="n">
        <x:v>-0.133587672</x:v>
      </x:c>
      <x:c r="Q449" s="38" t="n">
        <x:v>-0.0482650939</x:v>
      </x:c>
      <x:c r="R449" s="38" t="n">
        <x:v>0.0470581054</x:v>
      </x:c>
      <x:c r="S449" s="38" t="n">
        <x:v>-0.004679227</x:v>
      </x:c>
      <x:c r="T449" s="38" t="n">
        <x:v>0.1133599486</x:v>
      </x:c>
      <x:c r="U449" s="38" t="n">
        <x:v>-0.3623363541</x:v>
      </x:c>
      <x:c r="V449" s="38" t="n">
        <x:v>-0.0202431817</x:v>
      </x:c>
      <x:c r="W449" s="38" t="n">
        <x:v>0.145739237</x:v>
      </x:c>
      <x:c r="X449" s="38" t="n">
        <x:v>-0.0311083651</x:v>
      </x:c>
      <x:c r="Y449" s="38" t="n">
        <x:v>-0.0641807734</x:v>
      </x:c>
      <x:c r="Z449" s="38" t="n">
        <x:v>-0.1704553378</x:v>
      </x:c>
      <x:c r="AA449" s="38" t="n">
        <x:v>0.0051706312</x:v>
      </x:c>
      <x:c r="AB449" s="38" t="n">
        <x:v>-0.0290975674</x:v>
      </x:c>
      <x:c r="AC449" s="38" t="n">
        <x:v>-0.1589677834</x:v>
      </x:c>
      <x:c r="AD449" s="38" t="n">
        <x:v>0.005868387</x:v>
      </x:c>
      <x:c r="AE449" s="38" t="n">
        <x:v>-0.2109491444</x:v>
      </x:c>
      <x:c r="AF449" s="38" t="n">
        <x:v>-0.0910374088</x:v>
      </x:c>
      <x:c r="AG449" s="38" t="n">
        <x:v>0.0143728204</x:v>
      </x:c>
      <x:c r="AH449" s="38" t="n">
        <x:v>0.0426890614</x:v>
      </x:c>
      <x:c r="AI449" s="38" t="n">
        <x:v>-0.000872716</x:v>
      </x:c>
      <x:c r="AJ449" s="38" t="n">
        <x:v>0.0121569802</x:v>
      </x:c>
      <x:c r="AK449" s="38" t="n">
        <x:v>-0.0001057691</x:v>
      </x:c>
      <x:c r="AL449" s="38" t="n">
        <x:v>-0.0437607307</x:v>
      </x:c>
      <x:c r="AM449" s="38" t="n">
        <x:v>0.0809147167</x:v>
      </x:c>
      <x:c r="AN449" s="38" t="n">
        <x:v>-0.0228198096</x:v>
      </x:c>
      <x:c r="AO449" s="38" t="n">
        <x:v>-0.0108809548</x:v>
      </x:c>
      <x:c r="AP449" s="38" t="n">
        <x:v>-0.0159592487</x:v>
      </x:c>
      <x:c r="AQ449" s="38" t="n">
        <x:v>0.0362294375</x:v>
      </x:c>
      <x:c r="AR449" s="38" t="n">
        <x:v>-0.0465543193</x:v>
      </x:c>
      <x:c r="AS449" s="38" t="n">
        <x:v>-0.0199969727</x:v>
      </x:c>
    </x:row>
    <x:row r="450" ht="19" customHeight="1">
      <x:c r="A450" s="29" t="str">
        <x:v>Other sectors</x:v>
      </x:c>
      <x:c r="B450" s="39" t="d">
        <x:v>2023-12-04T00:00:00.000Z</x:v>
      </x:c>
      <x:c r="C450" s="38" t="n">
        <x:v>0.0385553477</x:v>
      </x:c>
      <x:c r="D450" s="38" t="n">
        <x:v>0.1378949624</x:v>
      </x:c>
      <x:c r="E450" s="38" t="n">
        <x:v>-0.0513312123</x:v>
      </x:c>
      <x:c r="F450" s="38" t="n">
        <x:v>0.0125006169</x:v>
      </x:c>
      <x:c r="G450" s="38" t="n">
        <x:v>-0.0139559496</x:v>
      </x:c>
      <x:c r="H450" s="38" t="n">
        <x:v>-0.0242909212</x:v>
      </x:c>
      <x:c r="I450" s="38" t="n">
        <x:v>-0.0645074097</x:v>
      </x:c>
      <x:c r="J450" s="38" t="n">
        <x:v>-0.0479312126</x:v>
      </x:c>
      <x:c r="K450" s="38" t="n">
        <x:v>-0.0686586556</x:v>
      </x:c>
      <x:c r="L450" s="38" t="n">
        <x:v>0.0130817402</x:v>
      </x:c>
      <x:c r="M450" s="38" t="n">
        <x:v>-0.0607027755</x:v>
      </x:c>
      <x:c r="N450" s="38" t="n">
        <x:v>-0.0757909368</x:v>
      </x:c>
      <x:c r="O450" s="38" t="n">
        <x:v>-0.061614567</x:v>
      </x:c>
      <x:c r="P450" s="38" t="n">
        <x:v>-0.0985223326</x:v>
      </x:c>
      <x:c r="Q450" s="38" t="n">
        <x:v>0.1448919434</x:v>
      </x:c>
      <x:c r="R450" s="38" t="n">
        <x:v>0.217480787</x:v>
      </x:c>
      <x:c r="S450" s="38" t="n">
        <x:v>-0.0350268284</x:v>
      </x:c>
      <x:c r="T450" s="38" t="n">
        <x:v>0.0705206884</x:v>
      </x:c>
      <x:c r="U450" s="38" t="n">
        <x:v>0.088490785</x:v>
      </x:c>
      <x:c r="V450" s="38" t="n">
        <x:v>-0.0212702861</x:v>
      </x:c>
      <x:c r="W450" s="38" t="n">
        <x:v>-0.0167761232</x:v>
      </x:c>
      <x:c r="X450" s="38" t="n">
        <x:v>-0.0166606803</x:v>
      </x:c>
      <x:c r="Y450" s="38" t="n">
        <x:v>-0.1016571732</x:v>
      </x:c>
      <x:c r="Z450" s="38" t="n">
        <x:v>-0.0041773672</x:v>
      </x:c>
      <x:c r="AA450" s="38" t="n">
        <x:v>-0.0380796087</x:v>
      </x:c>
      <x:c r="AB450" s="38" t="n">
        <x:v>-0.0403232665</x:v>
      </x:c>
      <x:c r="AC450" s="38" t="n">
        <x:v>0.3587194594</x:v>
      </x:c>
      <x:c r="AD450" s="38" t="n">
        <x:v>-0.074304666</x:v>
      </x:c>
      <x:c r="AE450" s="38" t="n">
        <x:v>-0.0042138246</x:v>
      </x:c>
      <x:c r="AF450" s="38" t="n">
        <x:v>-0.01059839</x:v>
      </x:c>
      <x:c r="AG450" s="38" t="n">
        <x:v>0.1422375624</x:v>
      </x:c>
      <x:c r="AH450" s="38" t="n">
        <x:v>0.0436706206</x:v>
      </x:c>
      <x:c r="AI450" s="38" t="n">
        <x:v>-0.0075311163</x:v>
      </x:c>
      <x:c r="AJ450" s="38" t="n">
        <x:v>-0.0339017246</x:v>
      </x:c>
      <x:c r="AK450" s="38" t="n">
        <x:v>-0.1000011213</x:v>
      </x:c>
      <x:c r="AL450" s="38" t="n">
        <x:v>-0.0971520364</x:v>
      </x:c>
      <x:c r="AM450" s="38" t="n">
        <x:v>-0.0361238413</x:v>
      </x:c>
      <x:c r="AN450" s="38" t="n">
        <x:v>-0.0626859971</x:v>
      </x:c>
      <x:c r="AO450" s="38" t="n">
        <x:v>-0.0110723318</x:v>
      </x:c>
      <x:c r="AP450" s="38" t="n">
        <x:v>0.0339605647</x:v>
      </x:c>
      <x:c r="AQ450" s="38" t="n">
        <x:v>0.007095994</x:v>
      </x:c>
      <x:c r="AR450" s="38" t="n">
        <x:v>0.0077441269</x:v>
      </x:c>
      <x:c r="AS450" s="38" t="n">
        <x:v>-0.0265876525</x:v>
      </x:c>
    </x:row>
    <x:row r="451" ht="19" customHeight="1">
      <x:c r="A451" s="29" t="str">
        <x:v>Other sectors</x:v>
      </x:c>
      <x:c r="B451" s="39" t="d">
        <x:v>2024-01-01T00:00:00.000Z</x:v>
      </x:c>
      <x:c r="C451" s="38" t="n">
        <x:v>0.0585820761</x:v>
      </x:c>
      <x:c r="D451" s="38" t="n">
        <x:v>-0.0401986844</x:v>
      </x:c>
      <x:c r="E451" s="38" t="n">
        <x:v>0.0110175393</x:v>
      </x:c>
      <x:c r="F451" s="38" t="n">
        <x:v>-0.0141311725</x:v>
      </x:c>
      <x:c r="G451" s="38" t="n">
        <x:v>-0.0246821226</x:v>
      </x:c>
      <x:c r="H451" s="38" t="n">
        <x:v>-0.0193496583</x:v>
      </x:c>
      <x:c r="I451" s="38" t="n">
        <x:v>-0.0028936539</x:v>
      </x:c>
      <x:c r="J451" s="38" t="n">
        <x:v>-0.0366840356</x:v>
      </x:c>
      <x:c r="K451" s="38" t="n">
        <x:v>0.006993751</x:v>
      </x:c>
      <x:c r="L451" s="38" t="n">
        <x:v>-0.0060426228</x:v>
      </x:c>
      <x:c r="M451" s="38" t="n">
        <x:v>0.0061650935</x:v>
      </x:c>
      <x:c r="N451" s="38" t="n">
        <x:v>-0.0452531442</x:v>
      </x:c>
      <x:c r="O451" s="38" t="n">
        <x:v>0.090854075</x:v>
      </x:c>
      <x:c r="P451" s="38" t="n">
        <x:v>0.0425935545</x:v>
      </x:c>
      <x:c r="Q451" s="38" t="n">
        <x:v>0.1501424535</x:v>
      </x:c>
      <x:c r="R451" s="38" t="n">
        <x:v>0.178262336</x:v>
      </x:c>
      <x:c r="S451" s="38" t="n">
        <x:v>-0.0536840173</x:v>
      </x:c>
      <x:c r="T451" s="38" t="n">
        <x:v>0.0030191712</x:v>
      </x:c>
      <x:c r="U451" s="38" t="n">
        <x:v>0.2413505026</x:v>
      </x:c>
      <x:c r="V451" s="38" t="n">
        <x:v>0.011130238</x:v>
      </x:c>
      <x:c r="W451" s="38" t="n">
        <x:v>0.0265029269</x:v>
      </x:c>
      <x:c r="X451" s="38" t="n">
        <x:v>-0.0023499322</x:v>
      </x:c>
      <x:c r="Y451" s="38" t="n">
        <x:v>0.0815892761</x:v>
      </x:c>
      <x:c r="Z451" s="38" t="n">
        <x:v>-0.0511075344</x:v>
      </x:c>
      <x:c r="AA451" s="38" t="n">
        <x:v>-0.0363123613</x:v>
      </x:c>
      <x:c r="AB451" s="38" t="n">
        <x:v>-0.1369749442</x:v>
      </x:c>
      <x:c r="AC451" s="38" t="n">
        <x:v>-0.1321922113</x:v>
      </x:c>
      <x:c r="AD451" s="38" t="n">
        <x:v>-0.0044449148</x:v>
      </x:c>
      <x:c r="AE451" s="38" t="n">
        <x:v>0.0195209138</x:v>
      </x:c>
      <x:c r="AF451" s="38" t="n">
        <x:v>0.0668493435</x:v>
      </x:c>
      <x:c r="AG451" s="38" t="n">
        <x:v>-0.0398542507</x:v>
      </x:c>
      <x:c r="AH451" s="38" t="n">
        <x:v>-0.0087127256</x:v>
      </x:c>
      <x:c r="AI451" s="38" t="n">
        <x:v>0.1176812556</x:v>
      </x:c>
      <x:c r="AJ451" s="38" t="n">
        <x:v>-0.0617197549</x:v>
      </x:c>
      <x:c r="AK451" s="38" t="n">
        <x:v>-0.097936435</x:v>
      </x:c>
      <x:c r="AL451" s="38" t="n">
        <x:v>0.1031340233</x:v>
      </x:c>
      <x:c r="AM451" s="38" t="n">
        <x:v>-0.0261310766</x:v>
      </x:c>
      <x:c r="AN451" s="38" t="n">
        <x:v>-0.0018459437</x:v>
      </x:c>
      <x:c r="AO451" s="38" t="n">
        <x:v>0.075695248</x:v>
      </x:c>
      <x:c r="AP451" s="38" t="n">
        <x:v>0.0348116933</x:v>
      </x:c>
      <x:c r="AQ451" s="38" t="n">
        <x:v>-0.0214718816</x:v>
      </x:c>
      <x:c r="AR451" s="38" t="n">
        <x:v>-0.0286135614</x:v>
      </x:c>
      <x:c r="AS451" s="38" t="n">
        <x:v>-0.0132719244</x:v>
      </x:c>
    </x:row>
    <x:row r="452" ht="19" customHeight="1">
      <x:c r="A452" s="29" t="str">
        <x:v>Other sectors</x:v>
      </x:c>
      <x:c r="B452" s="39" t="d">
        <x:v>2024-01-29T00:00:00.000Z</x:v>
      </x:c>
      <x:c r="C452" s="38" t="n">
        <x:v>0.0876420523</x:v>
      </x:c>
      <x:c r="D452" s="38" t="n">
        <x:v>0.0673743242</x:v>
      </x:c>
      <x:c r="E452" s="38" t="n">
        <x:v>0.0227438115</x:v>
      </x:c>
      <x:c r="F452" s="38" t="n">
        <x:v>0.0067862945</x:v>
      </x:c>
      <x:c r="G452" s="38" t="n">
        <x:v>0.0459442185</x:v>
      </x:c>
      <x:c r="H452" s="38" t="n">
        <x:v>0.1213404604</x:v>
      </x:c>
      <x:c r="I452" s="38" t="n">
        <x:v>0.1059370425</x:v>
      </x:c>
      <x:c r="J452" s="38" t="n">
        <x:v>0.0973429017</x:v>
      </x:c>
      <x:c r="K452" s="38" t="n">
        <x:v>-0.0039611148</x:v>
      </x:c>
      <x:c r="L452" s="38" t="n">
        <x:v>0.0791455051</x:v>
      </x:c>
      <x:c r="M452" s="38" t="n">
        <x:v>0.0193131203</x:v>
      </x:c>
      <x:c r="N452" s="38" t="n">
        <x:v>-0.0301036882</x:v>
      </x:c>
      <x:c r="O452" s="38" t="n">
        <x:v>-0.0317606827</x:v>
      </x:c>
      <x:c r="P452" s="38" t="n">
        <x:v>0.0745983596</x:v>
      </x:c>
      <x:c r="Q452" s="38" t="n">
        <x:v>0.0667976039</x:v>
      </x:c>
      <x:c r="R452" s="38" t="n">
        <x:v>-0.0987407671</x:v>
      </x:c>
      <x:c r="S452" s="38" t="n">
        <x:v>0.0507765285</x:v>
      </x:c>
      <x:c r="T452" s="38" t="n">
        <x:v>0.063251466</x:v>
      </x:c>
      <x:c r="U452" s="38" t="n">
        <x:v>-0.0832998649</x:v>
      </x:c>
      <x:c r="V452" s="38" t="n">
        <x:v>0.0670530005</x:v>
      </x:c>
      <x:c r="W452" s="38" t="n">
        <x:v>0.1507157864</x:v>
      </x:c>
      <x:c r="X452" s="38" t="n">
        <x:v>0.0346520783</x:v>
      </x:c>
      <x:c r="Y452" s="38" t="n">
        <x:v>-0.1030900931</x:v>
      </x:c>
      <x:c r="Z452" s="38" t="n">
        <x:v>-0.0749315877</x:v>
      </x:c>
      <x:c r="AA452" s="38" t="n">
        <x:v>0.1155541328</x:v>
      </x:c>
      <x:c r="AB452" s="38" t="n">
        <x:v>0.0330360165</x:v>
      </x:c>
      <x:c r="AC452" s="38" t="n">
        <x:v>-0.0079434919</x:v>
      </x:c>
      <x:c r="AD452" s="38" t="n">
        <x:v>0.0727068385</x:v>
      </x:c>
      <x:c r="AE452" s="38" t="n">
        <x:v>0.0439789529</x:v>
      </x:c>
      <x:c r="AF452" s="38" t="n">
        <x:v>-0.1846614778</x:v>
      </x:c>
      <x:c r="AG452" s="38" t="n">
        <x:v>-0.1516896748</x:v>
      </x:c>
      <x:c r="AH452" s="38" t="n">
        <x:v>0.0769697644</x:v>
      </x:c>
      <x:c r="AI452" s="38" t="n">
        <x:v>0.1272340362</x:v>
      </x:c>
      <x:c r="AJ452" s="38" t="n">
        <x:v>-0.0170483629</x:v>
      </x:c>
      <x:c r="AK452" s="38" t="n">
        <x:v>-0.0033670435</x:v>
      </x:c>
      <x:c r="AL452" s="38" t="n">
        <x:v>-0.0276084366</x:v>
      </x:c>
      <x:c r="AM452" s="38" t="n">
        <x:v>0.0657075124</x:v>
      </x:c>
      <x:c r="AN452" s="38" t="n">
        <x:v>-0.0473783979</x:v>
      </x:c>
      <x:c r="AO452" s="38" t="n">
        <x:v>0.0766879132</x:v>
      </x:c>
      <x:c r="AP452" s="38" t="n">
        <x:v>0.0669867393</x:v>
      </x:c>
      <x:c r="AQ452" s="38" t="n">
        <x:v>0.0331626521</x:v>
      </x:c>
      <x:c r="AR452" s="38" t="n">
        <x:v>-0.0207080088</x:v>
      </x:c>
      <x:c r="AS452" s="38" t="n">
        <x:v>0.0606180066</x:v>
      </x:c>
    </x:row>
    <x:row r="453" ht="19" customHeight="1">
      <x:c r="A453" s="29" t="str">
        <x:v>Other sectors</x:v>
      </x:c>
      <x:c r="B453" s="39" t="d">
        <x:v>2024-02-26T00:00:00.000Z</x:v>
      </x:c>
      <x:c r="C453" s="38" t="n">
        <x:v>0.1695338599</x:v>
      </x:c>
      <x:c r="D453" s="38" t="n">
        <x:v>0.1086523336</x:v>
      </x:c>
      <x:c r="E453" s="38" t="n">
        <x:v>0.1023440247</x:v>
      </x:c>
      <x:c r="F453" s="38" t="n">
        <x:v>0.0002523417</x:v>
      </x:c>
      <x:c r="G453" s="38" t="n">
        <x:v>0.1353679228</x:v>
      </x:c>
      <x:c r="H453" s="38" t="n">
        <x:v>0.0871360152</x:v>
      </x:c>
      <x:c r="I453" s="38" t="n">
        <x:v>-0.0002394281</x:v>
      </x:c>
      <x:c r="J453" s="38" t="n">
        <x:v>0.2375215825</x:v>
      </x:c>
      <x:c r="K453" s="38" t="n">
        <x:v>0.0925678671</x:v>
      </x:c>
      <x:c r="L453" s="38" t="n">
        <x:v>-0.0247403768</x:v>
      </x:c>
      <x:c r="M453" s="38" t="n">
        <x:v>0.0477872106</x:v>
      </x:c>
      <x:c r="N453" s="38" t="n">
        <x:v>0.0393122734</x:v>
      </x:c>
      <x:c r="O453" s="38" t="n">
        <x:v>-0.0735970297</x:v>
      </x:c>
      <x:c r="P453" s="38" t="n">
        <x:v>0.0676344009</x:v>
      </x:c>
      <x:c r="Q453" s="38" t="n">
        <x:v>0.0655478781</x:v>
      </x:c>
      <x:c r="R453" s="38" t="n">
        <x:v>0.0156267533</x:v>
      </x:c>
      <x:c r="S453" s="38" t="n">
        <x:v>0.0497482336</x:v>
      </x:c>
      <x:c r="T453" s="38" t="n">
        <x:v>0.0872118377</x:v>
      </x:c>
      <x:c r="U453" s="38" t="n">
        <x:v>-0.0431305708</x:v>
      </x:c>
      <x:c r="V453" s="38" t="n">
        <x:v>0.1245229744</x:v>
      </x:c>
      <x:c r="W453" s="38" t="n">
        <x:v>0.1150760575</x:v>
      </x:c>
      <x:c r="X453" s="38" t="n">
        <x:v>-0.0316789154</x:v>
      </x:c>
      <x:c r="Y453" s="38" t="n">
        <x:v>0.0915946066</x:v>
      </x:c>
      <x:c r="Z453" s="38" t="n">
        <x:v>-0.0626695107</x:v>
      </x:c>
      <x:c r="AA453" s="38" t="n">
        <x:v>0.0324780339</x:v>
      </x:c>
      <x:c r="AB453" s="38" t="n">
        <x:v>-0.0484487976</x:v>
      </x:c>
      <x:c r="AC453" s="38" t="n">
        <x:v>-0.3366386364</x:v>
      </x:c>
      <x:c r="AD453" s="38" t="n">
        <x:v>0.0030175197</x:v>
      </x:c>
      <x:c r="AE453" s="38" t="n">
        <x:v>0.0346711488</x:v>
      </x:c>
      <x:c r="AF453" s="38" t="n">
        <x:v>-0.0776934274</x:v>
      </x:c>
      <x:c r="AG453" s="38" t="n">
        <x:v>-0.0697193086</x:v>
      </x:c>
      <x:c r="AH453" s="38" t="n">
        <x:v>0.0967237842</x:v>
      </x:c>
      <x:c r="AI453" s="38" t="n">
        <x:v>0.0609200153</x:v>
      </x:c>
      <x:c r="AJ453" s="38" t="n">
        <x:v>0.1126041687</x:v>
      </x:c>
      <x:c r="AK453" s="38" t="n">
        <x:v>0.0579808287</x:v>
      </x:c>
      <x:c r="AL453" s="38" t="n">
        <x:v>-0.035310032</x:v>
      </x:c>
      <x:c r="AM453" s="38" t="n">
        <x:v>-0.0210836543</x:v>
      </x:c>
      <x:c r="AN453" s="38" t="n">
        <x:v>-0.0760206099</x:v>
      </x:c>
      <x:c r="AO453" s="38" t="n">
        <x:v>0.0536540221</x:v>
      </x:c>
      <x:c r="AP453" s="38" t="n">
        <x:v>0.0468994705</x:v>
      </x:c>
      <x:c r="AQ453" s="38" t="n">
        <x:v>-0.027845247</x:v>
      </x:c>
      <x:c r="AR453" s="38" t="n">
        <x:v>0.0273550149</x:v>
      </x:c>
      <x:c r="AS453" s="38" t="n">
        <x:v>0.0272347192</x:v>
      </x:c>
    </x:row>
    <x:row r="454" ht="19" customHeight="1">
      <x:c r="A454" s="29" t="str">
        <x:v>Other sectors</x:v>
      </x:c>
      <x:c r="B454" s="39" t="d">
        <x:v>2024-03-25T00:00:00.000Z</x:v>
      </x:c>
      <x:c r="C454" s="38" t="n">
        <x:v>0.1580536373</x:v>
      </x:c>
      <x:c r="D454" s="38" t="n">
        <x:v>-0.0032672844</x:v>
      </x:c>
      <x:c r="E454" s="38" t="n">
        <x:v>-0.0403258418</x:v>
      </x:c>
      <x:c r="F454" s="38" t="n">
        <x:v>-0.0237336409</x:v>
      </x:c>
      <x:c r="G454" s="38" t="n">
        <x:v>0.1077703149</x:v>
      </x:c>
      <x:c r="H454" s="38" t="n">
        <x:v>0.1117732879</x:v>
      </x:c>
      <x:c r="I454" s="38" t="n">
        <x:v>0.0575860705</x:v>
      </x:c>
      <x:c r="J454" s="38" t="n">
        <x:v>-0.0827871101</x:v>
      </x:c>
      <x:c r="K454" s="38" t="n">
        <x:v>-0.042965872</x:v>
      </x:c>
      <x:c r="L454" s="38" t="n">
        <x:v>0.0647554897</x:v>
      </x:c>
      <x:c r="M454" s="38" t="n">
        <x:v>-0.0350124459</x:v>
      </x:c>
      <x:c r="N454" s="38" t="n">
        <x:v>0.0007993165</x:v>
      </x:c>
      <x:c r="O454" s="38" t="n">
        <x:v>0.0054562097</x:v>
      </x:c>
      <x:c r="P454" s="38" t="n">
        <x:v>0.0111167778</x:v>
      </x:c>
      <x:c r="Q454" s="38" t="n">
        <x:v>-0.0193503748</x:v>
      </x:c>
      <x:c r="R454" s="38" t="n">
        <x:v>0.0000682356</x:v>
      </x:c>
      <x:c r="S454" s="38" t="n">
        <x:v>-0.0280471616</x:v>
      </x:c>
      <x:c r="T454" s="38" t="n">
        <x:v>-0.0520568474</x:v>
      </x:c>
      <x:c r="U454" s="38" t="n">
        <x:v>0.0583312758</x:v>
      </x:c>
      <x:c r="V454" s="38" t="n">
        <x:v>0.0004325824</x:v>
      </x:c>
      <x:c r="W454" s="38" t="n">
        <x:v>-0.0275551832</x:v>
      </x:c>
      <x:c r="X454" s="38" t="n">
        <x:v>-0.0021196689</x:v>
      </x:c>
      <x:c r="Y454" s="38" t="n">
        <x:v>0.1628723611</x:v>
      </x:c>
      <x:c r="Z454" s="38" t="n">
        <x:v>0.0858002269</x:v>
      </x:c>
      <x:c r="AA454" s="38" t="n">
        <x:v>0.070568473</x:v>
      </x:c>
      <x:c r="AB454" s="38" t="n">
        <x:v>-0.064650145</x:v>
      </x:c>
      <x:c r="AC454" s="38" t="n">
        <x:v>0.0195063049</x:v>
      </x:c>
      <x:c r="AD454" s="38" t="n">
        <x:v>0.0016222275</x:v>
      </x:c>
      <x:c r="AE454" s="38" t="n">
        <x:v>0.0339491039</x:v>
      </x:c>
      <x:c r="AF454" s="38" t="n">
        <x:v>0.0997957767</x:v>
      </x:c>
      <x:c r="AG454" s="38" t="n">
        <x:v>-0.0700842325</x:v>
      </x:c>
      <x:c r="AH454" s="38" t="n">
        <x:v>-0.0498757801</x:v>
      </x:c>
      <x:c r="AI454" s="38" t="n">
        <x:v>-0.0397601884</x:v>
      </x:c>
      <x:c r="AJ454" s="38" t="n">
        <x:v>-0.0203509525</x:v>
      </x:c>
      <x:c r="AK454" s="38" t="n">
        <x:v>-0.0323590615</x:v>
      </x:c>
      <x:c r="AL454" s="38" t="n">
        <x:v>0.0059461284</x:v>
      </x:c>
      <x:c r="AM454" s="38" t="n">
        <x:v>0.0366720617</x:v>
      </x:c>
      <x:c r="AN454" s="38" t="n">
        <x:v>0.0968019906</x:v>
      </x:c>
      <x:c r="AO454" s="38" t="n">
        <x:v>-0.0262028718</x:v>
      </x:c>
      <x:c r="AP454" s="38" t="n">
        <x:v>0.012137459</x:v>
      </x:c>
      <x:c r="AQ454" s="38" t="n">
        <x:v>0.0192325081</x:v>
      </x:c>
      <x:c r="AR454" s="38" t="n">
        <x:v>-0.0401377995</x:v>
      </x:c>
      <x:c r="AS454" s="38" t="n">
        <x:v>0.0014805893</x:v>
      </x:c>
    </x:row>
    <x:row r="455" ht="19" customHeight="1">
      <x:c r="A455" s="29" t="str">
        <x:v>Other sectors</x:v>
      </x:c>
      <x:c r="B455" s="39" t="d">
        <x:v>2024-04-22T00:00:00.000Z</x:v>
      </x:c>
      <x:c r="C455" s="38" t="n">
        <x:v>-0.0242718595</x:v>
      </x:c>
      <x:c r="D455" s="38" t="n">
        <x:v>-0.0238215369</x:v>
      </x:c>
      <x:c r="E455" s="38" t="n">
        <x:v>0.0004695301</x:v>
      </x:c>
      <x:c r="F455" s="38" t="n">
        <x:v>-0.0087099508</x:v>
      </x:c>
      <x:c r="G455" s="38" t="n">
        <x:v>-0.0099475549</x:v>
      </x:c>
      <x:c r="H455" s="38" t="n">
        <x:v>0.1251352116</x:v>
      </x:c>
      <x:c r="I455" s="38" t="n">
        <x:v>0.034069975</x:v>
      </x:c>
      <x:c r="J455" s="38" t="n">
        <x:v>-0.0260515899</x:v>
      </x:c>
      <x:c r="K455" s="38" t="n">
        <x:v>0.0013026132</x:v>
      </x:c>
      <x:c r="L455" s="38" t="n">
        <x:v>-0.0511374684</x:v>
      </x:c>
      <x:c r="M455" s="38" t="n">
        <x:v>-0.0888772489</x:v>
      </x:c>
      <x:c r="N455" s="38" t="n">
        <x:v>-0.0487820954</x:v>
      </x:c>
      <x:c r="O455" s="38" t="n">
        <x:v>0.0328731434</x:v>
      </x:c>
      <x:c r="P455" s="38" t="n">
        <x:v>0.1074202126</x:v>
      </x:c>
      <x:c r="Q455" s="38" t="n">
        <x:v>-0.0905978593</x:v>
      </x:c>
      <x:c r="R455" s="38" t="n">
        <x:v>-0.0924073874</x:v>
      </x:c>
      <x:c r="S455" s="38" t="n">
        <x:v>-0.0158398956</x:v>
      </x:c>
      <x:c r="T455" s="38" t="n">
        <x:v>-0.0888263215</x:v>
      </x:c>
      <x:c r="U455" s="38" t="n">
        <x:v>0.1569649736</x:v>
      </x:c>
      <x:c r="V455" s="38" t="n">
        <x:v>0.0778601158</x:v>
      </x:c>
      <x:c r="W455" s="38" t="n">
        <x:v>-0.0643341302</x:v>
      </x:c>
      <x:c r="X455" s="38" t="n">
        <x:v>-0.0810543346</x:v>
      </x:c>
      <x:c r="Y455" s="38" t="n">
        <x:v>0.0236851712</x:v>
      </x:c>
      <x:c r="Z455" s="38" t="n">
        <x:v>0.1715933039</x:v>
      </x:c>
      <x:c r="AA455" s="38" t="n">
        <x:v>0.0179746918</x:v>
      </x:c>
      <x:c r="AB455" s="38" t="n">
        <x:v>0.603131618</x:v>
      </x:c>
      <x:c r="AC455" s="38" t="n">
        <x:v>-0.0585303105</x:v>
      </x:c>
      <x:c r="AD455" s="38" t="n">
        <x:v>0.0317639344</x:v>
      </x:c>
      <x:c r="AE455" s="38" t="n">
        <x:v>0.0194454802</x:v>
      </x:c>
      <x:c r="AF455" s="38" t="n">
        <x:v>-0.0219829882</x:v>
      </x:c>
      <x:c r="AG455" s="38" t="n">
        <x:v>-0.0536097888</x:v>
      </x:c>
      <x:c r="AH455" s="38" t="n">
        <x:v>-0.1258617698</x:v>
      </x:c>
      <x:c r="AI455" s="38" t="n">
        <x:v>-0.0908368571</x:v>
      </x:c>
      <x:c r="AJ455" s="38" t="n">
        <x:v>0.0008193582</x:v>
      </x:c>
      <x:c r="AK455" s="38" t="n">
        <x:v>0.0410865066</x:v>
      </x:c>
      <x:c r="AL455" s="38" t="n">
        <x:v>0.0775105411</x:v>
      </x:c>
      <x:c r="AM455" s="38" t="n">
        <x:v>-0.003823679</x:v>
      </x:c>
      <x:c r="AN455" s="38" t="n">
        <x:v>0.1053933011</x:v>
      </x:c>
      <x:c r="AO455" s="38" t="n">
        <x:v>0.0285080473</x:v>
      </x:c>
      <x:c r="AP455" s="38" t="n">
        <x:v>-0.088288111</x:v>
      </x:c>
      <x:c r="AQ455" s="38" t="n">
        <x:v>0.0275275247</x:v>
      </x:c>
      <x:c r="AR455" s="38" t="n">
        <x:v>-0.0424401649</x:v>
      </x:c>
      <x:c r="AS455" s="38" t="n">
        <x:v>-0.0357181612</x:v>
      </x:c>
    </x:row>
    <x:row r="456" ht="19" customHeight="1">
      <x:c r="A456" s="29" t="str">
        <x:v>Other sectors</x:v>
      </x:c>
      <x:c r="B456" s="39" t="d">
        <x:v>2024-05-20T00:00:00.000Z</x:v>
      </x:c>
      <x:c r="C456" s="38" t="n">
        <x:v>0.2885844615</x:v>
      </x:c>
      <x:c r="D456" s="38" t="n">
        <x:v>0.0639669508</x:v>
      </x:c>
      <x:c r="E456" s="38" t="n">
        <x:v>-0.0381814846</x:v>
      </x:c>
      <x:c r="F456" s="38" t="n">
        <x:v>-0.048119449</x:v>
      </x:c>
      <x:c r="G456" s="38" t="n">
        <x:v>-0.1177101488</x:v>
      </x:c>
      <x:c r="H456" s="38" t="n">
        <x:v>-0.0460299776</x:v>
      </x:c>
      <x:c r="I456" s="38" t="n">
        <x:v>0.0068748106</x:v>
      </x:c>
      <x:c r="J456" s="38" t="n">
        <x:v>0.0177490391</x:v>
      </x:c>
      <x:c r="K456" s="38" t="n">
        <x:v>-0.1023052599</x:v>
      </x:c>
      <x:c r="L456" s="38" t="n">
        <x:v>0.0256920505</x:v>
      </x:c>
      <x:c r="M456" s="38" t="n">
        <x:v>0.0730810693</x:v>
      </x:c>
      <x:c r="N456" s="38" t="n">
        <x:v>0.1192790264</x:v>
      </x:c>
      <x:c r="O456" s="38" t="n">
        <x:v>0.0087449386</x:v>
      </x:c>
      <x:c r="P456" s="38" t="n">
        <x:v>-0.0878565244</x:v>
      </x:c>
      <x:c r="Q456" s="38" t="n">
        <x:v>-0.0804541352</x:v>
      </x:c>
      <x:c r="R456" s="38" t="n">
        <x:v>0.0202867221</x:v>
      </x:c>
      <x:c r="S456" s="38" t="n">
        <x:v>0.0116516443</x:v>
      </x:c>
      <x:c r="T456" s="38" t="n">
        <x:v>-0.1122112686</x:v>
      </x:c>
      <x:c r="U456" s="38" t="n">
        <x:v>0.4026005045</x:v>
      </x:c>
      <x:c r="V456" s="38" t="n">
        <x:v>-0.0689206007</x:v>
      </x:c>
      <x:c r="W456" s="38" t="n">
        <x:v>0.03898443</x:v>
      </x:c>
      <x:c r="X456" s="38" t="n">
        <x:v>-0.0038948956</x:v>
      </x:c>
      <x:c r="Y456" s="38" t="n">
        <x:v>-0.1190483136</x:v>
      </x:c>
      <x:c r="Z456" s="38" t="n">
        <x:v>-0.0838729574</x:v>
      </x:c>
      <x:c r="AA456" s="38" t="n">
        <x:v>-0.0397222369</x:v>
      </x:c>
      <x:c r="AB456" s="38" t="n">
        <x:v>-0.1501938573</x:v>
      </x:c>
      <x:c r="AC456" s="38" t="n">
        <x:v>0.0397786812</x:v>
      </x:c>
      <x:c r="AD456" s="38" t="n">
        <x:v>-0.002810495</x:v>
      </x:c>
      <x:c r="AE456" s="38" t="n">
        <x:v>-0.1029040065</x:v>
      </x:c>
      <x:c r="AF456" s="38" t="n">
        <x:v>0.017761804</x:v>
      </x:c>
      <x:c r="AG456" s="38" t="n">
        <x:v>-0.0246846161</x:v>
      </x:c>
      <x:c r="AH456" s="38" t="n">
        <x:v>-0.0954829973</x:v>
      </x:c>
      <x:c r="AI456" s="38" t="n">
        <x:v>-0.0729113604</x:v>
      </x:c>
      <x:c r="AJ456" s="38" t="n">
        <x:v>0.0550409635</x:v>
      </x:c>
      <x:c r="AK456" s="38" t="n">
        <x:v>0.014801264</x:v>
      </x:c>
      <x:c r="AL456" s="38" t="n">
        <x:v>0.0032622425</x:v>
      </x:c>
      <x:c r="AM456" s="38" t="n">
        <x:v>-0.00224459</x:v>
      </x:c>
      <x:c r="AN456" s="38" t="n">
        <x:v>-0.0280896443</x:v>
      </x:c>
      <x:c r="AO456" s="38" t="n">
        <x:v>0.0839387823</x:v>
      </x:c>
      <x:c r="AP456" s="38" t="n">
        <x:v>-0.031772623</x:v>
      </x:c>
      <x:c r="AQ456" s="38" t="n">
        <x:v>-0.0244531472</x:v>
      </x:c>
      <x:c r="AR456" s="38" t="n">
        <x:v>-0.0179447643</x:v>
      </x:c>
      <x:c r="AS456" s="38" t="n">
        <x:v>-0.0089228041</x:v>
      </x:c>
    </x:row>
    <x:row r="457" ht="19" customHeight="1">
      <x:c r="A457" s="29" t="str">
        <x:v>Other sectors</x:v>
      </x:c>
      <x:c r="B457" s="39" t="d">
        <x:v>2024-06-17T00:00:00.000Z</x:v>
      </x:c>
      <x:c r="C457" s="38" t="n">
        <x:v>-0.1443531167</x:v>
      </x:c>
      <x:c r="D457" s="38" t="n">
        <x:v>-0.03691287</x:v>
      </x:c>
      <x:c r="E457" s="38" t="n">
        <x:v>0.0053058786</x:v>
      </x:c>
      <x:c r="F457" s="38" t="n">
        <x:v>-0.0100883843</x:v>
      </x:c>
      <x:c r="G457" s="38" t="n">
        <x:v>0.0078335188</x:v>
      </x:c>
      <x:c r="H457" s="38" t="n">
        <x:v>-0.0163848164</x:v>
      </x:c>
      <x:c r="I457" s="38" t="n">
        <x:v>-0.0360390102</x:v>
      </x:c>
      <x:c r="J457" s="38" t="n">
        <x:v>0.000333369</x:v>
      </x:c>
      <x:c r="K457" s="38" t="n">
        <x:v>0.0806265685</x:v>
      </x:c>
      <x:c r="L457" s="38" t="n">
        <x:v>-0.067176454</x:v>
      </x:c>
      <x:c r="M457" s="38" t="n">
        <x:v>-0.1165720263</x:v>
      </x:c>
      <x:c r="N457" s="38" t="n">
        <x:v>-0.1367882883</x:v>
      </x:c>
      <x:c r="O457" s="38" t="n">
        <x:v>0.0610567809</x:v>
      </x:c>
      <x:c r="P457" s="38" t="n">
        <x:v>0.08104546</x:v>
      </x:c>
      <x:c r="Q457" s="38" t="n">
        <x:v>-0.0279872738</x:v>
      </x:c>
      <x:c r="R457" s="38" t="n">
        <x:v>-0.1457680145</x:v>
      </x:c>
      <x:c r="S457" s="38" t="n">
        <x:v>-0.1060506158</x:v>
      </x:c>
      <x:c r="T457" s="38" t="n">
        <x:v>-0.0303963389</x:v>
      </x:c>
      <x:c r="U457" s="38" t="n">
        <x:v>-0.007262054</x:v>
      </x:c>
      <x:c r="V457" s="38" t="n">
        <x:v>0.0682565027</x:v>
      </x:c>
      <x:c r="W457" s="38" t="n">
        <x:v>0.0922414698</x:v>
      </x:c>
      <x:c r="X457" s="38" t="n">
        <x:v>0.0296915519</x:v>
      </x:c>
      <x:c r="Y457" s="38" t="n">
        <x:v>0.1182616002</x:v>
      </x:c>
      <x:c r="Z457" s="38" t="n">
        <x:v>0.0044059164</x:v>
      </x:c>
      <x:c r="AA457" s="38" t="n">
        <x:v>0.0420168369</x:v>
      </x:c>
      <x:c r="AB457" s="38" t="n">
        <x:v>-0.1065867633</x:v>
      </x:c>
      <x:c r="AC457" s="38" t="n">
        <x:v>-0.0631447137</x:v>
      </x:c>
      <x:c r="AD457" s="38" t="n">
        <x:v>0.0217768883</x:v>
      </x:c>
      <x:c r="AE457" s="38" t="n">
        <x:v>0.0140488722</x:v>
      </x:c>
      <x:c r="AF457" s="38" t="n">
        <x:v>0.1231769873</x:v>
      </x:c>
      <x:c r="AG457" s="38" t="n">
        <x:v>0.1316669007</x:v>
      </x:c>
      <x:c r="AH457" s="38" t="n">
        <x:v>-0.0151855685</x:v>
      </x:c>
      <x:c r="AI457" s="38" t="n">
        <x:v>-0.1450635312</x:v>
      </x:c>
      <x:c r="AJ457" s="38" t="n">
        <x:v>0.0458208998</x:v>
      </x:c>
      <x:c r="AK457" s="38" t="n">
        <x:v>-0.0461690542</x:v>
      </x:c>
      <x:c r="AL457" s="38" t="n">
        <x:v>-0.0955131604</x:v>
      </x:c>
      <x:c r="AM457" s="38" t="n">
        <x:v>-0.012929671</x:v>
      </x:c>
      <x:c r="AN457" s="38" t="n">
        <x:v>-0.0643943716</x:v>
      </x:c>
      <x:c r="AO457" s="38" t="n">
        <x:v>0.0059574979</x:v>
      </x:c>
      <x:c r="AP457" s="38" t="n">
        <x:v>0.1194910076</x:v>
      </x:c>
      <x:c r="AQ457" s="38" t="n">
        <x:v>0.0159859594</x:v>
      </x:c>
      <x:c r="AR457" s="38" t="n">
        <x:v>0.0102495319</x:v>
      </x:c>
      <x:c r="AS457" s="38" t="n">
        <x:v>0.020250774</x:v>
      </x:c>
    </x:row>
    <x:row r="458" ht="19" customHeight="1">
      <x:c r="A458" s="29" t="str">
        <x:v>Other sectors</x:v>
      </x:c>
      <x:c r="B458" s="39" t="d">
        <x:v>2024-07-15T00:00:00.000Z</x:v>
      </x:c>
      <x:c r="C458" s="38" t="n">
        <x:v>-0.1319503484</x:v>
      </x:c>
      <x:c r="D458" s="38" t="n">
        <x:v>0.086127646</x:v>
      </x:c>
      <x:c r="E458" s="38" t="n">
        <x:v>0.0265302016</x:v>
      </x:c>
      <x:c r="F458" s="38" t="n">
        <x:v>0.0213239516</x:v>
      </x:c>
      <x:c r="G458" s="38" t="n">
        <x:v>-0.0901714315</x:v>
      </x:c>
      <x:c r="H458" s="38" t="n">
        <x:v>-0.2149442269</x:v>
      </x:c>
      <x:c r="I458" s="38" t="n">
        <x:v>-0.0768691816</x:v>
      </x:c>
      <x:c r="J458" s="38" t="n">
        <x:v>-0.0621392398</x:v>
      </x:c>
      <x:c r="K458" s="38" t="n">
        <x:v>0.1152053118</x:v>
      </x:c>
      <x:c r="L458" s="38" t="n">
        <x:v>-0.0715405996</x:v>
      </x:c>
      <x:c r="M458" s="38" t="n">
        <x:v>-0.0920607596</x:v>
      </x:c>
      <x:c r="N458" s="38" t="n">
        <x:v>-0.0362164711</x:v>
      </x:c>
      <x:c r="O458" s="38" t="n">
        <x:v>0.0554935914</x:v>
      </x:c>
      <x:c r="P458" s="38" t="n">
        <x:v>0.0274437861</x:v>
      </x:c>
      <x:c r="Q458" s="38" t="n">
        <x:v>0.0367381862</x:v>
      </x:c>
      <x:c r="R458" s="38" t="n">
        <x:v>0.0456453986</x:v>
      </x:c>
      <x:c r="S458" s="38" t="n">
        <x:v>0.0136156799</x:v>
      </x:c>
      <x:c r="T458" s="38" t="n">
        <x:v>-0.0479791361</x:v>
      </x:c>
      <x:c r="U458" s="38" t="n">
        <x:v>-0.1095020549</x:v>
      </x:c>
      <x:c r="V458" s="38" t="n">
        <x:v>-0.0370027517</x:v>
      </x:c>
      <x:c r="W458" s="38" t="n">
        <x:v>-0.0880559626</x:v>
      </x:c>
      <x:c r="X458" s="38" t="n">
        <x:v>0.0318391045</x:v>
      </x:c>
      <x:c r="Y458" s="38" t="n">
        <x:v>-0.0559276559</x:v>
      </x:c>
      <x:c r="Z458" s="38" t="n">
        <x:v>0.093356484</x:v>
      </x:c>
      <x:c r="AA458" s="38" t="n">
        <x:v>0.0124516028</x:v>
      </x:c>
      <x:c r="AB458" s="38" t="n">
        <x:v>-0.0287371078</x:v>
      </x:c>
      <x:c r="AC458" s="38" t="n">
        <x:v>0.2200215046</x:v>
      </x:c>
      <x:c r="AD458" s="38" t="n">
        <x:v>-0.0194258815</x:v>
      </x:c>
      <x:c r="AE458" s="38" t="n">
        <x:v>0.1596744727</x:v>
      </x:c>
      <x:c r="AF458" s="38" t="n">
        <x:v>0.0071114335</x:v>
      </x:c>
      <x:c r="AG458" s="38" t="n">
        <x:v>-0.0044604238</x:v>
      </x:c>
      <x:c r="AH458" s="38" t="n">
        <x:v>0.0682933537</x:v>
      </x:c>
      <x:c r="AI458" s="38" t="n">
        <x:v>0.0044381965</x:v>
      </x:c>
      <x:c r="AJ458" s="38" t="n">
        <x:v>-0.0384436453</x:v>
      </x:c>
      <x:c r="AK458" s="38" t="n">
        <x:v>-0.0536395404</x:v>
      </x:c>
      <x:c r="AL458" s="38" t="n">
        <x:v>0.0345091294</x:v>
      </x:c>
      <x:c r="AM458" s="38" t="n">
        <x:v>-0.0305925829</x:v>
      </x:c>
      <x:c r="AN458" s="38" t="n">
        <x:v>0.0085143252</x:v>
      </x:c>
      <x:c r="AO458" s="38" t="n">
        <x:v>-0.0413267397</x:v>
      </x:c>
      <x:c r="AP458" s="38" t="n">
        <x:v>-0.0229186272</x:v>
      </x:c>
      <x:c r="AQ458" s="38" t="n">
        <x:v>0.0082511693</x:v>
      </x:c>
      <x:c r="AR458" s="38" t="n">
        <x:v>0.0140903407</x:v>
      </x:c>
      <x:c r="AS458" s="38" t="n">
        <x:v>0.0232279724</x:v>
      </x:c>
    </x:row>
    <x:row r="459" ht="19" customHeight="1">
      <x:c r="A459" s="29" t="str">
        <x:v>Other sectors</x:v>
      </x:c>
      <x:c r="B459" s="39" t="d">
        <x:v>2024-08-12T00:00:00.000Z</x:v>
      </x:c>
      <x:c r="C459" s="38" t="n">
        <x:v>0.0141789737</x:v>
      </x:c>
      <x:c r="D459" s="38" t="n">
        <x:v>0.0684709778</x:v>
      </x:c>
      <x:c r="E459" s="38" t="n">
        <x:v>-0.0574570769</x:v>
      </x:c>
      <x:c r="F459" s="38" t="n">
        <x:v>0.0106261851</x:v>
      </x:c>
      <x:c r="G459" s="38" t="n">
        <x:v>-0.0882753367</x:v>
      </x:c>
      <x:c r="H459" s="38" t="n">
        <x:v>-0.0143686394</x:v>
      </x:c>
      <x:c r="I459" s="38" t="n">
        <x:v>-0.029288881</x:v>
      </x:c>
      <x:c r="J459" s="38" t="n">
        <x:v>0.1476476637</x:v>
      </x:c>
      <x:c r="K459" s="38" t="n">
        <x:v>0.0159378343</x:v>
      </x:c>
      <x:c r="L459" s="38" t="n">
        <x:v>0.0396886576</x:v>
      </x:c>
      <x:c r="M459" s="38" t="n">
        <x:v>0.150383612</x:v>
      </x:c>
      <x:c r="N459" s="38" t="n">
        <x:v>-0.0717382751</x:v>
      </x:c>
      <x:c r="O459" s="38" t="n">
        <x:v>-0.0189108942</x:v>
      </x:c>
      <x:c r="P459" s="38" t="n">
        <x:v>0.010999661</x:v>
      </x:c>
      <x:c r="Q459" s="38" t="n">
        <x:v>-0.001377415</x:v>
      </x:c>
      <x:c r="R459" s="38" t="n">
        <x:v>0.1968664908</x:v>
      </x:c>
      <x:c r="S459" s="38" t="n">
        <x:v>0.0171012323</x:v>
      </x:c>
      <x:c r="T459" s="38" t="n">
        <x:v>0.1200905905</x:v>
      </x:c>
      <x:c r="U459" s="38" t="n">
        <x:v>-0.2991833451</x:v>
      </x:c>
      <x:c r="V459" s="38" t="n">
        <x:v>0.0918214864</x:v>
      </x:c>
      <x:c r="W459" s="38" t="n">
        <x:v>0.0022868545</x:v>
      </x:c>
      <x:c r="X459" s="38" t="n">
        <x:v>-0.0645907201</x:v>
      </x:c>
      <x:c r="Y459" s="38" t="n">
        <x:v>0.004248408</x:v>
      </x:c>
      <x:c r="Z459" s="38" t="n">
        <x:v>0.0712967334</x:v>
      </x:c>
      <x:c r="AA459" s="38" t="n">
        <x:v>0.028244833</x:v>
      </x:c>
      <x:c r="AB459" s="38" t="n">
        <x:v>0.0784369681</x:v>
      </x:c>
      <x:c r="AC459" s="38" t="n">
        <x:v>0.3104703655</x:v>
      </x:c>
      <x:c r="AD459" s="38" t="n">
        <x:v>-0.0857231931</x:v>
      </x:c>
      <x:c r="AE459" s="38" t="n">
        <x:v>-0.2612385171</x:v>
      </x:c>
      <x:c r="AF459" s="38" t="n">
        <x:v>-0.0902956033</x:v>
      </x:c>
      <x:c r="AG459" s="38" t="n">
        <x:v>-0.0162973554</x:v>
      </x:c>
      <x:c r="AH459" s="38" t="n">
        <x:v>0.0413210778</x:v>
      </x:c>
      <x:c r="AI459" s="38" t="n">
        <x:v>-0.0575633212</x:v>
      </x:c>
      <x:c r="AJ459" s="38" t="n">
        <x:v>0.0277620851</x:v>
      </x:c>
      <x:c r="AK459" s="38" t="n">
        <x:v>0.0175765634</x:v>
      </x:c>
      <x:c r="AL459" s="38" t="n">
        <x:v>0.1406420456</x:v>
      </x:c>
      <x:c r="AM459" s="38" t="n">
        <x:v>-0.0713716248</x:v>
      </x:c>
      <x:c r="AN459" s="38" t="n">
        <x:v>-0.0265769156</x:v>
      </x:c>
      <x:c r="AO459" s="38" t="n">
        <x:v>-0.0206128982</x:v>
      </x:c>
      <x:c r="AP459" s="38" t="n">
        <x:v>-0.0378503484</x:v>
      </x:c>
      <x:c r="AQ459" s="38" t="n">
        <x:v>-0.0047612873</x:v>
      </x:c>
      <x:c r="AR459" s="38" t="n">
        <x:v>-0.0425198336</x:v>
      </x:c>
      <x:c r="AS459" s="38" t="n">
        <x:v>-0.0121878019</x:v>
      </x:c>
    </x:row>
    <x:row r="460" ht="19" customHeight="1">
      <x:c r="A460" s="29" t="str">
        <x:v>Other sectors</x:v>
      </x:c>
      <x:c r="B460" s="39" t="d">
        <x:v>2024-09-09T00:00:00.000Z</x:v>
      </x:c>
      <x:c r="C460" s="38" t="n">
        <x:v>0.0763603392</x:v>
      </x:c>
      <x:c r="D460" s="38" t="n">
        <x:v>-0.0026591648</x:v>
      </x:c>
      <x:c r="E460" s="38" t="n">
        <x:v>-0.0213727046</x:v>
      </x:c>
      <x:c r="F460" s="38" t="n">
        <x:v>0.0240194888</x:v>
      </x:c>
      <x:c r="G460" s="38" t="n">
        <x:v>-0.0097351828</x:v>
      </x:c>
      <x:c r="H460" s="38" t="n">
        <x:v>0.0187627392</x:v>
      </x:c>
      <x:c r="I460" s="38" t="n">
        <x:v>0.0150233261</x:v>
      </x:c>
      <x:c r="J460" s="38" t="n">
        <x:v>0.0773750506</x:v>
      </x:c>
      <x:c r="K460" s="38" t="n">
        <x:v>0.0258775991</x:v>
      </x:c>
      <x:c r="L460" s="38" t="n">
        <x:v>-0.0592392017</x:v>
      </x:c>
      <x:c r="M460" s="38" t="n">
        <x:v>-0.0944013835</x:v>
      </x:c>
      <x:c r="N460" s="38" t="n">
        <x:v>-0.0648844615</x:v>
      </x:c>
      <x:c r="O460" s="38" t="n">
        <x:v>-0.0717764121</x:v>
      </x:c>
      <x:c r="P460" s="38" t="n">
        <x:v>0.0894858198</x:v>
      </x:c>
      <x:c r="Q460" s="38" t="n">
        <x:v>-0.1975698891</x:v>
      </x:c>
      <x:c r="R460" s="38" t="n">
        <x:v>0.1858876292</x:v>
      </x:c>
      <x:c r="S460" s="38" t="n">
        <x:v>0.0450759351</x:v>
      </x:c>
      <x:c r="T460" s="38" t="n">
        <x:v>-0.0642757535</x:v>
      </x:c>
      <x:c r="U460" s="38" t="n">
        <x:v>-0.1889224827</x:v>
      </x:c>
      <x:c r="V460" s="38" t="n">
        <x:v>-0.1562511236</x:v>
      </x:c>
      <x:c r="W460" s="38" t="n">
        <x:v>0.0173656979</x:v>
      </x:c>
      <x:c r="X460" s="38" t="n">
        <x:v>-0.0120760234</x:v>
      </x:c>
      <x:c r="Y460" s="38" t="n">
        <x:v>-0.0343815548</x:v>
      </x:c>
      <x:c r="Z460" s="38" t="n">
        <x:v>0.0416068727</x:v>
      </x:c>
      <x:c r="AA460" s="38" t="n">
        <x:v>0.043721632</x:v>
      </x:c>
      <x:c r="AB460" s="38" t="n">
        <x:v>0.4872687674</x:v>
      </x:c>
      <x:c r="AC460" s="38" t="n">
        <x:v>0.1185022961</x:v>
      </x:c>
      <x:c r="AD460" s="38" t="n">
        <x:v>-0.0196811155</x:v>
      </x:c>
      <x:c r="AE460" s="38" t="n">
        <x:v>0.0084389913</x:v>
      </x:c>
      <x:c r="AF460" s="38" t="n">
        <x:v>-0.0286443613</x:v>
      </x:c>
      <x:c r="AG460" s="38" t="n">
        <x:v>-0.1685467576</x:v>
      </x:c>
      <x:c r="AH460" s="38" t="n">
        <x:v>-0.0385980727</x:v>
      </x:c>
      <x:c r="AI460" s="38" t="n">
        <x:v>0.0640501565</x:v>
      </x:c>
      <x:c r="AJ460" s="38" t="n">
        <x:v>0.0137257922</x:v>
      </x:c>
      <x:c r="AK460" s="38" t="n">
        <x:v>0.0370775722</x:v>
      </x:c>
      <x:c r="AL460" s="38" t="n">
        <x:v>0.0968584226</x:v>
      </x:c>
      <x:c r="AM460" s="38" t="n">
        <x:v>0.0426022395</x:v>
      </x:c>
      <x:c r="AN460" s="38" t="n">
        <x:v>0.0306115793</x:v>
      </x:c>
      <x:c r="AO460" s="38" t="n">
        <x:v>-0.0367783176</x:v>
      </x:c>
      <x:c r="AP460" s="38" t="n">
        <x:v>-0.0228099468</x:v>
      </x:c>
      <x:c r="AQ460" s="38" t="n">
        <x:v>-0.0196990643</x:v>
      </x:c>
      <x:c r="AR460" s="38" t="n">
        <x:v>-0.0047563481</x:v>
      </x:c>
      <x:c r="AS460" s="38" t="n">
        <x:v>-0.0256099859</x:v>
      </x:c>
    </x:row>
    <x:row r="461" ht="19" customHeight="1">
      <x:c r="A461" s="29" t="str">
        <x:v>Other sectors</x:v>
      </x:c>
      <x:c r="B461" s="39" t="d">
        <x:v>2024-10-07T00:00:00.000Z</x:v>
      </x:c>
      <x:c r="C461" s="38" t="n">
        <x:v>0.2908722153</x:v>
      </x:c>
      <x:c r="D461" s="38" t="n">
        <x:v>-0.0965476449</x:v>
      </x:c>
      <x:c r="E461" s="38" t="n">
        <x:v>-0.0404976319</x:v>
      </x:c>
      <x:c r="F461" s="38" t="n">
        <x:v>0.008114467</x:v>
      </x:c>
      <x:c r="G461" s="38" t="n">
        <x:v>-0.0041161574</x:v>
      </x:c>
      <x:c r="H461" s="38" t="n">
        <x:v>0.0626549181</x:v>
      </x:c>
      <x:c r="I461" s="38" t="n">
        <x:v>0.007126312</x:v>
      </x:c>
      <x:c r="J461" s="38" t="n">
        <x:v>0.1114918634</x:v>
      </x:c>
      <x:c r="K461" s="38" t="n">
        <x:v>-0.0340210989</x:v>
      </x:c>
      <x:c r="L461" s="38" t="n">
        <x:v>-0.0689804959</x:v>
      </x:c>
      <x:c r="M461" s="38" t="n">
        <x:v>0.042440075</x:v>
      </x:c>
      <x:c r="N461" s="38" t="n">
        <x:v>0.0376978367</x:v>
      </x:c>
      <x:c r="O461" s="38" t="n">
        <x:v>0.0068546822</x:v>
      </x:c>
      <x:c r="P461" s="38" t="n">
        <x:v>-0.1880822355</x:v>
      </x:c>
      <x:c r="Q461" s="38" t="n">
        <x:v>0.0950659371</x:v>
      </x:c>
      <x:c r="R461" s="38" t="n">
        <x:v>-0.0354030047</x:v>
      </x:c>
      <x:c r="S461" s="38" t="n">
        <x:v>0.0103206064</x:v>
      </x:c>
      <x:c r="T461" s="38" t="n">
        <x:v>0.068479583</x:v>
      </x:c>
      <x:c r="U461" s="38" t="n">
        <x:v>-0.1454138349</x:v>
      </x:c>
      <x:c r="V461" s="38" t="n">
        <x:v>0.1444995423</x:v>
      </x:c>
      <x:c r="W461" s="38" t="n">
        <x:v>0.0276193755</x:v>
      </x:c>
      <x:c r="X461" s="38" t="n">
        <x:v>0.0321072122</x:v>
      </x:c>
      <x:c r="Y461" s="38" t="n">
        <x:v>0.0409526969</x:v>
      </x:c>
      <x:c r="Z461" s="38" t="n">
        <x:v>-0.034040697</x:v>
      </x:c>
      <x:c r="AA461" s="38" t="n">
        <x:v>-0.0059486991</x:v>
      </x:c>
      <x:c r="AB461" s="38" t="n">
        <x:v>-0.1263589308</x:v>
      </x:c>
      <x:c r="AC461" s="38" t="n">
        <x:v>0.1179901087</x:v>
      </x:c>
      <x:c r="AD461" s="38" t="n">
        <x:v>0.0183637273</x:v>
      </x:c>
      <x:c r="AE461" s="38" t="n">
        <x:v>-0.0278224577</x:v>
      </x:c>
      <x:c r="AF461" s="38" t="n">
        <x:v>0.0826942283</x:v>
      </x:c>
      <x:c r="AG461" s="38" t="n">
        <x:v>-0.0422671655</x:v>
      </x:c>
      <x:c r="AH461" s="38" t="n">
        <x:v>-0.0726414981</x:v>
      </x:c>
      <x:c r="AI461" s="38" t="n">
        <x:v>0.0625477446</x:v>
      </x:c>
      <x:c r="AJ461" s="38" t="n">
        <x:v>0.0113617554</x:v>
      </x:c>
      <x:c r="AK461" s="38" t="n">
        <x:v>-0.0178313895</x:v>
      </x:c>
      <x:c r="AL461" s="38" t="n">
        <x:v>-0.029122864</x:v>
      </x:c>
      <x:c r="AM461" s="38" t="n">
        <x:v>-0.0305764203</x:v>
      </x:c>
      <x:c r="AN461" s="38" t="n">
        <x:v>-0.0555709552</x:v>
      </x:c>
      <x:c r="AO461" s="38" t="n">
        <x:v>-0.0123510816</x:v>
      </x:c>
      <x:c r="AP461" s="38" t="n">
        <x:v>0.0805756931</x:v>
      </x:c>
      <x:c r="AQ461" s="38" t="n">
        <x:v>0.0054016964</x:v>
      </x:c>
      <x:c r="AR461" s="38" t="n">
        <x:v>0.0131854284</x:v>
      </x:c>
      <x:c r="AS461" s="38" t="n">
        <x:v>0.0330639579</x:v>
      </x:c>
    </x:row>
    <x:row r="462" ht="19" customHeight="1">
      <x:c r="A462" s="29" t="str">
        <x:v>Other sectors</x:v>
      </x:c>
      <x:c r="B462" s="39" t="d">
        <x:v>2024-11-04T00:00:00.000Z</x:v>
      </x:c>
      <x:c r="C462" s="38" t="n">
        <x:v>0.0643648365</x:v>
      </x:c>
      <x:c r="D462" s="38" t="n">
        <x:v>-0.1106504716</x:v>
      </x:c>
      <x:c r="E462" s="38" t="n">
        <x:v>0.0326333777</x:v>
      </x:c>
      <x:c r="F462" s="38" t="n">
        <x:v>0.1513617427</x:v>
      </x:c>
      <x:c r="G462" s="38" t="n">
        <x:v>-0.0022479008</x:v>
      </x:c>
      <x:c r="H462" s="38" t="n">
        <x:v>-0.0190847825</x:v>
      </x:c>
      <x:c r="I462" s="38" t="n">
        <x:v>-0.035405374</x:v>
      </x:c>
      <x:c r="J462" s="38" t="n">
        <x:v>0.1436080251</x:v>
      </x:c>
      <x:c r="K462" s="38" t="n">
        <x:v>0.0507012736</x:v>
      </x:c>
      <x:c r="L462" s="38" t="n">
        <x:v>-0.0748371953</x:v>
      </x:c>
      <x:c r="M462" s="38" t="n">
        <x:v>-0.102530273</x:v>
      </x:c>
      <x:c r="N462" s="38" t="n">
        <x:v>0.0436303231</x:v>
      </x:c>
      <x:c r="O462" s="38" t="n">
        <x:v>0.0296051093</x:v>
      </x:c>
      <x:c r="P462" s="38" t="n">
        <x:v>0.1709037081</x:v>
      </x:c>
      <x:c r="Q462" s="38" t="n">
        <x:v>-0.0272980559</x:v>
      </x:c>
      <x:c r="R462" s="38" t="n">
        <x:v>-0.1678864334</x:v>
      </x:c>
      <x:c r="S462" s="38" t="n">
        <x:v>0.0521086635</x:v>
      </x:c>
      <x:c r="T462" s="38" t="n">
        <x:v>-0.2600885474</x:v>
      </x:c>
      <x:c r="U462" s="38" t="n">
        <x:v>-0.0808929335</x:v>
      </x:c>
      <x:c r="V462" s="38" t="n">
        <x:v>0.3283343265</x:v>
      </x:c>
      <x:c r="W462" s="38" t="n">
        <x:v>0.1263016937</x:v>
      </x:c>
      <x:c r="X462" s="38" t="n">
        <x:v>0.0921289842</x:v>
      </x:c>
      <x:c r="Y462" s="38" t="n">
        <x:v>0.2491176466</x:v>
      </x:c>
      <x:c r="Z462" s="38" t="n">
        <x:v>-0.1071705938</x:v>
      </x:c>
      <x:c r="AA462" s="38" t="n">
        <x:v>0.0363066452</x:v>
      </x:c>
      <x:c r="AB462" s="38" t="n">
        <x:v>0.0949759278</x:v>
      </x:c>
      <x:c r="AC462" s="38" t="n">
        <x:v>0.4634633109</x:v>
      </x:c>
      <x:c r="AD462" s="38" t="n">
        <x:v>0.0215590705</x:v>
      </x:c>
      <x:c r="AE462" s="38" t="n">
        <x:v>0.0744883563</x:v>
      </x:c>
      <x:c r="AF462" s="38" t="n">
        <x:v>0.0375059016</x:v>
      </x:c>
      <x:c r="AG462" s="38" t="n">
        <x:v>0.1101617478</x:v>
      </x:c>
      <x:c r="AH462" s="38" t="n">
        <x:v>-0.2342990984</x:v>
      </x:c>
      <x:c r="AI462" s="38" t="n">
        <x:v>-0.1622872971</x:v>
      </x:c>
      <x:c r="AJ462" s="38" t="n">
        <x:v>-0.0687674078</x:v>
      </x:c>
      <x:c r="AK462" s="38" t="n">
        <x:v>0.117004641</x:v>
      </x:c>
      <x:c r="AL462" s="38" t="n">
        <x:v>0.0606304053</x:v>
      </x:c>
      <x:c r="AM462" s="38" t="n">
        <x:v>0.0036253671</x:v>
      </x:c>
      <x:c r="AN462" s="38" t="n">
        <x:v>0.015862407</x:v>
      </x:c>
      <x:c r="AO462" s="38" t="n">
        <x:v>0.0655164157</x:v>
      </x:c>
      <x:c r="AP462" s="38" t="n">
        <x:v>-0.0402605358</x:v>
      </x:c>
      <x:c r="AQ462" s="38" t="n">
        <x:v>-0.0439209446</x:v>
      </x:c>
      <x:c r="AR462" s="38" t="n">
        <x:v>0.0223083634</x:v>
      </x:c>
      <x:c r="AS462" s="38" t="n">
        <x:v>0.0046641316</x:v>
      </x:c>
    </x:row>
    <x:row r="463" ht="19" customHeight="1">
      <x:c r="A463" s="29" t="str">
        <x:v>Other sectors</x:v>
      </x:c>
      <x:c r="B463" s="39" t="d">
        <x:v>2024-12-02T00:00:00.000Z</x:v>
      </x:c>
      <x:c r="C463" s="38" t="n">
        <x:v>0.081315923</x:v>
      </x:c>
      <x:c r="D463" s="38" t="n">
        <x:v>0.1443578929</x:v>
      </x:c>
      <x:c r="E463" s="38" t="n">
        <x:v>0.0092451587</x:v>
      </x:c>
      <x:c r="F463" s="38" t="n">
        <x:v>0.0158924618</x:v>
      </x:c>
      <x:c r="G463" s="38" t="n">
        <x:v>0.1603711901</x:v>
      </x:c>
      <x:c r="H463" s="38" t="n">
        <x:v>0.1020844725</x:v>
      </x:c>
      <x:c r="I463" s="38" t="n">
        <x:v>-0.0058316912</x:v>
      </x:c>
      <x:c r="J463" s="38" t="n">
        <x:v>0.0242443534</x:v>
      </x:c>
      <x:c r="K463" s="38" t="n">
        <x:v>-0.0292078149</x:v>
      </x:c>
      <x:c r="L463" s="38" t="n">
        <x:v>-0.0039376125</x:v>
      </x:c>
      <x:c r="M463" s="38" t="n">
        <x:v>0.0914931792</x:v>
      </x:c>
      <x:c r="N463" s="38" t="n">
        <x:v>0.0481826451</x:v>
      </x:c>
      <x:c r="O463" s="38" t="n">
        <x:v>0.0017881165</x:v>
      </x:c>
      <x:c r="P463" s="38" t="n">
        <x:v>0.0785068446</x:v>
      </x:c>
      <x:c r="Q463" s="38" t="n">
        <x:v>0.1019512264</x:v>
      </x:c>
      <x:c r="R463" s="38" t="n">
        <x:v>0.0800650062</x:v>
      </x:c>
      <x:c r="S463" s="38" t="n">
        <x:v>0.1043490513</x:v>
      </x:c>
      <x:c r="T463" s="38" t="n">
        <x:v>0.15731142</x:v>
      </x:c>
      <x:c r="U463" s="38" t="n">
        <x:v>-0.0106168573</x:v>
      </x:c>
      <x:c r="V463" s="38" t="n">
        <x:v>0.1056485173</x:v>
      </x:c>
      <x:c r="W463" s="38" t="n">
        <x:v>0.185856133</x:v>
      </x:c>
      <x:c r="X463" s="38" t="n">
        <x:v>0.0057759856</x:v>
      </x:c>
      <x:c r="Y463" s="38" t="n">
        <x:v>0.0015019161</x:v>
      </x:c>
      <x:c r="Z463" s="38" t="n">
        <x:v>0.0290535948</x:v>
      </x:c>
      <x:c r="AA463" s="38" t="n">
        <x:v>-0.0384689892</x:v>
      </x:c>
      <x:c r="AB463" s="38" t="n">
        <x:v>-0.0775761618</x:v>
      </x:c>
      <x:c r="AC463" s="38" t="n">
        <x:v>0.0124723926</x:v>
      </x:c>
      <x:c r="AD463" s="38" t="n">
        <x:v>0.0551505824</x:v>
      </x:c>
      <x:c r="AE463" s="38" t="n">
        <x:v>-0.0539813478</x:v>
      </x:c>
      <x:c r="AF463" s="38" t="n">
        <x:v>0.1110334327</x:v>
      </x:c>
      <x:c r="AG463" s="38" t="n">
        <x:v>0.0669643184</x:v>
      </x:c>
      <x:c r="AH463" s="38" t="n">
        <x:v>-0.0074219164</x:v>
      </x:c>
      <x:c r="AI463" s="38" t="n">
        <x:v>-0.0483620792</x:v>
      </x:c>
      <x:c r="AJ463" s="38" t="n">
        <x:v>0.1010216136</x:v>
      </x:c>
      <x:c r="AK463" s="38" t="n">
        <x:v>-0.0273977541</x:v>
      </x:c>
      <x:c r="AL463" s="38" t="n">
        <x:v>-0.0694697871</x:v>
      </x:c>
      <x:c r="AM463" s="38" t="n">
        <x:v>0.0595417348</x:v>
      </x:c>
      <x:c r="AN463" s="38" t="n">
        <x:v>-0.0283284106</x:v>
      </x:c>
      <x:c r="AO463" s="38" t="n">
        <x:v>0.023464693</x:v>
      </x:c>
      <x:c r="AP463" s="38" t="n">
        <x:v>0.0702348081</x:v>
      </x:c>
      <x:c r="AQ463" s="38" t="n">
        <x:v>0.0077833481</x:v>
      </x:c>
      <x:c r="AR463" s="38" t="n">
        <x:v>0.0220869002</x:v>
      </x:c>
      <x:c r="AS463" s="38" t="n">
        <x:v>0.0067180504</x:v>
      </x:c>
    </x:row>
    <x:row r="464" ht="19" customHeight="1">
      <x:c r="A464" s="29" t="str">
        <x:v>Other sectors</x:v>
      </x:c>
      <x:c r="B464" s="39" t="d">
        <x:v>2024-12-30T00:00:00.000Z</x:v>
      </x:c>
      <x:c r="C464" s="38" t="n">
        <x:v>0.0325211632</x:v>
      </x:c>
      <x:c r="D464" s="38" t="n">
        <x:v>-0.0320690677</x:v>
      </x:c>
      <x:c r="E464" s="38" t="n">
        <x:v>0.0106563611</x:v>
      </x:c>
      <x:c r="F464" s="38" t="n">
        <x:v>0.0349713174</x:v>
      </x:c>
      <x:c r="G464" s="38" t="n">
        <x:v>0.0517207621</x:v>
      </x:c>
      <x:c r="H464" s="38" t="n">
        <x:v>-0.0736547515</x:v>
      </x:c>
      <x:c r="I464" s="38" t="n">
        <x:v>-0.0364862245</x:v>
      </x:c>
      <x:c r="J464" s="38" t="n">
        <x:v>-0.0901347589</x:v>
      </x:c>
      <x:c r="K464" s="38" t="n">
        <x:v>-0.0403281321</x:v>
      </x:c>
      <x:c r="L464" s="38" t="n">
        <x:v>-0.0256321169</x:v>
      </x:c>
      <x:c r="M464" s="38" t="n">
        <x:v>0.0853492004</x:v>
      </x:c>
      <x:c r="N464" s="38" t="n">
        <x:v>0.0740747783</x:v>
      </x:c>
      <x:c r="O464" s="38" t="n">
        <x:v>0.0092815725</x:v>
      </x:c>
      <x:c r="P464" s="38" t="n">
        <x:v>-0.062292383</x:v>
      </x:c>
      <x:c r="Q464" s="38" t="n">
        <x:v>0.1020135914</x:v>
      </x:c>
      <x:c r="R464" s="38" t="n">
        <x:v>-0.097543514</x:v>
      </x:c>
      <x:c r="S464" s="38" t="n">
        <x:v>0.0397342207</x:v>
      </x:c>
      <x:c r="T464" s="38" t="n">
        <x:v>-0.0073439804</x:v>
      </x:c>
      <x:c r="U464" s="38" t="n">
        <x:v>0.0364853964</x:v>
      </x:c>
      <x:c r="V464" s="38" t="n">
        <x:v>-0.0340039739</x:v>
      </x:c>
      <x:c r="W464" s="38" t="n">
        <x:v>0.0127863385</x:v>
      </x:c>
      <x:c r="X464" s="38" t="n">
        <x:v>-0.0554218901</x:v>
      </x:c>
      <x:c r="Y464" s="38" t="n">
        <x:v>-0.1212299413</x:v>
      </x:c>
      <x:c r="Z464" s="38" t="n">
        <x:v>0.0518823172</x:v>
      </x:c>
      <x:c r="AA464" s="38" t="n">
        <x:v>-0.0132611285</x:v>
      </x:c>
      <x:c r="AB464" s="38" t="n">
        <x:v>-0.2083130887</x:v>
      </x:c>
      <x:c r="AC464" s="38" t="n">
        <x:v>-0.1684708181</x:v>
      </x:c>
      <x:c r="AD464" s="38" t="n">
        <x:v>0.0207280945</x:v>
      </x:c>
      <x:c r="AE464" s="38" t="n">
        <x:v>0.0191707635</x:v>
      </x:c>
      <x:c r="AF464" s="38" t="n">
        <x:v>-0.1003297157</x:v>
      </x:c>
      <x:c r="AG464" s="38" t="n">
        <x:v>0.2542705534</x:v>
      </x:c>
      <x:c r="AH464" s="38" t="n">
        <x:v>0.0427307775</x:v>
      </x:c>
      <x:c r="AI464" s="38" t="n">
        <x:v>-0.0738246494</x:v>
      </x:c>
      <x:c r="AJ464" s="38" t="n">
        <x:v>-0.043248092</x:v>
      </x:c>
      <x:c r="AK464" s="38" t="n">
        <x:v>-0.0307286127</x:v>
      </x:c>
      <x:c r="AL464" s="38" t="n">
        <x:v>0.0996685896</x:v>
      </x:c>
      <x:c r="AM464" s="38" t="n">
        <x:v>-0.0322867698</x:v>
      </x:c>
      <x:c r="AN464" s="38" t="n">
        <x:v>0.0857144777</x:v>
      </x:c>
      <x:c r="AO464" s="38" t="n">
        <x:v>-0.0461882205</x:v>
      </x:c>
      <x:c r="AP464" s="38" t="n">
        <x:v>-0.0239687193</x:v>
      </x:c>
      <x:c r="AQ464" s="38" t="n">
        <x:v>0.0432340089</x:v>
      </x:c>
      <x:c r="AR464" s="38" t="n">
        <x:v>0.0126208869</x:v>
      </x:c>
      <x:c r="AS464" s="38" t="n">
        <x:v>0.0028156991</x:v>
      </x:c>
    </x:row>
    <x:row r="465" ht="19" customHeight="1">
      <x:c r="A465" s="29" t="str">
        <x:v>Other sectors</x:v>
      </x:c>
      <x:c r="B465" s="39" t="d">
        <x:v>2025-01-27T00:00:00.000Z</x:v>
      </x:c>
      <x:c r="C465" s="38" t="n">
        <x:v>0.0305272411</x:v>
      </x:c>
      <x:c r="D465" s="38" t="n">
        <x:v>0.0217529316</x:v>
      </x:c>
      <x:c r="E465" s="38" t="n">
        <x:v>0.0597840754</x:v>
      </x:c>
      <x:c r="F465" s="38" t="n">
        <x:v>0.0501598008</x:v>
      </x:c>
      <x:c r="G465" s="38" t="n">
        <x:v>-0.0240504468</x:v>
      </x:c>
      <x:c r="H465" s="38" t="n">
        <x:v>-0.0514608846</x:v>
      </x:c>
      <x:c r="I465" s="38" t="n">
        <x:v>0.0873219574</x:v>
      </x:c>
      <x:c r="J465" s="38" t="n">
        <x:v>-0.0127750519</x:v>
      </x:c>
      <x:c r="K465" s="38" t="n">
        <x:v>0.1582616195</x:v>
      </x:c>
      <x:c r="L465" s="38" t="n">
        <x:v>0.082844572</x:v>
      </x:c>
      <x:c r="M465" s="38" t="n">
        <x:v>-0.0076515841</x:v>
      </x:c>
      <x:c r="N465" s="38" t="n">
        <x:v>0.0587767786</x:v>
      </x:c>
      <x:c r="O465" s="38" t="n">
        <x:v>0.0590079654</x:v>
      </x:c>
      <x:c r="P465" s="38" t="n">
        <x:v>0.076444587</x:v>
      </x:c>
      <x:c r="Q465" s="38" t="n">
        <x:v>-0.1255596843</x:v>
      </x:c>
      <x:c r="R465" s="38" t="n">
        <x:v>0.2965984163</x:v>
      </x:c>
      <x:c r="S465" s="38" t="n">
        <x:v>0.0141711817</x:v>
      </x:c>
      <x:c r="T465" s="38" t="n">
        <x:v>0.1833540119</x:v>
      </x:c>
      <x:c r="U465" s="38" t="n">
        <x:v>-0.1042628265</x:v>
      </x:c>
      <x:c r="V465" s="38" t="n">
        <x:v>-0.0363657869</x:v>
      </x:c>
      <x:c r="W465" s="38" t="n">
        <x:v>0.1231195311</x:v>
      </x:c>
      <x:c r="X465" s="38" t="n">
        <x:v>-0.1903293401</x:v>
      </x:c>
      <x:c r="Y465" s="38" t="n">
        <x:v>0.1402924871</x:v>
      </x:c>
      <x:c r="Z465" s="38" t="n">
        <x:v>0.0828463022</x:v>
      </x:c>
      <x:c r="AA465" s="38" t="n">
        <x:v>-0.006220194</x:v>
      </x:c>
      <x:c r="AB465" s="38" t="n">
        <x:v>-0.3944014871</x:v>
      </x:c>
      <x:c r="AC465" s="38" t="n">
        <x:v>-0.1018221264</x:v>
      </x:c>
      <x:c r="AD465" s="38" t="n">
        <x:v>-0.0185409908</x:v>
      </x:c>
      <x:c r="AE465" s="38" t="n">
        <x:v>-0.0013040009</x:v>
      </x:c>
      <x:c r="AF465" s="38" t="n">
        <x:v>-0.0166484169</x:v>
      </x:c>
      <x:c r="AG465" s="38" t="n">
        <x:v>0.0116120044</x:v>
      </x:c>
      <x:c r="AH465" s="38" t="n">
        <x:v>0.0212582411</x:v>
      </x:c>
      <x:c r="AI465" s="38" t="n">
        <x:v>-0.0031868086</x:v>
      </x:c>
      <x:c r="AJ465" s="38" t="n">
        <x:v>-0.0497629808</x:v>
      </x:c>
      <x:c r="AK465" s="38" t="n">
        <x:v>0.0773184237</x:v>
      </x:c>
      <x:c r="AL465" s="38" t="n">
        <x:v>0.0962300116</x:v>
      </x:c>
      <x:c r="AM465" s="38" t="n">
        <x:v>0.0004973892</x:v>
      </x:c>
      <x:c r="AN465" s="38" t="n">
        <x:v>0.0887028341</x:v>
      </x:c>
      <x:c r="AO465" s="38" t="n">
        <x:v>0.0433522122</x:v>
      </x:c>
      <x:c r="AP465" s="38" t="n">
        <x:v>0.0080408341</x:v>
      </x:c>
      <x:c r="AQ465" s="38" t="n">
        <x:v>0.0389796572</x:v>
      </x:c>
      <x:c r="AR465" s="38" t="n">
        <x:v>-0.0139669644</x:v>
      </x:c>
      <x:c r="AS465" s="38" t="n">
        <x:v>-0.0000463977</x:v>
      </x:c>
    </x:row>
    <x:row r="466" ht="19" customHeight="1">
      <x:c r="A466" s="29" t="str">
        <x:v>Other sectors</x:v>
      </x:c>
      <x:c r="B466" s="39" t="d">
        <x:v>2025-02-24T00:00:00.000Z</x:v>
      </x:c>
      <x:c r="C466" s="38" t="n">
        <x:v>-0.2282777184</x:v>
      </x:c>
      <x:c r="D466" s="38" t="n">
        <x:v>-0.1188892313</x:v>
      </x:c>
      <x:c r="E466" s="38" t="n">
        <x:v>0.0485702708</x:v>
      </x:c>
      <x:c r="F466" s="38" t="n">
        <x:v>0.0743436631</x:v>
      </x:c>
      <x:c r="G466" s="38" t="n">
        <x:v>0.0501402627</x:v>
      </x:c>
      <x:c r="H466" s="38" t="n">
        <x:v>-0.030416997</x:v>
      </x:c>
      <x:c r="I466" s="38" t="n">
        <x:v>-0.0494264209</x:v>
      </x:c>
      <x:c r="J466" s="38" t="n">
        <x:v>-0.2143325917</x:v>
      </x:c>
      <x:c r="K466" s="38" t="n">
        <x:v>0.0743842823</x:v>
      </x:c>
      <x:c r="L466" s="38" t="n">
        <x:v>-0.0824574633</x:v>
      </x:c>
      <x:c r="M466" s="38" t="n">
        <x:v>-0.1851014338</x:v>
      </x:c>
      <x:c r="N466" s="38" t="n">
        <x:v>-0.0146160442</x:v>
      </x:c>
      <x:c r="O466" s="38" t="n">
        <x:v>-0.0178793757</x:v>
      </x:c>
      <x:c r="P466" s="38" t="n">
        <x:v>0.0183902402</x:v>
      </x:c>
      <x:c r="Q466" s="38" t="n">
        <x:v>0.2182121769</x:v>
      </x:c>
      <x:c r="R466" s="38" t="n">
        <x:v>0.0543151927</x:v>
      </x:c>
      <x:c r="S466" s="38" t="n">
        <x:v>0.0728395832</x:v>
      </x:c>
      <x:c r="T466" s="38" t="n">
        <x:v>0.20201541</x:v>
      </x:c>
      <x:c r="U466" s="38" t="n">
        <x:v>-0.3300728227</x:v>
      </x:c>
      <x:c r="V466" s="38" t="n">
        <x:v>-0.2300674342</x:v>
      </x:c>
      <x:c r="W466" s="38" t="n">
        <x:v>-0.0076901395</x:v>
      </x:c>
      <x:c r="X466" s="38" t="n">
        <x:v>0.055869918</x:v>
      </x:c>
      <x:c r="Y466" s="38" t="n">
        <x:v>-0.048854542</x:v>
      </x:c>
      <x:c r="Z466" s="38" t="n">
        <x:v>0.0019150066</x:v>
      </x:c>
      <x:c r="AA466" s="38" t="n">
        <x:v>0.1147605161</x:v>
      </x:c>
      <x:c r="AB466" s="38" t="n">
        <x:v>-0.1936006927</x:v>
      </x:c>
      <x:c r="AC466" s="38" t="n">
        <x:v>0.1282706969</x:v>
      </x:c>
      <x:c r="AD466" s="38" t="n">
        <x:v>0.0057575905</x:v>
      </x:c>
      <x:c r="AE466" s="38" t="n">
        <x:v>0.0224459903</x:v>
      </x:c>
      <x:c r="AF466" s="38" t="n">
        <x:v>-0.0525352219</x:v>
      </x:c>
      <x:c r="AG466" s="38" t="n">
        <x:v>-0.0187413748</x:v>
      </x:c>
      <x:c r="AH466" s="38" t="n">
        <x:v>-0.0738873894</x:v>
      </x:c>
      <x:c r="AI466" s="38" t="n">
        <x:v>-0.1687302062</x:v>
      </x:c>
      <x:c r="AJ466" s="38" t="n">
        <x:v>0.0883507909</x:v>
      </x:c>
      <x:c r="AK466" s="38" t="n">
        <x:v>0.0629068359</x:v>
      </x:c>
      <x:c r="AL466" s="38" t="n">
        <x:v>0.0701478411</x:v>
      </x:c>
      <x:c r="AM466" s="38" t="n">
        <x:v>-0.0495832841</x:v>
      </x:c>
      <x:c r="AN466" s="38" t="n">
        <x:v>-0.1395980608</x:v>
      </x:c>
      <x:c r="AO466" s="38" t="n">
        <x:v>0.0653740243</x:v>
      </x:c>
      <x:c r="AP466" s="38" t="n">
        <x:v>0.0073451016</x:v>
      </x:c>
      <x:c r="AQ466" s="38" t="n">
        <x:v>0.0778122605</x:v>
      </x:c>
      <x:c r="AR466" s="38" t="n">
        <x:v>0.0512876475</x:v>
      </x:c>
      <x:c r="AS466" s="38" t="n">
        <x:v>0.0714071347</x:v>
      </x:c>
    </x:row>
    <x:row r="467" ht="19" customHeight="1">
      <x:c r="A467" s="29" t="str">
        <x:v>Other sectors</x:v>
      </x:c>
      <x:c r="B467" s="39" t="d">
        <x:v>2025-03-24T00:00:00.000Z</x:v>
      </x:c>
      <x:c r="C467" s="38" t="n">
        <x:v>-0.0740297983</x:v>
      </x:c>
      <x:c r="D467" s="38" t="n">
        <x:v>-0.1259602202</x:v>
      </x:c>
      <x:c r="E467" s="38" t="n">
        <x:v>-0.0284710316</x:v>
      </x:c>
      <x:c r="F467" s="38" t="n">
        <x:v>-0.0429000458</x:v>
      </x:c>
      <x:c r="G467" s="38" t="n">
        <x:v>-0.1008879057</x:v>
      </x:c>
      <x:c r="H467" s="38" t="n">
        <x:v>-0.055054128</x:v>
      </x:c>
      <x:c r="I467" s="38" t="n">
        <x:v>0.0684034078</x:v>
      </x:c>
      <x:c r="J467" s="38" t="n">
        <x:v>-0.1154741549</x:v>
      </x:c>
      <x:c r="K467" s="38" t="n">
        <x:v>-0.0025327972</x:v>
      </x:c>
      <x:c r="L467" s="38" t="n">
        <x:v>-0.0222300467</x:v>
      </x:c>
      <x:c r="M467" s="38" t="n">
        <x:v>-0.0978726825</x:v>
      </x:c>
      <x:c r="N467" s="38" t="n">
        <x:v>-0.037410479</x:v>
      </x:c>
      <x:c r="O467" s="38" t="n">
        <x:v>-0.04498433</x:v>
      </x:c>
      <x:c r="P467" s="38" t="n">
        <x:v>-0.0601597857</x:v>
      </x:c>
      <x:c r="Q467" s="38" t="n">
        <x:v>-0.0400900327</x:v>
      </x:c>
      <x:c r="R467" s="38" t="n">
        <x:v>-0.1853427449</x:v>
      </x:c>
      <x:c r="S467" s="38" t="n">
        <x:v>0.0194336678</x:v>
      </x:c>
      <x:c r="T467" s="38" t="n">
        <x:v>-0.0346355352</x:v>
      </x:c>
      <x:c r="U467" s="38" t="n">
        <x:v>-0.0046962969</x:v>
      </x:c>
      <x:c r="V467" s="38" t="n">
        <x:v>0.0486120628</x:v>
      </x:c>
      <x:c r="W467" s="38" t="n">
        <x:v>-0.1145150201</x:v>
      </x:c>
      <x:c r="X467" s="38" t="n">
        <x:v>0.0169249827</x:v>
      </x:c>
      <x:c r="Y467" s="38" t="n">
        <x:v>0.0832215847</x:v>
      </x:c>
      <x:c r="Z467" s="38" t="n">
        <x:v>0.0557063399</x:v>
      </x:c>
      <x:c r="AA467" s="38" t="n">
        <x:v>-0.0231397652</x:v>
      </x:c>
      <x:c r="AB467" s="38" t="n">
        <x:v>0.2286818695</x:v>
      </x:c>
      <x:c r="AC467" s="38" t="n">
        <x:v>-0.0414557256</x:v>
      </x:c>
      <x:c r="AD467" s="38" t="n">
        <x:v>-0.0424077968</x:v>
      </x:c>
      <x:c r="AE467" s="38" t="n">
        <x:v>0.054811798</x:v>
      </x:c>
      <x:c r="AF467" s="38" t="n">
        <x:v>-0.1724071</x:v>
      </x:c>
      <x:c r="AG467" s="38" t="n">
        <x:v>-0.000132724</x:v>
      </x:c>
      <x:c r="AH467" s="38" t="n">
        <x:v>0.1315593554</x:v>
      </x:c>
      <x:c r="AI467" s="38" t="n">
        <x:v>0.2234023277</x:v>
      </x:c>
      <x:c r="AJ467" s="38" t="n">
        <x:v>-0.1288310653</x:v>
      </x:c>
      <x:c r="AK467" s="38" t="n">
        <x:v>-0.0231953361</x:v>
      </x:c>
      <x:c r="AL467" s="38" t="n">
        <x:v>0.1456699729</x:v>
      </x:c>
      <x:c r="AM467" s="38" t="n">
        <x:v>0.038339858</x:v>
      </x:c>
      <x:c r="AN467" s="38" t="n">
        <x:v>-0.0104305202</x:v>
      </x:c>
      <x:c r="AO467" s="38" t="n">
        <x:v>-0.0779382773</x:v>
      </x:c>
      <x:c r="AP467" s="38" t="n">
        <x:v>-0.086412917</x:v>
      </x:c>
      <x:c r="AQ467" s="38" t="n">
        <x:v>-0.0226909929</x:v>
      </x:c>
      <x:c r="AR467" s="38" t="n">
        <x:v>-0.0415804811</x:v>
      </x:c>
      <x:c r="AS467" s="38" t="n">
        <x:v>0.0072006246</x:v>
      </x:c>
    </x:row>
    <x:row r="468" ht="19" customHeight="1">
      <x:c r="A468" s="29" t="str">
        <x:v>Other sectors</x:v>
      </x:c>
      <x:c r="B468" s="39" t="d">
        <x:v>2025-04-21T00:00:00.000Z</x:v>
      </x:c>
      <x:c r="C468" s="38" t="n">
        <x:v>0.0235038902</x:v>
      </x:c>
      <x:c r="D468" s="38" t="n">
        <x:v>0.0778306043</x:v>
      </x:c>
      <x:c r="E468" s="38" t="n">
        <x:v>-0.0572076297</x:v>
      </x:c>
      <x:c r="F468" s="38" t="n">
        <x:v>-0.0087537859</x:v>
      </x:c>
      <x:c r="G468" s="38" t="n">
        <x:v>-0.1127310091</x:v>
      </x:c>
      <x:c r="H468" s="38" t="n">
        <x:v>-0.027586657</x:v>
      </x:c>
      <x:c r="I468" s="38" t="n">
        <x:v>-0.1375769888</x:v>
      </x:c>
      <x:c r="J468" s="38" t="n">
        <x:v>0.0859191351</x:v>
      </x:c>
      <x:c r="K468" s="38" t="n">
        <x:v>-0.1276470513</x:v>
      </x:c>
      <x:c r="L468" s="38" t="n">
        <x:v>-0.012938914</x:v>
      </x:c>
      <x:c r="M468" s="38" t="n">
        <x:v>0.0958126091</x:v>
      </x:c>
      <x:c r="N468" s="38" t="n">
        <x:v>0.0958321275</x:v>
      </x:c>
      <x:c r="O468" s="38" t="n">
        <x:v>-0.0448654211</x:v>
      </x:c>
      <x:c r="P468" s="38" t="n">
        <x:v>-0.0446529975</x:v>
      </x:c>
      <x:c r="Q468" s="38" t="n">
        <x:v>0.0437762525</x:v>
      </x:c>
      <x:c r="R468" s="38" t="n">
        <x:v>-0.0622793263</x:v>
      </x:c>
      <x:c r="S468" s="38" t="n">
        <x:v>0.0113284314</x:v>
      </x:c>
      <x:c r="T468" s="38" t="n">
        <x:v>0.0814861132</x:v>
      </x:c>
      <x:c r="U468" s="38" t="n">
        <x:v>-0.2708398057</x:v>
      </x:c>
      <x:c r="V468" s="38" t="n">
        <x:v>0.0370603716</x:v>
      </x:c>
      <x:c r="W468" s="38" t="n">
        <x:v>0.0868168209</x:v>
      </x:c>
      <x:c r="X468" s="38" t="n">
        <x:v>-0.0858691897</x:v>
      </x:c>
      <x:c r="Y468" s="38" t="n">
        <x:v>-0.1810159556</x:v>
      </x:c>
      <x:c r="Z468" s="38" t="n">
        <x:v>0.0716162761</x:v>
      </x:c>
      <x:c r="AA468" s="38" t="n">
        <x:v>-0.0948530321</x:v>
      </x:c>
      <x:c r="AB468" s="38" t="n">
        <x:v>-0.1542898182</x:v>
      </x:c>
      <x:c r="AC468" s="38" t="n">
        <x:v>-0.1095904821</x:v>
      </x:c>
      <x:c r="AD468" s="38" t="n">
        <x:v>-0.0677422068</x:v>
      </x:c>
      <x:c r="AE468" s="38" t="n">
        <x:v>-0.0446617961</x:v>
      </x:c>
      <x:c r="AF468" s="38" t="n">
        <x:v>0.0670242274</x:v>
      </x:c>
      <x:c r="AG468" s="38" t="n">
        <x:v>-0.0856420546</x:v>
      </x:c>
      <x:c r="AH468" s="38" t="n">
        <x:v>0.0711745711</x:v>
      </x:c>
      <x:c r="AI468" s="38" t="n">
        <x:v>-0.3411996155</x:v>
      </x:c>
      <x:c r="AJ468" s="38" t="n">
        <x:v>0.1772871363</x:v>
      </x:c>
      <x:c r="AK468" s="38" t="n">
        <x:v>-0.065722245</x:v>
      </x:c>
      <x:c r="AL468" s="38" t="n">
        <x:v>-0.0520601536</x:v>
      </x:c>
      <x:c r="AM468" s="38" t="n">
        <x:v>-0.0795200549</x:v>
      </x:c>
      <x:c r="AN468" s="38" t="n">
        <x:v>-0.0102031874</x:v>
      </x:c>
      <x:c r="AO468" s="38" t="n">
        <x:v>0.0314362893</x:v>
      </x:c>
      <x:c r="AP468" s="38" t="n">
        <x:v>-0.0632588619</x:v>
      </x:c>
      <x:c r="AQ468" s="38" t="n">
        <x:v>-0.0272381148</x:v>
      </x:c>
      <x:c r="AR468" s="38" t="n">
        <x:v>-0.0647176155</x:v>
      </x:c>
      <x:c r="AS468" s="38" t="n">
        <x:v>-0.0273245049</x:v>
      </x:c>
    </x:row>
    <x:row r="469" ht="19" customHeight="1">
      <x:c r="A469" s="29" t="str">
        <x:v>Other sectors</x:v>
      </x:c>
      <x:c r="B469" s="39" t="d">
        <x:v>2025-05-19T00:00:00.000Z</x:v>
      </x:c>
      <x:c r="C469" s="38" t="n">
        <x:v>0.0279171119</x:v>
      </x:c>
      <x:c r="D469" s="38" t="n">
        <x:v>-0.064178185</x:v>
      </x:c>
      <x:c r="E469" s="38" t="n">
        <x:v>-0.0869693851</x:v>
      </x:c>
      <x:c r="F469" s="38" t="n">
        <x:v>-0.0694937476</x:v>
      </x:c>
      <x:c r="G469" s="38" t="n">
        <x:v>0.1225048846</x:v>
      </x:c>
      <x:c r="H469" s="38" t="n">
        <x:v>-0.0951467806</x:v>
      </x:c>
      <x:c r="I469" s="38" t="n">
        <x:v>-0.0625363934</x:v>
      </x:c>
      <x:c r="J469" s="38" t="n">
        <x:v>-0.030046175</x:v>
      </x:c>
      <x:c r="K469" s="38" t="n">
        <x:v>0.0585983391</x:v>
      </x:c>
      <x:c r="L469" s="38" t="n">
        <x:v>0.1628147901</x:v>
      </x:c>
      <x:c r="M469" s="38" t="n">
        <x:v>0.2151156238</x:v>
      </x:c>
      <x:c r="N469" s="38" t="n">
        <x:v>0.1378872771</x:v>
      </x:c>
      <x:c r="O469" s="38" t="n">
        <x:v>0.0053923211</x:v>
      </x:c>
      <x:c r="P469" s="38" t="n">
        <x:v>-0.0419987097</x:v>
      </x:c>
      <x:c r="Q469" s="38" t="n">
        <x:v>-0.010521758</x:v>
      </x:c>
      <x:c r="R469" s="38" t="n">
        <x:v>-0.2570781433</x:v>
      </x:c>
      <x:c r="S469" s="38" t="n">
        <x:v>0.0434854319</x:v>
      </x:c>
      <x:c r="T469" s="38" t="n">
        <x:v>0.1547879258</x:v>
      </x:c>
      <x:c r="U469" s="38" t="n">
        <x:v>-0.012268467</x:v>
      </x:c>
      <x:c r="V469" s="38" t="n">
        <x:v>-0.0063430395</x:v>
      </x:c>
      <x:c r="W469" s="38" t="n">
        <x:v>0.0002542224</x:v>
      </x:c>
      <x:c r="X469" s="38" t="n">
        <x:v>-0.0676190923</x:v>
      </x:c>
      <x:c r="Y469" s="38" t="n">
        <x:v>-0.0110173254</x:v>
      </x:c>
      <x:c r="Z469" s="38" t="n">
        <x:v>-0.0764756106</x:v>
      </x:c>
      <x:c r="AA469" s="38" t="n">
        <x:v>0.0200327307</x:v>
      </x:c>
      <x:c r="AB469" s="38" t="n">
        <x:v>0.2115168244</x:v>
      </x:c>
      <x:c r="AC469" s="38" t="n">
        <x:v>-0.3772382108</x:v>
      </x:c>
      <x:c r="AD469" s="38" t="n">
        <x:v>-0.0397542835</x:v>
      </x:c>
      <x:c r="AE469" s="38" t="n">
        <x:v>-0.0388268411</x:v>
      </x:c>
      <x:c r="AF469" s="38" t="n">
        <x:v>-0.0311695118</x:v>
      </x:c>
      <x:c r="AG469" s="38" t="n">
        <x:v>0.0376324421</x:v>
      </x:c>
      <x:c r="AH469" s="38" t="n">
        <x:v>-0.0877554263</x:v>
      </x:c>
      <x:c r="AI469" s="38" t="n">
        <x:v>-0.0855155849</x:v>
      </x:c>
      <x:c r="AJ469" s="38" t="n">
        <x:v>-0.1609602571</x:v>
      </x:c>
      <x:c r="AK469" s="38" t="n">
        <x:v>0.0229135288</x:v>
      </x:c>
      <x:c r="AL469" s="38" t="n">
        <x:v>0.0152898602</x:v>
      </x:c>
      <x:c r="AM469" s="38" t="n">
        <x:v>0.1104206912</x:v>
      </x:c>
      <x:c r="AN469" s="38" t="n">
        <x:v>-0.0373256198</x:v>
      </x:c>
      <x:c r="AO469" s="38" t="n">
        <x:v>-0.0575613524</x:v>
      </x:c>
      <x:c r="AP469" s="38" t="n">
        <x:v>-0.1209552857</x:v>
      </x:c>
      <x:c r="AQ469" s="38" t="n">
        <x:v>-0.0470083444</x:v>
      </x:c>
      <x:c r="AR469" s="38" t="n">
        <x:v>0.0581995002</x:v>
      </x:c>
      <x:c r="AS469" s="38" t="n">
        <x:v>-0.0865734858</x:v>
      </x:c>
    </x:row>
    <x:row r="470" ht="19" customHeight="1">
      <x:c r="A470" s="29" t="str">
        <x:v>Other sectors</x:v>
      </x:c>
      <x:c r="B470" s="39" t="d">
        <x:v>2025-06-16T00:00:00.000Z</x:v>
      </x:c>
      <x:c r="C470" s="38" t="n">
        <x:v>0.204504954</x:v>
      </x:c>
      <x:c r="D470" s="38" t="n">
        <x:v>-0.0831311649</x:v>
      </x:c>
      <x:c r="E470" s="38" t="n">
        <x:v>-0.0146317343</x:v>
      </x:c>
      <x:c r="F470" s="38" t="n">
        <x:v>-0.0328283284</x:v>
      </x:c>
      <x:c r="G470" s="38" t="n">
        <x:v>0.0677236755</x:v>
      </x:c>
      <x:c r="H470" s="38" t="n">
        <x:v>0.0922659108</x:v>
      </x:c>
      <x:c r="I470" s="38" t="n">
        <x:v>0.0144296346</x:v>
      </x:c>
      <x:c r="J470" s="38" t="n">
        <x:v>-0.0072538309</x:v>
      </x:c>
      <x:c r="K470" s="38" t="n">
        <x:v>0.1198723606</x:v>
      </x:c>
      <x:c r="L470" s="38" t="n">
        <x:v>-0.0180920195</x:v>
      </x:c>
      <x:c r="M470" s="38" t="n">
        <x:v>0.0395812599</x:v>
      </x:c>
      <x:c r="N470" s="38" t="n">
        <x:v>0.002961603</x:v>
      </x:c>
      <x:c r="O470" s="38" t="n">
        <x:v>0.0492484048</x:v>
      </x:c>
      <x:c r="P470" s="38" t="n">
        <x:v>0.1789444732</x:v>
      </x:c>
      <x:c r="Q470" s="38" t="n">
        <x:v>0.0837571729</x:v>
      </x:c>
      <x:c r="R470" s="38" t="n">
        <x:v>-0.2278397446</x:v>
      </x:c>
      <x:c r="S470" s="38" t="n">
        <x:v>-0.0818139259</x:v>
      </x:c>
      <x:c r="T470" s="38" t="n">
        <x:v>0.0809858751</x:v>
      </x:c>
      <x:c r="U470" s="38" t="n">
        <x:v>-0.0231976621</x:v>
      </x:c>
      <x:c r="V470" s="38" t="n">
        <x:v>0.097517274</x:v>
      </x:c>
      <x:c r="W470" s="38" t="n">
        <x:v>-0.0175235167</x:v>
      </x:c>
      <x:c r="X470" s="38" t="n">
        <x:v>-0.0344246968</x:v>
      </x:c>
      <x:c r="Y470" s="38" t="n">
        <x:v>0.2383827543</x:v>
      </x:c>
      <x:c r="Z470" s="38" t="n">
        <x:v>0.1188580952</x:v>
      </x:c>
      <x:c r="AA470" s="38" t="n">
        <x:v>-0.067849359</x:v>
      </x:c>
      <x:c r="AB470" s="38" t="n">
        <x:v>-0.0333072769</x:v>
      </x:c>
      <x:c r="AC470" s="38" t="n">
        <x:v>0.2288388523</x:v>
      </x:c>
      <x:c r="AD470" s="38" t="n">
        <x:v>-0.008610031</x:v>
      </x:c>
      <x:c r="AE470" s="38" t="n">
        <x:v>0.0191782198</x:v>
      </x:c>
      <x:c r="AF470" s="38" t="n">
        <x:v>-0.0389002395</x:v>
      </x:c>
      <x:c r="AG470" s="38" t="n">
        <x:v>-0.0399252229</x:v>
      </x:c>
      <x:c r="AH470" s="38" t="n">
        <x:v>0.0921688456</x:v>
      </x:c>
      <x:c r="AI470" s="38" t="n">
        <x:v>0.0029011535</x:v>
      </x:c>
      <x:c r="AJ470" s="38" t="n">
        <x:v>0.0108114409</x:v>
      </x:c>
      <x:c r="AK470" s="38" t="n">
        <x:v>-0.0316781639</x:v>
      </x:c>
      <x:c r="AL470" s="38" t="n">
        <x:v>-0.1767535997</x:v>
      </x:c>
      <x:c r="AM470" s="38" t="n">
        <x:v>-0.0167776519</x:v>
      </x:c>
      <x:c r="AN470" s="38" t="n">
        <x:v>-0.1296413574</x:v>
      </x:c>
      <x:c r="AO470" s="38" t="n">
        <x:v>-0.0234195143</x:v>
      </x:c>
      <x:c r="AP470" s="38" t="n">
        <x:v>-0.0238295048</x:v>
      </x:c>
      <x:c r="AQ470" s="38" t="n">
        <x:v>-0.0555741371</x:v>
      </x:c>
      <x:c r="AR470" s="38" t="n">
        <x:v>-0.0233647499</x:v>
      </x:c>
      <x:c r="AS470" s="38" t="n">
        <x:v>-0.0587899489</x:v>
      </x:c>
    </x:row>
    <x:row r="471" ht="19" customHeight="1">
      <x:c r="A471" s="29" t="str">
        <x:v>Other sectors</x:v>
      </x:c>
      <x:c r="B471" s="39" t="d">
        <x:v>2025-07-14T00:00:00.000Z</x:v>
      </x:c>
      <x:c r="C471" s="38" t="n">
        <x:v>-0.1364699811</x:v>
      </x:c>
      <x:c r="D471" s="38" t="n">
        <x:v>-0.2119052507</x:v>
      </x:c>
      <x:c r="E471" s="38" t="n">
        <x:v>0.0500221132</x:v>
      </x:c>
      <x:c r="F471" s="38" t="n">
        <x:v>0.027110745</x:v>
      </x:c>
      <x:c r="G471" s="38" t="n">
        <x:v>-0.0023116501</x:v>
      </x:c>
      <x:c r="H471" s="38" t="n">
        <x:v>-0.0334638327</x:v>
      </x:c>
      <x:c r="I471" s="38" t="n">
        <x:v>0.0353746473</x:v>
      </x:c>
      <x:c r="J471" s="38" t="n">
        <x:v>-0.068544673</x:v>
      </x:c>
      <x:c r="K471" s="38" t="n">
        <x:v>-0.0035989399</x:v>
      </x:c>
      <x:c r="L471" s="38" t="n">
        <x:v>0.0732634619</x:v>
      </x:c>
      <x:c r="M471" s="38" t="n">
        <x:v>-0.0149764486</x:v>
      </x:c>
      <x:c r="N471" s="38" t="n">
        <x:v>0.0196456285</x:v>
      </x:c>
      <x:c r="O471" s="38" t="n">
        <x:v>0.0152629956</x:v>
      </x:c>
      <x:c r="P471" s="38" t="n">
        <x:v>-0.0272387934</x:v>
      </x:c>
      <x:c r="Q471" s="38" t="n">
        <x:v>-0.080839134</x:v>
      </x:c>
      <x:c r="R471" s="38" t="n">
        <x:v>0.0047549902</x:v>
      </x:c>
      <x:c r="S471" s="38" t="n">
        <x:v>0.008036676</x:v>
      </x:c>
      <x:c r="T471" s="38" t="n">
        <x:v>0.0657010669</x:v>
      </x:c>
      <x:c r="U471" s="38" t="n">
        <x:v>0.211297097</x:v>
      </x:c>
      <x:c r="V471" s="38" t="n">
        <x:v>-0.1103793357</x:v>
      </x:c>
      <x:c r="W471" s="38" t="n">
        <x:v>-0.1024084072</x:v>
      </x:c>
      <x:c r="X471" s="38" t="n">
        <x:v>0.0405045453</x:v>
      </x:c>
      <x:c r="Y471" s="38" t="n">
        <x:v>-0.3005010645</x:v>
      </x:c>
      <x:c r="Z471" s="38" t="n">
        <x:v>-0.0517252828</x:v>
      </x:c>
      <x:c r="AA471" s="38" t="n">
        <x:v>-0.0923061998</x:v>
      </x:c>
      <x:c r="AB471" s="38" t="n">
        <x:v>0.1181275905</x:v>
      </x:c>
      <x:c r="AC471" s="38" t="n">
        <x:v>0.3101495744</x:v>
      </x:c>
      <x:c r="AD471" s="38" t="n">
        <x:v>-0.0399817272</x:v>
      </x:c>
      <x:c r="AE471" s="38" t="n">
        <x:v>-0.0259827703</x:v>
      </x:c>
      <x:c r="AF471" s="38" t="n">
        <x:v>0.0676936867</x:v>
      </x:c>
      <x:c r="AG471" s="38" t="n">
        <x:v>0.1201221082</x:v>
      </x:c>
      <x:c r="AH471" s="38" t="n">
        <x:v>0.0667815753</x:v>
      </x:c>
      <x:c r="AI471" s="38" t="n">
        <x:v>0.1117322589</x:v>
      </x:c>
      <x:c r="AJ471" s="38" t="n">
        <x:v>0.0269098228</x:v>
      </x:c>
      <x:c r="AK471" s="38" t="n">
        <x:v>0.0601586456</x:v>
      </x:c>
      <x:c r="AL471" s="38" t="n">
        <x:v>-0.1779615785</x:v>
      </x:c>
      <x:c r="AM471" s="38" t="n">
        <x:v>0.0326881859</x:v>
      </x:c>
      <x:c r="AN471" s="38" t="n">
        <x:v>0.0462512616</x:v>
      </x:c>
      <x:c r="AO471" s="38" t="n">
        <x:v>-0.0460378712</x:v>
      </x:c>
      <x:c r="AP471" s="38" t="n">
        <x:v>-0.0159242619</x:v>
      </x:c>
      <x:c r="AQ471" s="38" t="n">
        <x:v>0.0208131334</x:v>
      </x:c>
      <x:c r="AR471" s="38" t="n">
        <x:v>0.1552287021</x:v>
      </x:c>
      <x:c r="AS471" s="38" t="n">
        <x:v>-0.057320964</x:v>
      </x:c>
    </x:row>
    <x:row r="472" ht="19" customHeight="1">
      <x:c r="A472" s="29" t="str">
        <x:v>Other sectors</x:v>
      </x:c>
      <x:c r="B472" s="39" t="d">
        <x:v>2025-08-11T00:00:00.000Z</x:v>
      </x:c>
      <x:c r="C472" s="38" t="n">
        <x:v>-0.0051565136</x:v>
      </x:c>
      <x:c r="D472" s="38" t="n">
        <x:v>-0.090448046</x:v>
      </x:c>
      <x:c r="E472" s="38" t="n">
        <x:v>0.036873588</x:v>
      </x:c>
      <x:c r="F472" s="38" t="n">
        <x:v>0.0161450765</x:v>
      </x:c>
      <x:c r="G472" s="38" t="n">
        <x:v>-0.0712685305</x:v>
      </x:c>
      <x:c r="H472" s="38" t="n">
        <x:v>-0.2966484265</x:v>
      </x:c>
      <x:c r="I472" s="38" t="n">
        <x:v>-0.0521868993</x:v>
      </x:c>
      <x:c r="J472" s="38" t="n">
        <x:v>0.2368036562</x:v>
      </x:c>
      <x:c r="K472" s="38" t="n">
        <x:v>0.0708800509</x:v>
      </x:c>
      <x:c r="L472" s="38" t="n">
        <x:v>-0.0836669993</x:v>
      </x:c>
      <x:c r="M472" s="38" t="n">
        <x:v>-0.0680273909</x:v>
      </x:c>
      <x:c r="N472" s="38" t="n">
        <x:v>-0.0358856546</x:v>
      </x:c>
      <x:c r="O472" s="38" t="n">
        <x:v>0.0369158482</x:v>
      </x:c>
      <x:c r="P472" s="38" t="n">
        <x:v>0.2322507325</x:v>
      </x:c>
      <x:c r="Q472" s="38" t="n">
        <x:v>0.1798334475</x:v>
      </x:c>
      <x:c r="R472" s="38" t="n">
        <x:v>0.086237445</x:v>
      </x:c>
      <x:c r="S472" s="38" t="n">
        <x:v>-0.0191198487</x:v>
      </x:c>
      <x:c r="T472" s="38" t="n">
        <x:v>-0.0361483531</x:v>
      </x:c>
      <x:c r="U472" s="38" t="n">
        <x:v>-0.1605700035</x:v>
      </x:c>
      <x:c r="V472" s="38" t="n">
        <x:v>-0.0362242473</x:v>
      </x:c>
      <x:c r="W472" s="38" t="n">
        <x:v>-0.029038991</x:v>
      </x:c>
      <x:c r="X472" s="38" t="n">
        <x:v>-0.0802313619</x:v>
      </x:c>
      <x:c r="Y472" s="38" t="n">
        <x:v>0.1220045881</x:v>
      </x:c>
      <x:c r="Z472" s="38" t="n">
        <x:v>0.2698010788</x:v>
      </x:c>
      <x:c r="AA472" s="38" t="n">
        <x:v>0.0011126159</x:v>
      </x:c>
      <x:c r="AB472" s="38" t="n">
        <x:v>0.0877525446</x:v>
      </x:c>
      <x:c r="AC472" s="38" t="n">
        <x:v>-0.2715602357</x:v>
      </x:c>
      <x:c r="AD472" s="38" t="n">
        <x:v>-0.0330766218</x:v>
      </x:c>
      <x:c r="AE472" s="38" t="n">
        <x:v>0.0336960354</x:v>
      </x:c>
      <x:c r="AF472" s="38" t="n">
        <x:v>0.0273413494</x:v>
      </x:c>
      <x:c r="AG472" s="38" t="n">
        <x:v>0.0235742146</x:v>
      </x:c>
      <x:c r="AH472" s="38" t="n">
        <x:v>0.0277780096</x:v>
      </x:c>
      <x:c r="AI472" s="38" t="n">
        <x:v>0.1292343573</x:v>
      </x:c>
      <x:c r="AJ472" s="38" t="n">
        <x:v>-0.1874400234</x:v>
      </x:c>
      <x:c r="AK472" s="38" t="n">
        <x:v>0.0169842499</x:v>
      </x:c>
      <x:c r="AL472" s="38" t="n">
        <x:v>-0.1515802057</x:v>
      </x:c>
      <x:c r="AM472" s="38" t="n">
        <x:v>-0.0405143954</x:v>
      </x:c>
      <x:c r="AN472" s="38" t="n">
        <x:v>0.0516012057</x:v>
      </x:c>
      <x:c r="AO472" s="38" t="n">
        <x:v>-0.0141782679</x:v>
      </x:c>
      <x:c r="AP472" s="38" t="n">
        <x:v>0.1361925298</x:v>
      </x:c>
      <x:c r="AQ472" s="38" t="n">
        <x:v>-0.0072739107</x:v>
      </x:c>
      <x:c r="AR472" s="38" t="n">
        <x:v>0.0627477006</x:v>
      </x:c>
      <x:c r="AS472" s="38" t="n">
        <x:v>-0.0003891601</x:v>
      </x:c>
    </x:row>
    <x:row r="473" ht="19" customHeight="1">
      <x:c r="A473" s="29" t="str">
        <x:v>Other sectors</x:v>
      </x:c>
      <x:c r="B473" s="39" t="d">
        <x:v>2025-09-08T00:00:00.000Z</x:v>
      </x:c>
      <x:c r="C473" s="38" t="n">
        <x:v>0.0807717051</x:v>
      </x:c>
      <x:c r="D473" s="38" t="n">
        <x:v>-0.2741875769</x:v>
      </x:c>
      <x:c r="E473" s="38" t="n">
        <x:v>-0.0267462316</x:v>
      </x:c>
      <x:c r="F473" s="38" t="n">
        <x:v>0.0129461899</x:v>
      </x:c>
      <x:c r="G473" s="38" t="n">
        <x:v>-0.042349101</x:v>
      </x:c>
      <x:c r="H473" s="38" t="n">
        <x:v>-0.2195707063</x:v>
      </x:c>
      <x:c r="I473" s="38" t="n">
        <x:v>-0.081544717</x:v>
      </x:c>
      <x:c r="J473" s="38" t="n">
        <x:v>0.0604810355</x:v>
      </x:c>
      <x:c r="K473" s="38" t="n">
        <x:v>0.2514411848</x:v>
      </x:c>
      <x:c r="L473" s="38" t="n">
        <x:v>0.1210619816</x:v>
      </x:c>
      <x:c r="M473" s="38" t="n">
        <x:v>-0.0401628451</x:v>
      </x:c>
      <x:c r="N473" s="38" t="n">
        <x:v>-0.0403629986</x:v>
      </x:c>
      <x:c r="O473" s="38" t="n">
        <x:v>0.0353643195</x:v>
      </x:c>
      <x:c r="P473" s="38" t="n">
        <x:v>0.2858494299</x:v>
      </x:c>
      <x:c r="Q473" s="38" t="n">
        <x:v>-0.0392460783</x:v>
      </x:c>
      <x:c r="R473" s="38" t="n">
        <x:v>0.1559011558</x:v>
      </x:c>
      <x:c r="S473" s="38" t="n">
        <x:v>-0.0609068475</x:v>
      </x:c>
      <x:c r="T473" s="38" t="n">
        <x:v>-0.019882449</x:v>
      </x:c>
      <x:c r="U473" s="38" t="n">
        <x:v>-0.2956886188</x:v>
      </x:c>
      <x:c r="V473" s="38" t="n">
        <x:v>0.0290709262</x:v>
      </x:c>
      <x:c r="W473" s="38" t="n">
        <x:v>-0.1016386878</x:v>
      </x:c>
      <x:c r="X473" s="38" t="n">
        <x:v>-0.0563017454</x:v>
      </x:c>
      <x:c r="Y473" s="38" t="n">
        <x:v>0.2963271213</x:v>
      </x:c>
      <x:c r="Z473" s="38" t="n">
        <x:v>0.1090115526</x:v>
      </x:c>
      <x:c r="AA473" s="38" t="n">
        <x:v>0.01101529</x:v>
      </x:c>
      <x:c r="AB473" s="38" t="n">
        <x:v>-0.1295181582</x:v>
      </x:c>
      <x:c r="AC473" s="38" t="n">
        <x:v>-0.1594170753</x:v>
      </x:c>
      <x:c r="AD473" s="38" t="n">
        <x:v>0.0705253345</x:v>
      </x:c>
      <x:c r="AE473" s="38" t="n">
        <x:v>-0.0580204812</x:v>
      </x:c>
      <x:c r="AF473" s="38" t="n">
        <x:v>0.2202382708</x:v>
      </x:c>
      <x:c r="AG473" s="38" t="n">
        <x:v>-0.1382933429</x:v>
      </x:c>
      <x:c r="AH473" s="38" t="n">
        <x:v>0.0299017985</x:v>
      </x:c>
      <x:c r="AI473" s="38" t="n">
        <x:v>-0.193594152</x:v>
      </x:c>
      <x:c r="AJ473" s="38" t="n">
        <x:v>0.0770860252</x:v>
      </x:c>
      <x:c r="AK473" s="38" t="n">
        <x:v>-0.0104565802</x:v>
      </x:c>
      <x:c r="AL473" s="38" t="n">
        <x:v>0.074935405</x:v>
      </x:c>
      <x:c r="AM473" s="38" t="n">
        <x:v>-0.0652323079</x:v>
      </x:c>
      <x:c r="AN473" s="38" t="n">
        <x:v>0.0747363369</x:v>
      </x:c>
      <x:c r="AO473" s="38" t="n">
        <x:v>-0.0071377959</x:v>
      </x:c>
      <x:c r="AP473" s="38" t="n">
        <x:v>0.072544815</x:v>
      </x:c>
      <x:c r="AQ473" s="38" t="n">
        <x:v>-0.0086484603</x:v>
      </x:c>
      <x:c r="AR473" s="38" t="n">
        <x:v>0.0243810707</x:v>
      </x:c>
      <x:c r="AS473" s="38" t="n">
        <x:v>0.0433245453</x:v>
      </x:c>
    </x:row>
    <x:row r="474" ht="19" customHeight="1">
      <x:c r="A474" s="29" t="str">
        <x:v>Other sectors</x:v>
      </x:c>
      <x:c r="B474" s="39" t="d">
        <x:v>2025-10-06T00:00:00.000Z</x:v>
      </x:c>
      <x:c r="C474" s="38" t="n">
        <x:v>-0.1445452666</x:v>
      </x:c>
      <x:c r="D474" s="38" t="n">
        <x:v>0.118172487</x:v>
      </x:c>
      <x:c r="E474" s="38" t="n">
        <x:v>0.0419301292</x:v>
      </x:c>
      <x:c r="F474" s="38" t="n">
        <x:v>-0.0125606216</x:v>
      </x:c>
      <x:c r="G474" s="38" t="n">
        <x:v>0.0136166724</x:v>
      </x:c>
      <x:c r="H474" s="38" t="n">
        <x:v>0.0737653011</x:v>
      </x:c>
      <x:c r="I474" s="38" t="n">
        <x:v>-0.0551765521</x:v>
      </x:c>
      <x:c r="J474" s="38" t="n">
        <x:v>0.1201764741</x:v>
      </x:c>
      <x:c r="K474" s="38" t="n">
        <x:v>0.0493106644</x:v>
      </x:c>
      <x:c r="L474" s="38" t="n">
        <x:v>0.0578138141</x:v>
      </x:c>
      <x:c r="M474" s="38" t="n">
        <x:v>0.1308514734</x:v>
      </x:c>
      <x:c r="N474" s="38" t="n">
        <x:v>0.1408188674</x:v>
      </x:c>
      <x:c r="O474" s="38" t="n">
        <x:v>-0.0260375853</x:v>
      </x:c>
      <x:c r="P474" s="38" t="n">
        <x:v>0.1268052153</x:v>
      </x:c>
      <x:c r="Q474" s="38" t="n">
        <x:v>0.0890588806</x:v>
      </x:c>
      <x:c r="R474" s="38" t="n">
        <x:v>-0.0025137116</x:v>
      </x:c>
      <x:c r="S474" s="38" t="n">
        <x:v>0.0695895143</x:v>
      </x:c>
      <x:c r="T474" s="38" t="n">
        <x:v>0.0060842193</x:v>
      </x:c>
      <x:c r="U474" s="38" t="n">
        <x:v>0.1983245651</x:v>
      </x:c>
      <x:c r="V474" s="38" t="n">
        <x:v>0.0008230396</x:v>
      </x:c>
      <x:c r="W474" s="38" t="n">
        <x:v>0.0060009575</x:v>
      </x:c>
      <x:c r="X474" s="38" t="n">
        <x:v>-0.0321717023</x:v>
      </x:c>
      <x:c r="Y474" s="38" t="n">
        <x:v>0.0260737964</x:v>
      </x:c>
      <x:c r="Z474" s="38" t="n">
        <x:v>0.1712984485</x:v>
      </x:c>
      <x:c r="AA474" s="38" t="n">
        <x:v>-0.0097439571</x:v>
      </x:c>
      <x:c r="AB474" s="38" t="n">
        <x:v>0.4390481908</x:v>
      </x:c>
      <x:c r="AC474" s="38" t="n">
        <x:v>-0.279113308</x:v>
      </x:c>
      <x:c r="AD474" s="38" t="n">
        <x:v>-0.0228954371</x:v>
      </x:c>
      <x:c r="AE474" s="38" t="n">
        <x:v>0.0297161423</x:v>
      </x:c>
      <x:c r="AF474" s="38" t="n">
        <x:v>-0.0887142132</x:v>
      </x:c>
      <x:c r="AG474" s="38" t="n">
        <x:v>0.0338875383</x:v>
      </x:c>
      <x:c r="AH474" s="38" t="n">
        <x:v>0.0501389987</x:v>
      </x:c>
      <x:c r="AI474" s="38" t="n">
        <x:v>0.3354752823</x:v>
      </x:c>
      <x:c r="AJ474" s="38" t="n">
        <x:v>0.073506716</x:v>
      </x:c>
      <x:c r="AK474" s="38" t="n">
        <x:v>-0.0158183823</x:v>
      </x:c>
      <x:c r="AL474" s="38" t="n">
        <x:v>0.1894385045</x:v>
      </x:c>
      <x:c r="AM474" s="38" t="n">
        <x:v>0.0026354326</x:v>
      </x:c>
      <x:c r="AN474" s="38" t="n">
        <x:v>-0.0547746543</x:v>
      </x:c>
      <x:c r="AO474" s="38" t="n">
        <x:v>0.0022986287</x:v>
      </x:c>
      <x:c r="AP474" s="38" t="n">
        <x:v>-0.0857724603</x:v>
      </x:c>
      <x:c r="AQ474" s="38" t="n">
        <x:v>0.0265705767</x:v>
      </x:c>
      <x:c r="AR474" s="38" t="n">
        <x:v>0.0632974725</x:v>
      </x:c>
      <x:c r="AS474" s="38" t="n">
        <x:v>0.0193163474</x:v>
      </x:c>
    </x:row>
    <x:row r="475" ht="19" customHeight="1">
      <x:c r="A475" s="29" t="str">
        <x:v>Other sectors</x:v>
      </x:c>
      <x:c r="B475" s="39" t="d">
        <x:v>2025-11-03T00:00:00.000Z</x:v>
      </x:c>
      <x:c r="C475" s="38" t="n">
        <x:v>-0.0636691852</x:v>
      </x:c>
      <x:c r="D475" s="38" t="n">
        <x:v>0.3017773154</x:v>
      </x:c>
      <x:c r="E475" s="38" t="n">
        <x:v>0.0752255904</x:v>
      </x:c>
      <x:c r="F475" s="38" t="n">
        <x:v>0.0296267245</x:v>
      </x:c>
      <x:c r="G475" s="38" t="n">
        <x:v>0.0200150114</x:v>
      </x:c>
      <x:c r="H475" s="38" t="n">
        <x:v>-0.3701273278</x:v>
      </x:c>
      <x:c r="I475" s="38" t="n">
        <x:v>0.1133816556</x:v>
      </x:c>
      <x:c r="J475" s="38" t="n">
        <x:v>0.1376288953</x:v>
      </x:c>
      <x:c r="K475" s="38" t="n">
        <x:v>0.3073755332</x:v>
      </x:c>
      <x:c r="L475" s="38" t="n">
        <x:v>0.0548814818</x:v>
      </x:c>
      <x:c r="M475" s="38" t="n">
        <x:v>-0.0910121389</x:v>
      </x:c>
      <x:c r="N475" s="38" t="n">
        <x:v>-0.0346072152</x:v>
      </x:c>
      <x:c r="O475" s="38" t="n">
        <x:v>-0.1833582221</x:v>
      </x:c>
      <x:c r="P475" s="38" t="n">
        <x:v>0.423779081</x:v>
      </x:c>
      <x:c r="Q475" s="38" t="n">
        <x:v>-0.1028099594</x:v>
      </x:c>
      <x:c r="R475" s="38" t="n">
        <x:v>0.311493827</x:v>
      </x:c>
      <x:c r="S475" s="38" t="n">
        <x:v>0.006509648</x:v>
      </x:c>
      <x:c r="T475" s="38" t="n">
        <x:v>0.008181548</x:v>
      </x:c>
      <x:c r="U475" s="38" t="n">
        <x:v>-0.1604973188</x:v>
      </x:c>
      <x:c r="V475" s="38" t="n">
        <x:v>-0.2612839744</x:v>
      </x:c>
      <x:c r="W475" s="38" t="n">
        <x:v>-0.0893581834</x:v>
      </x:c>
      <x:c r="X475" s="38" t="n">
        <x:v>-0.0719292848</x:v>
      </x:c>
      <x:c r="Y475" s="38" t="n">
        <x:v>0.3180372899</x:v>
      </x:c>
      <x:c r="Z475" s="38" t="n">
        <x:v>0.0150424042</x:v>
      </x:c>
      <x:c r="AA475" s="38" t="n">
        <x:v>-0.127104627</x:v>
      </x:c>
      <x:c r="AB475" s="38" t="n">
        <x:v>-0.0426963961</x:v>
      </x:c>
      <x:c r="AC475" s="38" t="n">
        <x:v>-0.3377516657</x:v>
      </x:c>
      <x:c r="AD475" s="38" t="n">
        <x:v>0.0096900958</x:v>
      </x:c>
      <x:c r="AE475" s="38" t="n">
        <x:v>0.2000776288</x:v>
      </x:c>
      <x:c r="AF475" s="38" t="n">
        <x:v>-0.1632577033</x:v>
      </x:c>
      <x:c r="AG475" s="38" t="n">
        <x:v>-0.1282972938</x:v>
      </x:c>
      <x:c r="AH475" s="38" t="n">
        <x:v>0.1230533746</x:v>
      </x:c>
      <x:c r="AI475" s="38" t="n">
        <x:v>0.09464067</x:v>
      </x:c>
      <x:c r="AJ475" s="38" t="n">
        <x:v>0.0738963397</x:v>
      </x:c>
      <x:c r="AK475" s="38" t="n">
        <x:v>0.1454293438</x:v>
      </x:c>
      <x:c r="AL475" s="38" t="n">
        <x:v>0.3076584462</x:v>
      </x:c>
      <x:c r="AM475" s="38" t="n">
        <x:v>-0.0508750422</x:v>
      </x:c>
      <x:c r="AN475" s="38" t="n">
        <x:v>0.2063454714</x:v>
      </x:c>
      <x:c r="AO475" s="38" t="n">
        <x:v>-0.0100921569</x:v>
      </x:c>
      <x:c r="AP475" s="38" t="n">
        <x:v>-0.0299276942</x:v>
      </x:c>
      <x:c r="AQ475" s="38" t="n">
        <x:v>0.0631253107</x:v>
      </x:c>
      <x:c r="AR475" s="38" t="n">
        <x:v>-0.0450292528</x:v>
      </x:c>
      <x:c r="AS475" s="38" t="n">
        <x:v>0.0402713804</x:v>
      </x:c>
    </x:row>
    <x:row r="476" ht="19" customHeight="1">
      <x:c r="A476" s="29" t="str">
        <x:v>Other sectors</x:v>
      </x:c>
      <x:c r="B476" s="39" t="d">
        <x:v>2025-12-01T00:00:00.000Z</x:v>
      </x:c>
      <x:c r="C476" s="38" t="n">
        <x:v>-0.1565400989</x:v>
      </x:c>
      <x:c r="D476" s="38" t="n">
        <x:v>0.0704477644</x:v>
      </x:c>
      <x:c r="E476" s="38" t="n">
        <x:v>0.0091485881</x:v>
      </x:c>
      <x:c r="F476" s="38" t="n">
        <x:v>0.0055324847</x:v>
      </x:c>
      <x:c r="G476" s="38" t="n">
        <x:v>-0.0989513082</x:v>
      </x:c>
      <x:c r="H476" s="38" t="n">
        <x:v>0.1131564631</x:v>
      </x:c>
      <x:c r="I476" s="38" t="n">
        <x:v>-0.1134229722</x:v>
      </x:c>
      <x:c r="J476" s="38" t="n">
        <x:v>0.0160760889</x:v>
      </x:c>
      <x:c r="K476" s="38" t="n">
        <x:v>-0.128970691</x:v>
      </x:c>
      <x:c r="L476" s="38" t="n">
        <x:v>-0.0583342373</x:v>
      </x:c>
      <x:c r="M476" s="38" t="n">
        <x:v>-0.092224204</x:v>
      </x:c>
      <x:c r="N476" s="38" t="n">
        <x:v>0.0115354349</x:v>
      </x:c>
      <x:c r="O476" s="38" t="n">
        <x:v>0.0546637146</x:v>
      </x:c>
      <x:c r="P476" s="38" t="n">
        <x:v>-0.042507723</x:v>
      </x:c>
      <x:c r="Q476" s="38" t="n">
        <x:v>0.0151016209</x:v>
      </x:c>
      <x:c r="R476" s="38" t="n">
        <x:v>-0.0580011119</x:v>
      </x:c>
      <x:c r="S476" s="38" t="n">
        <x:v>-0.0524694924</x:v>
      </x:c>
      <x:c r="T476" s="38" t="n">
        <x:v>-0.2476354653</x:v>
      </x:c>
      <x:c r="U476" s="38" t="n">
        <x:v>0.0954667228</x:v>
      </x:c>
      <x:c r="V476" s="38" t="n">
        <x:v>-0.0924203819</x:v>
      </x:c>
      <x:c r="W476" s="38" t="n">
        <x:v>-0.1472989651</x:v>
      </x:c>
      <x:c r="X476" s="38" t="n">
        <x:v>-0.0586299987</x:v>
      </x:c>
      <x:c r="Y476" s="38" t="n">
        <x:v>-0.1413008061</x:v>
      </x:c>
      <x:c r="Z476" s="38" t="n">
        <x:v>-0.0339566165</x:v>
      </x:c>
      <x:c r="AA476" s="38" t="n">
        <x:v>0.0114508437</x:v>
      </x:c>
      <x:c r="AB476" s="38" t="n">
        <x:v>0.0747524881</x:v>
      </x:c>
      <x:c r="AC476" s="38" t="n">
        <x:v>0.2736171445</x:v>
      </x:c>
      <x:c r="AD476" s="38" t="n">
        <x:v>-0.066210164</x:v>
      </x:c>
      <x:c r="AE476" s="38" t="n">
        <x:v>-0.1123701773</x:v>
      </x:c>
      <x:c r="AF476" s="38" t="n">
        <x:v>-0.0248166984</x:v>
      </x:c>
      <x:c r="AG476" s="38" t="n">
        <x:v>0.0070954837</x:v>
      </x:c>
      <x:c r="AH476" s="38" t="n">
        <x:v>-0.1098302845</x:v>
      </x:c>
      <x:c r="AI476" s="38" t="n">
        <x:v>-0.1386368918</x:v>
      </x:c>
      <x:c r="AJ476" s="38" t="n">
        <x:v>-0.0152092478</x:v>
      </x:c>
      <x:c r="AK476" s="38" t="n">
        <x:v>0.0554257436</x:v>
      </x:c>
      <x:c r="AL476" s="38" t="n">
        <x:v>-0.1919508206</x:v>
      </x:c>
      <x:c r="AM476" s="38" t="n">
        <x:v>-0.0841943632</x:v>
      </x:c>
      <x:c r="AN476" s="38" t="n">
        <x:v>0.0983508299</x:v>
      </x:c>
      <x:c r="AO476" s="38" t="n">
        <x:v>-0.0870288343</x:v>
      </x:c>
      <x:c r="AP476" s="38" t="n">
        <x:v>-0.0702431024</x:v>
      </x:c>
      <x:c r="AQ476" s="38" t="n">
        <x:v>-0.0203226537</x:v>
      </x:c>
      <x:c r="AR476" s="38" t="n">
        <x:v>0.0502248009</x:v>
      </x:c>
      <x:c r="AS476" s="38" t="n">
        <x:v>-0.0132938555</x:v>
      </x:c>
    </x:row>
    <x:row r="477" ht="19" customHeight="1">
      <x:c r="A477" s="29" t="str">
        <x:v>Other sectors</x:v>
      </x:c>
      <x:c r="B477" s="39" t="d">
        <x:v>2025-12-29T00:00:00.000Z</x:v>
      </x:c>
      <x:c r="C477" s="38" t="n">
        <x:v>-0.0391773173</x:v>
      </x:c>
      <x:c r="D477" s="38" t="n">
        <x:v>-0.0635907882</x:v>
      </x:c>
      <x:c r="E477" s="38" t="n">
        <x:v>-0.0420706599</x:v>
      </x:c>
      <x:c r="F477" s="38" t="n">
        <x:v>-0.0201445153</x:v>
      </x:c>
      <x:c r="G477" s="38" t="n">
        <x:v>0.0888269559</x:v>
      </x:c>
      <x:c r="H477" s="38" t="n">
        <x:v>0.1430329262</x:v>
      </x:c>
      <x:c r="I477" s="38" t="n">
        <x:v>0.0630269074</x:v>
      </x:c>
      <x:c r="J477" s="38" t="n">
        <x:v>-0.0361899555</x:v>
      </x:c>
      <x:c r="K477" s="38" t="n">
        <x:v>0.0153264784</x:v>
      </x:c>
      <x:c r="L477" s="38" t="n">
        <x:v>-0.0876024758</x:v>
      </x:c>
      <x:c r="M477" s="38" t="n">
        <x:v>-0.0551614357</x:v>
      </x:c>
      <x:c r="N477" s="38" t="n">
        <x:v>-0.0538124978</x:v>
      </x:c>
      <x:c r="O477" s="38" t="n">
        <x:v>-0.0432185733</x:v>
      </x:c>
      <x:c r="P477" s="38" t="n">
        <x:v>0.0949135144</x:v>
      </x:c>
      <x:c r="Q477" s="38" t="n">
        <x:v>0.0333421562</x:v>
      </x:c>
      <x:c r="R477" s="38" t="n">
        <x:v>0.0763096349</x:v>
      </x:c>
      <x:c r="S477" s="38" t="n">
        <x:v>-0.0106607663</x:v>
      </x:c>
      <x:c r="T477" s="38" t="n">
        <x:v>-0.0104804541</x:v>
      </x:c>
      <x:c r="U477" s="38" t="n">
        <x:v>0.0979364737</x:v>
      </x:c>
      <x:c r="V477" s="38" t="n">
        <x:v>-0.0524162057</x:v>
      </x:c>
      <x:c r="W477" s="38" t="n">
        <x:v>-0.144246494</x:v>
      </x:c>
      <x:c r="X477" s="38" t="n">
        <x:v>0.094096929</x:v>
      </x:c>
      <x:c r="Y477" s="38" t="n">
        <x:v>0.3941750669</x:v>
      </x:c>
      <x:c r="Z477" s="38" t="n">
        <x:v>0.0882993272</x:v>
      </x:c>
      <x:c r="AA477" s="38" t="n">
        <x:v>-0.0217251689</x:v>
      </x:c>
      <x:c r="AB477" s="38" t="n">
        <x:v>-0.0765450296</x:v>
      </x:c>
      <x:c r="AC477" s="38" t="n">
        <x:v>-0.0492029102</x:v>
      </x:c>
      <x:c r="AD477" s="38" t="n">
        <x:v>-0.0048492324</x:v>
      </x:c>
      <x:c r="AE477" s="38" t="n">
        <x:v>0.0044641836</x:v>
      </x:c>
      <x:c r="AF477" s="38" t="n">
        <x:v>0.0414695273</x:v>
      </x:c>
      <x:c r="AG477" s="38" t="n">
        <x:v>0.1247549241</x:v>
      </x:c>
      <x:c r="AH477" s="38" t="n">
        <x:v>0.1617534047</x:v>
      </x:c>
      <x:c r="AI477" s="38" t="n">
        <x:v>0.0886772838</x:v>
      </x:c>
      <x:c r="AJ477" s="38" t="n">
        <x:v>0.0424137641</x:v>
      </x:c>
      <x:c r="AK477" s="38" t="n">
        <x:v>-0.1219209069</x:v>
      </x:c>
      <x:c r="AL477" s="38" t="n">
        <x:v>0.1306043781</x:v>
      </x:c>
      <x:c r="AM477" s="38" t="n">
        <x:v>0.006007946</x:v>
      </x:c>
      <x:c r="AN477" s="38" t="n">
        <x:v>0.0135114303</x:v>
      </x:c>
      <x:c r="AO477" s="38" t="n">
        <x:v>-0.0778541685</x:v>
      </x:c>
      <x:c r="AP477" s="38" t="n">
        <x:v>-0.070455112</x:v>
      </x:c>
      <x:c r="AQ477" s="38" t="n">
        <x:v>-0.0221214933</x:v>
      </x:c>
      <x:c r="AR477" s="38" t="n">
        <x:v>-0.0108519423</x:v>
      </x:c>
      <x:c r="AS477" s="38" t="n">
        <x:v>-0.0520583733</x:v>
      </x:c>
    </x:row>
    <x:row r="478" ht="19" customHeight="1">
      <x:c r="A478" s="29" t="str">
        <x:v>Other sectors</x:v>
      </x:c>
      <x:c r="B478" s="39" t="d">
        <x:v>2026-01-26T00:00:00.000Z</x:v>
      </x:c>
      <x:c r="C478" s="38" t="n">
        <x:v>-0.1261777642</x:v>
      </x:c>
      <x:c r="D478" s="38" t="n">
        <x:v>0.131349814</x:v>
      </x:c>
      <x:c r="E478" s="38" t="n">
        <x:v>0.0252425157</x:v>
      </x:c>
      <x:c r="F478" s="38" t="n">
        <x:v>0.0223955241</x:v>
      </x:c>
      <x:c r="G478" s="38" t="n">
        <x:v>-0.0141692057</x:v>
      </x:c>
      <x:c r="H478" s="38" t="n">
        <x:v>0.0272318599</x:v>
      </x:c>
      <x:c r="I478" s="38" t="n">
        <x:v>0.0810193477</x:v>
      </x:c>
      <x:c r="J478" s="38" t="n">
        <x:v>-0.0198222553</x:v>
      </x:c>
      <x:c r="K478" s="38" t="n">
        <x:v>0.3487211566</x:v>
      </x:c>
      <x:c r="L478" s="38" t="n">
        <x:v>-0.0697378494</x:v>
      </x:c>
      <x:c r="M478" s="38" t="n">
        <x:v>0.0683437282</x:v>
      </x:c>
      <x:c r="N478" s="38" t="n">
        <x:v>0.0092897071</x:v>
      </x:c>
      <x:c r="O478" s="38" t="n">
        <x:v>-0.0245568625</x:v>
      </x:c>
      <x:c r="P478" s="38" t="n">
        <x:v>0.2185437083</x:v>
      </x:c>
      <x:c r="Q478" s="38" t="n">
        <x:v>0.067559878</x:v>
      </x:c>
      <x:c r="R478" s="38" t="n">
        <x:v>0.1034181168</x:v>
      </x:c>
      <x:c r="S478" s="38" t="n">
        <x:v>0.0152205939</x:v>
      </x:c>
      <x:c r="T478" s="38" t="n">
        <x:v>-0.2169325287</x:v>
      </x:c>
      <x:c r="U478" s="38" t="n">
        <x:v>0.4626063024</x:v>
      </x:c>
      <x:c r="V478" s="38" t="n">
        <x:v>-0.3132175349</x:v>
      </x:c>
      <x:c r="W478" s="38" t="n">
        <x:v>-0.1571493354</x:v>
      </x:c>
      <x:c r="X478" s="38" t="n">
        <x:v>0.003702203</x:v>
      </x:c>
      <x:c r="Y478" s="38" t="n">
        <x:v>0.2882645963</x:v>
      </x:c>
      <x:c r="Z478" s="38" t="n">
        <x:v>-0.1026167442</x:v>
      </x:c>
      <x:c r="AA478" s="38" t="n">
        <x:v>-0.0717725056</x:v>
      </x:c>
      <x:c r="AB478" s="38" t="n">
        <x:v>0.1973550282</x:v>
      </x:c>
      <x:c r="AC478" s="38" t="n">
        <x:v>-0.0225130196</x:v>
      </x:c>
      <x:c r="AD478" s="38" t="n">
        <x:v>-0.0192197854</x:v>
      </x:c>
      <x:c r="AE478" s="38" t="n">
        <x:v>-0.0851531127</x:v>
      </x:c>
      <x:c r="AF478" s="38" t="n">
        <x:v>-0.1175466857</x:v>
      </x:c>
      <x:c r="AG478" s="38" t="n">
        <x:v>-0.0658969878</x:v>
      </x:c>
      <x:c r="AH478" s="38" t="n">
        <x:v>0.0531841144</x:v>
      </x:c>
      <x:c r="AI478" s="38" t="n">
        <x:v>0.0630359964</x:v>
      </x:c>
      <x:c r="AJ478" s="38" t="n">
        <x:v>-0.0549531377</x:v>
      </x:c>
      <x:c r="AK478" s="38" t="n">
        <x:v>-0.0638134329</x:v>
      </x:c>
      <x:c r="AL478" s="38" t="n">
        <x:v>-0.0593840581</x:v>
      </x:c>
      <x:c r="AM478" s="38" t="n">
        <x:v>-0.147401078</x:v>
      </x:c>
      <x:c r="AN478" s="38" t="n">
        <x:v>0.0220651973</x:v>
      </x:c>
      <x:c r="AO478" s="38" t="n">
        <x:v>0.0563990878</x:v>
      </x:c>
      <x:c r="AP478" s="38" t="n">
        <x:v>0.0304918028</x:v>
      </x:c>
      <x:c r="AQ478" s="38" t="n">
        <x:v>0.0072707989</x:v>
      </x:c>
      <x:c r="AR478" s="38" t="n">
        <x:v>0.0958467837</x:v>
      </x:c>
      <x:c r="AS478" s="38" t="n">
        <x:v>-0.0874643661</x:v>
      </x:c>
    </x:row>
    <x:row r="479" ht="19" customHeight="1">
      <x:c r="A479" s="29" t="str">
        <x:v>Other sectors</x:v>
      </x:c>
      <x:c r="B479" s="39" t="d">
        <x:v>2026-02-23T00:00:00.000Z</x:v>
      </x:c>
      <x:c r="C479" s="38" t="n">
        <x:v>0.0553423219</x:v>
      </x:c>
      <x:c r="D479" s="38" t="n">
        <x:v>-0.167588247</x:v>
      </x:c>
      <x:c r="E479" s="38" t="n">
        <x:v>0.0268014436</x:v>
      </x:c>
      <x:c r="F479" s="38" t="n">
        <x:v>0.028747487</x:v>
      </x:c>
      <x:c r="G479" s="38" t="n">
        <x:v>-0.0067204051</x:v>
      </x:c>
      <x:c r="H479" s="38" t="n">
        <x:v>-0.0264520349</x:v>
      </x:c>
      <x:c r="I479" s="38" t="n">
        <x:v>-0.0232195085</x:v>
      </x:c>
      <x:c r="J479" s="38" t="n">
        <x:v>0.2176810561</x:v>
      </x:c>
      <x:c r="K479" s="38" t="n">
        <x:v>-0.0584281178</x:v>
      </x:c>
      <x:c r="L479" s="38" t="n">
        <x:v>0.0227578339</x:v>
      </x:c>
      <x:c r="M479" s="38" t="n">
        <x:v>-0.0537211316</x:v>
      </x:c>
      <x:c r="N479" s="38" t="n">
        <x:v>-0.0174734905</x:v>
      </x:c>
      <x:c r="O479" s="38" t="n">
        <x:v>0.0539528502</x:v>
      </x:c>
      <x:c r="P479" s="38" t="n">
        <x:v>-0.043425335</x:v>
      </x:c>
      <x:c r="Q479" s="38" t="n">
        <x:v>0.0325738716</x:v>
      </x:c>
      <x:c r="R479" s="38" t="n">
        <x:v>0.0310781269</x:v>
      </x:c>
      <x:c r="S479" s="38" t="n">
        <x:v>0.0906680028</x:v>
      </x:c>
      <x:c r="T479" s="38" t="n">
        <x:v>0.0724613773</x:v>
      </x:c>
      <x:c r="U479" s="38" t="n">
        <x:v>0.2202011202</x:v>
      </x:c>
      <x:c r="V479" s="38" t="n">
        <x:v>0.1043394851</x:v>
      </x:c>
      <x:c r="W479" s="38" t="n">
        <x:v>0.1807009497</x:v>
      </x:c>
      <x:c r="X479" s="38" t="n">
        <x:v>0.0236700334</x:v>
      </x:c>
      <x:c r="Y479" s="38" t="n">
        <x:v>-0.112782769</x:v>
      </x:c>
      <x:c r="Z479" s="38" t="n">
        <x:v>0.0317064202</x:v>
      </x:c>
      <x:c r="AA479" s="38" t="n">
        <x:v>0.0028785035</x:v>
      </x:c>
      <x:c r="AB479" s="38" t="n">
        <x:v>-0.1090588263</x:v>
      </x:c>
      <x:c r="AC479" s="38" t="n">
        <x:v>-0.1380482661</x:v>
      </x:c>
      <x:c r="AD479" s="38" t="n">
        <x:v>0.0412528781</x:v>
      </x:c>
      <x:c r="AE479" s="38" t="n">
        <x:v>0.0035672427</x:v>
      </x:c>
      <x:c r="AF479" s="38" t="n">
        <x:v>0.1129403363</x:v>
      </x:c>
      <x:c r="AG479" s="38" t="n">
        <x:v>-0.0894639463</x:v>
      </x:c>
      <x:c r="AH479" s="38" t="n">
        <x:v>-0.0976375392</x:v>
      </x:c>
      <x:c r="AI479" s="38" t="n">
        <x:v>-0.1155743646</x:v>
      </x:c>
      <x:c r="AJ479" s="38" t="n">
        <x:v>-0.0074908724</x:v>
      </x:c>
      <x:c r="AK479" s="38" t="n">
        <x:v>0.0631990912</x:v>
      </x:c>
      <x:c r="AL479" s="38" t="n">
        <x:v>0.295704409</x:v>
      </x:c>
      <x:c r="AM479" s="38" t="n">
        <x:v>-0.0098178205</x:v>
      </x:c>
      <x:c r="AN479" s="38" t="n">
        <x:v>-0.0613654103</x:v>
      </x:c>
      <x:c r="AO479" s="38" t="n">
        <x:v>0.0915658105</x:v>
      </x:c>
      <x:c r="AP479" s="38" t="n">
        <x:v>-0.0112640126</x:v>
      </x:c>
      <x:c r="AQ479" s="38" t="n">
        <x:v>0.0307871389</x:v>
      </x:c>
      <x:c r="AR479" s="38" t="n">
        <x:v>0.0341571322</x:v>
      </x:c>
      <x:c r="AS479" s="38" t="n">
        <x:v>0.049421325</x:v>
      </x:c>
    </x:row>
    <x:row r="480" ht="19" customHeight="1">
      <x:c r="A480" s="29" t="str">
        <x:v>Other sectors</x:v>
      </x:c>
      <x:c r="B480" s="39" t="d">
        <x:v>2026-03-23T00:00:00.000Z</x:v>
      </x:c>
      <x:c r="C480" s="38" t="n">
        <x:v>-0.109007832</x:v>
      </x:c>
      <x:c r="D480" s="38" t="n">
        <x:v>0.1205730995</x:v>
      </x:c>
      <x:c r="E480" s="38" t="n">
        <x:v>0.0255573357</x:v>
      </x:c>
      <x:c r="F480" s="38" t="n">
        <x:v>0.0850561341</x:v>
      </x:c>
      <x:c r="G480" s="38" t="n">
        <x:v>-0.0694532249</x:v>
      </x:c>
      <x:c r="H480" s="38" t="n">
        <x:v>-0.1036068678</x:v>
      </x:c>
      <x:c r="I480" s="38" t="n">
        <x:v>0.1497285739</x:v>
      </x:c>
      <x:c r="J480" s="38" t="n">
        <x:v>0.1075838078</x:v>
      </x:c>
      <x:c r="K480" s="38" t="n">
        <x:v>0.103072369</x:v>
      </x:c>
      <x:c r="L480" s="38" t="n">
        <x:v>0.1282718052</x:v>
      </x:c>
      <x:c r="M480" s="38" t="n">
        <x:v>0.2414068296</x:v>
      </x:c>
      <x:c r="N480" s="38" t="n">
        <x:v>0.0459668948</x:v>
      </x:c>
      <x:c r="O480" s="38" t="n">
        <x:v>0.0263704899</x:v>
      </x:c>
      <x:c r="P480" s="38" t="n">
        <x:v>0.1776988969</x:v>
      </x:c>
      <x:c r="Q480" s="38" t="n">
        <x:v>-0.0161210697</x:v>
      </x:c>
      <x:c r="R480" s="38" t="n">
        <x:v>0.4663001399</x:v>
      </x:c>
      <x:c r="S480" s="38" t="n">
        <x:v>-0.096599724</x:v>
      </x:c>
      <x:c r="T480" s="38" t="n">
        <x:v>0.308559957</x:v>
      </x:c>
      <x:c r="U480" s="38" t="n">
        <x:v>0.1717971163</x:v>
      </x:c>
      <x:c r="V480" s="38" t="n">
        <x:v>-0.099983007</x:v>
      </x:c>
      <x:c r="W480" s="38" t="n">
        <x:v>0.097950079</x:v>
      </x:c>
      <x:c r="X480" s="38" t="n">
        <x:v>-0.0303873367</x:v>
      </x:c>
      <x:c r="Y480" s="38" t="n">
        <x:v>-0.1033075985</x:v>
      </x:c>
      <x:c r="Z480" s="38" t="n">
        <x:v>-0.2104378279</x:v>
      </x:c>
      <x:c r="AA480" s="38" t="n">
        <x:v>-0.0270910868</x:v>
      </x:c>
      <x:c r="AB480" s="38" t="n">
        <x:v>0.1330101336</x:v>
      </x:c>
      <x:c r="AC480" s="38" t="n">
        <x:v>0.2176357066</x:v>
      </x:c>
      <x:c r="AD480" s="38" t="n">
        <x:v>-0.0453714884</x:v>
      </x:c>
      <x:c r="AE480" s="38" t="n">
        <x:v>-0.0918060501</x:v>
      </x:c>
      <x:c r="AF480" s="38" t="n">
        <x:v>0.1364678879</x:v>
      </x:c>
      <x:c r="AG480" s="38" t="n">
        <x:v>-0.0057395088</x:v>
      </x:c>
      <x:c r="AH480" s="38" t="n">
        <x:v>-0.1150010142</x:v>
      </x:c>
      <x:c r="AI480" s="38" t="n">
        <x:v>0.2320769229</x:v>
      </x:c>
      <x:c r="AJ480" s="38" t="n">
        <x:v>-0.1039256937</x:v>
      </x:c>
      <x:c r="AK480" s="38" t="n">
        <x:v>0.0563202906</x:v>
      </x:c>
      <x:c r="AL480" s="38" t="n">
        <x:v>0.007834473</x:v>
      </x:c>
      <x:c r="AM480" s="38" t="n">
        <x:v>0.0011146827</x:v>
      </x:c>
      <x:c r="AN480" s="38" t="n">
        <x:v>-0.0622675744</x:v>
      </x:c>
      <x:c r="AO480" s="38" t="n">
        <x:v>0.092301699</x:v>
      </x:c>
      <x:c r="AP480" s="38" t="n">
        <x:v>-0.0484256516</x:v>
      </x:c>
      <x:c r="AQ480" s="38" t="n">
        <x:v>-0.007418815</x:v>
      </x:c>
      <x:c r="AR480" s="38" t="n">
        <x:v>0.1067117859</x:v>
      </x:c>
      <x:c r="AS480" s="38" t="n">
        <x:v>-0.022768274</x:v>
      </x:c>
    </x:row>
    <x:row r="481" ht="19" customHeight="1">
      <x:c r="A481" s="29" t="str">
        <x:v>Other sectors</x:v>
      </x:c>
      <x:c r="B481" s="39" t="d">
        <x:v>2026-04-20T00:00:00.000Z</x:v>
      </x:c>
      <x:c r="C481" s="38" t="n">
        <x:v>-0.1163395555</x:v>
      </x:c>
      <x:c r="D481" s="38" t="n">
        <x:v>-0.0397447885</x:v>
      </x:c>
      <x:c r="E481" s="38" t="n">
        <x:v>0.0396683363</x:v>
      </x:c>
      <x:c r="F481" s="38" t="n">
        <x:v>0.030572461</x:v>
      </x:c>
      <x:c r="G481" s="38" t="n">
        <x:v>-0.010698099</x:v>
      </x:c>
      <x:c r="H481" s="38" t="n">
        <x:v>-0.0382881336</x:v>
      </x:c>
      <x:c r="I481" s="38" t="n">
        <x:v>0.1123766249</x:v>
      </x:c>
      <x:c r="J481" s="38" t="n">
        <x:v>-0.0515267626</x:v>
      </x:c>
      <x:c r="K481" s="38" t="n">
        <x:v>-0.0041376675</x:v>
      </x:c>
      <x:c r="L481" s="38" t="n">
        <x:v>0.0258388016</x:v>
      </x:c>
      <x:c r="M481" s="38" t="n">
        <x:v>0.0707214945</x:v>
      </x:c>
      <x:c r="N481" s="38" t="n">
        <x:v>-0.0477127957</x:v>
      </x:c>
      <x:c r="O481" s="38" t="n">
        <x:v>-0.0532711134</x:v>
      </x:c>
      <x:c r="P481" s="38" t="n">
        <x:v>0.0481955752</x:v>
      </x:c>
      <x:c r="Q481" s="38" t="n">
        <x:v>0.025251204</x:v>
      </x:c>
      <x:c r="R481" s="38" t="n">
        <x:v>-0.0807912921</x:v>
      </x:c>
      <x:c r="S481" s="38" t="n">
        <x:v>-0.0501479774</x:v>
      </x:c>
      <x:c r="T481" s="38" t="n">
        <x:v>-0.2275605548</x:v>
      </x:c>
      <x:c r="U481" s="38" t="n">
        <x:v>-0.0773071467</x:v>
      </x:c>
      <x:c r="V481" s="38" t="n">
        <x:v>-0.2003919277</x:v>
      </x:c>
      <x:c r="W481" s="38" t="n">
        <x:v>-0.1786589944</x:v>
      </x:c>
      <x:c r="X481" s="38" t="n">
        <x:v>-0.003590112</x:v>
      </x:c>
      <x:c r="Y481" s="38" t="n">
        <x:v>-0.1363239975</x:v>
      </x:c>
      <x:c r="Z481" s="38" t="n">
        <x:v>0.0958325326</x:v>
      </x:c>
      <x:c r="AA481" s="38" t="n">
        <x:v>0.0044735457</x:v>
      </x:c>
      <x:c r="AB481" s="38" t="n">
        <x:v>0.3336166522</x:v>
      </x:c>
      <x:c r="AC481" s="38" t="n">
        <x:v>-0.0916488873</x:v>
      </x:c>
      <x:c r="AD481" s="38" t="n">
        <x:v>0.0184204327</x:v>
      </x:c>
      <x:c r="AE481" s="38" t="n">
        <x:v>-0.1361008235</x:v>
      </x:c>
      <x:c r="AF481" s="38" t="n">
        <x:v>-0.0431730593</x:v>
      </x:c>
      <x:c r="AG481" s="38" t="n">
        <x:v>0.0979804333</x:v>
      </x:c>
      <x:c r="AH481" s="38" t="n">
        <x:v>-0.0888739738</x:v>
      </x:c>
      <x:c r="AI481" s="38" t="n">
        <x:v>0.1580408313</x:v>
      </x:c>
      <x:c r="AJ481" s="38" t="n">
        <x:v>-0.0325691042</x:v>
      </x:c>
      <x:c r="AK481" s="38" t="n">
        <x:v>-0.0475290274</x:v>
      </x:c>
      <x:c r="AL481" s="38" t="n">
        <x:v>0.1930826811</x:v>
      </x:c>
      <x:c r="AM481" s="38" t="n">
        <x:v>-0.0548230471</x:v>
      </x:c>
      <x:c r="AN481" s="38" t="n">
        <x:v>-0.0012550365</x:v>
      </x:c>
      <x:c r="AO481" s="38" t="n">
        <x:v>-0.0608174086</x:v>
      </x:c>
      <x:c r="AP481" s="38" t="n">
        <x:v>-0.0536069768</x:v>
      </x:c>
      <x:c r="AQ481" s="38" t="n">
        <x:v>-0.0234319681</x:v>
      </x:c>
      <x:c r="AR481" s="38" t="n">
        <x:v>-0.0196391234</x:v>
      </x:c>
      <x:c r="AS481" s="38" t="n">
        <x:v>-0.0342982374</x:v>
      </x:c>
    </x:row>
    <x:row r="482" ht="19" customHeight="1">
      <x:c r="A482" s="29" t="str">
        <x:v>Other sectors</x:v>
      </x:c>
      <x:c r="B482" s="39" t="d">
        <x:v>2026-05-18T00:00:00.000Z</x:v>
      </x:c>
      <x:c r="C482" s="38" t="n">
        <x:v>-0.0624157427</x:v>
      </x:c>
      <x:c r="D482" s="38" t="n">
        <x:v>0.0336924383</x:v>
      </x:c>
      <x:c r="E482" s="38" t="n">
        <x:v>0.0133261293</x:v>
      </x:c>
      <x:c r="F482" s="38" t="n">
        <x:v>0.012223025</x:v>
      </x:c>
      <x:c r="G482" s="38" t="n">
        <x:v>-0.0288220414</x:v>
      </x:c>
      <x:c r="H482" s="38" t="n">
        <x:v>-0.0427605189</x:v>
      </x:c>
      <x:c r="I482" s="38" t="n">
        <x:v>-0.0653295359</x:v>
      </x:c>
      <x:c r="J482" s="38" t="n">
        <x:v>0.0090372774</x:v>
      </x:c>
      <x:c r="K482" s="38" t="n">
        <x:v>0.1138031991</x:v>
      </x:c>
      <x:c r="L482" s="38" t="n">
        <x:v>-0.0213954703</x:v>
      </x:c>
      <x:c r="M482" s="38" t="n">
        <x:v>0.0966335794</x:v>
      </x:c>
      <x:c r="N482" s="38" t="n">
        <x:v>0.0633548046</x:v>
      </x:c>
      <x:c r="O482" s="38" t="n">
        <x:v>0.0438866666</x:v>
      </x:c>
      <x:c r="P482" s="38" t="n">
        <x:v>-0.0091914998</x:v>
      </x:c>
      <x:c r="Q482" s="38" t="n">
        <x:v>0.094388605</x:v>
      </x:c>
      <x:c r="R482" s="38" t="n">
        <x:v>0.4322207469</x:v>
      </x:c>
      <x:c r="S482" s="38" t="n">
        <x:v>0.010311491</x:v>
      </x:c>
      <x:c r="T482" s="38" t="n">
        <x:v>0.0414396775</x:v>
      </x:c>
      <x:c r="U482" s="38" t="n">
        <x:v>-0.1475978966</x:v>
      </x:c>
      <x:c r="V482" s="38" t="n">
        <x:v>0.0764587006</x:v>
      </x:c>
      <x:c r="W482" s="38" t="n">
        <x:v>-0.0735157145</x:v>
      </x:c>
      <x:c r="X482" s="38" t="n">
        <x:v>-0.0881631122</x:v>
      </x:c>
      <x:c r="Y482" s="38" t="n">
        <x:v>0.1746078489</x:v>
      </x:c>
      <x:c r="Z482" s="38" t="n">
        <x:v>-0.140646634</x:v>
      </x:c>
      <x:c r="AA482" s="38" t="n">
        <x:v>-0.0007028132</x:v>
      </x:c>
      <x:c r="AB482" s="38" t="n">
        <x:v>-0.3603003433</x:v>
      </x:c>
      <x:c r="AC482" s="38" t="n">
        <x:v>-0.2050051061</x:v>
      </x:c>
      <x:c r="AD482" s="38" t="n">
        <x:v>-0.0552497003</x:v>
      </x:c>
      <x:c r="AE482" s="38" t="n">
        <x:v>0.2961807225</x:v>
      </x:c>
      <x:c r="AF482" s="38" t="n">
        <x:v>0.1862594771</x:v>
      </x:c>
      <x:c r="AG482" s="38" t="n">
        <x:v>-0.0981264775</x:v>
      </x:c>
      <x:c r="AH482" s="38" t="n">
        <x:v>-0.0817495971</x:v>
      </x:c>
      <x:c r="AI482" s="38" t="n">
        <x:v>0.127404153</x:v>
      </x:c>
      <x:c r="AJ482" s="38" t="n">
        <x:v>0.1342892328</x:v>
      </x:c>
      <x:c r="AK482" s="38" t="n">
        <x:v>0.0096136317</x:v>
      </x:c>
      <x:c r="AL482" s="38" t="n">
        <x:v>0.3946067584</x:v>
      </x:c>
      <x:c r="AM482" s="38" t="n">
        <x:v>-0.1492148523</x:v>
      </x:c>
      <x:c r="AN482" s="38" t="n">
        <x:v>0.1111912475</x:v>
      </x:c>
      <x:c r="AO482" s="38" t="n">
        <x:v>-0.007463153</x:v>
      </x:c>
      <x:c r="AP482" s="38" t="n">
        <x:v>-0.0526984544</x:v>
      </x:c>
      <x:c r="AQ482" s="38" t="n">
        <x:v>0.0285102889</x:v>
      </x:c>
      <x:c r="AR482" s="38" t="n">
        <x:v>0.0181270192</x:v>
      </x:c>
      <x:c r="AS482" s="38" t="n">
        <x:v>0.0604448027</x:v>
      </x:c>
    </x:row>
    <x:row r="483" ht="19" customHeight="1">
      <x:c r="A483" s="29" t="str">
        <x:v>Other sectors</x:v>
      </x:c>
      <x:c r="B483" s="39" t="d">
        <x:v>2026-06-15T00:00:00.000Z</x:v>
      </x:c>
      <x:c r="C483" s="38" t="n">
        <x:v>-0.0138031314</x:v>
      </x:c>
      <x:c r="D483" s="38" t="n">
        <x:v>-0.0349096708</x:v>
      </x:c>
      <x:c r="E483" s="38" t="n">
        <x:v>0.025498596</x:v>
      </x:c>
      <x:c r="F483" s="38" t="n">
        <x:v>-0.0064612812</x:v>
      </x:c>
      <x:c r="G483" s="38" t="n">
        <x:v>0.042643927</x:v>
      </x:c>
      <x:c r="H483" s="38" t="n">
        <x:v>-0.0297065416</x:v>
      </x:c>
      <x:c r="I483" s="38" t="n">
        <x:v>-0.0474578183</x:v>
      </x:c>
      <x:c r="J483" s="38" t="n">
        <x:v>0.0608466944</x:v>
      </x:c>
      <x:c r="K483" s="38" t="n">
        <x:v>0.2441504308</x:v>
      </x:c>
      <x:c r="L483" s="38" t="n">
        <x:v>0.1160502686</x:v>
      </x:c>
      <x:c r="M483" s="38" t="n">
        <x:v>-0.0988714299</x:v>
      </x:c>
      <x:c r="N483" s="38" t="n">
        <x:v>-0.0864670984</x:v>
      </x:c>
      <x:c r="O483" s="38" t="n">
        <x:v>0.0254546899</x:v>
      </x:c>
      <x:c r="P483" s="38" t="n">
        <x:v>0.3634598899</x:v>
      </x:c>
      <x:c r="Q483" s="38" t="n">
        <x:v>-0.0997367804</x:v>
      </x:c>
      <x:c r="R483" s="38" t="n">
        <x:v>0.0628266787</x:v>
      </x:c>
      <x:c r="S483" s="38" t="n">
        <x:v>-0.1883184591</x:v>
      </x:c>
      <x:c r="T483" s="38" t="n">
        <x:v>0.1517852434</x:v>
      </x:c>
      <x:c r="U483" s="38" t="n">
        <x:v>0.5224782843</x:v>
      </x:c>
      <x:c r="V483" s="38" t="n">
        <x:v>0.1005994103</x:v>
      </x:c>
      <x:c r="W483" s="38" t="n">
        <x:v>-0.1638662598</x:v>
      </x:c>
      <x:c r="X483" s="38" t="n">
        <x:v>0.0118317703</x:v>
      </x:c>
      <x:c r="Y483" s="38" t="n">
        <x:v>0.3992160923</x:v>
      </x:c>
      <x:c r="Z483" s="38" t="n">
        <x:v>0.0080638467</x:v>
      </x:c>
      <x:c r="AA483" s="38" t="n">
        <x:v>0.0411266129</x:v>
      </x:c>
      <x:c r="AB483" s="38" t="n">
        <x:v>0.2816786178</x:v>
      </x:c>
      <x:c r="AC483" s="38" t="n">
        <x:v>0.1615500836</x:v>
      </x:c>
      <x:c r="AD483" s="38" t="n">
        <x:v>0.1027719962</x:v>
      </x:c>
      <x:c r="AE483" s="38" t="n">
        <x:v>-0.0415829239</x:v>
      </x:c>
      <x:c r="AF483" s="38" t="n">
        <x:v>0.1528394708</x:v>
      </x:c>
      <x:c r="AG483" s="38" t="n">
        <x:v>0.0597379046</x:v>
      </x:c>
      <x:c r="AH483" s="38" t="n">
        <x:v>-0.089618828</x:v>
      </x:c>
      <x:c r="AI483" s="38" t="n">
        <x:v>0.0356108018</x:v>
      </x:c>
      <x:c r="AJ483" s="38" t="n">
        <x:v>0.0088790102</x:v>
      </x:c>
      <x:c r="AK483" s="38" t="n">
        <x:v>0.0642955192</x:v>
      </x:c>
      <x:c r="AL483" s="38" t="n">
        <x:v>-0.2868097002</x:v>
      </x:c>
      <x:c r="AM483" s="38" t="n">
        <x:v>-0.1119613044</x:v>
      </x:c>
      <x:c r="AN483" s="38" t="n">
        <x:v>0.0230183046</x:v>
      </x:c>
      <x:c r="AO483" s="38" t="n">
        <x:v>-0.0435111209</x:v>
      </x:c>
      <x:c r="AP483" s="38" t="n">
        <x:v>0.1359607984</x:v>
      </x:c>
      <x:c r="AQ483" s="38" t="n">
        <x:v>0.0076209747</x:v>
      </x:c>
      <x:c r="AR483" s="38" t="n">
        <x:v>-0.0075685349</x:v>
      </x:c>
      <x:c r="AS483" s="38" t="n">
        <x:v>0.0081284728</x:v>
      </x:c>
    </x:row>
    <x:row r="484" ht="19" customHeight="1">
      <x:c r="A484" s="29" t="str">
        <x:v>Other sectors</x:v>
      </x:c>
      <x:c r="B484" s="39" t="d">
        <x:v>2026-07-13T00:00:00.000Z</x:v>
      </x:c>
      <x:c r="C484" s="38" t="n">
        <x:v>0.0643044352</x:v>
      </x:c>
      <x:c r="D484" s="38" t="n">
        <x:v>-0.1302689843</x:v>
      </x:c>
      <x:c r="E484" s="38" t="n">
        <x:v>0.00208182</x:v>
      </x:c>
      <x:c r="F484" s="38" t="n">
        <x:v>-0.0009321588</x:v>
      </x:c>
      <x:c r="G484" s="38" t="n">
        <x:v>-0.054845935</x:v>
      </x:c>
      <x:c r="H484" s="38" t="n">
        <x:v>0.1537454434</x:v>
      </x:c>
      <x:c r="I484" s="38" t="n">
        <x:v>0.0138854889</x:v>
      </x:c>
      <x:c r="J484" s="38" t="n">
        <x:v>-0.0720163755</x:v>
      </x:c>
      <x:c r="K484" s="38" t="n">
        <x:v>-0.1608630738</x:v>
      </x:c>
      <x:c r="L484" s="38" t="n">
        <x:v>0.2855558699</x:v>
      </x:c>
      <x:c r="M484" s="38" t="n">
        <x:v>0.1910771793</x:v>
      </x:c>
      <x:c r="N484" s="38" t="n">
        <x:v>0.0916651157</x:v>
      </x:c>
      <x:c r="O484" s="38" t="n">
        <x:v>-0.0416437675</x:v>
      </x:c>
      <x:c r="P484" s="38" t="n">
        <x:v>-0.3868116835</x:v>
      </x:c>
      <x:c r="Q484" s="38" t="n">
        <x:v>0.1581678572</x:v>
      </x:c>
      <x:c r="R484" s="38" t="n">
        <x:v>-0.3820409374</x:v>
      </x:c>
      <x:c r="S484" s="38" t="n">
        <x:v>-0.0227000118</x:v>
      </x:c>
      <x:c r="T484" s="38" t="n">
        <x:v>0.3284348242</x:v>
      </x:c>
      <x:c r="U484" s="38" t="n">
        <x:v>-0.08304879</x:v>
      </x:c>
      <x:c r="V484" s="38" t="n">
        <x:v>0.2925074437</x:v>
      </x:c>
      <x:c r="W484" s="38" t="n">
        <x:v>-0.0889964885</x:v>
      </x:c>
      <x:c r="X484" s="38" t="n">
        <x:v>0.0593721456</x:v>
      </x:c>
      <x:c r="Y484" s="38" t="n">
        <x:v>-0.1434616873</x:v>
      </x:c>
      <x:c r="Z484" s="38" t="n">
        <x:v>-0.2124177202</x:v>
      </x:c>
      <x:c r="AA484" s="38" t="n">
        <x:v>-0.04940395</x:v>
      </x:c>
      <x:c r="AB484" s="38" t="n">
        <x:v>0.508239914</x:v>
      </x:c>
      <x:c r="AC484" s="38" t="n">
        <x:v>-0.227496496</x:v>
      </x:c>
      <x:c r="AD484" s="38" t="n">
        <x:v>-0.0604289598</x:v>
      </x:c>
      <x:c r="AE484" s="38" t="n">
        <x:v>0.0590524283</x:v>
      </x:c>
      <x:c r="AF484" s="38" t="n">
        <x:v>0.0542139926</x:v>
      </x:c>
      <x:c r="AG484" s="38" t="n">
        <x:v>-0.030515765</x:v>
      </x:c>
      <x:c r="AH484" s="38" t="n">
        <x:v>-0.0810634417</x:v>
      </x:c>
      <x:c r="AI484" s="38" t="n">
        <x:v>0.211993801</x:v>
      </x:c>
      <x:c r="AJ484" s="38" t="n">
        <x:v>-0.0716320901</x:v>
      </x:c>
      <x:c r="AK484" s="38" t="n">
        <x:v>0.0524366317</x:v>
      </x:c>
      <x:c r="AL484" s="38" t="n">
        <x:v>-0.3117303527</x:v>
      </x:c>
      <x:c r="AM484" s="38" t="n">
        <x:v>0.1254137893</x:v>
      </x:c>
      <x:c r="AN484" s="38" t="n">
        <x:v>-0.0091624708</x:v>
      </x:c>
      <x:c r="AO484" s="38" t="n">
        <x:v>-0.0535913658</x:v>
      </x:c>
      <x:c r="AP484" s="38" t="n">
        <x:v>0.038626414</x:v>
      </x:c>
      <x:c r="AQ484" s="38" t="n">
        <x:v>-0.0114141807</x:v>
      </x:c>
      <x:c r="AR484" s="38" t="n">
        <x:v>0.010338954</x:v>
      </x:c>
      <x:c r="AS484" s="38" t="n">
        <x:v>-0.0568771686</x:v>
      </x:c>
    </x:row>
    <x:row r="485" ht="19" customHeight="1">
      <x:c r="A485" s="29" t="str">
        <x:v>Other sectors</x:v>
      </x:c>
      <x:c r="B485" s="39" t="d">
        <x:v>2026-08-10T00:00:00.000Z</x:v>
      </x:c>
      <x:c r="C485" s="38" t="n">
        <x:v>-0.1433700156</x:v>
      </x:c>
      <x:c r="D485" s="38" t="n">
        <x:v>-0.0025210593</x:v>
      </x:c>
      <x:c r="E485" s="38" t="n">
        <x:v>-0.0369473505</x:v>
      </x:c>
      <x:c r="F485" s="38" t="n">
        <x:v>-0.0471141125</x:v>
      </x:c>
      <x:c r="G485" s="38" t="n">
        <x:v>0.0528541928</x:v>
      </x:c>
      <x:c r="H485" s="38" t="n">
        <x:v>-0.0499252562</x:v>
      </x:c>
      <x:c r="I485" s="38" t="n">
        <x:v>0.0338900899</x:v>
      </x:c>
      <x:c r="J485" s="38" t="n">
        <x:v>-0.0827587022</x:v>
      </x:c>
      <x:c r="K485" s="38" t="n">
        <x:v>0.0299427628</x:v>
      </x:c>
      <x:c r="L485" s="38" t="n">
        <x:v>0.0123398957</x:v>
      </x:c>
      <x:c r="M485" s="38" t="n">
        <x:v>-0.0971120779</x:v>
      </x:c>
      <x:c r="N485" s="38" t="n">
        <x:v>-0.0134755089</x:v>
      </x:c>
      <x:c r="O485" s="38" t="n">
        <x:v>-0.0657715518</x:v>
      </x:c>
      <x:c r="P485" s="38" t="n">
        <x:v>-0.1680261536</x:v>
      </x:c>
      <x:c r="Q485" s="38" t="n">
        <x:v>-0.1339499332</x:v>
      </x:c>
      <x:c r="R485" s="38" t="n">
        <x:v>-0.1210540077</x:v>
      </x:c>
      <x:c r="S485" s="38" t="n">
        <x:v>0.1020736048</x:v>
      </x:c>
      <x:c r="T485" s="38" t="n">
        <x:v>0.0900287034</x:v>
      </x:c>
      <x:c r="U485" s="38" t="n">
        <x:v>-0.0985238559</x:v>
      </x:c>
      <x:c r="V485" s="38" t="n">
        <x:v>0.2344719753</x:v>
      </x:c>
      <x:c r="W485" s="38" t="n">
        <x:v>0.1691418153</x:v>
      </x:c>
      <x:c r="X485" s="38" t="n">
        <x:v>0.1051140937</x:v>
      </x:c>
      <x:c r="Y485" s="38" t="n">
        <x:v>-0.1160220498</x:v>
      </x:c>
      <x:c r="Z485" s="38" t="n">
        <x:v>0.3657944333</x:v>
      </x:c>
      <x:c r="AA485" s="38" t="n">
        <x:v>-0.01320856</x:v>
      </x:c>
      <x:c r="AB485" s="38" t="n">
        <x:v>0.2221064042</x:v>
      </x:c>
      <x:c r="AC485" s="38" t="n">
        <x:v>-0.1316104881</x:v>
      </x:c>
      <x:c r="AD485" s="38" t="n">
        <x:v>-0.068508059</x:v>
      </x:c>
      <x:c r="AE485" s="38" t="n">
        <x:v>-0.0765111445</x:v>
      </x:c>
      <x:c r="AF485" s="38" t="n">
        <x:v>0.1685754229</x:v>
      </x:c>
      <x:c r="AG485" s="38" t="n">
        <x:v>0.0017960644</x:v>
      </x:c>
      <x:c r="AH485" s="38" t="n">
        <x:v>0.287854301</x:v>
      </x:c>
      <x:c r="AI485" s="38" t="n">
        <x:v>-0.2180013534</x:v>
      </x:c>
      <x:c r="AJ485" s="38" t="n">
        <x:v>-0.1451068099</x:v>
      </x:c>
      <x:c r="AK485" s="38" t="n">
        <x:v>-0.0488479024</x:v>
      </x:c>
      <x:c r="AL485" s="38" t="n">
        <x:v>-0.0642512768</x:v>
      </x:c>
      <x:c r="AM485" s="38" t="n">
        <x:v>0.2622741252</x:v>
      </x:c>
      <x:c r="AN485" s="38" t="n">
        <x:v>-0.095138038</x:v>
      </x:c>
      <x:c r="AO485" s="38" t="n">
        <x:v>-0.0052733252</x:v>
      </x:c>
      <x:c r="AP485" s="38" t="n">
        <x:v>-0.04877517</x:v>
      </x:c>
      <x:c r="AQ485" s="38" t="n">
        <x:v>0.0596390065</x:v>
      </x:c>
      <x:c r="AR485" s="38" t="n">
        <x:v>-0.0019082624</x:v>
      </x:c>
      <x:c r="AS485" s="38" t="n">
        <x:v>0.0119202581</x:v>
      </x:c>
    </x:row>
  </x:sheetData>
  <x:pageMargins left="0.7" right="0.7" top="0.75" bottom="0.75" header="0.3" footer="0.3"/>
</x:worksheet>
</file>

<file path=xl/worksheets/sheet13.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 min="45" max="45" width="15" hidden="0" customWidth="1"/>
    <x:col min="46" max="46" width="15" hidden="0" customWidth="1"/>
    <x:col min="47" max="47" width="15" hidden="0" customWidth="1"/>
    <x:col min="48" max="48" width="15" hidden="0" customWidth="1"/>
    <x:col min="49" max="49" width="15" hidden="0" customWidth="1"/>
    <x:col min="50" max="50" width="15" hidden="0" customWidth="1"/>
    <x:col min="51" max="51" width="15" hidden="0" customWidth="1"/>
    <x:col min="52" max="52" width="15" hidden="0" customWidth="1"/>
    <x:col min="53" max="53" width="15" hidden="0" customWidth="1"/>
    <x:col min="54" max="54" width="15" hidden="0" customWidth="1"/>
    <x:col min="55" max="55" width="15" hidden="0" customWidth="1"/>
    <x:col min="56" max="56" width="15" hidden="0" customWidth="1"/>
    <x:col min="57" max="57" width="15" hidden="0" customWidth="1"/>
    <x:col min="58" max="58" width="15" hidden="0" customWidth="1"/>
    <x:col min="59" max="59" width="15" hidden="0" customWidth="1"/>
    <x:col min="60" max="60" width="15" hidden="0" customWidth="1"/>
    <x:col min="61" max="61" width="15" hidden="0" customWidth="1"/>
    <x:col min="62" max="62"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c r="AS1" s="23"/>
      <x:c r="AT1" s="23"/>
      <x:c r="AU1" s="23"/>
      <x:c r="AV1" s="23"/>
      <x:c r="AW1" s="23"/>
      <x:c r="AX1" s="23"/>
      <x:c r="AY1" s="23"/>
      <x:c r="AZ1" s="23"/>
      <x:c r="BA1" s="23"/>
      <x:c r="BB1" s="23"/>
      <x:c r="BC1" s="23"/>
      <x:c r="BD1" s="23"/>
      <x:c r="BE1" s="23"/>
      <x:c r="BF1" s="23"/>
      <x:c r="BG1" s="23"/>
      <x:c r="BH1" s="23"/>
      <x:c r="BI1" s="23"/>
      <x:c r="BJ1" s="23"/>
    </x:row>
    <x:row r="2" ht="19" customHeight="1">
      <x:c r="A2" s="34" t="str">
        <x:v>Common covariance and PCA sample</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c r="AS2" s="23"/>
      <x:c r="AT2" s="23"/>
      <x:c r="AU2" s="23"/>
      <x:c r="AV2" s="23"/>
      <x:c r="AW2" s="23"/>
      <x:c r="AX2" s="23"/>
      <x:c r="AY2" s="23"/>
      <x:c r="AZ2" s="23"/>
      <x:c r="BA2" s="23"/>
      <x:c r="BB2" s="23"/>
      <x:c r="BC2" s="23"/>
      <x:c r="BD2" s="23"/>
      <x:c r="BE2" s="23"/>
      <x:c r="BF2" s="23"/>
      <x:c r="BG2" s="23"/>
      <x:c r="BH2" s="23"/>
      <x:c r="BI2" s="23"/>
      <x:c r="BJ2" s="23"/>
    </x:row>
    <x:row r="3" ht="19" customHeight="1">
      <x:c r="A3" s="27"/>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row>
    <x:row r="5" ht="42" customHeight="1">
      <x:c r="A5" s="35" t="str">
        <x:v>Date</x:v>
      </x:c>
      <x:c r="B5" s="35" t="str">
        <x:v>VST</x:v>
      </x:c>
      <x:c r="C5" s="35" t="str">
        <x:v>VIST</x:v>
      </x:c>
      <x:c r="D5" s="35" t="str">
        <x:v>AEP</x:v>
      </x:c>
      <x:c r="E5" s="35" t="str">
        <x:v>ETR</x:v>
      </x:c>
      <x:c r="F5" s="35" t="str">
        <x:v>DIS</x:v>
      </x:c>
      <x:c r="G5" s="35" t="str">
        <x:v>CMG</x:v>
      </x:c>
      <x:c r="H5" s="35" t="str">
        <x:v>AMZN</x:v>
      </x:c>
      <x:c r="I5" s="35" t="str">
        <x:v>FIX</x:v>
      </x:c>
      <x:c r="J5" s="35" t="str">
        <x:v>STX</x:v>
      </x:c>
      <x:c r="K5" s="35" t="str">
        <x:v>VLO</x:v>
      </x:c>
      <x:c r="L5" s="35" t="str">
        <x:v>CF</x:v>
      </x:c>
      <x:c r="M5" s="35" t="str">
        <x:v>NTR</x:v>
      </x:c>
      <x:c r="N5" s="35" t="str">
        <x:v>LNN</x:v>
      </x:c>
      <x:c r="O5" s="35" t="str">
        <x:v>WDC</x:v>
      </x:c>
      <x:c r="P5" s="35" t="str">
        <x:v>ASND</x:v>
      </x:c>
      <x:c r="Q5" s="35" t="str">
        <x:v>DOCN</x:v>
      </x:c>
      <x:c r="R5" s="35" t="str">
        <x:v>CME</x:v>
      </x:c>
      <x:c r="S5" s="35" t="str">
        <x:v>NET</x:v>
      </x:c>
      <x:c r="T5" s="35" t="str">
        <x:v>MRNA</x:v>
      </x:c>
      <x:c r="U5" s="35" t="str">
        <x:v>AXON</x:v>
      </x:c>
      <x:c r="V5" s="35" t="str">
        <x:v>NFLX</x:v>
      </x:c>
      <x:c r="W5" s="35" t="str">
        <x:v>CMCSA</x:v>
      </x:c>
      <x:c r="X5" s="35" t="str">
        <x:v>MU</x:v>
      </x:c>
      <x:c r="Y5" s="35" t="str">
        <x:v>NEM</x:v>
      </x:c>
      <x:c r="Z5" s="35" t="str">
        <x:v>PGR</x:v>
      </x:c>
      <x:c r="AA5" s="35" t="str">
        <x:v>ORKA</x:v>
      </x:c>
      <x:c r="AB5" s="35" t="str">
        <x:v>UPST</x:v>
      </x:c>
      <x:c r="AC5" s="35" t="str">
        <x:v>PG</x:v>
      </x:c>
      <x:c r="AD5" s="35" t="str">
        <x:v>F</x:v>
      </x:c>
      <x:c r="AE5" s="35" t="str">
        <x:v>HPE</x:v>
      </x:c>
      <x:c r="AF5" s="35" t="str">
        <x:v>BA</x:v>
      </x:c>
      <x:c r="AG5" s="35" t="str">
        <x:v>HII</x:v>
      </x:c>
      <x:c r="AH5" s="35" t="str">
        <x:v>AMD</x:v>
      </x:c>
      <x:c r="AI5" s="35" t="str">
        <x:v>LLY</x:v>
      </x:c>
      <x:c r="AJ5" s="35" t="str">
        <x:v>WELL</x:v>
      </x:c>
      <x:c r="AK5" s="35" t="str">
        <x:v>NOK</x:v>
      </x:c>
      <x:c r="AL5" s="35" t="str">
        <x:v>MSFT</x:v>
      </x:c>
      <x:c r="AM5" s="35" t="str">
        <x:v>GOOGL</x:v>
      </x:c>
      <x:c r="AN5" s="35" t="str">
        <x:v>COST</x:v>
      </x:c>
      <x:c r="AO5" s="35" t="str">
        <x:v>HD</x:v>
      </x:c>
      <x:c r="AP5" s="35" t="str">
        <x:v>KO</x:v>
      </x:c>
      <x:c r="AQ5" s="35" t="str">
        <x:v>JNJ</x:v>
      </x:c>
      <x:c r="AR5" s="35" t="str">
        <x:v>BRK-B</x:v>
      </x:c>
      <x:c r="AS5" s="35" t="str">
        <x:v>MXN/USD</x:v>
      </x:c>
      <x:c r="AT5" s="35" t="str">
        <x:v>SGD/USD</x:v>
      </x:c>
      <x:c r="AU5" s="35" t="str">
        <x:v>DKK/USD</x:v>
      </x:c>
      <x:c r="AV5" s="35" t="str">
        <x:v>EUR/USD</x:v>
      </x:c>
      <x:c r="AW5" s="35" t="str">
        <x:v>AUD/USD</x:v>
      </x:c>
      <x:c r="AX5" s="35" t="str">
        <x:v>CAD/USD</x:v>
      </x:c>
      <x:c r="AY5" s="35" t="str">
        <x:v>SPY</x:v>
      </x:c>
      <x:c r="AZ5" s="35" t="str">
        <x:v>XLC</x:v>
      </x:c>
      <x:c r="BA5" s="35" t="str">
        <x:v>XLY</x:v>
      </x:c>
      <x:c r="BB5" s="35" t="str">
        <x:v>XLP</x:v>
      </x:c>
      <x:c r="BC5" s="35" t="str">
        <x:v>XLE</x:v>
      </x:c>
      <x:c r="BD5" s="35" t="str">
        <x:v>XLF</x:v>
      </x:c>
      <x:c r="BE5" s="35" t="str">
        <x:v>XLV</x:v>
      </x:c>
      <x:c r="BF5" s="35" t="str">
        <x:v>XLI</x:v>
      </x:c>
      <x:c r="BG5" s="35" t="str">
        <x:v>XLB</x:v>
      </x:c>
      <x:c r="BH5" s="35" t="str">
        <x:v>XLRE</x:v>
      </x:c>
      <x:c r="BI5" s="35" t="str">
        <x:v>XLK</x:v>
      </x:c>
      <x:c r="BJ5" s="35" t="str">
        <x:v>XLU</x:v>
      </x:c>
    </x:row>
    <x:row r="6" ht="19" customHeight="1">
      <x:c r="A6" s="39" t="d">
        <x:v>2021-04-26T00:00:00.000Z</x:v>
      </x:c>
      <x:c r="B6" s="38" t="n">
        <x:v>-0.049797872</x:v>
      </x:c>
      <x:c r="C6" s="38" t="n">
        <x:v>-0.0023539555</x:v>
      </x:c>
      <x:c r="D6" s="38" t="n">
        <x:v>-0.0184489018</x:v>
      </x:c>
      <x:c r="E6" s="38" t="n">
        <x:v>0.0258727097</x:v>
      </x:c>
      <x:c r="F6" s="38" t="n">
        <x:v>-0.0311627081</x:v>
      </x:c>
      <x:c r="G6" s="38" t="n">
        <x:v>-0.0086376814</x:v>
      </x:c>
      <x:c r="H6" s="38" t="n">
        <x:v>0.0143588025</x:v>
      </x:c>
      <x:c r="I6" s="38" t="n">
        <x:v>0.0072886884</x:v>
      </x:c>
      <x:c r="J6" s="38" t="n">
        <x:v>0.0910380689</x:v>
      </x:c>
      <x:c r="K6" s="38" t="n">
        <x:v>-0.0075223127</x:v>
      </x:c>
      <x:c r="L6" s="38" t="n">
        <x:v>0.0098888808</x:v>
      </x:c>
      <x:c r="M6" s="38" t="n">
        <x:v>-0.0239590374</x:v>
      </x:c>
      <x:c r="N6" s="38" t="n">
        <x:v>-0.0141355568</x:v>
      </x:c>
      <x:c r="O6" s="38" t="n">
        <x:v>0.0047920684</x:v>
      </x:c>
      <x:c r="P6" s="38" t="n">
        <x:v>0.0371130893</x:v>
      </x:c>
      <x:c r="Q6" s="38" t="n">
        <x:v>0.0160115715</x:v>
      </x:c>
      <x:c r="R6" s="38" t="n">
        <x:v>-0.0204228816</x:v>
      </x:c>
      <x:c r="S6" s="38" t="n">
        <x:v>0.058754992</x:v>
      </x:c>
      <x:c r="T6" s="38" t="n">
        <x:v>0.1837673815</x:v>
      </x:c>
      <x:c r="U6" s="38" t="n">
        <x:v>-0.019782216</x:v>
      </x:c>
      <x:c r="V6" s="38" t="n">
        <x:v>-0.0702054912</x:v>
      </x:c>
      <x:c r="W6" s="38" t="n">
        <x:v>0.0069698288</x:v>
      </x:c>
      <x:c r="X6" s="38" t="n">
        <x:v>-0.0294772052</x:v>
      </x:c>
      <x:c r="Y6" s="38" t="n">
        <x:v>-0.039282149</x:v>
      </x:c>
      <x:c r="Z6" s="38" t="n">
        <x:v>0.0081997837</x:v>
      </x:c>
      <x:c r="AA6" s="38" t="n">
        <x:v>-0.052220296</x:v>
      </x:c>
      <x:c r="AB6" s="38" t="n">
        <x:v>-0.2387756767</x:v>
      </x:c>
      <x:c r="AC6" s="38" t="n">
        <x:v>-0.0134979973</x:v>
      </x:c>
      <x:c r="AD6" s="38" t="n">
        <x:v>-0.071431809</x:v>
      </x:c>
      <x:c r="AE6" s="38" t="n">
        <x:v>0.0087975376</x:v>
      </x:c>
      <x:c r="AF6" s="38" t="n">
        <x:v>-0.0725275768</x:v>
      </x:c>
      <x:c r="AG6" s="38" t="n">
        <x:v>0.0164491833</x:v>
      </x:c>
      <x:c r="AH6" s="38" t="n">
        <x:v>-0.039690986</x:v>
      </x:c>
      <x:c r="AI6" s="38" t="n">
        <x:v>-0.0411924877</x:v>
      </x:c>
      <x:c r="AJ6" s="38" t="n">
        <x:v>-0.0458959468</x:v>
      </x:c>
      <x:c r="AK6" s="38" t="n">
        <x:v>0.1001290583</x:v>
      </x:c>
      <x:c r="AL6" s="38" t="n">
        <x:v>-0.0144855997</x:v>
      </x:c>
      <x:c r="AM6" s="38" t="n">
        <x:v>0.0208477245</x:v>
      </x:c>
      <x:c r="AN6" s="38" t="n">
        <x:v>-0.0009297262</x:v>
      </x:c>
      <x:c r="AO6" s="38" t="n">
        <x:v>-0.000022441</x:v>
      </x:c>
      <x:c r="AP6" s="38" t="n">
        <x:v>-0.0000883077</x:v>
      </x:c>
      <x:c r="AQ6" s="38" t="n">
        <x:v>-0.0316792846</x:v>
      </x:c>
      <x:c r="AR6" s="38" t="n">
        <x:v>0.0104889908</x:v>
      </x:c>
      <x:c r="AS6" s="38" t="n">
        <x:v>0.0023697595</x:v>
      </x:c>
      <x:c r="AT6" s="38" t="n">
        <x:v>0.0069630341</x:v>
      </x:c>
      <x:c r="AU6" s="38" t="n">
        <x:v>0.0138879181</x:v>
      </x:c>
      <x:c r="AV6" s="38" t="n">
        <x:v>0.0137049965</x:v>
      </x:c>
      <x:c r="AW6" s="38" t="n">
        <x:v>0.0081628589</x:v>
      </x:c>
      <x:c r="AX6" s="38" t="n">
        <x:v>0.0096975008</x:v>
      </x:c>
      <x:c r="AY6" s="38" t="n">
        <x:v>0.0255525214</x:v>
      </x:c>
      <x:c r="AZ6" s="38" t="n">
        <x:v>0.0066852496</x:v>
      </x:c>
      <x:c r="BA6" s="38" t="n">
        <x:v>0.0114406537</x:v>
      </x:c>
      <x:c r="BB6" s="38" t="n">
        <x:v>0.0031028026</x:v>
      </x:c>
      <x:c r="BC6" s="38" t="n">
        <x:v>-0.0261201672</x:v>
      </x:c>
      <x:c r="BD6" s="38" t="n">
        <x:v>0.0094099778</x:v>
      </x:c>
      <x:c r="BE6" s="38" t="n">
        <x:v>0.0127518319</x:v>
      </x:c>
      <x:c r="BF6" s="38" t="n">
        <x:v>-0.0052256665</x:v>
      </x:c>
      <x:c r="BG6" s="38" t="n">
        <x:v>0.0091937719</x:v>
      </x:c>
      <x:c r="BH6" s="38" t="n">
        <x:v>0.023770444</x:v>
      </x:c>
      <x:c r="BI6" s="38" t="n">
        <x:v>-0.0173804799</x:v>
      </x:c>
      <x:c r="BJ6" s="38" t="n">
        <x:v>0.0132597324</x:v>
      </x:c>
    </x:row>
    <x:row r="7" ht="19" customHeight="1">
      <x:c r="A7" s="39" t="d">
        <x:v>2021-05-24T00:00:00.000Z</x:v>
      </x:c>
      <x:c r="B7" s="38" t="n">
        <x:v>-0.0277058337</x:v>
      </x:c>
      <x:c r="C7" s="38" t="n">
        <x:v>0.143240425</x:v>
      </x:c>
      <x:c r="D7" s="38" t="n">
        <x:v>-0.0074575817</x:v>
      </x:c>
      <x:c r="E7" s="38" t="n">
        <x:v>-0.0119531231</x:v>
      </x:c>
      <x:c r="F7" s="38" t="n">
        <x:v>-0.0208700964</x:v>
      </x:c>
      <x:c r="G7" s="38" t="n">
        <x:v>-0.0338948138</x:v>
      </x:c>
      <x:c r="H7" s="38" t="n">
        <x:v>-0.0089782692</x:v>
      </x:c>
      <x:c r="I7" s="38" t="n">
        <x:v>-0.0301289477</x:v>
      </x:c>
      <x:c r="J7" s="38" t="n">
        <x:v>0.0245337437</x:v>
      </x:c>
      <x:c r="K7" s="38" t="n">
        <x:v>0.0120700873</x:v>
      </x:c>
      <x:c r="L7" s="38" t="n">
        <x:v>-0.0084985268</x:v>
      </x:c>
      <x:c r="M7" s="38" t="n">
        <x:v>0.0191258318</x:v>
      </x:c>
      <x:c r="N7" s="38" t="n">
        <x:v>-0.0164367814</x:v>
      </x:c>
      <x:c r="O7" s="38" t="n">
        <x:v>0.0247261354</x:v>
      </x:c>
      <x:c r="P7" s="38" t="n">
        <x:v>-0.0655943391</x:v>
      </x:c>
      <x:c r="Q7" s="38" t="n">
        <x:v>-0.0189704643</x:v>
      </x:c>
      <x:c r="R7" s="38" t="n">
        <x:v>0.0392763376</x:v>
      </x:c>
      <x:c r="S7" s="38" t="n">
        <x:v>-0.0103714923</x:v>
      </x:c>
      <x:c r="T7" s="38" t="n">
        <x:v>0.0026953966</x:v>
      </x:c>
      <x:c r="U7" s="38" t="n">
        <x:v>-0.0717156948</x:v>
      </x:c>
      <x:c r="V7" s="38" t="n">
        <x:v>-0.0074784522</x:v>
      </x:c>
      <x:c r="W7" s="38" t="n">
        <x:v>0.0014723605</x:v>
      </x:c>
      <x:c r="X7" s="38" t="n">
        <x:v>-0.0449698122</x:v>
      </x:c>
      <x:c r="Y7" s="38" t="n">
        <x:v>0.0676625576</x:v>
      </x:c>
      <x:c r="Z7" s="38" t="n">
        <x:v>-0.0399904317</x:v>
      </x:c>
      <x:c r="AA7" s="38" t="n">
        <x:v>0.0170506307</x:v>
      </x:c>
      <x:c r="AB7" s="38" t="n">
        <x:v>0.1622744232</x:v>
      </x:c>
      <x:c r="AC7" s="38" t="n">
        <x:v>0.011597981</x:v>
      </x:c>
      <x:c r="AD7" s="38" t="n">
        <x:v>0.1431256388</x:v>
      </x:c>
      <x:c r="AE7" s="38" t="n">
        <x:v>-0.0291126807</x:v>
      </x:c>
      <x:c r="AF7" s="38" t="n">
        <x:v>0.0163783257</x:v>
      </x:c>
      <x:c r="AG7" s="38" t="n">
        <x:v>0.0067157704</x:v>
      </x:c>
      <x:c r="AH7" s="38" t="n">
        <x:v>-0.0155617765</x:v>
      </x:c>
      <x:c r="AI7" s="38" t="n">
        <x:v>0.0034499537</x:v>
      </x:c>
      <x:c r="AJ7" s="38" t="n">
        <x:v>-0.0223216517</x:v>
      </x:c>
      <x:c r="AK7" s="38" t="n">
        <x:v>0.0603009899</x:v>
      </x:c>
      <x:c r="AL7" s="38" t="n">
        <x:v>-0.0047209068</x:v>
      </x:c>
      <x:c r="AM7" s="38" t="n">
        <x:v>0.004620867</x:v>
      </x:c>
      <x:c r="AN7" s="38" t="n">
        <x:v>0.0121374573</x:v>
      </x:c>
      <x:c r="AO7" s="38" t="n">
        <x:v>-0.0067832272</x:v>
      </x:c>
      <x:c r="AP7" s="38" t="n">
        <x:v>0.000231801</x:v>
      </x:c>
      <x:c r="AQ7" s="38" t="n">
        <x:v>0.0027273003</x:v>
      </x:c>
      <x:c r="AR7" s="38" t="n">
        <x:v>0.0038734517</x:v>
      </x:c>
      <x:c r="AS7" s="38" t="n">
        <x:v>0.0099577389</x:v>
      </x:c>
      <x:c r="AT7" s="38" t="n">
        <x:v>0.0037262612</x:v>
      </x:c>
      <x:c r="AU7" s="38" t="n">
        <x:v>0.0090181656</x:v>
      </x:c>
      <x:c r="AV7" s="38" t="n">
        <x:v>0.0090361951</x:v>
      </x:c>
      <x:c r="AW7" s="38" t="n">
        <x:v>0.0019304809</x:v>
      </x:c>
      <x:c r="AX7" s="38" t="n">
        <x:v>0.018231375</x:v>
      </x:c>
      <x:c r="AY7" s="38" t="n">
        <x:v>0.0041552523</x:v>
      </x:c>
      <x:c r="AZ7" s="38" t="n">
        <x:v>0.0040219498</x:v>
      </x:c>
      <x:c r="BA7" s="38" t="n">
        <x:v>-0.0194718143</x:v>
      </x:c>
      <x:c r="BB7" s="38" t="n">
        <x:v>0.0083316361</x:v>
      </x:c>
      <x:c r="BC7" s="38" t="n">
        <x:v>0.0166094589</x:v>
      </x:c>
      <x:c r="BD7" s="38" t="n">
        <x:v>0.0244404712</x:v>
      </x:c>
      <x:c r="BE7" s="38" t="n">
        <x:v>0.0082176579</x:v>
      </x:c>
      <x:c r="BF7" s="38" t="n">
        <x:v>0.0133287019</x:v>
      </x:c>
      <x:c r="BG7" s="38" t="n">
        <x:v>0.029612895</x:v>
      </x:c>
      <x:c r="BH7" s="38" t="n">
        <x:v>0.0087089084</x:v>
      </x:c>
      <x:c r="BI7" s="38" t="n">
        <x:v>-0.0113013269</x:v>
      </x:c>
      <x:c r="BJ7" s="38" t="n">
        <x:v>-0.0193552187</x:v>
      </x:c>
    </x:row>
    <x:row r="8" ht="19" customHeight="1">
      <x:c r="A8" s="39" t="d">
        <x:v>2021-06-21T00:00:00.000Z</x:v>
      </x:c>
      <x:c r="B8" s="38" t="n">
        <x:v>0.1157578536</x:v>
      </x:c>
      <x:c r="C8" s="38" t="n">
        <x:v>-0.0063855953</x:v>
      </x:c>
      <x:c r="D8" s="38" t="n">
        <x:v>0.0013357195</x:v>
      </x:c>
      <x:c r="E8" s="38" t="n">
        <x:v>-0.0241225364</x:v>
      </x:c>
      <x:c r="F8" s="38" t="n">
        <x:v>0.0102907618</x:v>
      </x:c>
      <x:c r="G8" s="38" t="n">
        <x:v>0.0812356746</x:v>
      </x:c>
      <x:c r="H8" s="38" t="n">
        <x:v>-0.0107973385</x:v>
      </x:c>
      <x:c r="I8" s="38" t="n">
        <x:v>-0.0779151746</x:v>
      </x:c>
      <x:c r="J8" s="38" t="n">
        <x:v>-0.1368211709</x:v>
      </x:c>
      <x:c r="K8" s="38" t="n">
        <x:v>-0.0472070342</x:v>
      </x:c>
      <x:c r="L8" s="38" t="n">
        <x:v>-0.0136281738</x:v>
      </x:c>
      <x:c r="M8" s="38" t="n">
        <x:v>0.037236824</x:v>
      </x:c>
      <x:c r="N8" s="38" t="n">
        <x:v>0.0330666029</x:v>
      </x:c>
      <x:c r="O8" s="38" t="n">
        <x:v>-0.0966879452</x:v>
      </x:c>
      <x:c r="P8" s="38" t="n">
        <x:v>0.0265363359</x:v>
      </x:c>
      <x:c r="Q8" s="38" t="n">
        <x:v>0.0461173907</x:v>
      </x:c>
      <x:c r="R8" s="38" t="n">
        <x:v>-0.0057002492</x:v>
      </x:c>
      <x:c r="S8" s="38" t="n">
        <x:v>0.0805364605</x:v>
      </x:c>
      <x:c r="T8" s="38" t="n">
        <x:v>0.1104215247</x:v>
      </x:c>
      <x:c r="U8" s="38" t="n">
        <x:v>0.1640162515</x:v>
      </x:c>
      <x:c r="V8" s="38" t="n">
        <x:v>0.0377551219</x:v>
      </x:c>
      <x:c r="W8" s="38" t="n">
        <x:v>0.0091595225</x:v>
      </x:c>
      <x:c r="X8" s="38" t="n">
        <x:v>-0.0930537491</x:v>
      </x:c>
      <x:c r="Y8" s="38" t="n">
        <x:v>-0.0452706227</x:v>
      </x:c>
      <x:c r="Z8" s="38" t="n">
        <x:v>0.0044592346</x:v>
      </x:c>
      <x:c r="AA8" s="38" t="n">
        <x:v>-0.0411687444</x:v>
      </x:c>
      <x:c r="AB8" s="38" t="n">
        <x:v>-0.0554394103</x:v>
      </x:c>
      <x:c r="AC8" s="38" t="n">
        <x:v>0.0194192179</x:v>
      </x:c>
      <x:c r="AD8" s="38" t="n">
        <x:v>0.0304146535</x:v>
      </x:c>
      <x:c r="AE8" s="38" t="n">
        <x:v>-0.0542708544</x:v>
      </x:c>
      <x:c r="AF8" s="38" t="n">
        <x:v>0.0356714129</x:v>
      </x:c>
      <x:c r="AG8" s="38" t="n">
        <x:v>0.0280104381</x:v>
      </x:c>
      <x:c r="AH8" s="38" t="n">
        <x:v>-0.0006700476</x:v>
      </x:c>
      <x:c r="AI8" s="38" t="n">
        <x:v>0.0593282069</x:v>
      </x:c>
      <x:c r="AJ8" s="38" t="n">
        <x:v>0.0373612267</x:v>
      </x:c>
      <x:c r="AK8" s="38" t="n">
        <x:v>-0.0103026894</x:v>
      </x:c>
      <x:c r="AL8" s="38" t="n">
        <x:v>0.0204859068</x:v>
      </x:c>
      <x:c r="AM8" s="38" t="n">
        <x:v>-0.0280316975</x:v>
      </x:c>
      <x:c r="AN8" s="38" t="n">
        <x:v>0.0213297989</x:v>
      </x:c>
      <x:c r="AO8" s="38" t="n">
        <x:v>0.0208476742</x:v>
      </x:c>
      <x:c r="AP8" s="38" t="n">
        <x:v>0.0023681392</x:v>
      </x:c>
      <x:c r="AQ8" s="38" t="n">
        <x:v>-0.0216722616</x:v>
      </x:c>
      <x:c r="AR8" s="38" t="n">
        <x:v>-0.0085904531</x:v>
      </x:c>
      <x:c r="AS8" s="38" t="n">
        <x:v>0.0032750523</x:v>
      </x:c>
      <x:c r="AT8" s="38" t="n">
        <x:v>-0.0099011329</x:v>
      </x:c>
      <x:c r="AU8" s="38" t="n">
        <x:v>-0.0137216941</x:v>
      </x:c>
      <x:c r="AV8" s="38" t="n">
        <x:v>-0.0136744459</x:v>
      </x:c>
      <x:c r="AW8" s="38" t="n">
        <x:v>-0.0128949568</x:v>
      </x:c>
      <x:c r="AX8" s="38" t="n">
        <x:v>-0.0166569349</x:v>
      </x:c>
      <x:c r="AY8" s="38" t="n">
        <x:v>0.0120969621</x:v>
      </x:c>
      <x:c r="AZ8" s="38" t="n">
        <x:v>0.0068571222</x:v>
      </x:c>
      <x:c r="BA8" s="38" t="n">
        <x:v>0.0127719269</x:v>
      </x:c>
      <x:c r="BB8" s="38" t="n">
        <x:v>-0.0122002946</x:v>
      </x:c>
      <x:c r="BC8" s="38" t="n">
        <x:v>0.0269070465</x:v>
      </x:c>
      <x:c r="BD8" s="38" t="n">
        <x:v>-0.0271866134</x:v>
      </x:c>
      <x:c r="BE8" s="38" t="n">
        <x:v>0.006197789</x:v>
      </x:c>
      <x:c r="BF8" s="38" t="n">
        <x:v>-0.028318164</x:v>
      </x:c>
      <x:c r="BG8" s="38" t="n">
        <x:v>-0.0441344952</x:v>
      </x:c>
      <x:c r="BH8" s="38" t="n">
        <x:v>0.0199837933</x:v>
      </x:c>
      <x:c r="BI8" s="38" t="n">
        <x:v>0.0152458447</x:v>
      </x:c>
      <x:c r="BJ8" s="38" t="n">
        <x:v>-0.0143336559</x:v>
      </x:c>
    </x:row>
    <x:row r="9" ht="19" customHeight="1">
      <x:c r="A9" s="39" t="d">
        <x:v>2021-07-19T00:00:00.000Z</x:v>
      </x:c>
      <x:c r="B9" s="38" t="n">
        <x:v>0.0174621548</x:v>
      </x:c>
      <x:c r="C9" s="38" t="n">
        <x:v>0.1110643529</x:v>
      </x:c>
      <x:c r="D9" s="38" t="n">
        <x:v>0.003647455</x:v>
      </x:c>
      <x:c r="E9" s="38" t="n">
        <x:v>-0.0164031823</x:v>
      </x:c>
      <x:c r="F9" s="38" t="n">
        <x:v>0.0331503212</x:v>
      </x:c>
      <x:c r="G9" s="38" t="n">
        <x:v>0.1028612117</x:v>
      </x:c>
      <x:c r="H9" s="38" t="n">
        <x:v>0.0170089582</x:v>
      </x:c>
      <x:c r="I9" s="38" t="n">
        <x:v>-0.0764181617</x:v>
      </x:c>
      <x:c r="J9" s="38" t="n">
        <x:v>-0.0384202022</x:v>
      </x:c>
      <x:c r="K9" s="38" t="n">
        <x:v>-0.0722582452</x:v>
      </x:c>
      <x:c r="L9" s="38" t="n">
        <x:v>0.0483263075</x:v>
      </x:c>
      <x:c r="M9" s="38" t="n">
        <x:v>0.0435514126</x:v>
      </x:c>
      <x:c r="N9" s="38" t="n">
        <x:v>0.0065223939</x:v>
      </x:c>
      <x:c r="O9" s="38" t="n">
        <x:v>-0.0971231448</x:v>
      </x:c>
      <x:c r="P9" s="38" t="n">
        <x:v>-0.1378654776</x:v>
      </x:c>
      <x:c r="Q9" s="38" t="n">
        <x:v>0.0586882138</x:v>
      </x:c>
      <x:c r="R9" s="38" t="n">
        <x:v>0.0054829806</x:v>
      </x:c>
      <x:c r="S9" s="38" t="n">
        <x:v>0.0817695696</x:v>
      </x:c>
      <x:c r="T9" s="38" t="n">
        <x:v>0.3194204924</x:v>
      </x:c>
      <x:c r="U9" s="38" t="n">
        <x:v>0.0357048936</x:v>
      </x:c>
      <x:c r="V9" s="38" t="n">
        <x:v>-0.0324907795</x:v>
      </x:c>
      <x:c r="W9" s="38" t="n">
        <x:v>0.0845050606</x:v>
      </x:c>
      <x:c r="X9" s="38" t="n">
        <x:v>-0.0901780653</x:v>
      </x:c>
      <x:c r="Y9" s="38" t="n">
        <x:v>0.0350416618</x:v>
      </x:c>
      <x:c r="Z9" s="38" t="n">
        <x:v>-0.0032918888</x:v>
      </x:c>
      <x:c r="AA9" s="38" t="n">
        <x:v>-0.138991714</x:v>
      </x:c>
      <x:c r="AB9" s="38" t="n">
        <x:v>0.0514175071</x:v>
      </x:c>
      <x:c r="AC9" s="38" t="n">
        <x:v>0.0211304411</x:v>
      </x:c>
      <x:c r="AD9" s="38" t="n">
        <x:v>-0.0414234281</x:v>
      </x:c>
      <x:c r="AE9" s="38" t="n">
        <x:v>-0.0044810384</x:v>
      </x:c>
      <x:c r="AF9" s="38" t="n">
        <x:v>-0.041348486</x:v>
      </x:c>
      <x:c r="AG9" s="38" t="n">
        <x:v>-0.0035776395</x:v>
      </x:c>
      <x:c r="AH9" s="38" t="n">
        <x:v>-0.0149501928</x:v>
      </x:c>
      <x:c r="AI9" s="38" t="n">
        <x:v>-0.0093138665</x:v>
      </x:c>
      <x:c r="AJ9" s="38" t="n">
        <x:v>0.0168955194</x:v>
      </x:c>
      <x:c r="AK9" s="38" t="n">
        <x:v>0.0355772458</x:v>
      </x:c>
      <x:c r="AL9" s="38" t="n">
        <x:v>0.0374173866</x:v>
      </x:c>
      <x:c r="AM9" s="38" t="n">
        <x:v>0.0145596669</x:v>
      </x:c>
      <x:c r="AN9" s="38" t="n">
        <x:v>0.0403064516</x:v>
      </x:c>
      <x:c r="AO9" s="38" t="n">
        <x:v>0.0568603577</x:v>
      </x:c>
      <x:c r="AP9" s="38" t="n">
        <x:v>0.0454527726</x:v>
      </x:c>
      <x:c r="AQ9" s="38" t="n">
        <x:v>0.0087708886</x:v>
      </x:c>
      <x:c r="AR9" s="38" t="n">
        <x:v>0.0049506772</x:v>
      </x:c>
      <x:c r="AS9" s="38" t="n">
        <x:v>-0.0076242443</x:v>
      </x:c>
      <x:c r="AT9" s="38" t="n">
        <x:v>-0.008459875</x:v>
      </x:c>
      <x:c r="AU9" s="38" t="n">
        <x:v>-0.0090105517</x:v>
      </x:c>
      <x:c r="AV9" s="38" t="n">
        <x:v>-0.0090961232</x:v>
      </x:c>
      <x:c r="AW9" s="38" t="n">
        <x:v>-0.0193891754</x:v>
      </x:c>
      <x:c r="AX9" s="38" t="n">
        <x:v>-0.0200834483</x:v>
      </x:c>
      <x:c r="AY9" s="38" t="n">
        <x:v>0.0200938871</x:v>
      </x:c>
      <x:c r="AZ9" s="38" t="n">
        <x:v>0.0059501056</x:v>
      </x:c>
      <x:c r="BA9" s="38" t="n">
        <x:v>0.0030245434</x:v>
      </x:c>
      <x:c r="BB9" s="38" t="n">
        <x:v>0.0066749124</x:v>
      </x:c>
      <x:c r="BC9" s="38" t="n">
        <x:v>-0.101498578</x:v>
      </x:c>
      <x:c r="BD9" s="38" t="n">
        <x:v>-0.0298698284</x:v>
      </x:c>
      <x:c r="BE9" s="38" t="n">
        <x:v>0.0185689263</x:v>
      </x:c>
      <x:c r="BF9" s="38" t="n">
        <x:v>-0.0121313061</x:v>
      </x:c>
      <x:c r="BG9" s="38" t="n">
        <x:v>-0.0171882115</x:v>
      </x:c>
      <x:c r="BH9" s="38" t="n">
        <x:v>0.0110877191</x:v>
      </x:c>
      <x:c r="BI9" s="38" t="n">
        <x:v>0.0118746796</x:v>
      </x:c>
      <x:c r="BJ9" s="38" t="n">
        <x:v>0.0066409303</x:v>
      </x:c>
    </x:row>
    <x:row r="10" ht="19" customHeight="1">
      <x:c r="A10" s="39" t="d">
        <x:v>2021-08-16T00:00:00.000Z</x:v>
      </x:c>
      <x:c r="B10" s="38" t="n">
        <x:v>-0.0475712229</x:v>
      </x:c>
      <x:c r="C10" s="38" t="n">
        <x:v>0.0435008525</x:v>
      </x:c>
      <x:c r="D10" s="38" t="n">
        <x:v>-0.0019430679</x:v>
      </x:c>
      <x:c r="E10" s="38" t="n">
        <x:v>0.0315363813</x:v>
      </x:c>
      <x:c r="F10" s="38" t="n">
        <x:v>0.0265335494</x:v>
      </x:c>
      <x:c r="G10" s="38" t="n">
        <x:v>0.0408002776</x:v>
      </x:c>
      <x:c r="H10" s="38" t="n">
        <x:v>-0.0545380836</x:v>
      </x:c>
      <x:c r="I10" s="38" t="n">
        <x:v>0.0131452868</x:v>
      </x:c>
      <x:c r="J10" s="38" t="n">
        <x:v>0.0570655826</x:v>
      </x:c>
      <x:c r="K10" s="38" t="n">
        <x:v>0.0090175759</x:v>
      </x:c>
      <x:c r="L10" s="38" t="n">
        <x:v>-0.0424163186</x:v>
      </x:c>
      <x:c r="M10" s="38" t="n">
        <x:v>-0.0089804353</x:v>
      </x:c>
      <x:c r="N10" s="38" t="n">
        <x:v>0.0361634971</x:v>
      </x:c>
      <x:c r="O10" s="38" t="n">
        <x:v>0.0113626325</x:v>
      </x:c>
      <x:c r="P10" s="38" t="n">
        <x:v>0.0160477583</x:v>
      </x:c>
      <x:c r="Q10" s="38" t="n">
        <x:v>0.0179976772</x:v>
      </x:c>
      <x:c r="R10" s="38" t="n">
        <x:v>-0.0299287221</x:v>
      </x:c>
      <x:c r="S10" s="38" t="n">
        <x:v>0.0565583274</x:v>
      </x:c>
      <x:c r="T10" s="38" t="n">
        <x:v>0.0871368876</x:v>
      </x:c>
      <x:c r="U10" s="38" t="n">
        <x:v>0.0018278589</x:v>
      </x:c>
      <x:c r="V10" s="38" t="n">
        <x:v>0.031962298</x:v>
      </x:c>
      <x:c r="W10" s="38" t="n">
        <x:v>0.0518447254</x:v>
      </x:c>
      <x:c r="X10" s="38" t="n">
        <x:v>-0.0472208392</x:v>
      </x:c>
      <x:c r="Y10" s="38" t="n">
        <x:v>0.0084391429</x:v>
      </x:c>
      <x:c r="Z10" s="38" t="n">
        <x:v>-0.0022300801</x:v>
      </x:c>
      <x:c r="AA10" s="38" t="n">
        <x:v>0.0435044616</x:v>
      </x:c>
      <x:c r="AB10" s="38" t="n">
        <x:v>0.3466130876</x:v>
      </x:c>
      <x:c r="AC10" s="38" t="n">
        <x:v>0.031944704</x:v>
      </x:c>
      <x:c r="AD10" s="38" t="n">
        <x:v>-0.0143818181</x:v>
      </x:c>
      <x:c r="AE10" s="38" t="n">
        <x:v>-0.0009916936</x:v>
      </x:c>
      <x:c r="AF10" s="38" t="n">
        <x:v>-0.0015035591</x:v>
      </x:c>
      <x:c r="AG10" s="38" t="n">
        <x:v>0.0570249151</x:v>
      </x:c>
      <x:c r="AH10" s="38" t="n">
        <x:v>0.0796492198</x:v>
      </x:c>
      <x:c r="AI10" s="38" t="n">
        <x:v>0.030252145</x:v>
      </x:c>
      <x:c r="AJ10" s="38" t="n">
        <x:v>-0.0250659461</x:v>
      </x:c>
      <x:c r="AK10" s="38" t="n">
        <x:v>0.032765215</x:v>
      </x:c>
      <x:c r="AL10" s="38" t="n">
        <x:v>0.0280422899</x:v>
      </x:c>
      <x:c r="AM10" s="38" t="n">
        <x:v>0.0688497728</x:v>
      </x:c>
      <x:c r="AN10" s="38" t="n">
        <x:v>0.0451771225</x:v>
      </x:c>
      <x:c r="AO10" s="38" t="n">
        <x:v>0.020877805</x:v>
      </x:c>
      <x:c r="AP10" s="38" t="n">
        <x:v>-0.0108967596</x:v>
      </x:c>
      <x:c r="AQ10" s="38" t="n">
        <x:v>-0.0021478419</x:v>
      </x:c>
      <x:c r="AR10" s="38" t="n">
        <x:v>-0.0021044075</x:v>
      </x:c>
      <x:c r="AS10" s="38" t="n">
        <x:v>-0.0101933852</x:v>
      </x:c>
      <x:c r="AT10" s="38" t="n">
        <x:v>-0.0014013823</x:v>
      </x:c>
      <x:c r="AU10" s="38" t="n">
        <x:v>-0.0041864252</x:v>
      </x:c>
      <x:c r="AV10" s="38" t="n">
        <x:v>-0.0041543842</x:v>
      </x:c>
      <x:c r="AW10" s="38" t="n">
        <x:v>-0.0210081319</x:v>
      </x:c>
      <x:c r="AX10" s="38" t="n">
        <x:v>0.0090561068</x:v>
      </x:c>
      <x:c r="AY10" s="38" t="n">
        <x:v>0.0051288387</x:v>
      </x:c>
      <x:c r="AZ10" s="38" t="n">
        <x:v>-0.0090072846</x:v>
      </x:c>
      <x:c r="BA10" s="38" t="n">
        <x:v>-0.0194083122</x:v>
      </x:c>
      <x:c r="BB10" s="38" t="n">
        <x:v>0.009309232</x:v>
      </x:c>
      <x:c r="BC10" s="38" t="n">
        <x:v>-0.0553708812</x:v>
      </x:c>
      <x:c r="BD10" s="38" t="n">
        <x:v>0.0196885566</x:v>
      </x:c>
      <x:c r="BE10" s="38" t="n">
        <x:v>0.0189290576</x:v>
      </x:c>
      <x:c r="BF10" s="38" t="n">
        <x:v>-0.0133796769</x:v>
      </x:c>
      <x:c r="BG10" s="38" t="n">
        <x:v>0.0138068453</x:v>
      </x:c>
      <x:c r="BH10" s="38" t="n">
        <x:v>0.0108939566</x:v>
      </x:c>
      <x:c r="BI10" s="38" t="n">
        <x:v>-0.0015767236</x:v>
      </x:c>
      <x:c r="BJ10" s="38" t="n">
        <x:v>0.0364985969</x:v>
      </x:c>
    </x:row>
    <x:row r="11" ht="19" customHeight="1">
      <x:c r="A11" s="39" t="d">
        <x:v>2021-09-13T00:00:00.000Z</x:v>
      </x:c>
      <x:c r="B11" s="38" t="n">
        <x:v>0.0121414092</x:v>
      </x:c>
      <x:c r="C11" s="38" t="n">
        <x:v>-0.0241820358</x:v>
      </x:c>
      <x:c r="D11" s="38" t="n">
        <x:v>-0.0447179522</x:v>
      </x:c>
      <x:c r="E11" s="38" t="n">
        <x:v>0.0036580968</x:v>
      </x:c>
      <x:c r="F11" s="38" t="n">
        <x:v>0.0030953407</x:v>
      </x:c>
      <x:c r="G11" s="38" t="n">
        <x:v>-0.007806794</x:v>
      </x:c>
      <x:c r="H11" s="38" t="n">
        <x:v>0.0125342838</x:v>
      </x:c>
      <x:c r="I11" s="38" t="n">
        <x:v>-0.100051211</x:v>
      </x:c>
      <x:c r="J11" s="38" t="n">
        <x:v>-0.1423220382</x:v>
      </x:c>
      <x:c r="K11" s="38" t="n">
        <x:v>-0.006171588</x:v>
      </x:c>
      <x:c r="L11" s="38" t="n">
        <x:v>0.0234744128</x:v>
      </x:c>
      <x:c r="M11" s="38" t="n">
        <x:v>0.0241384556</x:v>
      </x:c>
      <x:c r="N11" s="38" t="n">
        <x:v>-0.0491370583</x:v>
      </x:c>
      <x:c r="O11" s="38" t="n">
        <x:v>-0.0784062286</x:v>
      </x:c>
      <x:c r="P11" s="38" t="n">
        <x:v>0.1948443977</x:v>
      </x:c>
      <x:c r="Q11" s="38" t="n">
        <x:v>0.2651825543</x:v>
      </x:c>
      <x:c r="R11" s="38" t="n">
        <x:v>-0.0588662073</x:v>
      </x:c>
      <x:c r="S11" s="38" t="n">
        <x:v>-0.0285161591</x:v>
      </x:c>
      <x:c r="T11" s="38" t="n">
        <x:v>0.0722537165</x:v>
      </x:c>
      <x:c r="U11" s="38" t="n">
        <x:v>-0.0893647279</x:v>
      </x:c>
      <x:c r="V11" s="38" t="n">
        <x:v>0.0716518169</x:v>
      </x:c>
      <x:c r="W11" s="38" t="n">
        <x:v>-0.0558535865</x:v>
      </x:c>
      <x:c r="X11" s="38" t="n">
        <x:v>0.0021919003</x:v>
      </x:c>
      <x:c r="Y11" s="38" t="n">
        <x:v>-0.0635260338</x:v>
      </x:c>
      <x:c r="Z11" s="38" t="n">
        <x:v>-0.0461007158</x:v>
      </x:c>
      <x:c r="AA11" s="38" t="n">
        <x:v>0.0404453659</x:v>
      </x:c>
      <x:c r="AB11" s="38" t="n">
        <x:v>0.2979313311</x:v>
      </x:c>
      <x:c r="AC11" s="38" t="n">
        <x:v>-0.0101793606</x:v>
      </x:c>
      <x:c r="AD11" s="38" t="n">
        <x:v>0.0042952007</x:v>
      </x:c>
      <x:c r="AE11" s="38" t="n">
        <x:v>-0.0550805209</x:v>
      </x:c>
      <x:c r="AF11" s="38" t="n">
        <x:v>-0.0191406481</x:v>
      </x:c>
      <x:c r="AG11" s="38" t="n">
        <x:v>-0.0478683187</x:v>
      </x:c>
      <x:c r="AH11" s="38" t="n">
        <x:v>-0.016546667</x:v>
      </x:c>
      <x:c r="AI11" s="38" t="n">
        <x:v>-0.1039001951</x:v>
      </x:c>
      <x:c r="AJ11" s="38" t="n">
        <x:v>-0.0227941047</x:v>
      </x:c>
      <x:c r="AK11" s="38" t="n">
        <x:v>-0.0645061548</x:v>
      </x:c>
      <x:c r="AL11" s="38" t="n">
        <x:v>-0.022332238</x:v>
      </x:c>
      <x:c r="AM11" s="38" t="n">
        <x:v>-0.0077077542</x:v>
      </x:c>
      <x:c r="AN11" s="38" t="n">
        <x:v>-0.044090223</x:v>
      </x:c>
      <x:c r="AO11" s="38" t="n">
        <x:v>-0.0089740729</x:v>
      </x:c>
      <x:c r="AP11" s="38" t="n">
        <x:v>-0.0403886333</x:v>
      </x:c>
      <x:c r="AQ11" s="38" t="n">
        <x:v>-0.0540012217</x:v>
      </x:c>
      <x:c r="AR11" s="38" t="n">
        <x:v>-0.021236524</x:v>
      </x:c>
      <x:c r="AS11" s="38" t="n">
        <x:v>0.0113679055</x:v>
      </x:c>
      <x:c r="AT11" s="38" t="n">
        <x:v>0.0079645254</x:v>
      </x:c>
      <x:c r="AU11" s="38" t="n">
        <x:v>0.0016612158</x:v>
      </x:c>
      <x:c r="AV11" s="38" t="n">
        <x:v>0.0016577794</x:v>
      </x:c>
      <x:c r="AW11" s="38" t="n">
        <x:v>0.0143867212</x:v>
      </x:c>
      <x:c r="AX11" s="38" t="n">
        <x:v>-0.0038966561</x:v>
      </x:c>
      <x:c r="AY11" s="38" t="n">
        <x:v>-0.0008274545</x:v>
      </x:c>
      <x:c r="AZ11" s="38" t="n">
        <x:v>0.0059656564</x:v>
      </x:c>
      <x:c r="BA11" s="38" t="n">
        <x:v>0.0324522716</x:v>
      </x:c>
      <x:c r="BB11" s="38" t="n">
        <x:v>-0.0138271038</x:v>
      </x:c>
      <x:c r="BC11" s="38" t="n">
        <x:v>0.0288265392</x:v>
      </x:c>
      <x:c r="BD11" s="38" t="n">
        <x:v>-0.0031254351</x:v>
      </x:c>
      <x:c r="BE11" s="38" t="n">
        <x:v>-0.0168152889</x:v>
      </x:c>
      <x:c r="BF11" s="38" t="n">
        <x:v>-0.0171215851</x:v>
      </x:c>
      <x:c r="BG11" s="38" t="n">
        <x:v>-0.0180013016</x:v>
      </x:c>
      <x:c r="BH11" s="38" t="n">
        <x:v>0.0034619591</x:v>
      </x:c>
      <x:c r="BI11" s="38" t="n">
        <x:v>0.000781779</x:v>
      </x:c>
      <x:c r="BJ11" s="38" t="n">
        <x:v>-0.0371124367</x:v>
      </x:c>
    </x:row>
    <x:row r="12" ht="19" customHeight="1">
      <x:c r="A12" s="39" t="d">
        <x:v>2021-10-11T00:00:00.000Z</x:v>
      </x:c>
      <x:c r="B12" s="38" t="n">
        <x:v>0.0172189905</x:v>
      </x:c>
      <x:c r="C12" s="38" t="n">
        <x:v>0.0971487906</x:v>
      </x:c>
      <x:c r="D12" s="38" t="n">
        <x:v>0.001365006</x:v>
      </x:c>
      <x:c r="E12" s="38" t="n">
        <x:v>-0.0617667011</x:v>
      </x:c>
      <x:c r="F12" s="38" t="n">
        <x:v>-0.0557160356</x:v>
      </x:c>
      <x:c r="G12" s="38" t="n">
        <x:v>-0.016020591</x:v>
      </x:c>
      <x:c r="H12" s="38" t="n">
        <x:v>-0.0018255513</x:v>
      </x:c>
      <x:c r="I12" s="38" t="n">
        <x:v>0.0743615944</x:v>
      </x:c>
      <x:c r="J12" s="38" t="n">
        <x:v>-0.0605633278</x:v>
      </x:c>
      <x:c r="K12" s="38" t="n">
        <x:v>-0.0157554496</x:v>
      </x:c>
      <x:c r="L12" s="38" t="n">
        <x:v>-0.0291523395</x:v>
      </x:c>
      <x:c r="M12" s="38" t="n">
        <x:v>0.0192202656</x:v>
      </x:c>
      <x:c r="N12" s="38" t="n">
        <x:v>0.0196723641</x:v>
      </x:c>
      <x:c r="O12" s="38" t="n">
        <x:v>-0.0955222036</x:v>
      </x:c>
      <x:c r="P12" s="38" t="n">
        <x:v>0.0002229735</x:v>
      </x:c>
      <x:c r="Q12" s="38" t="n">
        <x:v>-0.0181933315</x:v>
      </x:c>
      <x:c r="R12" s="38" t="n">
        <x:v>0.0560856008</x:v>
      </x:c>
      <x:c r="S12" s="38" t="n">
        <x:v>0.0715519054</x:v>
      </x:c>
      <x:c r="T12" s="38" t="n">
        <x:v>-0.1345032369</x:v>
      </x:c>
      <x:c r="U12" s="38" t="n">
        <x:v>0.0044779139</x:v>
      </x:c>
      <x:c r="V12" s="38" t="n">
        <x:v>0.0951898416</x:v>
      </x:c>
      <x:c r="W12" s="38" t="n">
        <x:v>-0.0313600128</x:v>
      </x:c>
      <x:c r="X12" s="38" t="n">
        <x:v>-0.0843572208</x:v>
      </x:c>
      <x:c r="Y12" s="38" t="n">
        <x:v>-0.0426904752</x:v>
      </x:c>
      <x:c r="Z12" s="38" t="n">
        <x:v>-0.0315564394</x:v>
      </x:c>
      <x:c r="AA12" s="38" t="n">
        <x:v>-0.1679810478</x:v>
      </x:c>
      <x:c r="AB12" s="38" t="n">
        <x:v>0.1508955606</x:v>
      </x:c>
      <x:c r="AC12" s="38" t="n">
        <x:v>0.0170694092</x:v>
      </x:c>
      <x:c r="AD12" s="38" t="n">
        <x:v>0.0804378444</x:v>
      </x:c>
      <x:c r="AE12" s="38" t="n">
        <x:v>-0.0326947417</x:v>
      </x:c>
      <x:c r="AF12" s="38" t="n">
        <x:v>0.0294730975</x:v>
      </x:c>
      <x:c r="AG12" s="38" t="n">
        <x:v>0.0316217824</x:v>
      </x:c>
      <x:c r="AH12" s="38" t="n">
        <x:v>0.0725225982</x:v>
      </x:c>
      <x:c r="AI12" s="38" t="n">
        <x:v>0.0478804758</x:v>
      </x:c>
      <x:c r="AJ12" s="38" t="n">
        <x:v>-0.02148693</x:v>
      </x:c>
      <x:c r="AK12" s="38" t="n">
        <x:v>0.0120824685</x:v>
      </x:c>
      <x:c r="AL12" s="38" t="n">
        <x:v>0.0309425887</x:v>
      </x:c>
      <x:c r="AM12" s="38" t="n">
        <x:v>0.015936486</x:v>
      </x:c>
      <x:c r="AN12" s="38" t="n">
        <x:v>-0.0264105768</x:v>
      </x:c>
      <x:c r="AO12" s="38" t="n">
        <x:v>0.0144975961</x:v>
      </x:c>
      <x:c r="AP12" s="38" t="n">
        <x:v>-0.0222847626</x:v>
      </x:c>
      <x:c r="AQ12" s="38" t="n">
        <x:v>0.0045007804</x:v>
      </x:c>
      <x:c r="AR12" s="38" t="n">
        <x:v>0.0031793208</x:v>
      </x:c>
      <x:c r="AS12" s="38" t="n">
        <x:v>-0.0106482622</x:v>
      </x:c>
      <x:c r="AT12" s="38" t="n">
        <x:v>-0.000571528</x:v>
      </x:c>
      <x:c r="AU12" s="38" t="n">
        <x:v>-0.0078677445</x:v>
      </x:c>
      <x:c r="AV12" s="38" t="n">
        <x:v>-0.0074452233</x:v>
      </x:c>
      <x:c r="AW12" s="38" t="n">
        <x:v>0.0113323803</x:v>
      </x:c>
      <x:c r="AX12" s="38" t="n">
        <x:v>0.0089875043</x:v>
      </x:c>
      <x:c r="AY12" s="38" t="n">
        <x:v>0.0068644654</x:v>
      </x:c>
      <x:c r="AZ12" s="38" t="n">
        <x:v>-0.0268231487</x:v>
      </x:c>
      <x:c r="BA12" s="38" t="n">
        <x:v>0.0182022738</x:v>
      </x:c>
      <x:c r="BB12" s="38" t="n">
        <x:v>-0.0049293575</x:v>
      </x:c>
      <x:c r="BC12" s="38" t="n">
        <x:v>0.0926285148</x:v>
      </x:c>
      <x:c r="BD12" s="38" t="n">
        <x:v>0.0297426303</x:v>
      </x:c>
      <x:c r="BE12" s="38" t="n">
        <x:v>-0.0286513877</x:v>
      </x:c>
      <x:c r="BF12" s="38" t="n">
        <x:v>0.0107650993</x:v>
      </x:c>
      <x:c r="BG12" s="38" t="n">
        <x:v>0.0222709382</x:v>
      </x:c>
      <x:c r="BH12" s="38" t="n">
        <x:v>-0.0064833238</x:v>
      </x:c>
      <x:c r="BI12" s="38" t="n">
        <x:v>-0.006239255</x:v>
      </x:c>
      <x:c r="BJ12" s="38" t="n">
        <x:v>-0.0077187121</x:v>
      </x:c>
    </x:row>
    <x:row r="13" ht="19" customHeight="1">
      <x:c r="A13" s="39" t="d">
        <x:v>2021-11-08T00:00:00.000Z</x:v>
      </x:c>
      <x:c r="B13" s="38" t="n">
        <x:v>-0.0246498268</x:v>
      </x:c>
      <x:c r="C13" s="38" t="n">
        <x:v>-0.0565170771</x:v>
      </x:c>
      <x:c r="D13" s="38" t="n">
        <x:v>-0.0090001584</x:v>
      </x:c>
      <x:c r="E13" s="38" t="n">
        <x:v>-0.0142329862</x:v>
      </x:c>
      <x:c r="F13" s="38" t="n">
        <x:v>-0.0772473927</x:v>
      </x:c>
      <x:c r="G13" s="38" t="n">
        <x:v>-0.0037728616</x:v>
      </x:c>
      <x:c r="H13" s="38" t="n">
        <x:v>-0.0124096713</x:v>
      </x:c>
      <x:c r="I13" s="38" t="n">
        <x:v>0.0946622941</x:v>
      </x:c>
      <x:c r="J13" s="38" t="n">
        <x:v>0.1199747947</x:v>
      </x:c>
      <x:c r="K13" s="38" t="n">
        <x:v>-0.0327841997</x:v>
      </x:c>
      <x:c r="L13" s="38" t="n">
        <x:v>0.0210003323</x:v>
      </x:c>
      <x:c r="M13" s="38" t="n">
        <x:v>-0.0424452974</x:v>
      </x:c>
      <x:c r="N13" s="38" t="n">
        <x:v>-0.0185813263</x:v>
      </x:c>
      <x:c r="O13" s="38" t="n">
        <x:v>0.0048156264</x:v>
      </x:c>
      <x:c r="P13" s="38" t="n">
        <x:v>-0.0326590446</x:v>
      </x:c>
      <x:c r="Q13" s="38" t="n">
        <x:v>0.1774382221</x:v>
      </x:c>
      <x:c r="R13" s="38" t="n">
        <x:v>0.0364128473</x:v>
      </x:c>
      <x:c r="S13" s="38" t="n">
        <x:v>0.0548727159</x:v>
      </x:c>
      <x:c r="T13" s="38" t="n">
        <x:v>-0.2170871949</x:v>
      </x:c>
      <x:c r="U13" s="38" t="n">
        <x:v>-0.0916571073</x:v>
      </x:c>
      <x:c r="V13" s="38" t="n">
        <x:v>0.0742504718</x:v>
      </x:c>
      <x:c r="W13" s="38" t="n">
        <x:v>0.0272835859</x:v>
      </x:c>
      <x:c r="X13" s="38" t="n">
        <x:v>0.062041704</x:v>
      </x:c>
      <x:c r="Y13" s="38" t="n">
        <x:v>0.0363570697</x:v>
      </x:c>
      <x:c r="Z13" s="38" t="n">
        <x:v>0.0324191275</x:v>
      </x:c>
      <x:c r="AA13" s="38" t="n">
        <x:v>-0.1029503683</x:v>
      </x:c>
      <x:c r="AB13" s="38" t="n">
        <x:v>-0.2476338365</x:v>
      </x:c>
      <x:c r="AC13" s="38" t="n">
        <x:v>0.0116684974</x:v>
      </x:c>
      <x:c r="AD13" s="38" t="n">
        <x:v>0.1379200695</x:v>
      </x:c>
      <x:c r="AE13" s="38" t="n">
        <x:v>-0.0763770086</x:v>
      </x:c>
      <x:c r="AF13" s="38" t="n">
        <x:v>0.0186715712</x:v>
      </x:c>
      <x:c r="AG13" s="38" t="n">
        <x:v>-0.0519183794</x:v>
      </x:c>
      <x:c r="AH13" s="38" t="n">
        <x:v>0.1243358628</x:v>
      </x:c>
      <x:c r="AI13" s="38" t="n">
        <x:v>0.0211094499</x:v>
      </x:c>
      <x:c r="AJ13" s="38" t="n">
        <x:v>0.0207133729</x:v>
      </x:c>
      <x:c r="AK13" s="38" t="n">
        <x:v>-0.0584556395</x:v>
      </x:c>
      <x:c r="AL13" s="38" t="n">
        <x:v>0.0446624505</x:v>
      </x:c>
      <x:c r="AM13" s="38" t="n">
        <x:v>0.0169617782</x:v>
      </x:c>
      <x:c r="AN13" s="38" t="n">
        <x:v>0.0573376673</x:v>
      </x:c>
      <x:c r="AO13" s="38" t="n">
        <x:v>0.0203065705</x:v>
      </x:c>
      <x:c r="AP13" s="38" t="n">
        <x:v>0.0140320595</x:v>
      </x:c>
      <x:c r="AQ13" s="38" t="n">
        <x:v>-0.0069217365</x:v>
      </x:c>
      <x:c r="AR13" s="38" t="n">
        <x:v>0.000508397</x:v>
      </x:c>
      <x:c r="AS13" s="38" t="n">
        <x:v>-0.0061530254</x:v>
      </x:c>
      <x:c r="AT13" s="38" t="n">
        <x:v>-0.0021295648</x:v>
      </x:c>
      <x:c r="AU13" s="38" t="n">
        <x:v>-0.0089791492</x:v>
      </x:c>
      <x:c r="AV13" s="38" t="n">
        <x:v>-0.0093062377</x:v>
      </x:c>
      <x:c r="AW13" s="38" t="n">
        <x:v>-0.0114459554</x:v>
      </x:c>
      <x:c r="AX13" s="38" t="n">
        <x:v>0.0019806907</x:v>
      </x:c>
      <x:c r="AY13" s="38" t="n">
        <x:v>0.0323921895</x:v>
      </x:c>
      <x:c r="AZ13" s="38" t="n">
        <x:v>-0.0203338981</x:v>
      </x:c>
      <x:c r="BA13" s="38" t="n">
        <x:v>0.0212555599</x:v>
      </x:c>
      <x:c r="BB13" s="38" t="n">
        <x:v>0.0052989404</x:v>
      </x:c>
      <x:c r="BC13" s="38" t="n">
        <x:v>-0.0106161769</x:v>
      </x:c>
      <x:c r="BD13" s="38" t="n">
        <x:v>-0.0166564906</x:v>
      </x:c>
      <x:c r="BE13" s="38" t="n">
        <x:v>0.0144570134</x:v>
      </x:c>
      <x:c r="BF13" s="38" t="n">
        <x:v>-0.004418288</x:v>
      </x:c>
      <x:c r="BG13" s="38" t="n">
        <x:v>0.0238380313</x:v>
      </x:c>
      <x:c r="BH13" s="38" t="n">
        <x:v>0.007194635</x:v>
      </x:c>
      <x:c r="BI13" s="38" t="n">
        <x:v>0.0021993395</x:v>
      </x:c>
      <x:c r="BJ13" s="38" t="n">
        <x:v>-0.0056298621</x:v>
      </x:c>
    </x:row>
    <x:row r="14" ht="19" customHeight="1">
      <x:c r="A14" s="39" t="d">
        <x:v>2021-12-06T00:00:00.000Z</x:v>
      </x:c>
      <x:c r="B14" s="38" t="n">
        <x:v>0.0373113748</x:v>
      </x:c>
      <x:c r="C14" s="38" t="n">
        <x:v>-0.0351598922</x:v>
      </x:c>
      <x:c r="D14" s="38" t="n">
        <x:v>-0.0083042167</x:v>
      </x:c>
      <x:c r="E14" s="38" t="n">
        <x:v>0.0068681158</x:v>
      </x:c>
      <x:c r="F14" s="38" t="n">
        <x:v>0.0086379188</x:v>
      </x:c>
      <x:c r="G14" s="38" t="n">
        <x:v>-0.0486092315</x:v>
      </x:c>
      <x:c r="H14" s="38" t="n">
        <x:v>-0.0307530314</x:v>
      </x:c>
      <x:c r="I14" s="38" t="n">
        <x:v>-0.0469373513</x:v>
      </x:c>
      <x:c r="J14" s="38" t="n">
        <x:v>-0.0807374067</x:v>
      </x:c>
      <x:c r="K14" s="38" t="n">
        <x:v>-0.0481035535</x:v>
      </x:c>
      <x:c r="L14" s="38" t="n">
        <x:v>-0.0190508338</x:v>
      </x:c>
      <x:c r="M14" s="38" t="n">
        <x:v>0.0677143012</x:v>
      </x:c>
      <x:c r="N14" s="38" t="n">
        <x:v>-0.0085183653</x:v>
      </x:c>
      <x:c r="O14" s="38" t="n">
        <x:v>-0.0698077711</x:v>
      </x:c>
      <x:c r="P14" s="38" t="n">
        <x:v>-0.0766344245</x:v>
      </x:c>
      <x:c r="Q14" s="38" t="n">
        <x:v>-0.3241731172</x:v>
      </x:c>
      <x:c r="R14" s="38" t="n">
        <x:v>0.0141349402</x:v>
      </x:c>
      <x:c r="S14" s="38" t="n">
        <x:v>-0.2782166261</x:v>
      </x:c>
      <x:c r="T14" s="38" t="n">
        <x:v>0.1177287627</x:v>
      </x:c>
      <x:c r="U14" s="38" t="n">
        <x:v>-0.1165210788</x:v>
      </x:c>
      <x:c r="V14" s="38" t="n">
        <x:v>-0.0590539641</x:v>
      </x:c>
      <x:c r="W14" s="38" t="n">
        <x:v>0.0050415753</x:v>
      </x:c>
      <x:c r="X14" s="38" t="n">
        <x:v>0.0183571686</x:v>
      </x:c>
      <x:c r="Y14" s="38" t="n">
        <x:v>0.0078558866</x:v>
      </x:c>
      <x:c r="Z14" s="38" t="n">
        <x:v>-0.002368082</x:v>
      </x:c>
      <x:c r="AA14" s="38" t="n">
        <x:v>-0.1201688468</x:v>
      </x:c>
      <x:c r="AB14" s="38" t="n">
        <x:v>-0.2504327887</x:v>
      </x:c>
      <x:c r="AC14" s="38" t="n">
        <x:v>0.0339835889</x:v>
      </x:c>
      <x:c r="AD14" s="38" t="n">
        <x:v>0.0935814626</x:v>
      </x:c>
      <x:c r="AE14" s="38" t="n">
        <x:v>-0.0179646216</x:v>
      </x:c>
      <x:c r="AF14" s="38" t="n">
        <x:v>-0.0110470135</x:v>
      </x:c>
      <x:c r="AG14" s="38" t="n">
        <x:v>0.0123084063</x:v>
      </x:c>
      <x:c r="AH14" s="38" t="n">
        <x:v>-0.1149958599</x:v>
      </x:c>
      <x:c r="AI14" s="38" t="n">
        <x:v>-0.0497287954</x:v>
      </x:c>
      <x:c r="AJ14" s="38" t="n">
        <x:v>-0.0259578511</x:v>
      </x:c>
      <x:c r="AK14" s="38" t="n">
        <x:v>0.0054661493</x:v>
      </x:c>
      <x:c r="AL14" s="38" t="n">
        <x:v>-0.0046153995</x:v>
      </x:c>
      <x:c r="AM14" s="38" t="n">
        <x:v>0.0069515043</x:v>
      </x:c>
      <x:c r="AN14" s="38" t="n">
        <x:v>0.0430141452</x:v>
      </x:c>
      <x:c r="AO14" s="38" t="n">
        <x:v>0.1021361074</x:v>
      </x:c>
      <x:c r="AP14" s="38" t="n">
        <x:v>-0.0253828901</x:v>
      </x:c>
      <x:c r="AQ14" s="38" t="n">
        <x:v>-0.0006253225</x:v>
      </x:c>
      <x:c r="AR14" s="38" t="n">
        <x:v>0.0100633163</x:v>
      </x:c>
      <x:c r="AS14" s="38" t="n">
        <x:v>-0.0123702181</x:v>
      </x:c>
      <x:c r="AT14" s="38" t="n">
        <x:v>-0.0059774548</x:v>
      </x:c>
      <x:c r="AU14" s="38" t="n">
        <x:v>-0.0077217079</x:v>
      </x:c>
      <x:c r="AV14" s="38" t="n">
        <x:v>-0.0078315889</x:v>
      </x:c>
      <x:c r="AW14" s="38" t="n">
        <x:v>-0.0114323968</x:v>
      </x:c>
      <x:c r="AX14" s="38" t="n">
        <x:v>-0.0172166316</x:v>
      </x:c>
      <x:c r="AY14" s="38" t="n">
        <x:v>0.0051846948</x:v>
      </x:c>
      <x:c r="AZ14" s="38" t="n">
        <x:v>-0.0431351329</x:v>
      </x:c>
      <x:c r="BA14" s="38" t="n">
        <x:v>0.0053809662</x:v>
      </x:c>
      <x:c r="BB14" s="38" t="n">
        <x:v>0.0096582534</x:v>
      </x:c>
      <x:c r="BC14" s="38" t="n">
        <x:v>-0.0222335959</x:v>
      </x:c>
      <x:c r="BD14" s="38" t="n">
        <x:v>-0.0254429542</x:v>
      </x:c>
      <x:c r="BE14" s="38" t="n">
        <x:v>0.0000020555</x:v>
      </x:c>
      <x:c r="BF14" s="38" t="n">
        <x:v>-0.017369071</x:v>
      </x:c>
      <x:c r="BG14" s="38" t="n">
        <x:v>-0.0167854792</x:v>
      </x:c>
      <x:c r="BH14" s="38" t="n">
        <x:v>0.0150153993</x:v>
      </x:c>
      <x:c r="BI14" s="38" t="n">
        <x:v>0.0241430222</x:v>
      </x:c>
      <x:c r="BJ14" s="38" t="n">
        <x:v>0.0210540453</x:v>
      </x:c>
    </x:row>
    <x:row r="15" ht="19" customHeight="1">
      <x:c r="A15" s="39" t="d">
        <x:v>2022-01-03T00:00:00.000Z</x:v>
      </x:c>
      <x:c r="B15" s="38" t="n">
        <x:v>0.0418905729</x:v>
      </x:c>
      <x:c r="C15" s="38" t="n">
        <x:v>-0.0888260413</x:v>
      </x:c>
      <x:c r="D15" s="38" t="n">
        <x:v>0.023980331</x:v>
      </x:c>
      <x:c r="E15" s="38" t="n">
        <x:v>0.00519215</x:v>
      </x:c>
      <x:c r="F15" s="38" t="n">
        <x:v>0.0221244556</x:v>
      </x:c>
      <x:c r="G15" s="38" t="n">
        <x:v>-0.0272594784</x:v>
      </x:c>
      <x:c r="H15" s="38" t="n">
        <x:v>-0.0040008276</x:v>
      </x:c>
      <x:c r="I15" s="38" t="n">
        <x:v>-0.0338021386</x:v>
      </x:c>
      <x:c r="J15" s="38" t="n">
        <x:v>0.072161636</x:v>
      </x:c>
      <x:c r="K15" s="38" t="n">
        <x:v>0.0200379451</x:v>
      </x:c>
      <x:c r="L15" s="38" t="n">
        <x:v>0.0389153769</x:v>
      </x:c>
      <x:c r="M15" s="38" t="n">
        <x:v>-0.0448218505</x:v>
      </x:c>
      <x:c r="N15" s="38" t="n">
        <x:v>-0.0960262394</x:v>
      </x:c>
      <x:c r="O15" s="38" t="n">
        <x:v>0.1001092419</x:v>
      </x:c>
      <x:c r="P15" s="38" t="n">
        <x:v>-0.1359695634</x:v>
      </x:c>
      <x:c r="Q15" s="38" t="n">
        <x:v>-0.0818335045</x:v>
      </x:c>
      <x:c r="R15" s="38" t="n">
        <x:v>-0.0144363131</x:v>
      </x:c>
      <x:c r="S15" s="38" t="n">
        <x:v>-0.1674902108</x:v>
      </x:c>
      <x:c r="T15" s="38" t="n">
        <x:v>-0.1636477276</x:v>
      </x:c>
      <x:c r="U15" s="38" t="n">
        <x:v>-0.0183488123</x:v>
      </x:c>
      <x:c r="V15" s="38" t="n">
        <x:v>-0.0719764862</x:v>
      </x:c>
      <x:c r="W15" s="38" t="n">
        <x:v>0.0047520713</x:v>
      </x:c>
      <x:c r="X15" s="38" t="n">
        <x:v>0.0821274232</x:v>
      </x:c>
      <x:c r="Y15" s="38" t="n">
        <x:v>0.0140111047</x:v>
      </x:c>
      <x:c r="Z15" s="38" t="n">
        <x:v>0.0596849546</x:v>
      </x:c>
      <x:c r="AA15" s="38" t="n">
        <x:v>-0.0037848563</x:v>
      </x:c>
      <x:c r="AB15" s="38" t="n">
        <x:v>-0.1917321029</x:v>
      </x:c>
      <x:c r="AC15" s="38" t="n">
        <x:v>-0.0025592613</x:v>
      </x:c>
      <x:c r="AD15" s="38" t="n">
        <x:v>0.083835459</x:v>
      </x:c>
      <x:c r="AE15" s="38" t="n">
        <x:v>0.0698014526</x:v>
      </x:c>
      <x:c r="AF15" s="38" t="n">
        <x:v>0.0119842798</x:v>
      </x:c>
      <x:c r="AG15" s="38" t="n">
        <x:v>0.0232514034</x:v>
      </x:c>
      <x:c r="AH15" s="38" t="n">
        <x:v>0.0511008521</x:v>
      </x:c>
      <x:c r="AI15" s="38" t="n">
        <x:v>0.0290896636</x:v>
      </x:c>
      <x:c r="AJ15" s="38" t="n">
        <x:v>-0.0034567319</x:v>
      </x:c>
      <x:c r="AK15" s="38" t="n">
        <x:v>0.0365342654</x:v>
      </x:c>
      <x:c r="AL15" s="38" t="n">
        <x:v>-0.0305142488</x:v>
      </x:c>
      <x:c r="AM15" s="38" t="n">
        <x:v>0.0141364405</x:v>
      </x:c>
      <x:c r="AN15" s="38" t="n">
        <x:v>-0.0541397125</x:v>
      </x:c>
      <x:c r="AO15" s="38" t="n">
        <x:v>-0.0412747912</x:v>
      </x:c>
      <x:c r="AP15" s="38" t="n">
        <x:v>0.0052576472</x:v>
      </x:c>
      <x:c r="AQ15" s="38" t="n">
        <x:v>0.0060421865</x:v>
      </x:c>
      <x:c r="AR15" s="38" t="n">
        <x:v>0.0322842812</x:v>
      </x:c>
      <x:c r="AS15" s="38" t="n">
        <x:v>0.0172576224</x:v>
      </x:c>
      <x:c r="AT15" s="38" t="n">
        <x:v>0.0046704405</x:v>
      </x:c>
      <x:c r="AU15" s="38" t="n">
        <x:v>0.0023512168</x:v>
      </x:c>
      <x:c r="AV15" s="38" t="n">
        <x:v>0.0029176747</x:v>
      </x:c>
      <x:c r="AW15" s="38" t="n">
        <x:v>0.000930662</x:v>
      </x:c>
      <x:c r="AX15" s="38" t="n">
        <x:v>0.0006342883</x:v>
      </x:c>
      <x:c r="AY15" s="38" t="n">
        <x:v>-0.0045629136</x:v>
      </x:c>
      <x:c r="AZ15" s="38" t="n">
        <x:v>0.0051513207</x:v>
      </x:c>
      <x:c r="BA15" s="38" t="n">
        <x:v>-0.0055583265</x:v>
      </x:c>
      <x:c r="BB15" s="38" t="n">
        <x:v>0.0358804767</x:v>
      </x:c>
      <x:c r="BC15" s="38" t="n">
        <x:v>0.0380041114</x:v>
      </x:c>
      <x:c r="BD15" s="38" t="n">
        <x:v>0.0427994655</x:v>
      </x:c>
      <x:c r="BE15" s="38" t="n">
        <x:v>0.0019186705</x:v>
      </x:c>
      <x:c r="BF15" s="38" t="n">
        <x:v>0.0116836099</x:v>
      </x:c>
      <x:c r="BG15" s="38" t="n">
        <x:v>0.0163775108</x:v>
      </x:c>
      <x:c r="BH15" s="38" t="n">
        <x:v>0.0159231692</x:v>
      </x:c>
      <x:c r="BI15" s="38" t="n">
        <x:v>-0.0286397103</x:v>
      </x:c>
      <x:c r="BJ15" s="38" t="n">
        <x:v>0.0175921273</x:v>
      </x:c>
    </x:row>
    <x:row r="16" ht="19" customHeight="1">
      <x:c r="A16" s="39" t="d">
        <x:v>2022-01-31T00:00:00.000Z</x:v>
      </x:c>
      <x:c r="B16" s="38" t="n">
        <x:v>0.0069652377</x:v>
      </x:c>
      <x:c r="C16" s="38" t="n">
        <x:v>-0.0077944428</x:v>
      </x:c>
      <x:c r="D16" s="38" t="n">
        <x:v>-0.0186655266</x:v>
      </x:c>
      <x:c r="E16" s="38" t="n">
        <x:v>0.0023085102</x:v>
      </x:c>
      <x:c r="F16" s="38" t="n">
        <x:v>-0.0422988614</x:v>
      </x:c>
      <x:c r="G16" s="38" t="n">
        <x:v>0.005138204</x:v>
      </x:c>
      <x:c r="H16" s="38" t="n">
        <x:v>0.013851477</x:v>
      </x:c>
      <x:c r="I16" s="38" t="n">
        <x:v>-0.0566865861</x:v>
      </x:c>
      <x:c r="J16" s="38" t="n">
        <x:v>0.0031188359</x:v>
      </x:c>
      <x:c r="K16" s="38" t="n">
        <x:v>-0.0448272214</x:v>
      </x:c>
      <x:c r="L16" s="38" t="n">
        <x:v>-0.0149873898</x:v>
      </x:c>
      <x:c r="M16" s="38" t="n">
        <x:v>0.0416557616</x:v>
      </x:c>
      <x:c r="N16" s="38" t="n">
        <x:v>-0.0322014248</x:v>
      </x:c>
      <x:c r="O16" s="38" t="n">
        <x:v>-0.1091938988</x:v>
      </x:c>
      <x:c r="P16" s="38" t="n">
        <x:v>0.0277735924</x:v>
      </x:c>
      <x:c r="Q16" s="38" t="n">
        <x:v>-0.192050431</x:v>
      </x:c>
      <x:c r="R16" s="38" t="n">
        <x:v>0.0328178811</x:v>
      </x:c>
      <x:c r="S16" s="38" t="n">
        <x:v>-0.0125004625</x:v>
      </x:c>
      <x:c r="T16" s="38" t="n">
        <x:v>-0.1553943039</x:v>
      </x:c>
      <x:c r="U16" s="38" t="n">
        <x:v>0.0125062918</x:v>
      </x:c>
      <x:c r="V16" s="38" t="n">
        <x:v>-0.1635552046</x:v>
      </x:c>
      <x:c r="W16" s="38" t="n">
        <x:v>-0.0088106763</x:v>
      </x:c>
      <x:c r="X16" s="38" t="n">
        <x:v>-0.1064811721</x:v>
      </x:c>
      <x:c r="Y16" s="38" t="n">
        <x:v>0.0277037149</x:v>
      </x:c>
      <x:c r="Z16" s="38" t="n">
        <x:v>-0.0116224819</x:v>
      </x:c>
      <x:c r="AA16" s="38" t="n">
        <x:v>-0.0880261799</x:v>
      </x:c>
      <x:c r="AB16" s="38" t="n">
        <x:v>-0.0615802573</x:v>
      </x:c>
      <x:c r="AC16" s="38" t="n">
        <x:v>0.0052374322</x:v>
      </x:c>
      <x:c r="AD16" s="38" t="n">
        <x:v>-0.1710229723</x:v>
      </x:c>
      <x:c r="AE16" s="38" t="n">
        <x:v>-0.0592971361</x:v>
      </x:c>
      <x:c r="AF16" s="38" t="n">
        <x:v>-0.0027667089</x:v>
      </x:c>
      <x:c r="AG16" s="38" t="n">
        <x:v>-0.0308763022</x:v>
      </x:c>
      <x:c r="AH16" s="38" t="n">
        <x:v>-0.0381772376</x:v>
      </x:c>
      <x:c r="AI16" s="38" t="n">
        <x:v>-0.0745473443</x:v>
      </x:c>
      <x:c r="AJ16" s="38" t="n">
        <x:v>-0.0749752347</x:v>
      </x:c>
      <x:c r="AK16" s="38" t="n">
        <x:v>-0.0706055546</x:v>
      </x:c>
      <x:c r="AL16" s="38" t="n">
        <x:v>-0.0166591333</x:v>
      </x:c>
      <x:c r="AM16" s="38" t="n">
        <x:v>0.0864415356</x:v>
      </x:c>
      <x:c r="AN16" s="38" t="n">
        <x:v>-0.0259250658</x:v>
      </x:c>
      <x:c r="AO16" s="38" t="n">
        <x:v>-0.0267309403</x:v>
      </x:c>
      <x:c r="AP16" s="38" t="n">
        <x:v>-0.0325620613</x:v>
      </x:c>
      <x:c r="AQ16" s="38" t="n">
        <x:v>-0.0275797302</x:v>
      </x:c>
      <x:c r="AR16" s="38" t="n">
        <x:v>-0.0131053269</x:v>
      </x:c>
      <x:c r="AS16" s="38" t="n">
        <x:v>-0.0104297469</x:v>
      </x:c>
      <x:c r="AT16" s="38" t="n">
        <x:v>0.0048805813</x:v>
      </x:c>
      <x:c r="AU16" s="38" t="n">
        <x:v>0.0052030717</x:v>
      </x:c>
      <x:c r="AV16" s="38" t="n">
        <x:v>0.0055090039</x:v>
      </x:c>
      <x:c r="AW16" s="38" t="n">
        <x:v>-0.0038637554</x:v>
      </x:c>
      <x:c r="AX16" s="38" t="n">
        <x:v>0.0020180531</x:v>
      </x:c>
      <x:c r="AY16" s="38" t="n">
        <x:v>-0.0274081986</x:v>
      </x:c>
      <x:c r="AZ16" s="38" t="n">
        <x:v>-0.024231248</x:v>
      </x:c>
      <x:c r="BA16" s="38" t="n">
        <x:v>-0.017019641</x:v>
      </x:c>
      <x:c r="BB16" s="38" t="n">
        <x:v>-0.004397012</x:v>
      </x:c>
      <x:c r="BC16" s="38" t="n">
        <x:v>0.05911436</x:v>
      </x:c>
      <x:c r="BD16" s="38" t="n">
        <x:v>0.0011380642</x:v>
      </x:c>
      <x:c r="BE16" s="38" t="n">
        <x:v>-0.0002983968</x:v>
      </x:c>
      <x:c r="BF16" s="38" t="n">
        <x:v>-0.0232727283</x:v>
      </x:c>
      <x:c r="BG16" s="38" t="n">
        <x:v>-0.0295115024</x:v>
      </x:c>
      <x:c r="BH16" s="38" t="n">
        <x:v>-0.0111127391</x:v>
      </x:c>
      <x:c r="BI16" s="38" t="n">
        <x:v>0.0126476052</x:v>
      </x:c>
      <x:c r="BJ16" s="38" t="n">
        <x:v>-0.0115960282</x:v>
      </x:c>
    </x:row>
    <x:row r="17" ht="19" customHeight="1">
      <x:c r="A17" s="39" t="d">
        <x:v>2022-02-28T00:00:00.000Z</x:v>
      </x:c>
      <x:c r="B17" s="38" t="n">
        <x:v>0.0236228138</x:v>
      </x:c>
      <x:c r="C17" s="38" t="n">
        <x:v>0.108328905</x:v>
      </x:c>
      <x:c r="D17" s="38" t="n">
        <x:v>0.0371300687</x:v>
      </x:c>
      <x:c r="E17" s="38" t="n">
        <x:v>-0.017019693</x:v>
      </x:c>
      <x:c r="F17" s="38" t="n">
        <x:v>0.0904002153</x:v>
      </x:c>
      <x:c r="G17" s="38" t="n">
        <x:v>0.0016317706</x:v>
      </x:c>
      <x:c r="H17" s="38" t="n">
        <x:v>0.0459562918</x:v>
      </x:c>
      <x:c r="I17" s="38" t="n">
        <x:v>-0.0151965836</x:v>
      </x:c>
      <x:c r="J17" s="38" t="n">
        <x:v>-0.1436522054</x:v>
      </x:c>
      <x:c r="K17" s="38" t="n">
        <x:v>-0.0848442082</x:v>
      </x:c>
      <x:c r="L17" s="38" t="n">
        <x:v>0.0566708411</x:v>
      </x:c>
      <x:c r="M17" s="38" t="n">
        <x:v>0.083810861</x:v>
      </x:c>
      <x:c r="N17" s="38" t="n">
        <x:v>0.1371408745</x:v>
      </x:c>
      <x:c r="O17" s="38" t="n">
        <x:v>-0.1752456325</x:v>
      </x:c>
      <x:c r="P17" s="38" t="n">
        <x:v>-0.0879536579</x:v>
      </x:c>
      <x:c r="Q17" s="38" t="n">
        <x:v>-0.0577479853</x:v>
      </x:c>
      <x:c r="R17" s="38" t="n">
        <x:v>-0.0274420488</x:v>
      </x:c>
      <x:c r="S17" s="38" t="n">
        <x:v>0.0058938895</x:v>
      </x:c>
      <x:c r="T17" s="38" t="n">
        <x:v>-0.1005434255</x:v>
      </x:c>
      <x:c r="U17" s="38" t="n">
        <x:v>0.0554642049</x:v>
      </x:c>
      <x:c r="V17" s="38" t="n">
        <x:v>-0.0014851769</x:v>
      </x:c>
      <x:c r="W17" s="38" t="n">
        <x:v>0.0042003659</x:v>
      </x:c>
      <x:c r="X17" s="38" t="n">
        <x:v>-0.1225688966</x:v>
      </x:c>
      <x:c r="Y17" s="38" t="n">
        <x:v>0.0366245765</x:v>
      </x:c>
      <x:c r="Z17" s="38" t="n">
        <x:v>0.0000606144</x:v>
      </x:c>
      <x:c r="AA17" s="38" t="n">
        <x:v>-0.2397541298</x:v>
      </x:c>
      <x:c r="AB17" s="38" t="n">
        <x:v>0.4377575127</x:v>
      </x:c>
      <x:c r="AC17" s="38" t="n">
        <x:v>-0.0095234248</x:v>
      </x:c>
      <x:c r="AD17" s="38" t="n">
        <x:v>-0.0419578871</x:v>
      </x:c>
      <x:c r="AE17" s="38" t="n">
        <x:v>0.0289868888</x:v>
      </x:c>
      <x:c r="AF17" s="38" t="n">
        <x:v>-0.0512999006</x:v>
      </x:c>
      <x:c r="AG17" s="38" t="n">
        <x:v>0.0283819535</x:v>
      </x:c>
      <x:c r="AH17" s="38" t="n">
        <x:v>0.0437926224</x:v>
      </x:c>
      <x:c r="AI17" s="38" t="n">
        <x:v>0.047868255</x:v>
      </x:c>
      <x:c r="AJ17" s="38" t="n">
        <x:v>0.0084807361</x:v>
      </x:c>
      <x:c r="AK17" s="38" t="n">
        <x:v>-0.0996977698</x:v>
      </x:c>
      <x:c r="AL17" s="38" t="n">
        <x:v>0.0596832859</x:v>
      </x:c>
      <x:c r="AM17" s="38" t="n">
        <x:v>-0.0512345684</x:v>
      </x:c>
      <x:c r="AN17" s="38" t="n">
        <x:v>0.0057948295</x:v>
      </x:c>
      <x:c r="AO17" s="38" t="n">
        <x:v>-0.0403978433</x:v>
      </x:c>
      <x:c r="AP17" s="38" t="n">
        <x:v>0.0058265376</x:v>
      </x:c>
      <x:c r="AQ17" s="38" t="n">
        <x:v>-0.0265325009</x:v>
      </x:c>
      <x:c r="AR17" s="38" t="n">
        <x:v>0.0581155596</x:v>
      </x:c>
      <x:c r="AS17" s="38" t="n">
        <x:v>-0.0093661451</x:v>
      </x:c>
      <x:c r="AT17" s="38" t="n">
        <x:v>-0.0055487534</x:v>
      </x:c>
      <x:c r="AU17" s="38" t="n">
        <x:v>-0.0331280601</x:v>
      </x:c>
      <x:c r="AV17" s="38" t="n">
        <x:v>-0.0326120095</x:v>
      </x:c>
      <x:c r="AW17" s="38" t="n">
        <x:v>0.022963488</x:v>
      </x:c>
      <x:c r="AX17" s="38" t="n">
        <x:v>0.0018556833</x:v>
      </x:c>
      <x:c r="AY17" s="38" t="n">
        <x:v>-0.0274400464</x:v>
      </x:c>
      <x:c r="AZ17" s="38" t="n">
        <x:v>-0.0224361764</x:v>
      </x:c>
      <x:c r="BA17" s="38" t="n">
        <x:v>-0.0129139502</x:v>
      </x:c>
      <x:c r="BB17" s="38" t="n">
        <x:v>0.0098107801</x:v>
      </x:c>
      <x:c r="BC17" s="38" t="n">
        <x:v>0.0395873856</x:v>
      </x:c>
      <x:c r="BD17" s="38" t="n">
        <x:v>-0.0341434448</x:v>
      </x:c>
      <x:c r="BE17" s="38" t="n">
        <x:v>0.0120139249</x:v>
      </x:c>
      <x:c r="BF17" s="38" t="n">
        <x:v>0.023329477</x:v>
      </x:c>
      <x:c r="BG17" s="38" t="n">
        <x:v>0.0216785582</x:v>
      </x:c>
      <x:c r="BH17" s="38" t="n">
        <x:v>0.0273694126</x:v>
      </x:c>
      <x:c r="BI17" s="38" t="n">
        <x:v>-0.0058396634</x:v>
      </x:c>
      <x:c r="BJ17" s="38" t="n">
        <x:v>0.0337360614</x:v>
      </x:c>
    </x:row>
    <x:row r="18" ht="19" customHeight="1">
      <x:c r="A18" s="39" t="d">
        <x:v>2022-03-28T00:00:00.000Z</x:v>
      </x:c>
      <x:c r="B18" s="38" t="n">
        <x:v>-0.002928658</x:v>
      </x:c>
      <x:c r="C18" s="38" t="n">
        <x:v>0.0549291185</x:v>
      </x:c>
      <x:c r="D18" s="38" t="n">
        <x:v>-0.0130127933</x:v>
      </x:c>
      <x:c r="E18" s="38" t="n">
        <x:v>-0.0055154086</x:v>
      </x:c>
      <x:c r="F18" s="38" t="n">
        <x:v>-0.0452096707</x:v>
      </x:c>
      <x:c r="G18" s="38" t="n">
        <x:v>0.0373519714</x:v>
      </x:c>
      <x:c r="H18" s="38" t="n">
        <x:v>0.0225086</x:v>
      </x:c>
      <x:c r="I18" s="38" t="n">
        <x:v>-0.0814987751</x:v>
      </x:c>
      <x:c r="J18" s="38" t="n">
        <x:v>-0.222977857</x:v>
      </x:c>
      <x:c r="K18" s="38" t="n">
        <x:v>0.0798409257</x:v>
      </x:c>
      <x:c r="L18" s="38" t="n">
        <x:v>0.0388826881</x:v>
      </x:c>
      <x:c r="M18" s="38" t="n">
        <x:v>0.022102209</x:v>
      </x:c>
      <x:c r="N18" s="38" t="n">
        <x:v>0.0988577159</x:v>
      </x:c>
      <x:c r="O18" s="38" t="n">
        <x:v>-0.1399367795</x:v>
      </x:c>
      <x:c r="P18" s="38" t="n">
        <x:v>0.0485655723</x:v>
      </x:c>
      <x:c r="Q18" s="38" t="n">
        <x:v>0.06298553</x:v>
      </x:c>
      <x:c r="R18" s="38" t="n">
        <x:v>-0.0198224153</x:v>
      </x:c>
      <x:c r="S18" s="38" t="n">
        <x:v>0.0255020503</x:v>
      </x:c>
      <x:c r="T18" s="38" t="n">
        <x:v>0.0906052908</x:v>
      </x:c>
      <x:c r="U18" s="38" t="n">
        <x:v>-0.0003812486</x:v>
      </x:c>
      <x:c r="V18" s="38" t="n">
        <x:v>-0.0291442074</x:v>
      </x:c>
      <x:c r="W18" s="38" t="n">
        <x:v>0.0083123176</x:v>
      </x:c>
      <x:c r="X18" s="38" t="n">
        <x:v>-0.1691210617</x:v>
      </x:c>
      <x:c r="Y18" s="38" t="n">
        <x:v>0.0161295372</x:v>
      </x:c>
      <x:c r="Z18" s="38" t="n">
        <x:v>0.0474842089</x:v>
      </x:c>
      <x:c r="AA18" s="38" t="n">
        <x:v>-0.0570013792</x:v>
      </x:c>
      <x:c r="AB18" s="38" t="n">
        <x:v>-0.2161584861</x:v>
      </x:c>
      <x:c r="AC18" s="38" t="n">
        <x:v>0.0071021062</x:v>
      </x:c>
      <x:c r="AD18" s="38" t="n">
        <x:v>-0.1025357001</x:v>
      </x:c>
      <x:c r="AE18" s="38" t="n">
        <x:v>-0.031131625</x:v>
      </x:c>
      <x:c r="AF18" s="38" t="n">
        <x:v>-0.0123165707</x:v>
      </x:c>
      <x:c r="AG18" s="38" t="n">
        <x:v>-0.0689376342</x:v>
      </x:c>
      <x:c r="AH18" s="38" t="n">
        <x:v>-0.0978307465</x:v>
      </x:c>
      <x:c r="AI18" s="38" t="n">
        <x:v>0.0578672709</x:v>
      </x:c>
      <x:c r="AJ18" s="38" t="n">
        <x:v>0.0450504998</x:v>
      </x:c>
      <x:c r="AK18" s="38" t="n">
        <x:v>0.0746444574</x:v>
      </x:c>
      <x:c r="AL18" s="38" t="n">
        <x:v>-0.0193842342</x:v>
      </x:c>
      <x:c r="AM18" s="38" t="n">
        <x:v>-0.0670921712</x:v>
      </x:c>
      <x:c r="AN18" s="38" t="n">
        <x:v>0.0401962405</x:v>
      </x:c>
      <x:c r="AO18" s="38" t="n">
        <x:v>-0.0703486149</x:v>
      </x:c>
      <x:c r="AP18" s="38" t="n">
        <x:v>0.0091151361</x:v>
      </x:c>
      <x:c r="AQ18" s="38" t="n">
        <x:v>0.0159730545</x:v>
      </x:c>
      <x:c r="AR18" s="38" t="n">
        <x:v>0.0428308406</x:v>
      </x:c>
      <x:c r="AS18" s="38" t="n">
        <x:v>0.0397613351</x:v>
      </x:c>
      <x:c r="AT18" s="38" t="n">
        <x:v>-0.0003444792</x:v>
      </x:c>
      <x:c r="AU18" s="38" t="n">
        <x:v>0.0078227158</x:v>
      </x:c>
      <x:c r="AV18" s="38" t="n">
        <x:v>0.0066389084</x:v>
      </x:c>
      <x:c r="AW18" s="38" t="n">
        <x:v>0.0128598901</x:v>
      </x:c>
      <x:c r="AX18" s="38" t="n">
        <x:v>0.0092463469</x:v>
      </x:c>
      <x:c r="AY18" s="38" t="n">
        <x:v>0.0370698697</x:v>
      </x:c>
      <x:c r="AZ18" s="38" t="n">
        <x:v>0.0000153839</x:v>
      </x:c>
      <x:c r="BA18" s="38" t="n">
        <x:v>0.0215326868</x:v>
      </x:c>
      <x:c r="BB18" s="38" t="n">
        <x:v>-0.0051867934</x:v>
      </x:c>
      <x:c r="BC18" s="38" t="n">
        <x:v>0.0125071484</x:v>
      </x:c>
      <x:c r="BD18" s="38" t="n">
        <x:v>-0.0091510615</x:v>
      </x:c>
      <x:c r="BE18" s="38" t="n">
        <x:v>0.0142262368</x:v>
      </x:c>
      <x:c r="BF18" s="38" t="n">
        <x:v>-0.0193448392</x:v>
      </x:c>
      <x:c r="BG18" s="38" t="n">
        <x:v>0.0277347</x:v>
      </x:c>
      <x:c r="BH18" s="38" t="n">
        <x:v>0.0187564346</x:v>
      </x:c>
      <x:c r="BI18" s="38" t="n">
        <x:v>-0.0101006739</x:v>
      </x:c>
      <x:c r="BJ18" s="38" t="n">
        <x:v>0.0339972296</x:v>
      </x:c>
    </x:row>
    <x:row r="19" ht="19" customHeight="1">
      <x:c r="A19" s="39" t="d">
        <x:v>2022-04-25T00:00:00.000Z</x:v>
      </x:c>
      <x:c r="B19" s="38" t="n">
        <x:v>0.1273807113</x:v>
      </x:c>
      <x:c r="C19" s="38" t="n">
        <x:v>-0.068932705</x:v>
      </x:c>
      <x:c r="D19" s="38" t="n">
        <x:v>0.020914113</x:v>
      </x:c>
      <x:c r="E19" s="38" t="n">
        <x:v>0.0234036269</x:v>
      </x:c>
      <x:c r="F19" s="38" t="n">
        <x:v>0.004385005</x:v>
      </x:c>
      <x:c r="G19" s="38" t="n">
        <x:v>0.0151688224</x:v>
      </x:c>
      <x:c r="H19" s="38" t="n">
        <x:v>-0.061758788</x:v>
      </x:c>
      <x:c r="I19" s="38" t="n">
        <x:v>0.0016657773</x:v>
      </x:c>
      <x:c r="J19" s="38" t="n">
        <x:v>0.0202229499</x:v>
      </x:c>
      <x:c r="K19" s="38" t="n">
        <x:v>0.0993319586</x:v>
      </x:c>
      <x:c r="L19" s="38" t="n">
        <x:v>-0.0429669662</x:v>
      </x:c>
      <x:c r="M19" s="38" t="n">
        <x:v>-0.0346334612</x:v>
      </x:c>
      <x:c r="N19" s="38" t="n">
        <x:v>-0.0381819372</x:v>
      </x:c>
      <x:c r="O19" s="38" t="n">
        <x:v>0.1120392088</x:v>
      </x:c>
      <x:c r="P19" s="38" t="n">
        <x:v>-0.1334806728</x:v>
      </x:c>
      <x:c r="Q19" s="38" t="n">
        <x:v>-0.209142075</x:v>
      </x:c>
      <x:c r="R19" s="38" t="n">
        <x:v>-0.0496178608</x:v>
      </x:c>
      <x:c r="S19" s="38" t="n">
        <x:v>-0.1514536646</x:v>
      </x:c>
      <x:c r="T19" s="38" t="n">
        <x:v>-0.1305065413</x:v>
      </x:c>
      <x:c r="U19" s="38" t="n">
        <x:v>-0.1174152487</x:v>
      </x:c>
      <x:c r="V19" s="38" t="n">
        <x:v>-0.3379089983</x:v>
      </x:c>
      <x:c r="W19" s="38" t="n">
        <x:v>-0.005014179</x:v>
      </x:c>
      <x:c r="X19" s="38" t="n">
        <x:v>-0.0336146757</x:v>
      </x:c>
      <x:c r="Y19" s="38" t="n">
        <x:v>0.0112301622</x:v>
      </x:c>
      <x:c r="Z19" s="38" t="n">
        <x:v>-0.0426003365</x:v>
      </x:c>
      <x:c r="AA19" s="38" t="n">
        <x:v>0.0540070986</x:v>
      </x:c>
      <x:c r="AB19" s="38" t="n">
        <x:v>0.0320878223</x:v>
      </x:c>
      <x:c r="AC19" s="38" t="n">
        <x:v>0.0474999717</x:v>
      </x:c>
      <x:c r="AD19" s="38" t="n">
        <x:v>0.0210463591</x:v>
      </x:c>
      <x:c r="AE19" s="38" t="n">
        <x:v>0.0135094206</x:v>
      </x:c>
      <x:c r="AF19" s="38" t="n">
        <x:v>-0.0777971206</x:v>
      </x:c>
      <x:c r="AG19" s="38" t="n">
        <x:v>0.0739060053</x:v>
      </x:c>
      <x:c r="AH19" s="38" t="n">
        <x:v>-0.0263540807</x:v>
      </x:c>
      <x:c r="AI19" s="38" t="n">
        <x:v>0.0138466637</x:v>
      </x:c>
      <x:c r="AJ19" s="38" t="n">
        <x:v>0.0138218961</x:v>
      </x:c>
      <x:c r="AK19" s="38" t="n">
        <x:v>-0.003902096</x:v>
      </x:c>
      <x:c r="AL19" s="38" t="n">
        <x:v>0.0289241815</x:v>
      </x:c>
      <x:c r="AM19" s="38" t="n">
        <x:v>0.0170119589</x:v>
      </x:c>
      <x:c r="AN19" s="38" t="n">
        <x:v>-0.0397429291</x:v>
      </x:c>
      <x:c r="AO19" s="38" t="n">
        <x:v>0.0853239526</x:v>
      </x:c>
      <x:c r="AP19" s="38" t="n">
        <x:v>0.0032631963</x:v>
      </x:c>
      <x:c r="AQ19" s="38" t="n">
        <x:v>0.0112719208</x:v>
      </x:c>
      <x:c r="AR19" s="38" t="n">
        <x:v>-0.0337244423</x:v>
      </x:c>
      <x:c r="AS19" s="38" t="n">
        <x:v>-0.019763488</x:v>
      </x:c>
      <x:c r="AT19" s="38" t="n">
        <x:v>-0.0143937086</x:v>
      </x:c>
      <x:c r="AU19" s="38" t="n">
        <x:v>-0.0349971198</x:v>
      </x:c>
      <x:c r="AV19" s="38" t="n">
        <x:v>-0.0350639724</x:v>
      </x:c>
      <x:c r="AW19" s="38" t="n">
        <x:v>-0.0404783969</x:v>
      </x:c>
      <x:c r="AX19" s="38" t="n">
        <x:v>-0.0130084194</x:v>
      </x:c>
      <x:c r="AY19" s="38" t="n">
        <x:v>-0.0712042877</x:v>
      </x:c>
      <x:c r="AZ19" s="38" t="n">
        <x:v>-0.0523048457</x:v>
      </x:c>
      <x:c r="BA19" s="38" t="n">
        <x:v>-0.0054839316</x:v>
      </x:c>
      <x:c r="BB19" s="38" t="n">
        <x:v>0.0373797913</x:v>
      </x:c>
      <x:c r="BC19" s="38" t="n">
        <x:v>-0.0518820033</x:v>
      </x:c>
      <x:c r="BD19" s="38" t="n">
        <x:v>-0.0215971358</x:v>
      </x:c>
      <x:c r="BE19" s="38" t="n">
        <x:v>-0.0129342483</x:v>
      </x:c>
      <x:c r="BF19" s="38" t="n">
        <x:v>0.0057342681</x:v>
      </x:c>
      <x:c r="BG19" s="38" t="n">
        <x:v>0.0205530352</x:v>
      </x:c>
      <x:c r="BH19" s="38" t="n">
        <x:v>0.0219348228</x:v>
      </x:c>
      <x:c r="BI19" s="38" t="n">
        <x:v>0.0190315606</x:v>
      </x:c>
      <x:c r="BJ19" s="38" t="n">
        <x:v>-0.0173011826</x:v>
      </x:c>
    </x:row>
    <x:row r="20" ht="19" customHeight="1">
      <x:c r="A20" s="39" t="d">
        <x:v>2022-05-23T00:00:00.000Z</x:v>
      </x:c>
      <x:c r="B20" s="38" t="n">
        <x:v>-0.0153502964</x:v>
      </x:c>
      <x:c r="C20" s="38" t="n">
        <x:v>-0.0211395235</x:v>
      </x:c>
      <x:c r="D20" s="38" t="n">
        <x:v>-0.0093952842</x:v>
      </x:c>
      <x:c r="E20" s="38" t="n">
        <x:v>-0.0273050746</x:v>
      </x:c>
      <x:c r="F20" s="38" t="n">
        <x:v>-0.0223833447</x:v>
      </x:c>
      <x:c r="G20" s="38" t="n">
        <x:v>0.0349932025</x:v>
      </x:c>
      <x:c r="H20" s="38" t="n">
        <x:v>-0.0080589005</x:v>
      </x:c>
      <x:c r="I20" s="38" t="n">
        <x:v>0.0026389995</x:v>
      </x:c>
      <x:c r="J20" s="38" t="n">
        <x:v>0.0228386222</x:v>
      </x:c>
      <x:c r="K20" s="38" t="n">
        <x:v>-0.0223184265</x:v>
      </x:c>
      <x:c r="L20" s="38" t="n">
        <x:v>-0.058927879</x:v>
      </x:c>
      <x:c r="M20" s="38" t="n">
        <x:v>-0.0210729744</x:v>
      </x:c>
      <x:c r="N20" s="38" t="n">
        <x:v>-0.0067769031</x:v>
      </x:c>
      <x:c r="O20" s="38" t="n">
        <x:v>0.1038719435</x:v>
      </x:c>
      <x:c r="P20" s="38" t="n">
        <x:v>-0.0453499008</x:v>
      </x:c>
      <x:c r="Q20" s="38" t="n">
        <x:v>0.1109048629</x:v>
      </x:c>
      <x:c r="R20" s="38" t="n">
        <x:v>-0.1119337574</x:v>
      </x:c>
      <x:c r="S20" s="38" t="n">
        <x:v>-0.3217018606</x:v>
      </x:c>
      <x:c r="T20" s="38" t="n">
        <x:v>-0.0057709734</x:v>
      </x:c>
      <x:c r="U20" s="38" t="n">
        <x:v>-0.0710143732</x:v>
      </x:c>
      <x:c r="V20" s="38" t="n">
        <x:v>-0.0353914156</x:v>
      </x:c>
      <x:c r="W20" s="38" t="n">
        <x:v>0.0212479634</x:v>
      </x:c>
      <x:c r="X20" s="38" t="n">
        <x:v>-0.0423351162</x:v>
      </x:c>
      <x:c r="Y20" s="38" t="n">
        <x:v>-0.0640087794</x:v>
      </x:c>
      <x:c r="Z20" s="38" t="n">
        <x:v>0.0732903024</x:v>
      </x:c>
      <x:c r="AA20" s="38" t="n">
        <x:v>-0.0411001499</x:v>
      </x:c>
      <x:c r="AB20" s="38" t="n">
        <x:v>-0.3908248687</x:v>
      </x:c>
      <x:c r="AC20" s="38" t="n">
        <x:v>-0.0488555282</x:v>
      </x:c>
      <x:c r="AD20" s="38" t="n">
        <x:v>-0.0355521299</x:v>
      </x:c>
      <x:c r="AE20" s="38" t="n">
        <x:v>-0.0538574058</x:v>
      </x:c>
      <x:c r="AF20" s="38" t="n">
        <x:v>-0.1371101477</x:v>
      </x:c>
      <x:c r="AG20" s="38" t="n">
        <x:v>-0.0051237519</x:v>
      </x:c>
      <x:c r="AH20" s="38" t="n">
        <x:v>0.1172242471</x:v>
      </x:c>
      <x:c r="AI20" s="38" t="n">
        <x:v>0.0261714606</x:v>
      </x:c>
      <x:c r="AJ20" s="38" t="n">
        <x:v>-0.0053827119</x:v>
      </x:c>
      <x:c r="AK20" s="38" t="n">
        <x:v>-0.0277361615</x:v>
      </x:c>
      <x:c r="AL20" s="38" t="n">
        <x:v>-0.0289337906</x:v>
      </x:c>
      <x:c r="AM20" s="38" t="n">
        <x:v>-0.035190188</x:v>
      </x:c>
      <x:c r="AN20" s="38" t="n">
        <x:v>-0.0764236361</x:v>
      </x:c>
      <x:c r="AO20" s="38" t="n">
        <x:v>0.0414992165</x:v>
      </x:c>
      <x:c r="AP20" s="38" t="n">
        <x:v>-0.001477176</x:v>
      </x:c>
      <x:c r="AQ20" s="38" t="n">
        <x:v>-0.0200954022</x:v>
      </x:c>
      <x:c r="AR20" s="38" t="n">
        <x:v>-0.0222707172</x:v>
      </x:c>
      <x:c r="AS20" s="38" t="n">
        <x:v>0.0305750099</x:v>
      </x:c>
      <x:c r="AT20" s="38" t="n">
        <x:v>0.0067992212</x:v>
      </x:c>
      <x:c r="AU20" s="38" t="n">
        <x:v>0.0135067433</x:v>
      </x:c>
      <x:c r="AV20" s="38" t="n">
        <x:v>0.0137970535</x:v>
      </x:c>
      <x:c r="AW20" s="38" t="n">
        <x:v>-0.0010780797</x:v>
      </x:c>
      <x:c r="AX20" s="38" t="n">
        <x:v>-0.0019452381</x:v>
      </x:c>
      <x:c r="AY20" s="38" t="n">
        <x:v>0.006010838</x:v>
      </x:c>
      <x:c r="AZ20" s="38" t="n">
        <x:v>0.0111457456</x:v>
      </x:c>
      <x:c r="BA20" s="38" t="n">
        <x:v>-0.0436494385</x:v>
      </x:c>
      <x:c r="BB20" s="38" t="n">
        <x:v>-0.0299285609</x:v>
      </x:c>
      <x:c r="BC20" s="38" t="n">
        <x:v>0.1066699617</x:v>
      </x:c>
      <x:c r="BD20" s="38" t="n">
        <x:v>0.0164349895</x:v>
      </x:c>
      <x:c r="BE20" s="38" t="n">
        <x:v>0.0171319703</x:v>
      </x:c>
      <x:c r="BF20" s="38" t="n">
        <x:v>-0.005212756</x:v>
      </x:c>
      <x:c r="BG20" s="38" t="n">
        <x:v>0.017343387</x:v>
      </x:c>
      <x:c r="BH20" s="38" t="n">
        <x:v>-0.0297642621</x:v>
      </x:c>
      <x:c r="BI20" s="38" t="n">
        <x:v>-0.007856937</x:v>
      </x:c>
      <x:c r="BJ20" s="38" t="n">
        <x:v>0.0376790998</x:v>
      </x:c>
    </x:row>
    <x:row r="21" ht="19" customHeight="1">
      <x:c r="A21" s="39" t="d">
        <x:v>2022-06-20T00:00:00.000Z</x:v>
      </x:c>
      <x:c r="B21" s="38" t="n">
        <x:v>-0.0098323031</x:v>
      </x:c>
      <x:c r="C21" s="38" t="n">
        <x:v>-0.111440007</x:v>
      </x:c>
      <x:c r="D21" s="38" t="n">
        <x:v>-0.0236942889</x:v>
      </x:c>
      <x:c r="E21" s="38" t="n">
        <x:v>-0.020996087</x:v>
      </x:c>
      <x:c r="F21" s="38" t="n">
        <x:v>0.0232904599</x:v>
      </x:c>
      <x:c r="G21" s="38" t="n">
        <x:v>-0.0552824467</x:v>
      </x:c>
      <x:c r="H21" s="38" t="n">
        <x:v>0.0102432222</x:v>
      </x:c>
      <x:c r="I21" s="38" t="n">
        <x:v>-0.0614933998</x:v>
      </x:c>
      <x:c r="J21" s="38" t="n">
        <x:v>-0.0861907928</x:v>
      </x:c>
      <x:c r="K21" s="38" t="n">
        <x:v>0.0025954018</x:v>
      </x:c>
      <x:c r="L21" s="38" t="n">
        <x:v>0.0226050964</x:v>
      </x:c>
      <x:c r="M21" s="38" t="n">
        <x:v>-0.0836825642</x:v>
      </x:c>
      <x:c r="N21" s="38" t="n">
        <x:v>-0.0139698249</x:v>
      </x:c>
      <x:c r="O21" s="38" t="n">
        <x:v>-0.1809864512</x:v>
      </x:c>
      <x:c r="P21" s="38" t="n">
        <x:v>0.0394009406</x:v>
      </x:c>
      <x:c r="Q21" s="38" t="n">
        <x:v>0.1103716022</x:v>
      </x:c>
      <x:c r="R21" s="38" t="n">
        <x:v>0.0831402599</x:v>
      </x:c>
      <x:c r="S21" s="38" t="n">
        <x:v>-0.0121446272</x:v>
      </x:c>
      <x:c r="T21" s="38" t="n">
        <x:v>0.0290895847</x:v>
      </x:c>
      <x:c r="U21" s="38" t="n">
        <x:v>-0.0251941754</x:v>
      </x:c>
      <x:c r="V21" s="38" t="n">
        <x:v>0.0535963815</x:v>
      </x:c>
      <x:c r="W21" s="38" t="n">
        <x:v>0.0165081281</x:v>
      </x:c>
      <x:c r="X21" s="38" t="n">
        <x:v>-0.1235012821</x:v>
      </x:c>
      <x:c r="Y21" s="38" t="n">
        <x:v>0.0387251627</x:v>
      </x:c>
      <x:c r="Z21" s="38" t="n">
        <x:v>-0.0059553928</x:v>
      </x:c>
      <x:c r="AA21" s="38" t="n">
        <x:v>0.037711434</x:v>
      </x:c>
      <x:c r="AB21" s="38" t="n">
        <x:v>0.0458426104</x:v>
      </x:c>
      <x:c r="AC21" s="38" t="n">
        <x:v>0.0041146126</x:v>
      </x:c>
      <x:c r="AD21" s="38" t="n">
        <x:v>-0.0332765466</x:v>
      </x:c>
      <x:c r="AE21" s="38" t="n">
        <x:v>0.0288334183</x:v>
      </x:c>
      <x:c r="AF21" s="38" t="n">
        <x:v>0.1267245391</x:v>
      </x:c>
      <x:c r="AG21" s="38" t="n">
        <x:v>0.0087462028</x:v>
      </x:c>
      <x:c r="AH21" s="38" t="n">
        <x:v>-0.0731793694</x:v>
      </x:c>
      <x:c r="AI21" s="38" t="n">
        <x:v>0.0063976054</x:v>
      </x:c>
      <x:c r="AJ21" s="38" t="n">
        <x:v>-0.0435014852</x:v>
      </x:c>
      <x:c r="AK21" s="38" t="n">
        <x:v>0.0287987303</x:v>
      </x:c>
      <x:c r="AL21" s="38" t="n">
        <x:v>0.0275098963</x:v>
      </x:c>
      <x:c r="AM21" s="38" t="n">
        <x:v>0.0712525049</x:v>
      </x:c>
      <x:c r="AN21" s="38" t="n">
        <x:v>0.0304910452</x:v>
      </x:c>
      <x:c r="AO21" s="38" t="n">
        <x:v>-0.015336639</x:v>
      </x:c>
      <x:c r="AP21" s="38" t="n">
        <x:v>0.0067670492</x:v>
      </x:c>
      <x:c r="AQ21" s="38" t="n">
        <x:v>0.0061952748</x:v>
      </x:c>
      <x:c r="AR21" s="38" t="n">
        <x:v>-0.0760402149</x:v>
      </x:c>
      <x:c r="AS21" s="38" t="n">
        <x:v>-0.0111637241</x:v>
      </x:c>
      <x:c r="AT21" s="38" t="n">
        <x:v>-0.0088459163</x:v>
      </x:c>
      <x:c r="AU21" s="38" t="n">
        <x:v>-0.0133365065</x:v>
      </x:c>
      <x:c r="AV21" s="38" t="n">
        <x:v>-0.0130951605</x:v>
      </x:c>
      <x:c r="AW21" s="38" t="n">
        <x:v>-0.0215763642</x:v>
      </x:c>
      <x:c r="AX21" s="38" t="n">
        <x:v>-0.0127468701</x:v>
      </x:c>
      <x:c r="AY21" s="38" t="n">
        <x:v>-0.0450482721</x:v>
      </x:c>
      <x:c r="AZ21" s="38" t="n">
        <x:v>0.0021465661</x:v>
      </x:c>
      <x:c r="BA21" s="38" t="n">
        <x:v>0.0273689811</x:v>
      </x:c>
      <x:c r="BB21" s="38" t="n">
        <x:v>0.0004253994</x:v>
      </x:c>
      <x:c r="BC21" s="38" t="n">
        <x:v>-0.1836697031</x:v>
      </x:c>
      <x:c r="BD21" s="38" t="n">
        <x:v>-0.0352763201</x:v>
      </x:c>
      <x:c r="BE21" s="38" t="n">
        <x:v>-0.0062741775</x:v>
      </x:c>
      <x:c r="BF21" s="38" t="n">
        <x:v>-0.0158282912</x:v>
      </x:c>
      <x:c r="BG21" s="38" t="n">
        <x:v>-0.0621247877</x:v>
      </x:c>
      <x:c r="BH21" s="38" t="n">
        <x:v>-0.0052825868</x:v>
      </x:c>
      <x:c r="BI21" s="38" t="n">
        <x:v>0.0233420991</x:v>
      </x:c>
      <x:c r="BJ21" s="38" t="n">
        <x:v>-0.0464455081</x:v>
      </x:c>
    </x:row>
    <x:row r="22" ht="19" customHeight="1">
      <x:c r="A22" s="39" t="d">
        <x:v>2022-07-18T00:00:00.000Z</x:v>
      </x:c>
      <x:c r="B22" s="38" t="n">
        <x:v>-0.0365635832</x:v>
      </x:c>
      <x:c r="C22" s="38" t="n">
        <x:v>-0.1410327438</x:v>
      </x:c>
      <x:c r="D22" s="38" t="n">
        <x:v>0.001882625</x:v>
      </x:c>
      <x:c r="E22" s="38" t="n">
        <x:v>-0.0205610145</x:v>
      </x:c>
      <x:c r="F22" s="38" t="n">
        <x:v>0.0270981115</x:v>
      </x:c>
      <x:c r="G22" s="38" t="n">
        <x:v>-0.0239203427</x:v>
      </x:c>
      <x:c r="H22" s="38" t="n">
        <x:v>0.0024708478</x:v>
      </x:c>
      <x:c r="I22" s="38" t="n">
        <x:v>0.0744543777</x:v>
      </x:c>
      <x:c r="J22" s="38" t="n">
        <x:v>-0.1065190987</x:v>
      </x:c>
      <x:c r="K22" s="38" t="n">
        <x:v>-0.0012680556</x:v>
      </x:c>
      <x:c r="L22" s="38" t="n">
        <x:v>-0.0334089941</x:v>
      </x:c>
      <x:c r="M22" s="38" t="n">
        <x:v>-0.060687971</x:v>
      </x:c>
      <x:c r="N22" s="38" t="n">
        <x:v>0.0579825159</x:v>
      </x:c>
      <x:c r="O22" s="38" t="n">
        <x:v>-0.1164722423</x:v>
      </x:c>
      <x:c r="P22" s="38" t="n">
        <x:v>-0.0109714331</x:v>
      </x:c>
      <x:c r="Q22" s="38" t="n">
        <x:v>-0.1765893985</x:v>
      </x:c>
      <x:c r="R22" s="38" t="n">
        <x:v>-0.0214427518</x:v>
      </x:c>
      <x:c r="S22" s="38" t="n">
        <x:v>-0.0776334286</x:v>
      </x:c>
      <x:c r="T22" s="38" t="n">
        <x:v>0.1786880439</x:v>
      </x:c>
      <x:c r="U22" s="38" t="n">
        <x:v>0.0158798164</x:v>
      </x:c>
      <x:c r="V22" s="38" t="n">
        <x:v>0.1704570058</x:v>
      </x:c>
      <x:c r="W22" s="38" t="n">
        <x:v>0.100423771</x:v>
      </x:c>
      <x:c r="X22" s="38" t="n">
        <x:v>-0.0138263024</x:v>
      </x:c>
      <x:c r="Y22" s="38" t="n">
        <x:v>-0.2117039936</x:v>
      </x:c>
      <x:c r="Z22" s="38" t="n">
        <x:v>-0.0413891486</x:v>
      </x:c>
      <x:c r="AA22" s="38" t="n">
        <x:v>-0.0683805557</x:v>
      </x:c>
      <x:c r="AB22" s="38" t="n">
        <x:v>-0.2893462395</x:v>
      </x:c>
      <x:c r="AC22" s="38" t="n">
        <x:v>0.0020637849</x:v>
      </x:c>
      <x:c r="AD22" s="38" t="n">
        <x:v>0.036522981</x:v>
      </x:c>
      <x:c r="AE22" s="38" t="n">
        <x:v>-0.0632097637</x:v>
      </x:c>
      <x:c r="AF22" s="38" t="n">
        <x:v>0.1238607876</x:v>
      </x:c>
      <x:c r="AG22" s="38" t="n">
        <x:v>-0.0427612332</x:v>
      </x:c>
      <x:c r="AH22" s="38" t="n">
        <x:v>0.0164596927</x:v>
      </x:c>
      <x:c r="AI22" s="38" t="n">
        <x:v>0.0101546155</x:v>
      </x:c>
      <x:c r="AJ22" s="38" t="n">
        <x:v>-0.0342189478</x:v>
      </x:c>
      <x:c r="AK22" s="38" t="n">
        <x:v>0.0375150574</x:v>
      </x:c>
      <x:c r="AL22" s="38" t="n">
        <x:v>0.0057122234</x:v>
      </x:c>
      <x:c r="AM22" s="38" t="n">
        <x:v>-0.0589118929</x:v>
      </x:c>
      <x:c r="AN22" s="38" t="n">
        <x:v>0.019130237</x:v>
      </x:c>
      <x:c r="AO22" s="38" t="n">
        <x:v>0.0377039909</x:v>
      </x:c>
      <x:c r="AP22" s="38" t="n">
        <x:v>-0.0371206708</x:v>
      </x:c>
      <x:c r="AQ22" s="38" t="n">
        <x:v>-0.0524863891</x:v>
      </x:c>
      <x:c r="AR22" s="38" t="n">
        <x:v>0.0303018478</x:v>
      </x:c>
      <x:c r="AS22" s="38" t="n">
        <x:v>-0.0263756101</x:v>
      </x:c>
      <x:c r="AT22" s="38" t="n">
        <x:v>-0.0007354959</x:v>
      </x:c>
      <x:c r="AU22" s="38" t="n">
        <x:v>-0.0260808804</x:v>
      </x:c>
      <x:c r="AV22" s="38" t="n">
        <x:v>-0.0259059622</x:v>
      </x:c>
      <x:c r="AW22" s="38" t="n">
        <x:v>0.0096442558</x:v>
      </x:c>
      <x:c r="AX22" s="38" t="n">
        <x:v>-0.0002036979</x:v>
      </x:c>
      <x:c r="AY22" s="38" t="n">
        <x:v>0.0100108147</x:v>
      </x:c>
      <x:c r="AZ22" s="38" t="n">
        <x:v>-0.0205901201</x:v>
      </x:c>
      <x:c r="BA22" s="38" t="n">
        <x:v>0.0359411363</x:v>
      </x:c>
      <x:c r="BB22" s="38" t="n">
        <x:v>-0.001406008</x:v>
      </x:c>
      <x:c r="BC22" s="38" t="n">
        <x:v>-0.0223649161</x:v>
      </x:c>
      <x:c r="BD22" s="38" t="n">
        <x:v>0.0000428454</x:v>
      </x:c>
      <x:c r="BE22" s="38" t="n">
        <x:v>-0.0023953934</x:v>
      </x:c>
      <x:c r="BF22" s="38" t="n">
        <x:v>0.0029270846</x:v>
      </x:c>
      <x:c r="BG22" s="38" t="n">
        <x:v>-0.0208162728</x:v>
      </x:c>
      <x:c r="BH22" s="38" t="n">
        <x:v>0.0050171207</x:v>
      </x:c>
      <x:c r="BI22" s="38" t="n">
        <x:v>0.0079451822</x:v>
      </x:c>
      <x:c r="BJ22" s="38" t="n">
        <x:v>-0.0019436178</x:v>
      </x:c>
    </x:row>
    <x:row r="23" ht="19" customHeight="1">
      <x:c r="A23" s="39" t="d">
        <x:v>2022-08-15T00:00:00.000Z</x:v>
      </x:c>
      <x:c r="B23" s="38" t="n">
        <x:v>-0.0663163037</x:v>
      </x:c>
      <x:c r="C23" s="38" t="n">
        <x:v>0.1772583545</x:v>
      </x:c>
      <x:c r="D23" s="38" t="n">
        <x:v>0.0265052198</x:v>
      </x:c>
      <x:c r="E23" s="38" t="n">
        <x:v>0.0004623074</x:v>
      </x:c>
      <x:c r="F23" s="38" t="n">
        <x:v>0.0817759686</x:v>
      </x:c>
      <x:c r="G23" s="38" t="n">
        <x:v>0.1804350058</x:v>
      </x:c>
      <x:c r="H23" s="38" t="n">
        <x:v>0.0281813951</x:v>
      </x:c>
      <x:c r="I23" s="38" t="n">
        <x:v>-0.0147134237</x:v>
      </x:c>
      <x:c r="J23" s="38" t="n">
        <x:v>-0.072295835</x:v>
      </x:c>
      <x:c r="K23" s="38" t="n">
        <x:v>-0.0081278213</x:v>
      </x:c>
      <x:c r="L23" s="38" t="n">
        <x:v>0.0906380812</x:v>
      </x:c>
      <x:c r="M23" s="38" t="n">
        <x:v>0.0956042901</x:v>
      </x:c>
      <x:c r="N23" s="38" t="n">
        <x:v>0.1276460786</x:v>
      </x:c>
      <x:c r="O23" s="38" t="n">
        <x:v>-0.1199408301</x:v>
      </x:c>
      <x:c r="P23" s="38" t="n">
        <x:v>0.0254958185</x:v>
      </x:c>
      <x:c r="Q23" s="38" t="n">
        <x:v>-0.0292561709</x:v>
      </x:c>
      <x:c r="R23" s="38" t="n">
        <x:v>-0.0295484266</x:v>
      </x:c>
      <x:c r="S23" s="38" t="n">
        <x:v>0.0925046558</x:v>
      </x:c>
      <x:c r="T23" s="38" t="n">
        <x:v>-0.1109910924</x:v>
      </x:c>
      <x:c r="U23" s="38" t="n">
        <x:v>0.0963433582</x:v>
      </x:c>
      <x:c r="V23" s="38" t="n">
        <x:v>0.0497781847</x:v>
      </x:c>
      <x:c r="W23" s="38" t="n">
        <x:v>-0.0734685505</x:v>
      </x:c>
      <x:c r="X23" s="38" t="n">
        <x:v>-0.0925958973</x:v>
      </x:c>
      <x:c r="Y23" s="38" t="n">
        <x:v>-0.0975146582</x:v>
      </x:c>
      <x:c r="Z23" s="38" t="n">
        <x:v>0.0860282221</x:v>
      </x:c>
      <x:c r="AA23" s="38" t="n">
        <x:v>-0.0421854081</x:v>
      </x:c>
      <x:c r="AB23" s="38" t="n">
        <x:v>0.0164706248</x:v>
      </x:c>
      <x:c r="AC23" s="38" t="n">
        <x:v>0.0206958072</x:v>
      </x:c>
      <x:c r="AD23" s="38" t="n">
        <x:v>0.1415999545</x:v>
      </x:c>
      <x:c r="AE23" s="38" t="n">
        <x:v>-0.0558616424</x:v>
      </x:c>
      <x:c r="AF23" s="38" t="n">
        <x:v>-0.0099003624</x:v>
      </x:c>
      <x:c r="AG23" s="38" t="n">
        <x:v>0.1024041777</x:v>
      </x:c>
      <x:c r="AH23" s="38" t="n">
        <x:v>0.0046894577</x:v>
      </x:c>
      <x:c r="AI23" s="38" t="n">
        <x:v>-0.0028939365</x:v>
      </x:c>
      <x:c r="AJ23" s="38" t="n">
        <x:v>-0.0635033713</x:v>
      </x:c>
      <x:c r="AK23" s="38" t="n">
        <x:v>-0.0646838339</x:v>
      </x:c>
      <x:c r="AL23" s="38" t="n">
        <x:v>0.0580354139</x:v>
      </x:c>
      <x:c r="AM23" s="38" t="n">
        <x:v>0.0556638136</x:v>
      </x:c>
      <x:c r="AN23" s="38" t="n">
        <x:v>0.0001307097</x:v>
      </x:c>
      <x:c r="AO23" s="38" t="n">
        <x:v>-0.0028862733</x:v>
      </x:c>
      <x:c r="AP23" s="38" t="n">
        <x:v>0.0035160929</x:v>
      </x:c>
      <x:c r="AQ23" s="38" t="n">
        <x:v>-0.0164308084</x:v>
      </x:c>
      <x:c r="AR23" s="38" t="n">
        <x:v>0.0090327592</x:v>
      </x:c>
      <x:c r="AS23" s="38" t="n">
        <x:v>0.0138916534</x:v>
      </x:c>
      <x:c r="AT23" s="38" t="n">
        <x:v>-0.0021763882</x:v>
      </x:c>
      <x:c r="AU23" s="38" t="n">
        <x:v>-0.0128170695</x:v>
      </x:c>
      <x:c r="AV23" s="38" t="n">
        <x:v>-0.0136178704</x:v>
      </x:c>
      <x:c r="AW23" s="38" t="n">
        <x:v>-0.0133049535</x:v>
      </x:c>
      <x:c r="AX23" s="38" t="n">
        <x:v>0.0049434185</x:v>
      </x:c>
      <x:c r="AY23" s="38" t="n">
        <x:v>0.052686073</x:v>
      </x:c>
      <x:c r="AZ23" s="38" t="n">
        <x:v>-0.0231151369</x:v>
      </x:c>
      <x:c r="BA23" s="38" t="n">
        <x:v>0.0084698063</x:v>
      </x:c>
      <x:c r="BB23" s="38" t="n">
        <x:v>0.0168830787</x:v>
      </x:c>
      <x:c r="BC23" s="38" t="n">
        <x:v>0.0784878558</x:v>
      </x:c>
      <x:c r="BD23" s="38" t="n">
        <x:v>0.0079453664</x:v>
      </x:c>
      <x:c r="BE23" s="38" t="n">
        <x:v>-0.0068815448</x:v>
      </x:c>
      <x:c r="BF23" s="38" t="n">
        <x:v>0.0220568029</x:v>
      </x:c>
      <x:c r="BG23" s="38" t="n">
        <x:v>0.003586369</x:v>
      </x:c>
      <x:c r="BH23" s="38" t="n">
        <x:v>0.0055250073</x:v>
      </x:c>
      <x:c r="BI23" s="38" t="n">
        <x:v>-0.0154108933</x:v>
      </x:c>
      <x:c r="BJ23" s="38" t="n">
        <x:v>0.0655597468</x:v>
      </x:c>
    </x:row>
    <x:row r="24" ht="19" customHeight="1">
      <x:c r="A24" s="39" t="d">
        <x:v>2022-09-12T00:00:00.000Z</x:v>
      </x:c>
      <x:c r="B24" s="38" t="n">
        <x:v>0.072838623</x:v>
      </x:c>
      <x:c r="C24" s="38" t="n">
        <x:v>0.0841324434</x:v>
      </x:c>
      <x:c r="D24" s="38" t="n">
        <x:v>-0.0145531538</x:v>
      </x:c>
      <x:c r="E24" s="38" t="n">
        <x:v>-0.0198466986</x:v>
      </x:c>
      <x:c r="F24" s="38" t="n">
        <x:v>0.0135439628</x:v>
      </x:c>
      <x:c r="G24" s="38" t="n">
        <x:v>0.0409997355</x:v>
      </x:c>
      <x:c r="H24" s="38" t="n">
        <x:v>-0.0461904008</x:v>
      </x:c>
      <x:c r="I24" s="38" t="n">
        <x:v>0.0152645138</x:v>
      </x:c>
      <x:c r="J24" s="38" t="n">
        <x:v>-0.0376850394</x:v>
      </x:c>
      <x:c r="K24" s="38" t="n">
        <x:v>-0.0852845944</x:v>
      </x:c>
      <x:c r="L24" s="38" t="n">
        <x:v>-0.0674275391</x:v>
      </x:c>
      <x:c r="M24" s="38" t="n">
        <x:v>-0.046403457</x:v>
      </x:c>
      <x:c r="N24" s="38" t="n">
        <x:v>-0.0197245976</x:v>
      </x:c>
      <x:c r="O24" s="38" t="n">
        <x:v>-0.057555119</x:v>
      </x:c>
      <x:c r="P24" s="38" t="n">
        <x:v>0.1367746338</x:v>
      </x:c>
      <x:c r="Q24" s="38" t="n">
        <x:v>0.1297588864</x:v>
      </x:c>
      <x:c r="R24" s="38" t="n">
        <x:v>-0.0245309666</x:v>
      </x:c>
      <x:c r="S24" s="38" t="n">
        <x:v>-0.1364476023</x:v>
      </x:c>
      <x:c r="T24" s="38" t="n">
        <x:v>-0.0448544248</x:v>
      </x:c>
      <x:c r="U24" s="38" t="n">
        <x:v>-0.0227328638</x:v>
      </x:c>
      <x:c r="V24" s="38" t="n">
        <x:v>0.0917139159</x:v>
      </x:c>
      <x:c r="W24" s="38" t="n">
        <x:v>-0.0197390792</x:v>
      </x:c>
      <x:c r="X24" s="38" t="n">
        <x:v>0.0511348127</x:v>
      </x:c>
      <x:c r="Y24" s="38" t="n">
        <x:v>0.0400391261</x:v>
      </x:c>
      <x:c r="Z24" s="38" t="n">
        <x:v>-0.0004104202</x:v>
      </x:c>
      <x:c r="AA24" s="38" t="n">
        <x:v>-0.0783415191</x:v>
      </x:c>
      <x:c r="AB24" s="38" t="n">
        <x:v>-0.0732645172</x:v>
      </x:c>
      <x:c r="AC24" s="38" t="n">
        <x:v>0.0061903677</x:v>
      </x:c>
      <x:c r="AD24" s="38" t="n">
        <x:v>-0.0145942615</x:v>
      </x:c>
      <x:c r="AE24" s="38" t="n">
        <x:v>-0.0308060183</x:v>
      </x:c>
      <x:c r="AF24" s="38" t="n">
        <x:v>-0.0297754648</x:v>
      </x:c>
      <x:c r="AG24" s="38" t="n">
        <x:v>-0.0192543937</x:v>
      </x:c>
      <x:c r="AH24" s="38" t="n">
        <x:v>-0.0222228112</x:v>
      </x:c>
      <x:c r="AI24" s="38" t="n">
        <x:v>0.0029144373</x:v>
      </x:c>
      <x:c r="AJ24" s="38" t="n">
        <x:v>-0.0225900802</x:v>
      </x:c>
      <x:c r="AK24" s="38" t="n">
        <x:v>0.028476629</x:v>
      </x:c>
      <x:c r="AL24" s="38" t="n">
        <x:v>-0.0685696401</x:v>
      </x:c>
      <x:c r="AM24" s="38" t="n">
        <x:v>-0.0683939063</x:v>
      </x:c>
      <x:c r="AN24" s="38" t="n">
        <x:v>-0.0403747706</x:v>
      </x:c>
      <x:c r="AO24" s="38" t="n">
        <x:v>-0.0612780527</x:v>
      </x:c>
      <x:c r="AP24" s="38" t="n">
        <x:v>-0.0310172742</x:v>
      </x:c>
      <x:c r="AQ24" s="38" t="n">
        <x:v>0.003300243</x:v>
      </x:c>
      <x:c r="AR24" s="38" t="n">
        <x:v>-0.0406178235</x:v>
      </x:c>
      <x:c r="AS24" s="38" t="n">
        <x:v>0.0061091448</x:v>
      </x:c>
      <x:c r="AT24" s="38" t="n">
        <x:v>-0.0085970163</x:v>
      </x:c>
      <x:c r="AU24" s="38" t="n">
        <x:v>-0.0020403404</x:v>
      </x:c>
      <x:c r="AV24" s="38" t="n">
        <x:v>-0.0021363926</x:v>
      </x:c>
      <x:c r="AW24" s="38" t="n">
        <x:v>-0.0123139224</x:v>
      </x:c>
      <x:c r="AX24" s="38" t="n">
        <x:v>-0.0050136091</x:v>
      </x:c>
      <x:c r="AY24" s="38" t="n">
        <x:v>-0.069827755</x:v>
      </x:c>
      <x:c r="AZ24" s="38" t="n">
        <x:v>-0.0150742067</x:v>
      </x:c>
      <x:c r="BA24" s="38" t="n">
        <x:v>0.042021843</x:v>
      </x:c>
      <x:c r="BB24" s="38" t="n">
        <x:v>-0.0336010098</x:v>
      </x:c>
      <x:c r="BC24" s="38" t="n">
        <x:v>-0.0431710175</x:v>
      </x:c>
      <x:c r="BD24" s="38" t="n">
        <x:v>0.0089939475</x:v>
      </x:c>
      <x:c r="BE24" s="38" t="n">
        <x:v>-0.0038551107</x:v>
      </x:c>
      <x:c r="BF24" s="38" t="n">
        <x:v>-0.024497478</x:v>
      </x:c>
      <x:c r="BG24" s="38" t="n">
        <x:v>-0.0120808681</x:v>
      </x:c>
      <x:c r="BH24" s="38" t="n">
        <x:v>-0.0194078102</x:v>
      </x:c>
      <x:c r="BI24" s="38" t="n">
        <x:v>-0.0107082848</x:v>
      </x:c>
      <x:c r="BJ24" s="38" t="n">
        <x:v>-0.008656152</x:v>
      </x:c>
    </x:row>
    <x:row r="25" ht="19" customHeight="1">
      <x:c r="A25" s="39" t="d">
        <x:v>2022-10-10T00:00:00.000Z</x:v>
      </x:c>
      <x:c r="B25" s="38" t="n">
        <x:v>-0.052066975</x:v>
      </x:c>
      <x:c r="C25" s="38" t="n">
        <x:v>0.0760009908</x:v>
      </x:c>
      <x:c r="D25" s="38" t="n">
        <x:v>0.0055575434</x:v>
      </x:c>
      <x:c r="E25" s="38" t="n">
        <x:v>0.0074961651</x:v>
      </x:c>
      <x:c r="F25" s="38" t="n">
        <x:v>0.0153879008</x:v>
      </x:c>
      <x:c r="G25" s="38" t="n">
        <x:v>0.0382025384</x:v>
      </x:c>
      <x:c r="H25" s="38" t="n">
        <x:v>0.0328183891</x:v>
      </x:c>
      <x:c r="I25" s="38" t="n">
        <x:v>0.0484070391</x:v>
      </x:c>
      <x:c r="J25" s="38" t="n">
        <x:v>-0.0296709175</x:v>
      </x:c>
      <x:c r="K25" s="38" t="n">
        <x:v>0.0422490318</x:v>
      </x:c>
      <x:c r="L25" s="38" t="n">
        <x:v>0.0721589158</x:v>
      </x:c>
      <x:c r="M25" s="38" t="n">
        <x:v>0.0465403722</x:v>
      </x:c>
      <x:c r="N25" s="38" t="n">
        <x:v>0.0115982574</x:v>
      </x:c>
      <x:c r="O25" s="38" t="n">
        <x:v>-0.0006813132</x:v>
      </x:c>
      <x:c r="P25" s="38" t="n">
        <x:v>0.0292119351</x:v>
      </x:c>
      <x:c r="Q25" s="38" t="n">
        <x:v>-0.1135435093</x:v>
      </x:c>
      <x:c r="R25" s="38" t="n">
        <x:v>-0.0849574136</x:v>
      </x:c>
      <x:c r="S25" s="38" t="n">
        <x:v>-0.1077695103</x:v>
      </x:c>
      <x:c r="T25" s="38" t="n">
        <x:v>-0.0078291031</x:v>
      </x:c>
      <x:c r="U25" s="38" t="n">
        <x:v>0.0132272418</x:v>
      </x:c>
      <x:c r="V25" s="38" t="n">
        <x:v>0.1406558425</x:v>
      </x:c>
      <x:c r="W25" s="38" t="n">
        <x:v>-0.0528406143</x:v>
      </x:c>
      <x:c r="X25" s="38" t="n">
        <x:v>0.0326788439</x:v>
      </x:c>
      <x:c r="Y25" s="38" t="n">
        <x:v>0.1245676085</x:v>
      </x:c>
      <x:c r="Z25" s="38" t="n">
        <x:v>-0.0461519508</x:v>
      </x:c>
      <x:c r="AA25" s="38" t="n">
        <x:v>-0.0436165892</x:v>
      </x:c>
      <x:c r="AB25" s="38" t="n">
        <x:v>0.0972999493</x:v>
      </x:c>
      <x:c r="AC25" s="38" t="n">
        <x:v>-0.0685771475</x:v>
      </x:c>
      <x:c r="AD25" s="38" t="n">
        <x:v>-0.0289073333</x:v>
      </x:c>
      <x:c r="AE25" s="38" t="n">
        <x:v>-0.0403994696</x:v>
      </x:c>
      <x:c r="AF25" s="38" t="n">
        <x:v>0.0025114786</x:v>
      </x:c>
      <x:c r="AG25" s="38" t="n">
        <x:v>-0.015053341</x:v>
      </x:c>
      <x:c r="AH25" s="38" t="n">
        <x:v>-0.1229146788</x:v>
      </x:c>
      <x:c r="AI25" s="38" t="n">
        <x:v>-0.0397592077</x:v>
      </x:c>
      <x:c r="AJ25" s="38" t="n">
        <x:v>-0.0468450474</x:v>
      </x:c>
      <x:c r="AK25" s="38" t="n">
        <x:v>0.0127330688</x:v>
      </x:c>
      <x:c r="AL25" s="38" t="n">
        <x:v>0.0429348321</x:v>
      </x:c>
      <x:c r="AM25" s="38" t="n">
        <x:v>0.0904764551</x:v>
      </x:c>
      <x:c r="AN25" s="38" t="n">
        <x:v>-0.0269363345</x:v>
      </x:c>
      <x:c r="AO25" s="38" t="n">
        <x:v>0.0981589495</x:v>
      </x:c>
      <x:c r="AP25" s="38" t="n">
        <x:v>-0.0403810816</x:v>
      </x:c>
      <x:c r="AQ25" s="38" t="n">
        <x:v>-0.0224548411</x:v>
      </x:c>
      <x:c r="AR25" s="38" t="n">
        <x:v>0.0265984494</x:v>
      </x:c>
      <x:c r="AS25" s="38" t="n">
        <x:v>-0.0014494322</x:v>
      </x:c>
      <x:c r="AT25" s="38" t="n">
        <x:v>-0.0098416045</x:v>
      </x:c>
      <x:c r="AU25" s="38" t="n">
        <x:v>-0.0243677525</x:v>
      </x:c>
      <x:c r="AV25" s="38" t="n">
        <x:v>-0.0241147097</x:v>
      </x:c>
      <x:c r="AW25" s="38" t="n">
        <x:v>-0.0586173875</x:v>
      </x:c>
      <x:c r="AX25" s="38" t="n">
        <x:v>-0.0485955433</x:v>
      </x:c>
      <x:c r="AY25" s="38" t="n">
        <x:v>-0.061536653</x:v>
      </x:c>
      <x:c r="AZ25" s="38" t="n">
        <x:v>-0.0074498685</x:v>
      </x:c>
      <x:c r="BA25" s="38" t="n">
        <x:v>-0.0452595235</x:v>
      </x:c>
      <x:c r="BB25" s="38" t="n">
        <x:v>-0.0156794504</x:v>
      </x:c>
      <x:c r="BC25" s="38" t="n">
        <x:v>-0.0033181175</x:v>
      </x:c>
      <x:c r="BD25" s="38" t="n">
        <x:v>-0.0006473301</x:v>
      </x:c>
      <x:c r="BE25" s="38" t="n">
        <x:v>0.0064247266</x:v>
      </x:c>
      <x:c r="BF25" s="38" t="n">
        <x:v>0.0128324428</x:v>
      </x:c>
      <x:c r="BG25" s="38" t="n">
        <x:v>-0.001983665</x:v>
      </x:c>
      <x:c r="BH25" s="38" t="n">
        <x:v>-0.0822989007</x:v>
      </x:c>
      <x:c r="BI25" s="38" t="n">
        <x:v>0.0130343864</x:v>
      </x:c>
      <x:c r="BJ25" s="38" t="n">
        <x:v>-0.1202199147</x:v>
      </x:c>
    </x:row>
    <x:row r="26" ht="19" customHeight="1">
      <x:c r="A26" s="39" t="d">
        <x:v>2022-11-07T00:00:00.000Z</x:v>
      </x:c>
      <x:c r="B26" s="38" t="n">
        <x:v>-0.0372960257</x:v>
      </x:c>
      <x:c r="C26" s="38" t="n">
        <x:v>0.0542950175</x:v>
      </x:c>
      <x:c r="D26" s="38" t="n">
        <x:v>-0.0294183182</x:v>
      </x:c>
      <x:c r="E26" s="38" t="n">
        <x:v>0.0152093841</x:v>
      </x:c>
      <x:c r="F26" s="38" t="n">
        <x:v>-0.1291391729</x:v>
      </x:c>
      <x:c r="G26" s="38" t="n">
        <x:v>-0.0450066158</x:v>
      </x:c>
      <x:c r="H26" s="38" t="n">
        <x:v>-0.0731417679</x:v>
      </x:c>
      <x:c r="I26" s="38" t="n">
        <x:v>-0.0038617322</x:v>
      </x:c>
      <x:c r="J26" s="38" t="n">
        <x:v>-0.0874136379</x:v>
      </x:c>
      <x:c r="K26" s="38" t="n">
        <x:v>-0.0338612277</x:v>
      </x:c>
      <x:c r="L26" s="38" t="n">
        <x:v>-0.0726524897</x:v>
      </x:c>
      <x:c r="M26" s="38" t="n">
        <x:v>-0.0860238621</x:v>
      </x:c>
      <x:c r="N26" s="38" t="n">
        <x:v>0.0218963334</x:v>
      </x:c>
      <x:c r="O26" s="38" t="n">
        <x:v>-0.0285299714</x:v>
      </x:c>
      <x:c r="P26" s="38" t="n">
        <x:v>0.0914730826</x:v>
      </x:c>
      <x:c r="Q26" s="38" t="n">
        <x:v>-0.1986281416</x:v>
      </x:c>
      <x:c r="R26" s="38" t="n">
        <x:v>-0.0558208297</x:v>
      </x:c>
      <x:c r="S26" s="38" t="n">
        <x:v>0.1007922234</x:v>
      </x:c>
      <x:c r="T26" s="38" t="n">
        <x:v>0.1385929008</x:v>
      </x:c>
      <x:c r="U26" s="38" t="n">
        <x:v>0.1890282098</x:v>
      </x:c>
      <x:c r="V26" s="38" t="n">
        <x:v>0.0745553371</x:v>
      </x:c>
      <x:c r="W26" s="38" t="n">
        <x:v>0.0175195294</x:v>
      </x:c>
      <x:c r="X26" s="38" t="n">
        <x:v>-0.0221745001</x:v>
      </x:c>
      <x:c r="Y26" s="38" t="n">
        <x:v>-0.1125682017</x:v>
      </x:c>
      <x:c r="Z26" s="38" t="n">
        <x:v>-0.0178138311</x:v>
      </x:c>
      <x:c r="AA26" s="38" t="n">
        <x:v>-0.0774571181</x:v>
      </x:c>
      <x:c r="AB26" s="38" t="n">
        <x:v>-0.1870490793</x:v>
      </x:c>
      <x:c r="AC26" s="38" t="n">
        <x:v>-0.0024402901</x:v>
      </x:c>
      <x:c r="AD26" s="38" t="n">
        <x:v>0.0353841362</x:v>
      </x:c>
      <x:c r="AE26" s="38" t="n">
        <x:v>-0.0498407901</x:v>
      </x:c>
      <x:c r="AF26" s="38" t="n">
        <x:v>0.079261158</x:v>
      </x:c>
      <x:c r="AG26" s="38" t="n">
        <x:v>-0.0453683212</x:v>
      </x:c>
      <x:c r="AH26" s="38" t="n">
        <x:v>0.0168080927</x:v>
      </x:c>
      <x:c r="AI26" s="38" t="n">
        <x:v>-0.0366427329</x:v>
      </x:c>
      <x:c r="AJ26" s="38" t="n">
        <x:v>0.044229791</x:v>
      </x:c>
      <x:c r="AK26" s="38" t="n">
        <x:v>-0.0686608381</x:v>
      </x:c>
      <x:c r="AL26" s="38" t="n">
        <x:v>-0.0240144596</x:v>
      </x:c>
      <x:c r="AM26" s="38" t="n">
        <x:v>-0.0271832462</x:v>
      </x:c>
      <x:c r="AN26" s="38" t="n">
        <x:v>0.0508247138</x:v>
      </x:c>
      <x:c r="AO26" s="38" t="n">
        <x:v>-0.0138345637</x:v>
      </x:c>
      <x:c r="AP26" s="38" t="n">
        <x:v>-0.0290549981</x:v>
      </x:c>
      <x:c r="AQ26" s="38" t="n">
        <x:v>-0.0420715752</x:v>
      </x:c>
      <x:c r="AR26" s="38" t="n">
        <x:v>0.0027105358</x:v>
      </x:c>
      <x:c r="AS26" s="38" t="n">
        <x:v>0.0238939464</x:v>
      </x:c>
      <x:c r="AT26" s="38" t="n">
        <x:v>0.0301783777</x:v>
      </x:c>
      <x:c r="AU26" s="38" t="n">
        <x:v>0.0521479596</x:v>
      </x:c>
      <x:c r="AV26" s="38" t="n">
        <x:v>0.0536768252</x:v>
      </x:c>
      <x:c r="AW26" s="38" t="n">
        <x:v>0.0515911396</x:v>
      </x:c>
      <x:c r="AX26" s="38" t="n">
        <x:v>0.017316032</x:v>
      </x:c>
      <x:c r="AY26" s="38" t="n">
        <x:v>0.0898286568</x:v>
      </x:c>
      <x:c r="AZ26" s="38" t="n">
        <x:v>-0.0467494945</x:v>
      </x:c>
      <x:c r="BA26" s="38" t="n">
        <x:v>-0.040227387</x:v>
      </x:c>
      <x:c r="BB26" s="38" t="n">
        <x:v>0.0330387236</x:v>
      </x:c>
      <x:c r="BC26" s="38" t="n">
        <x:v>0.1209128737</x:v>
      </x:c>
      <x:c r="BD26" s="38" t="n">
        <x:v>0.0470886925</x:v>
      </x:c>
      <x:c r="BE26" s="38" t="n">
        <x:v>0.0171677598</x:v>
      </x:c>
      <x:c r="BF26" s="38" t="n">
        <x:v>0.0526429717</x:v>
      </x:c>
      <x:c r="BG26" s="38" t="n">
        <x:v>0.0784392268</x:v>
      </x:c>
      <x:c r="BH26" s="38" t="n">
        <x:v>0.0443677292</x:v>
      </x:c>
      <x:c r="BI26" s="38" t="n">
        <x:v>-0.0216858</x:v>
      </x:c>
      <x:c r="BJ26" s="38" t="n">
        <x:v>0.0366346697</x:v>
      </x:c>
    </x:row>
    <x:row r="27" ht="19" customHeight="1">
      <x:c r="A27" s="39" t="d">
        <x:v>2022-12-05T00:00:00.000Z</x:v>
      </x:c>
      <x:c r="B27" s="38" t="n">
        <x:v>-0.0092096782</x:v>
      </x:c>
      <x:c r="C27" s="38" t="n">
        <x:v>-0.0265218117</x:v>
      </x:c>
      <x:c r="D27" s="38" t="n">
        <x:v>0.0023275798</x:v>
      </x:c>
      <x:c r="E27" s="38" t="n">
        <x:v>0.0065697587</x:v>
      </x:c>
      <x:c r="F27" s="38" t="n">
        <x:v>0.0464953373</x:v>
      </x:c>
      <x:c r="G27" s="38" t="n">
        <x:v>-0.018205908</x:v>
      </x:c>
      <x:c r="H27" s="38" t="n">
        <x:v>-0.0802635958</x:v>
      </x:c>
      <x:c r="I27" s="38" t="n">
        <x:v>-0.0010359988</x:v>
      </x:c>
      <x:c r="J27" s="38" t="n">
        <x:v>-0.0491849081</x:v>
      </x:c>
      <x:c r="K27" s="38" t="n">
        <x:v>-0.0100773593</x:v>
      </x:c>
      <x:c r="L27" s="38" t="n">
        <x:v>0.0375141336</x:v>
      </x:c>
      <x:c r="M27" s="38" t="n">
        <x:v>-0.0023929977</x:v>
      </x:c>
      <x:c r="N27" s="38" t="n">
        <x:v>-0.0165898541</x:v>
      </x:c>
      <x:c r="O27" s="38" t="n">
        <x:v>-0.0705209947</x:v>
      </x:c>
      <x:c r="P27" s="38" t="n">
        <x:v>-0.1258358974</x:v>
      </x:c>
      <x:c r="Q27" s="38" t="n">
        <x:v>0.0044544918</x:v>
      </x:c>
      <x:c r="R27" s="38" t="n">
        <x:v>0.0277375058</x:v>
      </x:c>
      <x:c r="S27" s="38" t="n">
        <x:v>0.0144797424</x:v>
      </x:c>
      <x:c r="T27" s="38" t="n">
        <x:v>0.0497541371</x:v>
      </x:c>
      <x:c r="U27" s="38" t="n">
        <x:v>-0.0915092114</x:v>
      </x:c>
      <x:c r="V27" s="38" t="n">
        <x:v>0.0398380378</x:v>
      </x:c>
      <x:c r="W27" s="38" t="n">
        <x:v>0.0525752881</x:v>
      </x:c>
      <x:c r="X27" s="38" t="n">
        <x:v>-0.1091480405</x:v>
      </x:c>
      <x:c r="Y27" s="38" t="n">
        <x:v>-0.0532314563</x:v>
      </x:c>
      <x:c r="Z27" s="38" t="n">
        <x:v>0.0014786781</x:v>
      </x:c>
      <x:c r="AA27" s="38" t="n">
        <x:v>0.0935012368</x:v>
      </x:c>
      <x:c r="AB27" s="38" t="n">
        <x:v>-0.1276832526</x:v>
      </x:c>
      <x:c r="AC27" s="38" t="n">
        <x:v>0.00939714</x:v>
      </x:c>
      <x:c r="AD27" s="38" t="n">
        <x:v>-0.0610215787</x:v>
      </x:c>
      <x:c r="AE27" s="38" t="n">
        <x:v>0.1156717481</x:v>
      </x:c>
      <x:c r="AF27" s="38" t="n">
        <x:v>0.0104468633</x:v>
      </x:c>
      <x:c r="AG27" s="38" t="n">
        <x:v>-0.0347946035</x:v>
      </x:c>
      <x:c r="AH27" s="38" t="n">
        <x:v>-0.0745953664</x:v>
      </x:c>
      <x:c r="AI27" s="38" t="n">
        <x:v>-0.0276862011</x:v>
      </x:c>
      <x:c r="AJ27" s="38" t="n">
        <x:v>-0.0824594656</x:v>
      </x:c>
      <x:c r="AK27" s="38" t="n">
        <x:v>0.0686833164</x:v>
      </x:c>
      <x:c r="AL27" s="38" t="n">
        <x:v>-0.0140630889</x:v>
      </x:c>
      <x:c r="AM27" s="38" t="n">
        <x:v>-0.0328085978</x:v>
      </x:c>
      <x:c r="AN27" s="38" t="n">
        <x:v>-0.0801866153</x:v>
      </x:c>
      <x:c r="AO27" s="38" t="n">
        <x:v>0.0178263769</x:v>
      </x:c>
      <x:c r="AP27" s="38" t="n">
        <x:v>-0.0027474369</x:v>
      </x:c>
      <x:c r="AQ27" s="38" t="n">
        <x:v>-0.0286303275</x:v>
      </x:c>
      <x:c r="AR27" s="38" t="n">
        <x:v>-0.0239361042</x:v>
      </x:c>
      <x:c r="AS27" s="38" t="n">
        <x:v>-0.0116183583</x:v>
      </x:c>
      <x:c r="AT27" s="38" t="n">
        <x:v>0.0102456444</x:v>
      </x:c>
      <x:c r="AU27" s="38" t="n">
        <x:v>0.0143479924</x:v>
      </x:c>
      <x:c r="AV27" s="38" t="n">
        <x:v>0.0140005987</x:v>
      </x:c>
      <x:c r="AW27" s="38" t="n">
        <x:v>0.0118288682</x:v>
      </x:c>
      <x:c r="AX27" s="38" t="n">
        <x:v>-0.0058133488</x:v>
      </x:c>
      <x:c r="AY27" s="38" t="n">
        <x:v>-0.0111200711</x:v>
      </x:c>
      <x:c r="AZ27" s="38" t="n">
        <x:v>0.0023591171</x:v>
      </x:c>
      <x:c r="BA27" s="38" t="n">
        <x:v>-0.0130305669</x:v>
      </x:c>
      <x:c r="BB27" s="38" t="n">
        <x:v>0.0300992626</x:v>
      </x:c>
      <x:c r="BC27" s="38" t="n">
        <x:v>-0.1217385551</x:v>
      </x:c>
      <x:c r="BD27" s="38" t="n">
        <x:v>-0.0249685389</x:v>
      </x:c>
      <x:c r="BE27" s="38" t="n">
        <x:v>0.0335061331</x:v>
      </x:c>
      <x:c r="BF27" s="38" t="n">
        <x:v>0.0031711194</x:v>
      </x:c>
      <x:c r="BG27" s="38" t="n">
        <x:v>0.0069738109</x:v>
      </x:c>
      <x:c r="BH27" s="38" t="n">
        <x:v>0.0045311863</x:v>
      </x:c>
      <x:c r="BI27" s="38" t="n">
        <x:v>0.0027027925</x:v>
      </x:c>
      <x:c r="BJ27" s="38" t="n">
        <x:v>0.0351793435</x:v>
      </x:c>
    </x:row>
    <x:row r="28" ht="19" customHeight="1">
      <x:c r="A28" s="39" t="d">
        <x:v>2023-01-02T00:00:00.000Z</x:v>
      </x:c>
      <x:c r="B28" s="38" t="n">
        <x:v>-0.0736962523</x:v>
      </x:c>
      <x:c r="C28" s="38" t="n">
        <x:v>0.0971837811</x:v>
      </x:c>
      <x:c r="D28" s="38" t="n">
        <x:v>-0.0330099386</x:v>
      </x:c>
      <x:c r="E28" s="38" t="n">
        <x:v>-0.0865078956</x:v>
      </x:c>
      <x:c r="F28" s="38" t="n">
        <x:v>0.0067300653</x:v>
      </x:c>
      <x:c r="G28" s="38" t="n">
        <x:v>-0.0432339637</x:v>
      </x:c>
      <x:c r="H28" s="38" t="n">
        <x:v>0.0184194492</x:v>
      </x:c>
      <x:c r="I28" s="38" t="n">
        <x:v>-0.1197591919</x:v>
      </x:c>
      <x:c r="J28" s="38" t="n">
        <x:v>0.0171304529</x:v>
      </x:c>
      <x:c r="K28" s="38" t="n">
        <x:v>0.0171364167</x:v>
      </x:c>
      <x:c r="L28" s="38" t="n">
        <x:v>-0.1495315477</x:v>
      </x:c>
      <x:c r="M28" s="38" t="n">
        <x:v>-0.0269055818</x:v>
      </x:c>
      <x:c r="N28" s="38" t="n">
        <x:v>-0.1179288016</x:v>
      </x:c>
      <x:c r="O28" s="38" t="n">
        <x:v>0.0026007084</x:v>
      </x:c>
      <x:c r="P28" s="38" t="n">
        <x:v>0.0596751245</x:v>
      </x:c>
      <x:c r="Q28" s="38" t="n">
        <x:v>-0.1170691426</x:v>
      </x:c>
      <x:c r="R28" s="38" t="n">
        <x:v>-0.0243993119</x:v>
      </x:c>
      <x:c r="S28" s="38" t="n">
        <x:v>-0.1333963101</x:v>
      </x:c>
      <x:c r="T28" s="38" t="n">
        <x:v>-0.0390179546</x:v>
      </x:c>
      <x:c r="U28" s="38" t="n">
        <x:v>-0.039165809</x:v>
      </x:c>
      <x:c r="V28" s="38" t="n">
        <x:v>-0.0241747672</x:v>
      </x:c>
      <x:c r="W28" s="38" t="n">
        <x:v>0.0020664606</x:v>
      </x:c>
      <x:c r="X28" s="38" t="n">
        <x:v>-0.0162251527</x:v>
      </x:c>
      <x:c r="Y28" s="38" t="n">
        <x:v>0.0537029256</x:v>
      </x:c>
      <x:c r="Z28" s="38" t="n">
        <x:v>-0.0058729887</x:v>
      </x:c>
      <x:c r="AA28" s="38" t="n">
        <x:v>0.157816236</x:v>
      </x:c>
      <x:c r="AB28" s="38" t="n">
        <x:v>-0.2377412257</x:v>
      </x:c>
      <x:c r="AC28" s="38" t="n">
        <x:v>-0.0113331154</x:v>
      </x:c>
      <x:c r="AD28" s="38" t="n">
        <x:v>-0.0587892906</x:v>
      </x:c>
      <x:c r="AE28" s="38" t="n">
        <x:v>0.0763302012</x:v>
      </x:c>
      <x:c r="AF28" s="38" t="n">
        <x:v>0.0876431648</x:v>
      </x:c>
      <x:c r="AG28" s="38" t="n">
        <x:v>-0.0561771757</x:v>
      </x:c>
      <x:c r="AH28" s="38" t="n">
        <x:v>0.0111447817</x:v>
      </x:c>
      <x:c r="AI28" s="38" t="n">
        <x:v>-0.0123996114</x:v>
      </x:c>
      <x:c r="AJ28" s="38" t="n">
        <x:v>-0.0309629097</x:v>
      </x:c>
      <x:c r="AK28" s="38" t="n">
        <x:v>0.0153459011</x:v>
      </x:c>
      <x:c r="AL28" s="38" t="n">
        <x:v>-0.0436405003</x:v>
      </x:c>
      <x:c r="AM28" s="38" t="n">
        <x:v>-0.0251321676</x:v>
      </x:c>
      <x:c r="AN28" s="38" t="n">
        <x:v>-0.0134386148</x:v>
      </x:c>
      <x:c r="AO28" s="38" t="n">
        <x:v>-0.0175558845</x:v>
      </x:c>
      <x:c r="AP28" s="38" t="n">
        <x:v>-0.0246686291</x:v>
      </x:c>
      <x:c r="AQ28" s="38" t="n">
        <x:v>0.0021485571</x:v>
      </x:c>
      <x:c r="AR28" s="38" t="n">
        <x:v>0.0057381423</x:v>
      </x:c>
      <x:c r="AS28" s="38" t="n">
        <x:v>0.0282365127</x:v>
      </x:c>
      <x:c r="AT28" s="38" t="n">
        <x:v>0.0124341339</x:v>
      </x:c>
      <x:c r="AU28" s="38" t="n">
        <x:v>0.0090054624</x:v>
      </x:c>
      <x:c r="AV28" s="38" t="n">
        <x:v>0.0094171329</x:v>
      </x:c>
      <x:c r="AW28" s="38" t="n">
        <x:v>0.0103567073</x:v>
      </x:c>
      <x:c r="AX28" s="38" t="n">
        <x:v>0.0010434147</x:v>
      </x:c>
      <x:c r="AY28" s="38" t="n">
        <x:v>-0.0074518312</x:v>
      </x:c>
      <x:c r="AZ28" s="38" t="n">
        <x:v>0.0272960819</x:v>
      </x:c>
      <x:c r="BA28" s="38" t="n">
        <x:v>-0.0278144287</x:v>
      </x:c>
      <x:c r="BB28" s="38" t="n">
        <x:v>0.0067690716</x:v>
      </x:c>
      <x:c r="BC28" s="38" t="n">
        <x:v>0.0368463241</x:v>
      </x:c>
      <x:c r="BD28" s="38" t="n">
        <x:v>0.0302381862</x:v>
      </x:c>
      <x:c r="BE28" s="38" t="n">
        <x:v>-0.0091830362</x:v>
      </x:c>
      <x:c r="BF28" s="38" t="n">
        <x:v>0.02364957</x:v>
      </x:c>
      <x:c r="BG28" s="38" t="n">
        <x:v>0.0060393406</x:v>
      </x:c>
      <x:c r="BH28" s="38" t="n">
        <x:v>0.0113285966</x:v>
      </x:c>
      <x:c r="BI28" s="38" t="n">
        <x:v>-0.0272666738</x:v>
      </x:c>
      <x:c r="BJ28" s="38" t="n">
        <x:v>0.0093656446</x:v>
      </x:c>
    </x:row>
    <x:row r="29" ht="19" customHeight="1">
      <x:c r="A29" s="39" t="d">
        <x:v>2023-01-30T00:00:00.000Z</x:v>
      </x:c>
      <x:c r="B29" s="38" t="n">
        <x:v>0.0043152428</x:v>
      </x:c>
      <x:c r="C29" s="38" t="n">
        <x:v>-0.002574333</x:v>
      </x:c>
      <x:c r="D29" s="38" t="n">
        <x:v>-0.0243139201</x:v>
      </x:c>
      <x:c r="E29" s="38" t="n">
        <x:v>0.0329595449</x:v>
      </x:c>
      <x:c r="F29" s="38" t="n">
        <x:v>-0.0056518332</x:v>
      </x:c>
      <x:c r="G29" s="38" t="n">
        <x:v>0.0894037178</x:v>
      </x:c>
      <x:c r="H29" s="38" t="n">
        <x:v>0.0433871983</x:v>
      </x:c>
      <x:c r="I29" s="38" t="n">
        <x:v>-0.0662484124</x:v>
      </x:c>
      <x:c r="J29" s="38" t="n">
        <x:v>0.005583425</x:v>
      </x:c>
      <x:c r="K29" s="38" t="n">
        <x:v>0.0327549386</x:v>
      </x:c>
      <x:c r="L29" s="38" t="n">
        <x:v>-0.0251890883</x:v>
      </x:c>
      <x:c r="M29" s="38" t="n">
        <x:v>0.0686785058</x:v>
      </x:c>
      <x:c r="N29" s="38" t="n">
        <x:v>-0.021527014</x:v>
      </x:c>
      <x:c r="O29" s="38" t="n">
        <x:v>0.0113644804</x:v>
      </x:c>
      <x:c r="P29" s="38" t="n">
        <x:v>-0.0934881537</x:v>
      </x:c>
      <x:c r="Q29" s="38" t="n">
        <x:v>0.0603575541</x:v>
      </x:c>
      <x:c r="R29" s="38" t="n">
        <x:v>-0.0078454361</x:v>
      </x:c>
      <x:c r="S29" s="38" t="n">
        <x:v>0.1839595962</x:v>
      </x:c>
      <x:c r="T29" s="38" t="n">
        <x:v>-0.0148642027</x:v>
      </x:c>
      <x:c r="U29" s="38" t="n">
        <x:v>0.0140766868</x:v>
      </x:c>
      <x:c r="V29" s="38" t="n">
        <x:v>0.0012030192</x:v>
      </x:c>
      <x:c r="W29" s="38" t="n">
        <x:v>-0.0421548315</x:v>
      </x:c>
      <x:c r="X29" s="38" t="n">
        <x:v>0.0036462957</x:v>
      </x:c>
      <x:c r="Y29" s="38" t="n">
        <x:v>-0.0731724628</x:v>
      </x:c>
      <x:c r="Z29" s="38" t="n">
        <x:v>0.014328461</x:v>
      </x:c>
      <x:c r="AA29" s="38" t="n">
        <x:v>0.0727266407</x:v>
      </x:c>
      <x:c r="AB29" s="38" t="n">
        <x:v>0.3931067579</x:v>
      </x:c>
      <x:c r="AC29" s="38" t="n">
        <x:v>-0.0391099033</x:v>
      </x:c>
      <x:c r="AD29" s="38" t="n">
        <x:v>-0.0434179208</x:v>
      </x:c>
      <x:c r="AE29" s="38" t="n">
        <x:v>-0.0427777087</x:v>
      </x:c>
      <x:c r="AF29" s="38" t="n">
        <x:v>-0.0725098443</x:v>
      </x:c>
      <x:c r="AG29" s="38" t="n">
        <x:v>0.0093263871</x:v>
      </x:c>
      <x:c r="AH29" s="38" t="n">
        <x:v>0.0667073495</x:v>
      </x:c>
      <x:c r="AI29" s="38" t="n">
        <x:v>-0.0298632044</x:v>
      </x:c>
      <x:c r="AJ29" s="38" t="n">
        <x:v>0.0582133188</x:v>
      </x:c>
      <x:c r="AK29" s="38" t="n">
        <x:v>-0.1075554929</x:v>
      </x:c>
      <x:c r="AL29" s="38" t="n">
        <x:v>0.0372578853</x:v>
      </x:c>
      <x:c r="AM29" s="38" t="n">
        <x:v>0.0240415791</x:v>
      </x:c>
      <x:c r="AN29" s="38" t="n">
        <x:v>-0.0013060132</x:v>
      </x:c>
      <x:c r="AO29" s="38" t="n">
        <x:v>-0.039083769</x:v>
      </x:c>
      <x:c r="AP29" s="38" t="n">
        <x:v>0.0004531549</x:v>
      </x:c>
      <x:c r="AQ29" s="38" t="n">
        <x:v>-0.0382572629</x:v>
      </x:c>
      <x:c r="AR29" s="38" t="n">
        <x:v>-0.0314233741</x:v>
      </x:c>
      <x:c r="AS29" s="38" t="n">
        <x:v>0.0075703034</x:v>
      </x:c>
      <x:c r="AT29" s="38" t="n">
        <x:v>0.0084665796</x:v>
      </x:c>
      <x:c r="AU29" s="38" t="n">
        <x:v>0.0115759178</x:v>
      </x:c>
      <x:c r="AV29" s="38" t="n">
        <x:v>0.0132130312</x:v>
      </x:c>
      <x:c r="AW29" s="38" t="n">
        <x:v>0.0053920415</x:v>
      </x:c>
      <x:c r="AX29" s="38" t="n">
        <x:v>0.0119037388</x:v>
      </x:c>
      <x:c r="AY29" s="38" t="n">
        <x:v>0.0525208258</x:v>
      </x:c>
      <x:c r="AZ29" s="38" t="n">
        <x:v>0.077826062</x:v>
      </x:c>
      <x:c r="BA29" s="38" t="n">
        <x:v>0.0635114395</x:v>
      </x:c>
      <x:c r="BB29" s="38" t="n">
        <x:v>-0.050012359</x:v>
      </x:c>
      <x:c r="BC29" s="38" t="n">
        <x:v>-0.025393296</x:v>
      </x:c>
      <x:c r="BD29" s="38" t="n">
        <x:v>-0.0147592753</x:v>
      </x:c>
      <x:c r="BE29" s="38" t="n">
        <x:v>-0.0447491241</x:v>
      </x:c>
      <x:c r="BF29" s="38" t="n">
        <x:v>-0.0318840846</x:v>
      </x:c>
      <x:c r="BG29" s="38" t="n">
        <x:v>-0.0065549459</x:v>
      </x:c>
      <x:c r="BH29" s="38" t="n">
        <x:v>0.0290429595</x:v>
      </x:c>
      <x:c r="BI29" s="38" t="n">
        <x:v>0.0349427269</x:v>
      </x:c>
      <x:c r="BJ29" s="38" t="n">
        <x:v>-0.0624301956</x:v>
      </x:c>
    </x:row>
    <x:row r="30" ht="19" customHeight="1">
      <x:c r="A30" s="39" t="d">
        <x:v>2023-02-27T00:00:00.000Z</x:v>
      </x:c>
      <x:c r="B30" s="38" t="n">
        <x:v>-0.0914235528</x:v>
      </x:c>
      <x:c r="C30" s="38" t="n">
        <x:v>0.1425879739</x:v>
      </x:c>
      <x:c r="D30" s="38" t="n">
        <x:v>0.0296059</x:v>
      </x:c>
      <x:c r="E30" s="38" t="n">
        <x:v>-0.003746317</x:v>
      </x:c>
      <x:c r="F30" s="38" t="n">
        <x:v>-0.0104897383</x:v>
      </x:c>
      <x:c r="G30" s="38" t="n">
        <x:v>-0.0618798062</x:v>
      </x:c>
      <x:c r="H30" s="38" t="n">
        <x:v>-0.0370005598</x:v>
      </x:c>
      <x:c r="I30" s="38" t="n">
        <x:v>0.0608916839</x:v>
      </x:c>
      <x:c r="J30" s="38" t="n">
        <x:v>-0.1528537651</x:v>
      </x:c>
      <x:c r="K30" s="38" t="n">
        <x:v>0.0478813086</x:v>
      </x:c>
      <x:c r="L30" s="38" t="n">
        <x:v>0.0423035841</x:v>
      </x:c>
      <x:c r="M30" s="38" t="n">
        <x:v>0.0131229056</x:v>
      </x:c>
      <x:c r="N30" s="38" t="n">
        <x:v>0.0258488442</x:v>
      </x:c>
      <x:c r="O30" s="38" t="n">
        <x:v>-0.2602863022</x:v>
      </x:c>
      <x:c r="P30" s="38" t="n">
        <x:v>-0.0007113782</x:v>
      </x:c>
      <x:c r="Q30" s="38" t="n">
        <x:v>0.1049003333</x:v>
      </x:c>
      <x:c r="R30" s="38" t="n">
        <x:v>0.0568702836</x:v>
      </x:c>
      <x:c r="S30" s="38" t="n">
        <x:v>-0.0046316864</x:v>
      </x:c>
      <x:c r="T30" s="38" t="n">
        <x:v>-0.2654271145</x:v>
      </x:c>
      <x:c r="U30" s="38" t="n">
        <x:v>0.1208119132</x:v>
      </x:c>
      <x:c r="V30" s="38" t="n">
        <x:v>-0.0585257002</x:v>
      </x:c>
      <x:c r="W30" s="38" t="n">
        <x:v>0.0271415825</x:v>
      </x:c>
      <x:c r="X30" s="38" t="n">
        <x:v>-0.2244675517</x:v>
      </x:c>
      <x:c r="Y30" s="38" t="n">
        <x:v>-0.0568986996</x:v>
      </x:c>
      <x:c r="Z30" s="38" t="n">
        <x:v>0.0693201209</x:v>
      </x:c>
      <x:c r="AA30" s="38" t="n">
        <x:v>-0.1431390858</x:v>
      </x:c>
      <x:c r="AB30" s="38" t="n">
        <x:v>-0.149352561</x:v>
      </x:c>
      <x:c r="AC30" s="38" t="n">
        <x:v>0.0263194138</x:v>
      </x:c>
      <x:c r="AD30" s="38" t="n">
        <x:v>0.0452953506</x:v>
      </x:c>
      <x:c r="AE30" s="38" t="n">
        <x:v>-0.1192086513</x:v>
      </x:c>
      <x:c r="AF30" s="38" t="n">
        <x:v>0.0352555526</x:v>
      </x:c>
      <x:c r="AG30" s="38" t="n">
        <x:v>0.0055803021</x:v>
      </x:c>
      <x:c r="AH30" s="38" t="n">
        <x:v>-0.0755471246</x:v>
      </x:c>
      <x:c r="AI30" s="38" t="n">
        <x:v>-0.0509388211</x:v>
      </x:c>
      <x:c r="AJ30" s="38" t="n">
        <x:v>0.0761308751</x:v>
      </x:c>
      <x:c r="AK30" s="38" t="n">
        <x:v>0.002053383</x:v>
      </x:c>
      <x:c r="AL30" s="38" t="n">
        <x:v>0.0129361961</x:v>
      </x:c>
      <x:c r="AM30" s="38" t="n">
        <x:v>-0.1034691099</x:v>
      </x:c>
      <x:c r="AN30" s="38" t="n">
        <x:v>-0.0257381149</x:v>
      </x:c>
      <x:c r="AO30" s="38" t="n">
        <x:v>-0.0487666399</x:v>
      </x:c>
      <x:c r="AP30" s="38" t="n">
        <x:v>0.0111106916</x:v>
      </x:c>
      <x:c r="AQ30" s="38" t="n">
        <x:v>-0.0304770551</x:v>
      </x:c>
      <x:c r="AR30" s="38" t="n">
        <x:v>0.0218142625</x:v>
      </x:c>
      <x:c r="AS30" s="38" t="n">
        <x:v>0.0481412698</x:v>
      </x:c>
      <x:c r="AT30" s="38" t="n">
        <x:v>-0.0143521615</x:v>
      </x:c>
      <x:c r="AU30" s="38" t="n">
        <x:v>-0.0128705138</x:v>
      </x:c>
      <x:c r="AV30" s="38" t="n">
        <x:v>-0.0145237556</x:v>
      </x:c>
      <x:c r="AW30" s="38" t="n">
        <x:v>-0.0200043098</x:v>
      </x:c>
      <x:c r="AX30" s="38" t="n">
        <x:v>-0.0123111453</x:v>
      </x:c>
      <x:c r="AY30" s="38" t="n">
        <x:v>-0.0175509567</x:v>
      </x:c>
      <x:c r="AZ30" s="38" t="n">
        <x:v>-0.0353671313</x:v>
      </x:c>
      <x:c r="BA30" s="38" t="n">
        <x:v>-0.0017037999</x:v>
      </x:c>
      <x:c r="BB30" s="38" t="n">
        <x:v>-0.0043511326</x:v>
      </x:c>
      <x:c r="BC30" s="38" t="n">
        <x:v>-0.0096018959</x:v>
      </x:c>
      <x:c r="BD30" s="38" t="n">
        <x:v>-0.002291051</x:v>
      </x:c>
      <x:c r="BE30" s="38" t="n">
        <x:v>-0.017301219</x:v>
      </x:c>
      <x:c r="BF30" s="38" t="n">
        <x:v>0.0196456429</x:v>
      </x:c>
      <x:c r="BG30" s="38" t="n">
        <x:v>0.0271132935</x:v>
      </x:c>
      <x:c r="BH30" s="38" t="n">
        <x:v>-0.029223963</x:v>
      </x:c>
      <x:c r="BI30" s="38" t="n">
        <x:v>0.0161480024</x:v>
      </x:c>
      <x:c r="BJ30" s="38" t="n">
        <x:v>-0.0172817192</x:v>
      </x:c>
    </x:row>
    <x:row r="31" ht="19" customHeight="1">
      <x:c r="A31" s="39" t="d">
        <x:v>2023-03-27T00:00:00.000Z</x:v>
      </x:c>
      <x:c r="B31" s="38" t="n">
        <x:v>0.0661323993</x:v>
      </x:c>
      <x:c r="C31" s="38" t="n">
        <x:v>0.0333004846</x:v>
      </x:c>
      <x:c r="D31" s="38" t="n">
        <x:v>-0.0239938609</x:v>
      </x:c>
      <x:c r="E31" s="38" t="n">
        <x:v>-0.0093980443</x:v>
      </x:c>
      <x:c r="F31" s="38" t="n">
        <x:v>-0.0001826162</x:v>
      </x:c>
      <x:c r="G31" s="38" t="n">
        <x:v>0.0919261765</x:v>
      </x:c>
      <x:c r="H31" s="38" t="n">
        <x:v>0.029599371</x:v>
      </x:c>
      <x:c r="I31" s="38" t="n">
        <x:v>-0.1440639142</x:v>
      </x:c>
      <x:c r="J31" s="38" t="n">
        <x:v>-0.0806588954</x:v>
      </x:c>
      <x:c r="K31" s="38" t="n">
        <x:v>0.0259481285</x:v>
      </x:c>
      <x:c r="L31" s="38" t="n">
        <x:v>-0.1052528733</x:v>
      </x:c>
      <x:c r="M31" s="38" t="n">
        <x:v>-0.0148467485</x:v>
      </x:c>
      <x:c r="N31" s="38" t="n">
        <x:v>-0.0682309574</x:v>
      </x:c>
      <x:c r="O31" s="38" t="n">
        <x:v>-0.0501123253</x:v>
      </x:c>
      <x:c r="P31" s="38" t="n">
        <x:v>-0.0782422502</x:v>
      </x:c>
      <x:c r="Q31" s="38" t="n">
        <x:v>-0.0062129093</x:v>
      </x:c>
      <x:c r="R31" s="38" t="n">
        <x:v>-0.0011225365</x:v>
      </x:c>
      <x:c r="S31" s="38" t="n">
        <x:v>0.0537706847</x:v>
      </x:c>
      <x:c r="T31" s="38" t="n">
        <x:v>0.0832704739</x:v>
      </x:c>
      <x:c r="U31" s="38" t="n">
        <x:v>-0.0462947863</x:v>
      </x:c>
      <x:c r="V31" s="38" t="n">
        <x:v>-0.0562334534</x:v>
      </x:c>
      <x:c r="W31" s="38" t="n">
        <x:v>-0.0255185239</x:v>
      </x:c>
      <x:c r="X31" s="38" t="n">
        <x:v>-0.0109057753</x:v>
      </x:c>
      <x:c r="Y31" s="38" t="n">
        <x:v>0.1249988236</x:v>
      </x:c>
      <x:c r="Z31" s="38" t="n">
        <x:v>0.008320509</x:v>
      </x:c>
      <x:c r="AA31" s="38" t="n">
        <x:v>0.0401824344</x:v>
      </x:c>
      <x:c r="AB31" s="38" t="n">
        <x:v>0.1935823885</x:v>
      </x:c>
      <x:c r="AC31" s="38" t="n">
        <x:v>-0.0008897555</x:v>
      </x:c>
      <x:c r="AD31" s="38" t="n">
        <x:v>-0.0361268341</x:v>
      </x:c>
      <x:c r="AE31" s="38" t="n">
        <x:v>0.1085191962</x:v>
      </x:c>
      <x:c r="AF31" s="38" t="n">
        <x:v>-0.0249233843</x:v>
      </x:c>
      <x:c r="AG31" s="38" t="n">
        <x:v>-0.0987226391</x:v>
      </x:c>
      <x:c r="AH31" s="38" t="n">
        <x:v>0.0144124229</x:v>
      </x:c>
      <x:c r="AI31" s="38" t="n">
        <x:v>0.0630664232</x:v>
      </x:c>
      <x:c r="AJ31" s="38" t="n">
        <x:v>-0.0172510769</x:v>
      </x:c>
      <x:c r="AK31" s="38" t="n">
        <x:v>-0.0613503004</x:v>
      </x:c>
      <x:c r="AL31" s="38" t="n">
        <x:v>0.0534375948</x:v>
      </x:c>
      <x:c r="AM31" s="38" t="n">
        <x:v>0.0415624273</x:v>
      </x:c>
      <x:c r="AN31" s="38" t="n">
        <x:v>-0.0136368994</x:v>
      </x:c>
      <x:c r="AO31" s="38" t="n">
        <x:v>-0.0198418264</x:v>
      </x:c>
      <x:c r="AP31" s="38" t="n">
        <x:v>0.0117147738</x:v>
      </x:c>
      <x:c r="AQ31" s="38" t="n">
        <x:v>-0.0197348437</x:v>
      </x:c>
      <x:c r="AR31" s="38" t="n">
        <x:v>0.0054293035</x:v>
      </x:c>
      <x:c r="AS31" s="38" t="n">
        <x:v>-0.0029930495</x:v>
      </x:c>
      <x:c r="AT31" s="38" t="n">
        <x:v>0.0095882832</x:v>
      </x:c>
      <x:c r="AU31" s="38" t="n">
        <x:v>0.016158667</x:v>
      </x:c>
      <x:c r="AV31" s="38" t="n">
        <x:v>0.0182087978</x:v>
      </x:c>
      <x:c r="AW31" s="38" t="n">
        <x:v>-0.0070233243</x:v>
      </x:c>
      <x:c r="AX31" s="38" t="n">
        <x:v>-0.005578965</x:v>
      </x:c>
      <x:c r="AY31" s="38" t="n">
        <x:v>0.0147768852</x:v>
      </x:c>
      <x:c r="AZ31" s="38" t="n">
        <x:v>0.0413579808</x:v>
      </x:c>
      <x:c r="BA31" s="38" t="n">
        <x:v>0.0121331831</x:v>
      </x:c>
      <x:c r="BB31" s="38" t="n">
        <x:v>0.0234253522</x:v>
      </x:c>
      <x:c r="BC31" s="38" t="n">
        <x:v>-0.0537744696</x:v>
      </x:c>
      <x:c r="BD31" s="38" t="n">
        <x:v>-0.1097281967</x:v>
      </x:c>
      <x:c r="BE31" s="38" t="n">
        <x:v>-0.0029118333</x:v>
      </x:c>
      <x:c r="BF31" s="38" t="n">
        <x:v>-0.0334947985</x:v>
      </x:c>
      <x:c r="BG31" s="38" t="n">
        <x:v>-0.0485575542</x:v>
      </x:c>
      <x:c r="BH31" s="38" t="n">
        <x:v>-0.0330746479</x:v>
      </x:c>
      <x:c r="BI31" s="38" t="n">
        <x:v>0.0476314863</x:v>
      </x:c>
      <x:c r="BJ31" s="38" t="n">
        <x:v>0.0170581376</x:v>
      </x:c>
    </x:row>
    <x:row r="32" ht="19" customHeight="1">
      <x:c r="A32" s="39" t="d">
        <x:v>2023-04-24T00:00:00.000Z</x:v>
      </x:c>
      <x:c r="B32" s="38" t="n">
        <x:v>-0.0026827957</x:v>
      </x:c>
      <x:c r="C32" s="38" t="n">
        <x:v>0.024327175</x:v>
      </x:c>
      <x:c r="D32" s="38" t="n">
        <x:v>-0.0042149942</x:v>
      </x:c>
      <x:c r="E32" s="38" t="n">
        <x:v>-0.0249586708</x:v>
      </x:c>
      <x:c r="F32" s="38" t="n">
        <x:v>0.0399900854</x:v>
      </x:c>
      <x:c r="G32" s="38" t="n">
        <x:v>0.1985712371</x:v>
      </x:c>
      <x:c r="H32" s="38" t="n">
        <x:v>0.1078776884</x:v>
      </x:c>
      <x:c r="I32" s="38" t="n">
        <x:v>0.0178118723</x:v>
      </x:c>
      <x:c r="J32" s="38" t="n">
        <x:v>0.0261904744</x:v>
      </x:c>
      <x:c r="K32" s="38" t="n">
        <x:v>-0.2155836239</x:v>
      </x:c>
      <x:c r="L32" s="38" t="n">
        <x:v>-0.0350291806</x:v>
      </x:c>
      <x:c r="M32" s="38" t="n">
        <x:v>-0.0496079849</x:v>
      </x:c>
      <x:c r="N32" s="38" t="n">
        <x:v>-0.181790272</x:v>
      </x:c>
      <x:c r="O32" s="38" t="n">
        <x:v>0.0657970113</x:v>
      </x:c>
      <x:c r="P32" s="38" t="n">
        <x:v>-0.4137197115</x:v>
      </x:c>
      <x:c r="Q32" s="38" t="n">
        <x:v>-0.1767109167</x:v>
      </x:c>
      <x:c r="R32" s="38" t="n">
        <x:v>-0.0283011416</x:v>
      </x:c>
      <x:c r="S32" s="38" t="n">
        <x:v>-0.0625782746</x:v>
      </x:c>
      <x:c r="T32" s="38" t="n">
        <x:v>-0.1345368295</x:v>
      </x:c>
      <x:c r="U32" s="38" t="n">
        <x:v>-0.0370140472</x:v>
      </x:c>
      <x:c r="V32" s="38" t="n">
        <x:v>-0.0764703419</x:v>
      </x:c>
      <x:c r="W32" s="38" t="n">
        <x:v>0.0813656513</x:v>
      </x:c>
      <x:c r="X32" s="38" t="n">
        <x:v>0.1337386964</x:v>
      </x:c>
      <x:c r="Y32" s="38" t="n">
        <x:v>0.0080943365</x:v>
      </x:c>
      <x:c r="Z32" s="38" t="n">
        <x:v>-0.0673026209</x:v>
      </x:c>
      <x:c r="AA32" s="38" t="n">
        <x:v>0.0478232882</x:v>
      </x:c>
      <x:c r="AB32" s="38" t="n">
        <x:v>0.2218896161</x:v>
      </x:c>
      <x:c r="AC32" s="38" t="n">
        <x:v>0.0450161148</x:v>
      </x:c>
      <x:c r="AD32" s="38" t="n">
        <x:v>-0.0216366332</x:v>
      </x:c>
      <x:c r="AE32" s="38" t="n">
        <x:v>-0.1004425928</x:v>
      </x:c>
      <x:c r="AF32" s="38" t="n">
        <x:v>-0.0094788958</x:v>
      </x:c>
      <x:c r="AG32" s="38" t="n">
        <x:v>0.0070421312</x:v>
      </x:c>
      <x:c r="AH32" s="38" t="n">
        <x:v>0.0689996177</x:v>
      </x:c>
      <x:c r="AI32" s="38" t="n">
        <x:v>0.0673626467</x:v>
      </x:c>
      <x:c r="AJ32" s="38" t="n">
        <x:v>0.046789703</x:v>
      </x:c>
      <x:c r="AK32" s="38" t="n">
        <x:v>-0.1336045181</x:v>
      </x:c>
      <x:c r="AL32" s="38" t="n">
        <x:v>0.1060732257</x:v>
      </x:c>
      <x:c r="AM32" s="38" t="n">
        <x:v>0.1326321039</x:v>
      </x:c>
      <x:c r="AN32" s="38" t="n">
        <x:v>0.0205695518</x:v>
      </x:c>
      <x:c r="AO32" s="38" t="n">
        <x:v>0.0491736324</x:v>
      </x:c>
      <x:c r="AP32" s="38" t="n">
        <x:v>0.0120658132</x:v>
      </x:c>
      <x:c r="AQ32" s="38" t="n">
        <x:v>0.0156014307</x:v>
      </x:c>
      <x:c r="AR32" s="38" t="n">
        <x:v>0.013507303</x:v>
      </x:c>
      <x:c r="AS32" s="38" t="n">
        <x:v>0.0008232827</x:v>
      </x:c>
      <x:c r="AT32" s="38" t="n">
        <x:v>-0.0031178827</x:v>
      </x:c>
      <x:c r="AU32" s="38" t="n">
        <x:v>0.0139767667</x:v>
      </x:c>
      <x:c r="AV32" s="38" t="n">
        <x:v>0.0210613759</x:v>
      </x:c>
      <x:c r="AW32" s="38" t="n">
        <x:v>-0.0135479897</x:v>
      </x:c>
      <x:c r="AX32" s="38" t="n">
        <x:v>0.0078626369</x:v>
      </x:c>
      <x:c r="AY32" s="38" t="n">
        <x:v>0.0143147111</x:v>
      </x:c>
      <x:c r="AZ32" s="38" t="n">
        <x:v>0.0182032937</x:v>
      </x:c>
      <x:c r="BA32" s="38" t="n">
        <x:v>-0.0196873655</x:v>
      </x:c>
      <x:c r="BB32" s="38" t="n">
        <x:v>0.0255069417</x:v>
      </x:c>
      <x:c r="BC32" s="38" t="n">
        <x:v>0.0080302247</x:v>
      </x:c>
      <x:c r="BD32" s="38" t="n">
        <x:v>0.0149248413</x:v>
      </x:c>
      <x:c r="BE32" s="38" t="n">
        <x:v>0.0197922047</x:v>
      </x:c>
      <x:c r="BF32" s="38" t="n">
        <x:v>-0.0256829556</x:v>
      </x:c>
      <x:c r="BG32" s="38" t="n">
        <x:v>-0.0108308606</x:v>
      </x:c>
      <x:c r="BH32" s="38" t="n">
        <x:v>0.0019460978</x:v>
      </x:c>
      <x:c r="BI32" s="38" t="n">
        <x:v>-0.0212644432</x:v>
      </x:c>
      <x:c r="BJ32" s="38" t="n">
        <x:v>0.0086062463</x:v>
      </x:c>
    </x:row>
    <x:row r="33" ht="19" customHeight="1">
      <x:c r="A33" s="39" t="d">
        <x:v>2023-05-22T00:00:00.000Z</x:v>
      </x:c>
      <x:c r="B33" s="38" t="n">
        <x:v>-0.0070452013</x:v>
      </x:c>
      <x:c r="C33" s="38" t="n">
        <x:v>0.0133731147</x:v>
      </x:c>
      <x:c r="D33" s="38" t="n">
        <x:v>-0.0184524702</x:v>
      </x:c>
      <x:c r="E33" s="38" t="n">
        <x:v>-0.0383790731</x:v>
      </x:c>
      <x:c r="F33" s="38" t="n">
        <x:v>-0.1485520838</x:v>
      </x:c>
      <x:c r="G33" s="38" t="n">
        <x:v>-0.0193175135</x:v>
      </x:c>
      <x:c r="H33" s="38" t="n">
        <x:v>-0.0658364802</x:v>
      </x:c>
      <x:c r="I33" s="38" t="n">
        <x:v>-0.1229674621</x:v>
      </x:c>
      <x:c r="J33" s="38" t="n">
        <x:v>-0.2419894677</x:v>
      </x:c>
      <x:c r="K33" s="38" t="n">
        <x:v>0.0789611859</x:v>
      </x:c>
      <x:c r="L33" s="38" t="n">
        <x:v>-0.0340312907</x:v>
      </x:c>
      <x:c r="M33" s="38" t="n">
        <x:v>-0.1602972406</x:v>
      </x:c>
      <x:c r="N33" s="38" t="n">
        <x:v>-0.0160362938</x:v>
      </x:c>
      <x:c r="O33" s="38" t="n">
        <x:v>-0.142603992</x:v>
      </x:c>
      <x:c r="P33" s="38" t="n">
        <x:v>0.2527704395</x:v>
      </x:c>
      <x:c r="Q33" s="38" t="n">
        <x:v>0.0074570739</x:v>
      </x:c>
      <x:c r="R33" s="38" t="n">
        <x:v>-0.025356668</x:v>
      </x:c>
      <x:c r="S33" s="38" t="n">
        <x:v>-0.0447984868</x:v>
      </x:c>
      <x:c r="T33" s="38" t="n">
        <x:v>-0.0522159274</x:v>
      </x:c>
      <x:c r="U33" s="38" t="n">
        <x:v>-0.0543362414</x:v>
      </x:c>
      <x:c r="V33" s="38" t="n">
        <x:v>0.1169463764</x:v>
      </x:c>
      <x:c r="W33" s="38" t="n">
        <x:v>-0.0022261675</x:v>
      </x:c>
      <x:c r="X33" s="38" t="n">
        <x:v>-0.1448329023</x:v>
      </x:c>
      <x:c r="Y33" s="38" t="n">
        <x:v>-0.0697391107</x:v>
      </x:c>
      <x:c r="Z33" s="38" t="n">
        <x:v>-0.0127786125</x:v>
      </x:c>
      <x:c r="AA33" s="38" t="n">
        <x:v>0.0388379326</x:v>
      </x:c>
      <x:c r="AB33" s="38" t="n">
        <x:v>0.1097922152</x:v>
      </x:c>
      <x:c r="AC33" s="38" t="n">
        <x:v>0.007301686</x:v>
      </x:c>
      <x:c r="AD33" s="38" t="n">
        <x:v>0.0063094583</x:v>
      </x:c>
      <x:c r="AE33" s="38" t="n">
        <x:v>0.0157693753</x:v>
      </x:c>
      <x:c r="AF33" s="38" t="n">
        <x:v>0.0011498826</x:v>
      </x:c>
      <x:c r="AG33" s="38" t="n">
        <x:v>0.0403784007</x:v>
      </x:c>
      <x:c r="AH33" s="38" t="n">
        <x:v>-0.0487723654</x:v>
      </x:c>
      <x:c r="AI33" s="38" t="n">
        <x:v>0.0907630276</x:v>
      </x:c>
      <x:c r="AJ33" s="38" t="n">
        <x:v>0.0156067517</x:v>
      </x:c>
      <x:c r="AK33" s="38" t="n">
        <x:v>-0.109249771</x:v>
      </x:c>
      <x:c r="AL33" s="38" t="n">
        <x:v>-0.0650950838</x:v>
      </x:c>
      <x:c r="AM33" s="38" t="n">
        <x:v>-0.1056164205</x:v>
      </x:c>
      <x:c r="AN33" s="38" t="n">
        <x:v>-0.0008997264</x:v>
      </x:c>
      <x:c r="AO33" s="38" t="n">
        <x:v>-0.0009716805</x:v>
      </x:c>
      <x:c r="AP33" s="38" t="n">
        <x:v>0.0073388217</x:v>
      </x:c>
      <x:c r="AQ33" s="38" t="n">
        <x:v>0.0154480554</x:v>
      </x:c>
      <x:c r="AR33" s="38" t="n">
        <x:v>0.0304476639</x:v>
      </x:c>
      <x:c r="AS33" s="38" t="n">
        <x:v>0.0190984884</x:v>
      </x:c>
      <x:c r="AT33" s="38" t="n">
        <x:v>-0.0101001616</x:v>
      </x:c>
      <x:c r="AU33" s="38" t="n">
        <x:v>-0.023803999</x:v>
      </x:c>
      <x:c r="AV33" s="38" t="n">
        <x:v>-0.0331357279</x:v>
      </x:c>
      <x:c r="AW33" s="38" t="n">
        <x:v>-0.016530579</x:v>
      </x:c>
      <x:c r="AX33" s="38" t="n">
        <x:v>0.0026015062</x:v>
      </x:c>
      <x:c r="AY33" s="38" t="n">
        <x:v>0.0089637475</x:v>
      </x:c>
      <x:c r="AZ33" s="38" t="n">
        <x:v>0.0275033569</x:v>
      </x:c>
      <x:c r="BA33" s="38" t="n">
        <x:v>0.0219325204</x:v>
      </x:c>
      <x:c r="BB33" s="38" t="n">
        <x:v>-0.0534481174</x:v>
      </x:c>
      <x:c r="BC33" s="38" t="n">
        <x:v>-0.0888563304</x:v>
      </x:c>
      <x:c r="BD33" s="38" t="n">
        <x:v>-0.0387527634</x:v>
      </x:c>
      <x:c r="BE33" s="38" t="n">
        <x:v>-0.0478499538</x:v>
      </x:c>
      <x:c r="BF33" s="38" t="n">
        <x:v>-0.0257600144</x:v>
      </x:c>
      <x:c r="BG33" s="38" t="n">
        <x:v>-0.0558971314</x:v>
      </x:c>
      <x:c r="BH33" s="38" t="n">
        <x:v>-0.0536588148</x:v>
      </x:c>
      <x:c r="BI33" s="38" t="n">
        <x:v>0.0686500643</x:v>
      </x:c>
      <x:c r="BJ33" s="38" t="n">
        <x:v>-0.0665158159</x:v>
      </x:c>
    </x:row>
    <x:row r="34" ht="19" customHeight="1">
      <x:c r="A34" s="39" t="d">
        <x:v>2023-06-19T00:00:00.000Z</x:v>
      </x:c>
      <x:c r="B34" s="38" t="n">
        <x:v>-0.0209940073</x:v>
      </x:c>
      <x:c r="C34" s="38" t="n">
        <x:v>0.0899240732</x:v>
      </x:c>
      <x:c r="D34" s="38" t="n">
        <x:v>0.015471758</x:v>
      </x:c>
      <x:c r="E34" s="38" t="n">
        <x:v>-0.0168826914</x:v>
      </x:c>
      <x:c r="F34" s="38" t="n">
        <x:v>-0.0263789543</x:v>
      </x:c>
      <x:c r="G34" s="38" t="n">
        <x:v>-0.085714481</x:v>
      </x:c>
      <x:c r="H34" s="38" t="n">
        <x:v>0.0271901039</x:v>
      </x:c>
      <x:c r="I34" s="38" t="n">
        <x:v>-0.0490957537</x:v>
      </x:c>
      <x:c r="J34" s="38" t="n">
        <x:v>-0.0637476447</x:v>
      </x:c>
      <x:c r="K34" s="38" t="n">
        <x:v>-0.0215698521</x:v>
      </x:c>
      <x:c r="L34" s="38" t="n">
        <x:v>0.0502872337</x:v>
      </x:c>
      <x:c r="M34" s="38" t="n">
        <x:v>-0.0367953149</x:v>
      </x:c>
      <x:c r="N34" s="38" t="n">
        <x:v>-0.0083820242</x:v>
      </x:c>
      <x:c r="O34" s="38" t="n">
        <x:v>-0.1393233587</x:v>
      </x:c>
      <x:c r="P34" s="38" t="n">
        <x:v>-0.0502036437</x:v>
      </x:c>
      <x:c r="Q34" s="38" t="n">
        <x:v>0.0839772922</x:v>
      </x:c>
      <x:c r="R34" s="38" t="n">
        <x:v>0.0306421543</x:v>
      </x:c>
      <x:c r="S34" s="38" t="n">
        <x:v>-0.0188474923</x:v>
      </x:c>
      <x:c r="T34" s="38" t="n">
        <x:v>-0.1248350215</x:v>
      </x:c>
      <x:c r="U34" s="38" t="n">
        <x:v>-0.0791747891</x:v>
      </x:c>
      <x:c r="V34" s="38" t="n">
        <x:v>0.0799623792</x:v>
      </x:c>
      <x:c r="W34" s="38" t="n">
        <x:v>0.0269246024</x:v>
      </x:c>
      <x:c r="X34" s="38" t="n">
        <x:v>-0.1215720327</x:v>
      </x:c>
      <x:c r="Y34" s="38" t="n">
        <x:v>-0.0817788865</x:v>
      </x:c>
      <x:c r="Z34" s="38" t="n">
        <x:v>0.0227206851</x:v>
      </x:c>
      <x:c r="AA34" s="38" t="n">
        <x:v>-0.1603472539</x:v>
      </x:c>
      <x:c r="AB34" s="38" t="n">
        <x:v>0.2607695808</x:v>
      </x:c>
      <x:c r="AC34" s="38" t="n">
        <x:v>0.0380742813</x:v>
      </x:c>
      <x:c r="AD34" s="38" t="n">
        <x:v>0.0274961813</x:v>
      </x:c>
      <x:c r="AE34" s="38" t="n">
        <x:v>0.0579830403</x:v>
      </x:c>
      <x:c r="AF34" s="38" t="n">
        <x:v>-0.0307638906</x:v>
      </x:c>
      <x:c r="AG34" s="38" t="n">
        <x:v>-0.0258220446</x:v>
      </x:c>
      <x:c r="AH34" s="38" t="n">
        <x:v>-0.114205902</x:v>
      </x:c>
      <x:c r="AI34" s="38" t="n">
        <x:v>0.042207226</x:v>
      </x:c>
      <x:c r="AJ34" s="38" t="n">
        <x:v>0.001842142</x:v>
      </x:c>
      <x:c r="AK34" s="38" t="n">
        <x:v>-0.0086647811</x:v>
      </x:c>
      <x:c r="AL34" s="38" t="n">
        <x:v>0.0131725355</x:v>
      </x:c>
      <x:c r="AM34" s="38" t="n">
        <x:v>-0.0898716026</x:v>
      </x:c>
      <x:c r="AN34" s="38" t="n">
        <x:v>0.0226815021</x:v>
      </x:c>
      <x:c r="AO34" s="38" t="n">
        <x:v>-0.0268003292</x:v>
      </x:c>
      <x:c r="AP34" s="38" t="n">
        <x:v>0.0245484978</x:v>
      </x:c>
      <x:c r="AQ34" s="38" t="n">
        <x:v>0.0377388316</x:v>
      </x:c>
      <x:c r="AR34" s="38" t="n">
        <x:v>0.0175966581</x:v>
      </x:c>
      <x:c r="AS34" s="38" t="n">
        <x:v>0.0249418435</x:v>
      </x:c>
      <x:c r="AT34" s="38" t="n">
        <x:v>-0.0006880892</x:v>
      </x:c>
      <x:c r="AU34" s="38" t="n">
        <x:v>0.0145783204</x:v>
      </x:c>
      <x:c r="AV34" s="38" t="n">
        <x:v>0.0172096367</x:v>
      </x:c>
      <x:c r="AW34" s="38" t="n">
        <x:v>0.0255940676</x:v>
      </x:c>
      <x:c r="AX34" s="38" t="n">
        <x:v>0.0203512248</x:v>
      </x:c>
      <x:c r="AY34" s="38" t="n">
        <x:v>0.0321709376</x:v>
      </x:c>
      <x:c r="AZ34" s="38" t="n">
        <x:v>0.0015663212</x:v>
      </x:c>
      <x:c r="BA34" s="38" t="n">
        <x:v>0.0503160022</x:v>
      </x:c>
      <x:c r="BB34" s="38" t="n">
        <x:v>-0.0031562929</x:v>
      </x:c>
      <x:c r="BC34" s="38" t="n">
        <x:v>-0.0219381784</x:v>
      </x:c>
      <x:c r="BD34" s="38" t="n">
        <x:v>-0.0053711621</x:v>
      </x:c>
      <x:c r="BE34" s="38" t="n">
        <x:v>0.0195457284</x:v>
      </x:c>
      <x:c r="BF34" s="38" t="n">
        <x:v>0.018599965</x:v>
      </x:c>
      <x:c r="BG34" s="38" t="n">
        <x:v>0.0222305024</x:v>
      </x:c>
      <x:c r="BH34" s="38" t="n">
        <x:v>-0.0087148843</x:v>
      </x:c>
      <x:c r="BI34" s="38" t="n">
        <x:v>-0.0227274852</x:v>
      </x:c>
      <x:c r="BJ34" s="38" t="n">
        <x:v>-0.0019200324</x:v>
      </x:c>
    </x:row>
    <x:row r="35" ht="19" customHeight="1">
      <x:c r="A35" s="39" t="d">
        <x:v>2023-07-17T00:00:00.000Z</x:v>
      </x:c>
      <x:c r="B35" s="38" t="n">
        <x:v>0.0592023802</x:v>
      </x:c>
      <x:c r="C35" s="38" t="n">
        <x:v>0.0210896493</x:v>
      </x:c>
      <x:c r="D35" s="38" t="n">
        <x:v>-0.020079875</x:v>
      </x:c>
      <x:c r="E35" s="38" t="n">
        <x:v>0.0117834585</x:v>
      </x:c>
      <x:c r="F35" s="38" t="n">
        <x:v>-0.0797958617</x:v>
      </x:c>
      <x:c r="G35" s="38" t="n">
        <x:v>0.0269382092</x:v>
      </x:c>
      <x:c r="H35" s="38" t="n">
        <x:v>-0.0627124834</x:v>
      </x:c>
      <x:c r="I35" s="38" t="n">
        <x:v>-0.0413999554</x:v>
      </x:c>
      <x:c r="J35" s="38" t="n">
        <x:v>-0.0726450755</x:v>
      </x:c>
      <x:c r="K35" s="38" t="n">
        <x:v>-0.014838266</x:v>
      </x:c>
      <x:c r="L35" s="38" t="n">
        <x:v>0.0449298306</x:v>
      </x:c>
      <x:c r="M35" s="38" t="n">
        <x:v>0.0868113017</x:v>
      </x:c>
      <x:c r="N35" s="38" t="n">
        <x:v>-0.0138043853</x:v>
      </x:c>
      <x:c r="O35" s="38" t="n">
        <x:v>-0.0283892501</x:v>
      </x:c>
      <x:c r="P35" s="38" t="n">
        <x:v>-0.0257590979</x:v>
      </x:c>
      <x:c r="Q35" s="38" t="n">
        <x:v>0.1402173966</x:v>
      </x:c>
      <x:c r="R35" s="38" t="n">
        <x:v>0.0023575894</x:v>
      </x:c>
      <x:c r="S35" s="38" t="n">
        <x:v>-0.0737340535</x:v>
      </x:c>
      <x:c r="T35" s="38" t="n">
        <x:v>0.0421363229</x:v>
      </x:c>
      <x:c r="U35" s="38" t="n">
        <x:v>-0.1645274394</x:v>
      </x:c>
      <x:c r="V35" s="38" t="n">
        <x:v>-0.0443458359</x:v>
      </x:c>
      <x:c r="W35" s="38" t="n">
        <x:v>0.0219227468</x:v>
      </x:c>
      <x:c r="X35" s="38" t="n">
        <x:v>-0.0269414235</x:v>
      </x:c>
      <x:c r="Y35" s="38" t="n">
        <x:v>-0.0077410546</x:v>
      </x:c>
      <x:c r="Z35" s="38" t="n">
        <x:v>-0.1104262597</x:v>
      </x:c>
      <x:c r="AA35" s="38" t="n">
        <x:v>0.0571533217</x:v>
      </x:c>
      <x:c r="AB35" s="38" t="n">
        <x:v>0.3089145712</x:v>
      </x:c>
      <x:c r="AC35" s="38" t="n">
        <x:v>-0.0133294679</x:v>
      </x:c>
      <x:c r="AD35" s="38" t="n">
        <x:v>-0.0491843053</x:v>
      </x:c>
      <x:c r="AE35" s="38" t="n">
        <x:v>-0.0510555332</x:v>
      </x:c>
      <x:c r="AF35" s="38" t="n">
        <x:v>-0.0364169008</x:v>
      </x:c>
      <x:c r="AG35" s="38" t="n">
        <x:v>0.0788993622</x:v>
      </x:c>
      <x:c r="AH35" s="38" t="n">
        <x:v>-0.1209607229</x:v>
      </x:c>
      <x:c r="AI35" s="38" t="n">
        <x:v>-0.0333397081</x:v>
      </x:c>
      <x:c r="AJ35" s="38" t="n">
        <x:v>-0.0119501158</x:v>
      </x:c>
      <x:c r="AK35" s="38" t="n">
        <x:v>-0.0608922985</x:v>
      </x:c>
      <x:c r="AL35" s="38" t="n">
        <x:v>-0.0452193693</x:v>
      </x:c>
      <x:c r="AM35" s="38" t="n">
        <x:v>-0.0495424374</x:v>
      </x:c>
      <x:c r="AN35" s="38" t="n">
        <x:v>0.0170951763</x:v>
      </x:c>
      <x:c r="AO35" s="38" t="n">
        <x:v>0.003292131</x:v>
      </x:c>
      <x:c r="AP35" s="38" t="n">
        <x:v>-0.037111781</x:v>
      </x:c>
      <x:c r="AQ35" s="38" t="n">
        <x:v>-0.0102422313</x:v>
      </x:c>
      <x:c r="AR35" s="38" t="n">
        <x:v>-0.0190535581</x:v>
      </x:c>
      <x:c r="AS35" s="38" t="n">
        <x:v>0.0088200841</x:v>
      </x:c>
      <x:c r="AT35" s="38" t="n">
        <x:v>0.0144810333</x:v>
      </x:c>
      <x:c r="AU35" s="38" t="n">
        <x:v>0.019330926</x:v>
      </x:c>
      <x:c r="AV35" s="38" t="n">
        <x:v>0.0171537968</x:v>
      </x:c>
      <x:c r="AW35" s="38" t="n">
        <x:v>0.0070265705</x:v>
      </x:c>
      <x:c r="AX35" s="38" t="n">
        <x:v>0.0008710018</x:v>
      </x:c>
      <x:c r="AY35" s="38" t="n">
        <x:v>0.0403821663</x:v>
      </x:c>
      <x:c r="AZ35" s="38" t="n">
        <x:v>-0.0137088431</x:v>
      </x:c>
      <x:c r="BA35" s="38" t="n">
        <x:v>-0.0091953583</x:v>
      </x:c>
      <x:c r="BB35" s="38" t="n">
        <x:v>0.0058678003</x:v>
      </x:c>
      <x:c r="BC35" s="38" t="n">
        <x:v>0.0692096561</x:v>
      </x:c>
      <x:c r="BD35" s="38" t="n">
        <x:v>0.0357120563</x:v>
      </x:c>
      <x:c r="BE35" s="38" t="n">
        <x:v>0.0097838583</x:v>
      </x:c>
      <x:c r="BF35" s="38" t="n">
        <x:v>0.0177363118</x:v>
      </x:c>
      <x:c r="BG35" s="38" t="n">
        <x:v>0.017604683</x:v>
      </x:c>
      <x:c r="BH35" s="38" t="n">
        <x:v>0.0408051369</x:v>
      </x:c>
      <x:c r="BI35" s="38" t="n">
        <x:v>-0.0173281219</x:v>
      </x:c>
      <x:c r="BJ35" s="38" t="n">
        <x:v>0.0294389744</x:v>
      </x:c>
    </x:row>
    <x:row r="36" ht="19" customHeight="1">
      <x:c r="A36" s="39" t="d">
        <x:v>2023-08-14T00:00:00.000Z</x:v>
      </x:c>
      <x:c r="B36" s="38" t="n">
        <x:v>0.0953958067</x:v>
      </x:c>
      <x:c r="C36" s="38" t="n">
        <x:v>-0.108184409</x:v>
      </x:c>
      <x:c r="D36" s="38" t="n">
        <x:v>0.0052482971</x:v>
      </x:c>
      <x:c r="E36" s="38" t="n">
        <x:v>-0.0108839606</x:v>
      </x:c>
      <x:c r="F36" s="38" t="n">
        <x:v>0.0809398276</x:v>
      </x:c>
      <x:c r="G36" s="38" t="n">
        <x:v>-0.0333665551</x:v>
      </x:c>
      <x:c r="H36" s="38" t="n">
        <x:v>0.0964858678</x:v>
      </x:c>
      <x:c r="I36" s="38" t="n">
        <x:v>0.0686827872</x:v>
      </x:c>
      <x:c r="J36" s="38" t="n">
        <x:v>0.2425279303</x:v>
      </x:c>
      <x:c r="K36" s="38" t="n">
        <x:v>0.0259833176</x:v>
      </x:c>
      <x:c r="L36" s="38" t="n">
        <x:v>-0.018040945</x:v>
      </x:c>
      <x:c r="M36" s="38" t="n">
        <x:v>0.004983532</x:v>
      </x:c>
      <x:c r="N36" s="38" t="n">
        <x:v>0.0424115954</x:v>
      </x:c>
      <x:c r="O36" s="38" t="n">
        <x:v>0.1453857428</x:v>
      </x:c>
      <x:c r="P36" s="38" t="n">
        <x:v>0.035738716</x:v>
      </x:c>
      <x:c r="Q36" s="38" t="n">
        <x:v>-0.3213256447</x:v>
      </x:c>
      <x:c r="R36" s="38" t="n">
        <x:v>0.0818785691</x:v>
      </x:c>
      <x:c r="S36" s="38" t="n">
        <x:v>-0.1162612502</x:v>
      </x:c>
      <x:c r="T36" s="38" t="n">
        <x:v>-0.1833311929</x:v>
      </x:c>
      <x:c r="U36" s="38" t="n">
        <x:v>0.1409450762</x:v>
      </x:c>
      <x:c r="V36" s="38" t="n">
        <x:v>0.0483151273</x:v>
      </x:c>
      <x:c r="W36" s="38" t="n">
        <x:v>0.0993616025</x:v>
      </x:c>
      <x:c r="X36" s="38" t="n">
        <x:v>0.0755788207</x:v>
      </x:c>
      <x:c r="Y36" s="38" t="n">
        <x:v>0.0295681092</x:v>
      </x:c>
      <x:c r="Z36" s="38" t="n">
        <x:v>0.1007037287</x:v>
      </x:c>
      <x:c r="AA36" s="38" t="n">
        <x:v>-0.0224303095</x:v>
      </x:c>
      <x:c r="AB36" s="38" t="n">
        <x:v>-0.3593200388</x:v>
      </x:c>
      <x:c r="AC36" s="38" t="n">
        <x:v>0.0610015552</x:v>
      </x:c>
      <x:c r="AD36" s="38" t="n">
        <x:v>-0.0348257106</x:v>
      </x:c>
      <x:c r="AE36" s="38" t="n">
        <x:v>0.0416930449</x:v>
      </x:c>
      <x:c r="AF36" s="38" t="n">
        <x:v>0.1512123456</x:v>
      </x:c>
      <x:c r="AG36" s="38" t="n">
        <x:v>-0.0340046227</x:v>
      </x:c>
      <x:c r="AH36" s="38" t="n">
        <x:v>0.1065889019</x:v>
      </x:c>
      <x:c r="AI36" s="38" t="n">
        <x:v>0.1314969861</x:v>
      </x:c>
      <x:c r="AJ36" s="38" t="n">
        <x:v>0.0571995315</x:v>
      </x:c>
      <x:c r="AK36" s="38" t="n">
        <x:v>0.0219361183</x:v>
      </x:c>
      <x:c r="AL36" s="38" t="n">
        <x:v>0.000686165</x:v>
      </x:c>
      <x:c r="AM36" s="38" t="n">
        <x:v>0.0838743368</x:v>
      </x:c>
      <x:c r="AN36" s="38" t="n">
        <x:v>0.037556475</x:v>
      </x:c>
      <x:c r="AO36" s="38" t="n">
        <x:v>0.0989777443</x:v>
      </x:c>
      <x:c r="AP36" s="38" t="n">
        <x:v>0.0362622246</x:v>
      </x:c>
      <x:c r="AQ36" s="38" t="n">
        <x:v>0.0329699237</x:v>
      </x:c>
      <x:c r="AR36" s="38" t="n">
        <x:v>0.0486047257</x:v>
      </x:c>
      <x:c r="AS36" s="38" t="n">
        <x:v>-0.0030916124</x:v>
      </x:c>
      <x:c r="AT36" s="38" t="n">
        <x:v>-0.0201188763</x:v>
      </x:c>
      <x:c r="AU36" s="38" t="n">
        <x:v>-0.0220767951</x:v>
      </x:c>
      <x:c r="AV36" s="38" t="n">
        <x:v>-0.0212554666</x:v>
      </x:c>
      <x:c r="AW36" s="38" t="n">
        <x:v>-0.0470177105</x:v>
      </x:c>
      <x:c r="AX36" s="38" t="n">
        <x:v>-0.0187244283</x:v>
      </x:c>
      <x:c r="AY36" s="38" t="n">
        <x:v>-0.0337253294</x:v>
      </x:c>
      <x:c r="AZ36" s="38" t="n">
        <x:v>0.0257937923</x:v>
      </x:c>
      <x:c r="BA36" s="38" t="n">
        <x:v>-0.000591877</x:v>
      </x:c>
      <x:c r="BB36" s="38" t="n">
        <x:v>-0.0210116526</x:v>
      </x:c>
      <x:c r="BC36" s="38" t="n">
        <x:v>0.0239389957</x:v>
      </x:c>
      <x:c r="BD36" s="38" t="n">
        <x:v>-0.0101588074</x:v>
      </x:c>
      <x:c r="BE36" s="38" t="n">
        <x:v>-0.0055458894</x:v>
      </x:c>
      <x:c r="BF36" s="38" t="n">
        <x:v>-0.0025553004</x:v>
      </x:c>
      <x:c r="BG36" s="38" t="n">
        <x:v>-0.0069187527</x:v>
      </x:c>
      <x:c r="BH36" s="38" t="n">
        <x:v>-0.0287121805</x:v>
      </x:c>
      <x:c r="BI36" s="38" t="n">
        <x:v>-0.0127111754</x:v>
      </x:c>
      <x:c r="BJ36" s="38" t="n">
        <x:v>-0.0610277362</x:v>
      </x:c>
    </x:row>
    <x:row r="37" ht="19" customHeight="1">
      <x:c r="A37" s="39" t="d">
        <x:v>2023-09-11T00:00:00.000Z</x:v>
      </x:c>
      <x:c r="B37" s="38" t="n">
        <x:v>0.0644861276</x:v>
      </x:c>
      <x:c r="C37" s="38" t="n">
        <x:v>0.010423676</x:v>
      </x:c>
      <x:c r="D37" s="38" t="n">
        <x:v>-0.0111617574</x:v>
      </x:c>
      <x:c r="E37" s="38" t="n">
        <x:v>0.0001180108</x:v>
      </x:c>
      <x:c r="F37" s="38" t="n">
        <x:v>-0.0439999052</x:v>
      </x:c>
      <x:c r="G37" s="38" t="n">
        <x:v>0.0102894602</x:v>
      </x:c>
      <x:c r="H37" s="38" t="n">
        <x:v>0.0200970917</x:v>
      </x:c>
      <x:c r="I37" s="38" t="n">
        <x:v>0.0191003073</x:v>
      </x:c>
      <x:c r="J37" s="38" t="n">
        <x:v>-0.121008743</x:v>
      </x:c>
      <x:c r="K37" s="38" t="n">
        <x:v>0.0206783745</x:v>
      </x:c>
      <x:c r="L37" s="38" t="n">
        <x:v>-0.0084316503</x:v>
      </x:c>
      <x:c r="M37" s="38" t="n">
        <x:v>0.0119604613</x:v>
      </x:c>
      <x:c r="N37" s="38" t="n">
        <x:v>-0.0498860886</x:v>
      </x:c>
      <x:c r="O37" s="38" t="n">
        <x:v>0.0198287298</x:v>
      </x:c>
      <x:c r="P37" s="38" t="n">
        <x:v>0.1324222213</x:v>
      </x:c>
      <x:c r="Q37" s="38" t="n">
        <x:v>-0.3264368781</x:v>
      </x:c>
      <x:c r="R37" s="38" t="n">
        <x:v>0.0148769277</x:v>
      </x:c>
      <x:c r="S37" s="38" t="n">
        <x:v>-0.0509871489</x:v>
      </x:c>
      <x:c r="T37" s="38" t="n">
        <x:v>0.1438724022</x:v>
      </x:c>
      <x:c r="U37" s="38" t="n">
        <x:v>0.030378758</x:v>
      </x:c>
      <x:c r="V37" s="38" t="n">
        <x:v>-0.0173853189</x:v>
      </x:c>
      <x:c r="W37" s="38" t="n">
        <x:v>-0.0193122052</x:v>
      </x:c>
      <x:c r="X37" s="38" t="n">
        <x:v>0.039377992</x:v>
      </x:c>
      <x:c r="Y37" s="38" t="n">
        <x:v>0.0371301805</x:v>
      </x:c>
      <x:c r="Z37" s="38" t="n">
        <x:v>0.0317708976</x:v>
      </x:c>
      <x:c r="AA37" s="38" t="n">
        <x:v>-0.0397840968</x:v>
      </x:c>
      <x:c r="AB37" s="38" t="n">
        <x:v>-0.0557149175</x:v>
      </x:c>
      <x:c r="AC37" s="38" t="n">
        <x:v>0.0231867097</x:v>
      </x:c>
      <x:c r="AD37" s="38" t="n">
        <x:v>0.0140681118</x:v>
      </x:c>
      <x:c r="AE37" s="38" t="n">
        <x:v>-0.0116587032</x:v>
      </x:c>
      <x:c r="AF37" s="38" t="n">
        <x:v>-0.0663593943</x:v>
      </x:c>
      <x:c r="AG37" s="38" t="n">
        <x:v>-0.0116009605</x:v>
      </x:c>
      <x:c r="AH37" s="38" t="n">
        <x:v>-0.0130678398</x:v>
      </x:c>
      <x:c r="AI37" s="38" t="n">
        <x:v>0.0826882304</x:v>
      </x:c>
      <x:c r="AJ37" s="38" t="n">
        <x:v>0.0168321293</x:v>
      </x:c>
      <x:c r="AK37" s="38" t="n">
        <x:v>0.0123445795</x:v>
      </x:c>
      <x:c r="AL37" s="38" t="n">
        <x:v>0.0431157337</x:v>
      </x:c>
      <x:c r="AM37" s="38" t="n">
        <x:v>0.0379695632</x:v>
      </x:c>
      <x:c r="AN37" s="38" t="n">
        <x:v>-0.0228578365</x:v>
      </x:c>
      <x:c r="AO37" s="38" t="n">
        <x:v>-0.0208143807</x:v>
      </x:c>
      <x:c r="AP37" s="38" t="n">
        <x:v>-0.0199531992</x:v>
      </x:c>
      <x:c r="AQ37" s="38" t="n">
        <x:v>-0.0381927891</x:v>
      </x:c>
      <x:c r="AR37" s="38" t="n">
        <x:v>0.0482803995</x:v>
      </x:c>
      <x:c r="AS37" s="38" t="n">
        <x:v>-0.0012002924</x:v>
      </x:c>
      <x:c r="AT37" s="38" t="n">
        <x:v>-0.0032764764</x:v>
      </x:c>
      <x:c r="AU37" s="38" t="n">
        <x:v>-0.0201686581</x:v>
      </x:c>
      <x:c r="AV37" s="38" t="n">
        <x:v>-0.0193310018</x:v>
      </x:c>
      <x:c r="AW37" s="38" t="n">
        <x:v>0.0038512317</x:v>
      </x:c>
      <x:c r="AX37" s="38" t="n">
        <x:v>-0.007990888</x:v>
      </x:c>
      <x:c r="AY37" s="38" t="n">
        <x:v>0.0185475354</x:v>
      </x:c>
      <x:c r="AZ37" s="38" t="n">
        <x:v>0.0205292239</x:v>
      </x:c>
      <x:c r="BA37" s="38" t="n">
        <x:v>0.038461155</x:v>
      </x:c>
      <x:c r="BB37" s="38" t="n">
        <x:v>-0.0215842786</x:v>
      </x:c>
      <x:c r="BC37" s="38" t="n">
        <x:v>0.018405961</x:v>
      </x:c>
      <x:c r="BD37" s="38" t="n">
        <x:v>0.0072714201</x:v>
      </x:c>
      <x:c r="BE37" s="38" t="n">
        <x:v>-0.0198636508</x:v>
      </x:c>
      <x:c r="BF37" s="38" t="n">
        <x:v>-0.0301536688</x:v>
      </x:c>
      <x:c r="BG37" s="38" t="n">
        <x:v>-0.0023277284</x:v>
      </x:c>
      <x:c r="BH37" s="38" t="n">
        <x:v>0.0054756732</x:v>
      </x:c>
      <x:c r="BI37" s="38" t="n">
        <x:v>-0.0034864475</x:v>
      </x:c>
      <x:c r="BJ37" s="38" t="n">
        <x:v>0.0117279486</x:v>
      </x:c>
    </x:row>
    <x:row r="38" ht="19" customHeight="1">
      <x:c r="A38" s="39" t="d">
        <x:v>2023-10-09T00:00:00.000Z</x:v>
      </x:c>
      <x:c r="B38" s="38" t="n">
        <x:v>0.0192748367</x:v>
      </x:c>
      <x:c r="C38" s="38" t="n">
        <x:v>0.1356938518</x:v>
      </x:c>
      <x:c r="D38" s="38" t="n">
        <x:v>0.0103596239</x:v>
      </x:c>
      <x:c r="E38" s="38" t="n">
        <x:v>0.0184046451</x:v>
      </x:c>
      <x:c r="F38" s="38" t="n">
        <x:v>0.0484361429</x:v>
      </x:c>
      <x:c r="G38" s="38" t="n">
        <x:v>-0.0203951674</x:v>
      </x:c>
      <x:c r="H38" s="38" t="n">
        <x:v>-0.0219827283</x:v>
      </x:c>
      <x:c r="I38" s="38" t="n">
        <x:v>-0.0817540316</x:v>
      </x:c>
      <x:c r="J38" s="38" t="n">
        <x:v>0.0941379031</x:v>
      </x:c>
      <x:c r="K38" s="38" t="n">
        <x:v>-0.1081971332</x:v>
      </x:c>
      <x:c r="L38" s="38" t="n">
        <x:v>0.0023004648</x:v>
      </x:c>
      <x:c r="M38" s="38" t="n">
        <x:v>-0.0267180801</x:v>
      </x:c>
      <x:c r="N38" s="38" t="n">
        <x:v>0.0212672333</x:v>
      </x:c>
      <x:c r="O38" s="38" t="n">
        <x:v>0.0780434437</x:v>
      </x:c>
      <x:c r="P38" s="38" t="n">
        <x:v>-0.0786047121</x:v>
      </x:c>
      <x:c r="Q38" s="38" t="n">
        <x:v>-0.0829488266</x:v>
      </x:c>
      <x:c r="R38" s="38" t="n">
        <x:v>0.0613736588</x:v>
      </x:c>
      <x:c r="S38" s="38" t="n">
        <x:v>-0.0216194916</x:v>
      </x:c>
      <x:c r="T38" s="38" t="n">
        <x:v>0.0074355982</x:v>
      </x:c>
      <x:c r="U38" s="38" t="n">
        <x:v>0.0926308115</x:v>
      </x:c>
      <x:c r="V38" s="38" t="n">
        <x:v>-0.069139843</x:v>
      </x:c>
      <x:c r="W38" s="38" t="n">
        <x:v>-0.007324105</x:v>
      </x:c>
      <x:c r="X38" s="38" t="n">
        <x:v>-0.0269201481</x:v>
      </x:c>
      <x:c r="Y38" s="38" t="n">
        <x:v>0.0331792001</x:v>
      </x:c>
      <x:c r="Z38" s="38" t="n">
        <x:v>0.1429801927</x:v>
      </x:c>
      <x:c r="AA38" s="38" t="n">
        <x:v>-0.07198626</x:v>
      </x:c>
      <x:c r="AB38" s="38" t="n">
        <x:v>-0.1018114686</x:v>
      </x:c>
      <x:c r="AC38" s="38" t="n">
        <x:v>0.0148743725</x:v>
      </x:c>
      <x:c r="AD38" s="38" t="n">
        <x:v>0.0552020068</x:v>
      </x:c>
      <x:c r="AE38" s="38" t="n">
        <x:v>-0.0237230815</x:v>
      </x:c>
      <x:c r="AF38" s="38" t="n">
        <x:v>-0.0107164216</x:v>
      </x:c>
      <x:c r="AG38" s="38" t="n">
        <x:v>0.0691865548</x:v>
      </x:c>
      <x:c r="AH38" s="38" t="n">
        <x:v>-0.02078465</x:v>
      </x:c>
      <x:c r="AI38" s="38" t="n">
        <x:v>-0.0149774391</x:v>
      </x:c>
      <x:c r="AJ38" s="38" t="n">
        <x:v>0.0539356393</x:v>
      </x:c>
      <x:c r="AK38" s="38" t="n">
        <x:v>-0.1289378788</x:v>
      </x:c>
      <x:c r="AL38" s="38" t="n">
        <x:v>0.0034332898</x:v>
      </x:c>
      <x:c r="AM38" s="38" t="n">
        <x:v>-0.0480234536</x:v>
      </x:c>
      <x:c r="AN38" s="38" t="n">
        <x:v>0.0636862335</x:v>
      </x:c>
      <x:c r="AO38" s="38" t="n">
        <x:v>-0.0289235532</x:v>
      </x:c>
      <x:c r="AP38" s="38" t="n">
        <x:v>-0.0289608724</x:v>
      </x:c>
      <x:c r="AQ38" s="38" t="n">
        <x:v>-0.0196881443</x:v>
      </x:c>
      <x:c r="AR38" s="38" t="n">
        <x:v>-0.0185467159</x:v>
      </x:c>
      <x:c r="AS38" s="38" t="n">
        <x:v>-0.0566305347</x:v>
      </x:c>
      <x:c r="AT38" s="38" t="n">
        <x:v>-0.0050352341</x:v>
      </x:c>
      <x:c r="AU38" s="38" t="n">
        <x:v>-0.0137687614</x:v>
      </x:c>
      <x:c r="AV38" s="38" t="n">
        <x:v>-0.0146843872</x:v>
      </x:c>
      <x:c r="AW38" s="38" t="n">
        <x:v>-0.0178254497</x:v>
      </x:c>
      <x:c r="AX38" s="38" t="n">
        <x:v>-0.0012014004</x:v>
      </x:c>
      <x:c r="AY38" s="38" t="n">
        <x:v>-0.0266743108</x:v>
      </x:c>
      <x:c r="AZ38" s="38" t="n">
        <x:v>0.0226020638</x:v>
      </x:c>
      <x:c r="BA38" s="38" t="n">
        <x:v>-0.0357109349</x:v>
      </x:c>
      <x:c r="BB38" s="38" t="n">
        <x:v>-0.0580345405</x:v>
      </x:c>
      <x:c r="BC38" s="38" t="n">
        <x:v>-0.0434935362</x:v>
      </x:c>
      <x:c r="BD38" s="38" t="n">
        <x:v>-0.0228997477</x:v>
      </x:c>
      <x:c r="BE38" s="38" t="n">
        <x:v>-0.0005102184</x:v>
      </x:c>
      <x:c r="BF38" s="38" t="n">
        <x:v>-0.0062882736</x:v>
      </x:c>
      <x:c r="BG38" s="38" t="n">
        <x:v>-0.0238719838</x:v>
      </x:c>
      <x:c r="BH38" s="38" t="n">
        <x:v>-0.0328869732</x:v>
      </x:c>
      <x:c r="BI38" s="38" t="n">
        <x:v>0.040137855</x:v>
      </x:c>
      <x:c r="BJ38" s="38" t="n">
        <x:v>-0.0732309423</x:v>
      </x:c>
    </x:row>
    <x:row r="39" ht="19" customHeight="1">
      <x:c r="A39" s="39" t="d">
        <x:v>2023-11-06T00:00:00.000Z</x:v>
      </x:c>
      <x:c r="B39" s="38" t="n">
        <x:v>0.0141671974</x:v>
      </x:c>
      <x:c r="C39" s="38" t="n">
        <x:v>-0.142835557</x:v>
      </x:c>
      <x:c r="D39" s="38" t="n">
        <x:v>0.0260790505</x:v>
      </x:c>
      <x:c r="E39" s="38" t="n">
        <x:v>0.0086852844</x:v>
      </x:c>
      <x:c r="F39" s="38" t="n">
        <x:v>0.0152675086</x:v>
      </x:c>
      <x:c r="G39" s="38" t="n">
        <x:v>0.1339165816</x:v>
      </x:c>
      <x:c r="H39" s="38" t="n">
        <x:v>0.085528158</x:v>
      </x:c>
      <x:c r="I39" s="38" t="n">
        <x:v>0.0465693859</x:v>
      </x:c>
      <x:c r="J39" s="38" t="n">
        <x:v>-0.0925548443</x:v>
      </x:c>
      <x:c r="K39" s="38" t="n">
        <x:v>0.0485986091</x:v>
      </x:c>
      <x:c r="L39" s="38" t="n">
        <x:v>0.0451859405</x:v>
      </x:c>
      <x:c r="M39" s="38" t="n">
        <x:v>-0.0739524613</x:v>
      </x:c>
      <x:c r="N39" s="38" t="n">
        <x:v>0.0461274637</x:v>
      </x:c>
      <x:c r="O39" s="38" t="n">
        <x:v>-0.133587672</x:v>
      </x:c>
      <x:c r="P39" s="38" t="n">
        <x:v>-0.0482650939</x:v>
      </x:c>
      <x:c r="Q39" s="38" t="n">
        <x:v>0.0470581054</x:v>
      </x:c>
      <x:c r="R39" s="38" t="n">
        <x:v>-0.004679227</x:v>
      </x:c>
      <x:c r="S39" s="38" t="n">
        <x:v>0.1133599486</x:v>
      </x:c>
      <x:c r="T39" s="38" t="n">
        <x:v>-0.3623363541</x:v>
      </x:c>
      <x:c r="U39" s="38" t="n">
        <x:v>-0.0202431817</x:v>
      </x:c>
      <x:c r="V39" s="38" t="n">
        <x:v>0.145739237</x:v>
      </x:c>
      <x:c r="W39" s="38" t="n">
        <x:v>-0.0311083651</x:v>
      </x:c>
      <x:c r="X39" s="38" t="n">
        <x:v>-0.0641807734</x:v>
      </x:c>
      <x:c r="Y39" s="38" t="n">
        <x:v>-0.1704553378</x:v>
      </x:c>
      <x:c r="Z39" s="38" t="n">
        <x:v>0.0051706312</x:v>
      </x:c>
      <x:c r="AA39" s="38" t="n">
        <x:v>-0.0290975674</x:v>
      </x:c>
      <x:c r="AB39" s="38" t="n">
        <x:v>-0.1589677834</x:v>
      </x:c>
      <x:c r="AC39" s="38" t="n">
        <x:v>0.005868387</x:v>
      </x:c>
      <x:c r="AD39" s="38" t="n">
        <x:v>-0.2109491444</x:v>
      </x:c>
      <x:c r="AE39" s="38" t="n">
        <x:v>-0.0910374088</x:v>
      </x:c>
      <x:c r="AF39" s="38" t="n">
        <x:v>0.0143728204</x:v>
      </x:c>
      <x:c r="AG39" s="38" t="n">
        <x:v>0.0426890614</x:v>
      </x:c>
      <x:c r="AH39" s="38" t="n">
        <x:v>-0.000872716</x:v>
      </x:c>
      <x:c r="AI39" s="38" t="n">
        <x:v>0.0121569802</x:v>
      </x:c>
      <x:c r="AJ39" s="38" t="n">
        <x:v>-0.0001057691</x:v>
      </x:c>
      <x:c r="AK39" s="38" t="n">
        <x:v>-0.0437607307</x:v>
      </x:c>
      <x:c r="AL39" s="38" t="n">
        <x:v>0.0809147167</x:v>
      </x:c>
      <x:c r="AM39" s="38" t="n">
        <x:v>-0.0228198096</x:v>
      </x:c>
      <x:c r="AN39" s="38" t="n">
        <x:v>-0.0108809548</x:v>
      </x:c>
      <x:c r="AO39" s="38" t="n">
        <x:v>-0.0159592487</x:v>
      </x:c>
      <x:c r="AP39" s="38" t="n">
        <x:v>0.0362294375</x:v>
      </x:c>
      <x:c r="AQ39" s="38" t="n">
        <x:v>-0.0465543193</x:v>
      </x:c>
      <x:c r="AR39" s="38" t="n">
        <x:v>-0.0199969727</x:v>
      </x:c>
      <x:c r="AS39" s="38" t="n">
        <x:v>0.024837379</x:v>
      </x:c>
      <x:c r="AT39" s="38" t="n">
        <x:v>0.0070101872</x:v>
      </x:c>
      <x:c r="AU39" s="38" t="n">
        <x:v>0.016617822</x:v>
      </x:c>
      <x:c r="AV39" s="38" t="n">
        <x:v>0.0187311379</x:v>
      </x:c>
      <x:c r="AW39" s="38" t="n">
        <x:v>0.0070607868</x:v>
      </x:c>
      <x:c r="AX39" s="38" t="n">
        <x:v>-0.0082979315</x:v>
      </x:c>
      <x:c r="AY39" s="38" t="n">
        <x:v>0.0208279786</x:v>
      </x:c>
      <x:c r="AZ39" s="38" t="n">
        <x:v>0.0031854566</x:v>
      </x:c>
      <x:c r="BA39" s="38" t="n">
        <x:v>-0.0020281061</x:v>
      </x:c>
      <x:c r="BB39" s="38" t="n">
        <x:v>0.0221778506</x:v>
      </x:c>
      <x:c r="BC39" s="38" t="n">
        <x:v>-0.0867209869</x:v>
      </x:c>
      <x:c r="BD39" s="38" t="n">
        <x:v>0.0022939942</x:v>
      </x:c>
      <x:c r="BE39" s="38" t="n">
        <x:v>-0.0416021337</x:v>
      </x:c>
      <x:c r="BF39" s="38" t="n">
        <x:v>-0.0129543657</x:v>
      </x:c>
      <x:c r="BG39" s="38" t="n">
        <x:v>-0.0181612844</x:v>
      </x:c>
      <x:c r="BH39" s="38" t="n">
        <x:v>-0.0109020546</x:v>
      </x:c>
      <x:c r="BI39" s="38" t="n">
        <x:v>0.0326962036</x:v>
      </x:c>
      <x:c r="BJ39" s="38" t="n">
        <x:v>0.0059209849</x:v>
      </x:c>
    </x:row>
    <x:row r="40" ht="19" customHeight="1">
      <x:c r="A40" s="39" t="d">
        <x:v>2023-12-04T00:00:00.000Z</x:v>
      </x:c>
      <x:c r="B40" s="38" t="n">
        <x:v>0.0385553477</x:v>
      </x:c>
      <x:c r="C40" s="38" t="n">
        <x:v>0.1378949624</x:v>
      </x:c>
      <x:c r="D40" s="38" t="n">
        <x:v>-0.0513312123</x:v>
      </x:c>
      <x:c r="E40" s="38" t="n">
        <x:v>0.0125006169</x:v>
      </x:c>
      <x:c r="F40" s="38" t="n">
        <x:v>-0.0139559496</x:v>
      </x:c>
      <x:c r="G40" s="38" t="n">
        <x:v>-0.0242909212</x:v>
      </x:c>
      <x:c r="H40" s="38" t="n">
        <x:v>-0.0645074097</x:v>
      </x:c>
      <x:c r="I40" s="38" t="n">
        <x:v>-0.0479312126</x:v>
      </x:c>
      <x:c r="J40" s="38" t="n">
        <x:v>-0.0686586556</x:v>
      </x:c>
      <x:c r="K40" s="38" t="n">
        <x:v>0.0130817402</x:v>
      </x:c>
      <x:c r="L40" s="38" t="n">
        <x:v>-0.0607027755</x:v>
      </x:c>
      <x:c r="M40" s="38" t="n">
        <x:v>-0.0757909368</x:v>
      </x:c>
      <x:c r="N40" s="38" t="n">
        <x:v>-0.061614567</x:v>
      </x:c>
      <x:c r="O40" s="38" t="n">
        <x:v>-0.0985223326</x:v>
      </x:c>
      <x:c r="P40" s="38" t="n">
        <x:v>0.1448919434</x:v>
      </x:c>
      <x:c r="Q40" s="38" t="n">
        <x:v>0.217480787</x:v>
      </x:c>
      <x:c r="R40" s="38" t="n">
        <x:v>-0.0350268284</x:v>
      </x:c>
      <x:c r="S40" s="38" t="n">
        <x:v>0.0705206884</x:v>
      </x:c>
      <x:c r="T40" s="38" t="n">
        <x:v>0.088490785</x:v>
      </x:c>
      <x:c r="U40" s="38" t="n">
        <x:v>-0.0212702861</x:v>
      </x:c>
      <x:c r="V40" s="38" t="n">
        <x:v>-0.0167761232</x:v>
      </x:c>
      <x:c r="W40" s="38" t="n">
        <x:v>-0.0166606803</x:v>
      </x:c>
      <x:c r="X40" s="38" t="n">
        <x:v>-0.1016571732</x:v>
      </x:c>
      <x:c r="Y40" s="38" t="n">
        <x:v>-0.0041773672</x:v>
      </x:c>
      <x:c r="Z40" s="38" t="n">
        <x:v>-0.0380796087</x:v>
      </x:c>
      <x:c r="AA40" s="38" t="n">
        <x:v>-0.0403232665</x:v>
      </x:c>
      <x:c r="AB40" s="38" t="n">
        <x:v>0.3587194594</x:v>
      </x:c>
      <x:c r="AC40" s="38" t="n">
        <x:v>-0.074304666</x:v>
      </x:c>
      <x:c r="AD40" s="38" t="n">
        <x:v>-0.0042138246</x:v>
      </x:c>
      <x:c r="AE40" s="38" t="n">
        <x:v>-0.01059839</x:v>
      </x:c>
      <x:c r="AF40" s="38" t="n">
        <x:v>0.1422375624</x:v>
      </x:c>
      <x:c r="AG40" s="38" t="n">
        <x:v>0.0436706206</x:v>
      </x:c>
      <x:c r="AH40" s="38" t="n">
        <x:v>-0.0075311163</x:v>
      </x:c>
      <x:c r="AI40" s="38" t="n">
        <x:v>-0.0339017246</x:v>
      </x:c>
      <x:c r="AJ40" s="38" t="n">
        <x:v>-0.1000011213</x:v>
      </x:c>
      <x:c r="AK40" s="38" t="n">
        <x:v>-0.0971520364</x:v>
      </x:c>
      <x:c r="AL40" s="38" t="n">
        <x:v>-0.0361238413</x:v>
      </x:c>
      <x:c r="AM40" s="38" t="n">
        <x:v>-0.0626859971</x:v>
      </x:c>
      <x:c r="AN40" s="38" t="n">
        <x:v>-0.0110723318</x:v>
      </x:c>
      <x:c r="AO40" s="38" t="n">
        <x:v>0.0339605647</x:v>
      </x:c>
      <x:c r="AP40" s="38" t="n">
        <x:v>0.007095994</x:v>
      </x:c>
      <x:c r="AQ40" s="38" t="n">
        <x:v>0.0077441269</x:v>
      </x:c>
      <x:c r="AR40" s="38" t="n">
        <x:v>-0.0265876525</x:v>
      </x:c>
      <x:c r="AS40" s="38" t="n">
        <x:v>0.0172403637</x:v>
      </x:c>
      <x:c r="AT40" s="38" t="n">
        <x:v>0.0148989999</x:v>
      </x:c>
      <x:c r="AU40" s="38" t="n">
        <x:v>0.0075915798</x:v>
      </x:c>
      <x:c r="AV40" s="38" t="n">
        <x:v>0.0055406637</x:v>
      </x:c>
      <x:c r="AW40" s="38" t="n">
        <x:v>0.0363346623</x:v>
      </x:c>
      <x:c r="AX40" s="38" t="n">
        <x:v>0.0121185085</x:v>
      </x:c>
      <x:c r="AY40" s="38" t="n">
        <x:v>0.0439819057</x:v>
      </x:c>
      <x:c r="AZ40" s="38" t="n">
        <x:v>-0.0095976166</x:v>
      </x:c>
      <x:c r="BA40" s="38" t="n">
        <x:v>0.0268707044</x:v>
      </x:c>
      <x:c r="BB40" s="38" t="n">
        <x:v>-0.0022037125</x:v>
      </x:c>
      <x:c r="BC40" s="38" t="n">
        <x:v>-0.0254590362</x:v>
      </x:c>
      <x:c r="BD40" s="38" t="n">
        <x:v>0.0270764833</x:v>
      </x:c>
      <x:c r="BE40" s="38" t="n">
        <x:v>0.0237647514</x:v>
      </x:c>
      <x:c r="BF40" s="38" t="n">
        <x:v>0.0203682309</x:v>
      </x:c>
      <x:c r="BG40" s="38" t="n">
        <x:v>0.0258344885</x:v>
      </x:c>
      <x:c r="BH40" s="38" t="n">
        <x:v>0.0667026062</x:v>
      </x:c>
      <x:c r="BI40" s="38" t="n">
        <x:v>-0.0240368774</x:v>
      </x:c>
      <x:c r="BJ40" s="38" t="n">
        <x:v>0.0300608375</x:v>
      </x:c>
    </x:row>
    <x:row r="41" ht="19" customHeight="1">
      <x:c r="A41" s="39" t="d">
        <x:v>2024-01-01T00:00:00.000Z</x:v>
      </x:c>
      <x:c r="B41" s="38" t="n">
        <x:v>0.0585820761</x:v>
      </x:c>
      <x:c r="C41" s="38" t="n">
        <x:v>-0.0401986844</x:v>
      </x:c>
      <x:c r="D41" s="38" t="n">
        <x:v>0.0110175393</x:v>
      </x:c>
      <x:c r="E41" s="38" t="n">
        <x:v>-0.0141311725</x:v>
      </x:c>
      <x:c r="F41" s="38" t="n">
        <x:v>-0.0246821226</x:v>
      </x:c>
      <x:c r="G41" s="38" t="n">
        <x:v>-0.0193496583</x:v>
      </x:c>
      <x:c r="H41" s="38" t="n">
        <x:v>-0.0028936539</x:v>
      </x:c>
      <x:c r="I41" s="38" t="n">
        <x:v>-0.0366840356</x:v>
      </x:c>
      <x:c r="J41" s="38" t="n">
        <x:v>0.006993751</x:v>
      </x:c>
      <x:c r="K41" s="38" t="n">
        <x:v>-0.0060426228</x:v>
      </x:c>
      <x:c r="L41" s="38" t="n">
        <x:v>0.0061650935</x:v>
      </x:c>
      <x:c r="M41" s="38" t="n">
        <x:v>-0.0452531442</x:v>
      </x:c>
      <x:c r="N41" s="38" t="n">
        <x:v>0.090854075</x:v>
      </x:c>
      <x:c r="O41" s="38" t="n">
        <x:v>0.0425935545</x:v>
      </x:c>
      <x:c r="P41" s="38" t="n">
        <x:v>0.1501424535</x:v>
      </x:c>
      <x:c r="Q41" s="38" t="n">
        <x:v>0.178262336</x:v>
      </x:c>
      <x:c r="R41" s="38" t="n">
        <x:v>-0.0536840173</x:v>
      </x:c>
      <x:c r="S41" s="38" t="n">
        <x:v>0.0030191712</x:v>
      </x:c>
      <x:c r="T41" s="38" t="n">
        <x:v>0.2413505026</x:v>
      </x:c>
      <x:c r="U41" s="38" t="n">
        <x:v>0.011130238</x:v>
      </x:c>
      <x:c r="V41" s="38" t="n">
        <x:v>0.0265029269</x:v>
      </x:c>
      <x:c r="W41" s="38" t="n">
        <x:v>-0.0023499322</x:v>
      </x:c>
      <x:c r="X41" s="38" t="n">
        <x:v>0.0815892761</x:v>
      </x:c>
      <x:c r="Y41" s="38" t="n">
        <x:v>-0.0511075344</x:v>
      </x:c>
      <x:c r="Z41" s="38" t="n">
        <x:v>-0.0363123613</x:v>
      </x:c>
      <x:c r="AA41" s="38" t="n">
        <x:v>-0.1369749442</x:v>
      </x:c>
      <x:c r="AB41" s="38" t="n">
        <x:v>-0.1321922113</x:v>
      </x:c>
      <x:c r="AC41" s="38" t="n">
        <x:v>-0.0044449148</x:v>
      </x:c>
      <x:c r="AD41" s="38" t="n">
        <x:v>0.0195209138</x:v>
      </x:c>
      <x:c r="AE41" s="38" t="n">
        <x:v>0.0668493435</x:v>
      </x:c>
      <x:c r="AF41" s="38" t="n">
        <x:v>-0.0398542507</x:v>
      </x:c>
      <x:c r="AG41" s="38" t="n">
        <x:v>-0.0087127256</x:v>
      </x:c>
      <x:c r="AH41" s="38" t="n">
        <x:v>0.1176812556</x:v>
      </x:c>
      <x:c r="AI41" s="38" t="n">
        <x:v>-0.0617197549</x:v>
      </x:c>
      <x:c r="AJ41" s="38" t="n">
        <x:v>-0.097936435</x:v>
      </x:c>
      <x:c r="AK41" s="38" t="n">
        <x:v>0.1031340233</x:v>
      </x:c>
      <x:c r="AL41" s="38" t="n">
        <x:v>-0.0261310766</x:v>
      </x:c>
      <x:c r="AM41" s="38" t="n">
        <x:v>-0.0018459437</x:v>
      </x:c>
      <x:c r="AN41" s="38" t="n">
        <x:v>0.075695248</x:v>
      </x:c>
      <x:c r="AO41" s="38" t="n">
        <x:v>0.0348116933</x:v>
      </x:c>
      <x:c r="AP41" s="38" t="n">
        <x:v>-0.0214718816</x:v>
      </x:c>
      <x:c r="AQ41" s="38" t="n">
        <x:v>-0.0286135614</x:v>
      </x:c>
      <x:c r="AR41" s="38" t="n">
        <x:v>-0.0132719244</x:v>
      </x:c>
      <x:c r="AS41" s="38" t="n">
        <x:v>0.0280848655</x:v>
      </x:c>
      <x:c r="AT41" s="38" t="n">
        <x:v>0.0079094672</x:v>
      </x:c>
      <x:c r="AU41" s="38" t="n">
        <x:v>0.0165215582</x:v>
      </x:c>
      <x:c r="AV41" s="38" t="n">
        <x:v>0.0171575387</x:v>
      </x:c>
      <x:c r="AW41" s="38" t="n">
        <x:v>0.0172866988</x:v>
      </x:c>
      <x:c r="AX41" s="38" t="n">
        <x:v>0.0230624665</x:v>
      </x:c>
      <x:c r="AY41" s="38" t="n">
        <x:v>0.021207956</x:v>
      </x:c>
      <x:c r="AZ41" s="38" t="n">
        <x:v>0.0072029883</x:v>
      </x:c>
      <x:c r="BA41" s="38" t="n">
        <x:v>-0.0191468077</x:v>
      </x:c>
      <x:c r="BB41" s="38" t="n">
        <x:v>0.0254625413</x:v>
      </x:c>
      <x:c r="BC41" s="38" t="n">
        <x:v>0.0245130835</x:v>
      </x:c>
      <x:c r="BD41" s="38" t="n">
        <x:v>0.0312359611</x:v>
      </x:c>
      <x:c r="BE41" s="38" t="n">
        <x:v>0.0466104382</x:v>
      </x:c>
      <x:c r="BF41" s="38" t="n">
        <x:v>0.0074878052</x:v>
      </x:c>
      <x:c r="BG41" s="38" t="n">
        <x:v>0.0220189969</x:v>
      </x:c>
      <x:c r="BH41" s="38" t="n">
        <x:v>0.0351161041</x:v>
      </x:c>
      <x:c r="BI41" s="38" t="n">
        <x:v>-0.042033632</x:v>
      </x:c>
      <x:c r="BJ41" s="38" t="n">
        <x:v>0.0163341123</x:v>
      </x:c>
    </x:row>
    <x:row r="42" ht="19" customHeight="1">
      <x:c r="A42" s="39" t="d">
        <x:v>2024-01-29T00:00:00.000Z</x:v>
      </x:c>
      <x:c r="B42" s="38" t="n">
        <x:v>0.0876420523</x:v>
      </x:c>
      <x:c r="C42" s="38" t="n">
        <x:v>0.0673743242</x:v>
      </x:c>
      <x:c r="D42" s="38" t="n">
        <x:v>0.0227438115</x:v>
      </x:c>
      <x:c r="E42" s="38" t="n">
        <x:v>0.0067862945</x:v>
      </x:c>
      <x:c r="F42" s="38" t="n">
        <x:v>0.0459442185</x:v>
      </x:c>
      <x:c r="G42" s="38" t="n">
        <x:v>0.1213404604</x:v>
      </x:c>
      <x:c r="H42" s="38" t="n">
        <x:v>0.1059370425</x:v>
      </x:c>
      <x:c r="I42" s="38" t="n">
        <x:v>0.0973429017</x:v>
      </x:c>
      <x:c r="J42" s="38" t="n">
        <x:v>-0.0039611148</x:v>
      </x:c>
      <x:c r="K42" s="38" t="n">
        <x:v>0.0791455051</x:v>
      </x:c>
      <x:c r="L42" s="38" t="n">
        <x:v>0.0193131203</x:v>
      </x:c>
      <x:c r="M42" s="38" t="n">
        <x:v>-0.0301036882</x:v>
      </x:c>
      <x:c r="N42" s="38" t="n">
        <x:v>-0.0317606827</x:v>
      </x:c>
      <x:c r="O42" s="38" t="n">
        <x:v>0.0745983596</x:v>
      </x:c>
      <x:c r="P42" s="38" t="n">
        <x:v>0.0667976039</x:v>
      </x:c>
      <x:c r="Q42" s="38" t="n">
        <x:v>-0.0987407671</x:v>
      </x:c>
      <x:c r="R42" s="38" t="n">
        <x:v>0.0507765285</x:v>
      </x:c>
      <x:c r="S42" s="38" t="n">
        <x:v>0.063251466</x:v>
      </x:c>
      <x:c r="T42" s="38" t="n">
        <x:v>-0.0832998649</x:v>
      </x:c>
      <x:c r="U42" s="38" t="n">
        <x:v>0.0670530005</x:v>
      </x:c>
      <x:c r="V42" s="38" t="n">
        <x:v>0.1507157864</x:v>
      </x:c>
      <x:c r="W42" s="38" t="n">
        <x:v>0.0346520783</x:v>
      </x:c>
      <x:c r="X42" s="38" t="n">
        <x:v>-0.1030900931</x:v>
      </x:c>
      <x:c r="Y42" s="38" t="n">
        <x:v>-0.0749315877</x:v>
      </x:c>
      <x:c r="Z42" s="38" t="n">
        <x:v>0.1155541328</x:v>
      </x:c>
      <x:c r="AA42" s="38" t="n">
        <x:v>0.0330360165</x:v>
      </x:c>
      <x:c r="AB42" s="38" t="n">
        <x:v>-0.0079434919</x:v>
      </x:c>
      <x:c r="AC42" s="38" t="n">
        <x:v>0.0727068385</x:v>
      </x:c>
      <x:c r="AD42" s="38" t="n">
        <x:v>0.0439789529</x:v>
      </x:c>
      <x:c r="AE42" s="38" t="n">
        <x:v>-0.1846614778</x:v>
      </x:c>
      <x:c r="AF42" s="38" t="n">
        <x:v>-0.1516896748</x:v>
      </x:c>
      <x:c r="AG42" s="38" t="n">
        <x:v>0.0769697644</x:v>
      </x:c>
      <x:c r="AH42" s="38" t="n">
        <x:v>0.1272340362</x:v>
      </x:c>
      <x:c r="AI42" s="38" t="n">
        <x:v>-0.0170483629</x:v>
      </x:c>
      <x:c r="AJ42" s="38" t="n">
        <x:v>-0.0033670435</x:v>
      </x:c>
      <x:c r="AK42" s="38" t="n">
        <x:v>-0.0276084366</x:v>
      </x:c>
      <x:c r="AL42" s="38" t="n">
        <x:v>0.0657075124</x:v>
      </x:c>
      <x:c r="AM42" s="38" t="n">
        <x:v>-0.0473783979</x:v>
      </x:c>
      <x:c r="AN42" s="38" t="n">
        <x:v>0.0766879132</x:v>
      </x:c>
      <x:c r="AO42" s="38" t="n">
        <x:v>0.0669867393</x:v>
      </x:c>
      <x:c r="AP42" s="38" t="n">
        <x:v>0.0331626521</x:v>
      </x:c>
      <x:c r="AQ42" s="38" t="n">
        <x:v>-0.0207080088</x:v>
      </x:c>
      <x:c r="AR42" s="38" t="n">
        <x:v>0.0606180066</x:v>
      </x:c>
      <x:c r="AS42" s="38" t="n">
        <x:v>-0.0153879192</x:v>
      </x:c>
      <x:c r="AT42" s="38" t="n">
        <x:v>-0.0104239618</x:v>
      </x:c>
      <x:c r="AU42" s="38" t="n">
        <x:v>-0.0141853867</x:v>
      </x:c>
      <x:c r="AV42" s="38" t="n">
        <x:v>-0.0141464705</x:v>
      </x:c>
      <x:c r="AW42" s="38" t="n">
        <x:v>-0.0206246909</x:v>
      </x:c>
      <x:c r="AX42" s="38" t="n">
        <x:v>-0.0138591136</x:v>
      </x:c>
      <x:c r="AY42" s="38" t="n">
        <x:v>0.0571428617</x:v>
      </x:c>
      <x:c r="AZ42" s="38" t="n">
        <x:v>0.054570196</x:v>
      </x:c>
      <x:c r="BA42" s="38" t="n">
        <x:v>-0.0319703395</x:v>
      </x:c>
      <x:c r="BB42" s="38" t="n">
        <x:v>0.0064800107</x:v>
      </x:c>
      <x:c r="BC42" s="38" t="n">
        <x:v>-0.022889479</x:v>
      </x:c>
      <x:c r="BD42" s="38" t="n">
        <x:v>-0.0142307994</x:v>
      </x:c>
      <x:c r="BE42" s="38" t="n">
        <x:v>-0.0063830183</x:v>
      </x:c>
      <x:c r="BF42" s="38" t="n">
        <x:v>-0.014369745</x:v>
      </x:c>
      <x:c r="BG42" s="38" t="n">
        <x:v>-0.0577490819</x:v>
      </x:c>
      <x:c r="BH42" s="38" t="n">
        <x:v>-0.0687423095</x:v>
      </x:c>
      <x:c r="BI42" s="38" t="n">
        <x:v>0.014948248</x:v>
      </x:c>
      <x:c r="BJ42" s="38" t="n">
        <x:v>-0.075959519</x:v>
      </x:c>
    </x:row>
    <x:row r="43" ht="19" customHeight="1">
      <x:c r="A43" s="39" t="d">
        <x:v>2024-02-26T00:00:00.000Z</x:v>
      </x:c>
      <x:c r="B43" s="38" t="n">
        <x:v>0.1695338599</x:v>
      </x:c>
      <x:c r="C43" s="38" t="n">
        <x:v>0.1086523336</x:v>
      </x:c>
      <x:c r="D43" s="38" t="n">
        <x:v>0.1023440247</x:v>
      </x:c>
      <x:c r="E43" s="38" t="n">
        <x:v>0.0002523417</x:v>
      </x:c>
      <x:c r="F43" s="38" t="n">
        <x:v>0.1353679228</x:v>
      </x:c>
      <x:c r="G43" s="38" t="n">
        <x:v>0.0871360152</x:v>
      </x:c>
      <x:c r="H43" s="38" t="n">
        <x:v>-0.0002394281</x:v>
      </x:c>
      <x:c r="I43" s="38" t="n">
        <x:v>0.2375215825</x:v>
      </x:c>
      <x:c r="J43" s="38" t="n">
        <x:v>0.0925678671</x:v>
      </x:c>
      <x:c r="K43" s="38" t="n">
        <x:v>-0.0247403768</x:v>
      </x:c>
      <x:c r="L43" s="38" t="n">
        <x:v>0.0477872106</x:v>
      </x:c>
      <x:c r="M43" s="38" t="n">
        <x:v>0.0393122734</x:v>
      </x:c>
      <x:c r="N43" s="38" t="n">
        <x:v>-0.0735970297</x:v>
      </x:c>
      <x:c r="O43" s="38" t="n">
        <x:v>0.0676344009</x:v>
      </x:c>
      <x:c r="P43" s="38" t="n">
        <x:v>0.0655478781</x:v>
      </x:c>
      <x:c r="Q43" s="38" t="n">
        <x:v>0.0156267533</x:v>
      </x:c>
      <x:c r="R43" s="38" t="n">
        <x:v>0.0497482336</x:v>
      </x:c>
      <x:c r="S43" s="38" t="n">
        <x:v>0.0872118377</x:v>
      </x:c>
      <x:c r="T43" s="38" t="n">
        <x:v>-0.0431305708</x:v>
      </x:c>
      <x:c r="U43" s="38" t="n">
        <x:v>0.1245229744</x:v>
      </x:c>
      <x:c r="V43" s="38" t="n">
        <x:v>0.1150760575</x:v>
      </x:c>
      <x:c r="W43" s="38" t="n">
        <x:v>-0.0316789154</x:v>
      </x:c>
      <x:c r="X43" s="38" t="n">
        <x:v>0.0915946066</x:v>
      </x:c>
      <x:c r="Y43" s="38" t="n">
        <x:v>-0.0626695107</x:v>
      </x:c>
      <x:c r="Z43" s="38" t="n">
        <x:v>0.0324780339</x:v>
      </x:c>
      <x:c r="AA43" s="38" t="n">
        <x:v>-0.0484487976</x:v>
      </x:c>
      <x:c r="AB43" s="38" t="n">
        <x:v>-0.3366386364</x:v>
      </x:c>
      <x:c r="AC43" s="38" t="n">
        <x:v>0.0030175197</x:v>
      </x:c>
      <x:c r="AD43" s="38" t="n">
        <x:v>0.0346711488</x:v>
      </x:c>
      <x:c r="AE43" s="38" t="n">
        <x:v>-0.0776934274</x:v>
      </x:c>
      <x:c r="AF43" s="38" t="n">
        <x:v>-0.0697193086</x:v>
      </x:c>
      <x:c r="AG43" s="38" t="n">
        <x:v>0.0967237842</x:v>
      </x:c>
      <x:c r="AH43" s="38" t="n">
        <x:v>0.0609200153</x:v>
      </x:c>
      <x:c r="AI43" s="38" t="n">
        <x:v>0.1126041687</x:v>
      </x:c>
      <x:c r="AJ43" s="38" t="n">
        <x:v>0.0579808287</x:v>
      </x:c>
      <x:c r="AK43" s="38" t="n">
        <x:v>-0.035310032</x:v>
      </x:c>
      <x:c r="AL43" s="38" t="n">
        <x:v>-0.0210836543</x:v>
      </x:c>
      <x:c r="AM43" s="38" t="n">
        <x:v>-0.0760206099</x:v>
      </x:c>
      <x:c r="AN43" s="38" t="n">
        <x:v>0.0536540221</x:v>
      </x:c>
      <x:c r="AO43" s="38" t="n">
        <x:v>0.0468994705</x:v>
      </x:c>
      <x:c r="AP43" s="38" t="n">
        <x:v>-0.027845247</x:v>
      </x:c>
      <x:c r="AQ43" s="38" t="n">
        <x:v>0.0273550149</x:v>
      </x:c>
      <x:c r="AR43" s="38" t="n">
        <x:v>0.0272347192</x:v>
      </x:c>
      <x:c r="AS43" s="38" t="n">
        <x:v>0.0071475905</x:v>
      </x:c>
      <x:c r="AT43" s="38" t="n">
        <x:v>-0.0005493575</x:v>
      </x:c>
      <x:c r="AU43" s="38" t="n">
        <x:v>0.004957841</x:v>
      </x:c>
      <x:c r="AV43" s="38" t="n">
        <x:v>0.0042265038</x:v>
      </x:c>
      <x:c r="AW43" s="38" t="n">
        <x:v>-0.0123435534</x:v>
      </x:c>
      <x:c r="AX43" s="38" t="n">
        <x:v>-0.0069563753</x:v>
      </x:c>
      <x:c r="AY43" s="38" t="n">
        <x:v>0.038750554</x:v>
      </x:c>
      <x:c r="AZ43" s="38" t="n">
        <x:v>-0.0303093071</x:v>
      </x:c>
      <x:c r="BA43" s="38" t="n">
        <x:v>0.0065813535</x:v>
      </x:c>
      <x:c r="BB43" s="38" t="n">
        <x:v>-0.0126907804</x:v>
      </x:c>
      <x:c r="BC43" s="38" t="n">
        <x:v>0.0327017701</x:v>
      </x:c>
      <x:c r="BD43" s="38" t="n">
        <x:v>0.0020141144</x:v>
      </x:c>
      <x:c r="BE43" s="38" t="n">
        <x:v>0.0125625297</x:v>
      </x:c>
      <x:c r="BF43" s="38" t="n">
        <x:v>0.0164840579</x:v>
      </x:c>
      <x:c r="BG43" s="38" t="n">
        <x:v>0.0318645286</x:v>
      </x:c>
      <x:c r="BH43" s="38" t="n">
        <x:v>0.0061132964</x:v>
      </x:c>
      <x:c r="BI43" s="38" t="n">
        <x:v>-0.0123144429</x:v>
      </x:c>
      <x:c r="BJ43" s="38" t="n">
        <x:v>-0.0143950162</x:v>
      </x:c>
    </x:row>
    <x:row r="44" ht="19" customHeight="1">
      <x:c r="A44" s="39" t="d">
        <x:v>2024-03-25T00:00:00.000Z</x:v>
      </x:c>
      <x:c r="B44" s="38" t="n">
        <x:v>0.1580536373</x:v>
      </x:c>
      <x:c r="C44" s="38" t="n">
        <x:v>-0.0032672844</x:v>
      </x:c>
      <x:c r="D44" s="38" t="n">
        <x:v>-0.0403258418</x:v>
      </x:c>
      <x:c r="E44" s="38" t="n">
        <x:v>-0.0237336409</x:v>
      </x:c>
      <x:c r="F44" s="38" t="n">
        <x:v>0.1077703149</x:v>
      </x:c>
      <x:c r="G44" s="38" t="n">
        <x:v>0.1117732879</x:v>
      </x:c>
      <x:c r="H44" s="38" t="n">
        <x:v>0.0575860705</x:v>
      </x:c>
      <x:c r="I44" s="38" t="n">
        <x:v>-0.0827871101</x:v>
      </x:c>
      <x:c r="J44" s="38" t="n">
        <x:v>-0.042965872</x:v>
      </x:c>
      <x:c r="K44" s="38" t="n">
        <x:v>0.0647554897</x:v>
      </x:c>
      <x:c r="L44" s="38" t="n">
        <x:v>-0.0350124459</x:v>
      </x:c>
      <x:c r="M44" s="38" t="n">
        <x:v>0.0007993165</x:v>
      </x:c>
      <x:c r="N44" s="38" t="n">
        <x:v>0.0054562097</x:v>
      </x:c>
      <x:c r="O44" s="38" t="n">
        <x:v>0.0111167778</x:v>
      </x:c>
      <x:c r="P44" s="38" t="n">
        <x:v>-0.0193503748</x:v>
      </x:c>
      <x:c r="Q44" s="38" t="n">
        <x:v>0.0000682356</x:v>
      </x:c>
      <x:c r="R44" s="38" t="n">
        <x:v>-0.0280471616</x:v>
      </x:c>
      <x:c r="S44" s="38" t="n">
        <x:v>-0.0520568474</x:v>
      </x:c>
      <x:c r="T44" s="38" t="n">
        <x:v>0.0583312758</x:v>
      </x:c>
      <x:c r="U44" s="38" t="n">
        <x:v>0.0004325824</x:v>
      </x:c>
      <x:c r="V44" s="38" t="n">
        <x:v>-0.0275551832</x:v>
      </x:c>
      <x:c r="W44" s="38" t="n">
        <x:v>-0.0021196689</x:v>
      </x:c>
      <x:c r="X44" s="38" t="n">
        <x:v>0.1628723611</x:v>
      </x:c>
      <x:c r="Y44" s="38" t="n">
        <x:v>0.0858002269</x:v>
      </x:c>
      <x:c r="Z44" s="38" t="n">
        <x:v>0.070568473</x:v>
      </x:c>
      <x:c r="AA44" s="38" t="n">
        <x:v>-0.064650145</x:v>
      </x:c>
      <x:c r="AB44" s="38" t="n">
        <x:v>0.0195063049</x:v>
      </x:c>
      <x:c r="AC44" s="38" t="n">
        <x:v>0.0016222275</x:v>
      </x:c>
      <x:c r="AD44" s="38" t="n">
        <x:v>0.0339491039</x:v>
      </x:c>
      <x:c r="AE44" s="38" t="n">
        <x:v>0.0997957767</x:v>
      </x:c>
      <x:c r="AF44" s="38" t="n">
        <x:v>-0.0700842325</x:v>
      </x:c>
      <x:c r="AG44" s="38" t="n">
        <x:v>-0.0498757801</x:v>
      </x:c>
      <x:c r="AH44" s="38" t="n">
        <x:v>-0.0397601884</x:v>
      </x:c>
      <x:c r="AI44" s="38" t="n">
        <x:v>-0.0203509525</x:v>
      </x:c>
      <x:c r="AJ44" s="38" t="n">
        <x:v>-0.0323590615</x:v>
      </x:c>
      <x:c r="AK44" s="38" t="n">
        <x:v>0.0059461284</x:v>
      </x:c>
      <x:c r="AL44" s="38" t="n">
        <x:v>0.0366720617</x:v>
      </x:c>
      <x:c r="AM44" s="38" t="n">
        <x:v>0.0968019906</x:v>
      </x:c>
      <x:c r="AN44" s="38" t="n">
        <x:v>-0.0262028718</x:v>
      </x:c>
      <x:c r="AO44" s="38" t="n">
        <x:v>0.012137459</x:v>
      </x:c>
      <x:c r="AP44" s="38" t="n">
        <x:v>0.0192325081</x:v>
      </x:c>
      <x:c r="AQ44" s="38" t="n">
        <x:v>-0.0401377995</x:v>
      </x:c>
      <x:c r="AR44" s="38" t="n">
        <x:v>0.0014805893</x:v>
      </x:c>
      <x:c r="AS44" s="38" t="n">
        <x:v>0.0290061683</x:v>
      </x:c>
      <x:c r="AT44" s="38" t="n">
        <x:v>-0.0034162939</x:v>
      </x:c>
      <x:c r="AU44" s="38" t="n">
        <x:v>-0.0053069</x:v>
      </x:c>
      <x:c r="AV44" s="38" t="n">
        <x:v>-0.0049799988</x:v>
      </x:c>
      <x:c r="AW44" s="38" t="n">
        <x:v>0.0032213102</x:v>
      </x:c>
      <x:c r="AX44" s="38" t="n">
        <x:v>-0.0065204629</x:v>
      </x:c>
      <x:c r="AY44" s="38" t="n">
        <x:v>0.0244260573</x:v>
      </x:c>
      <x:c r="AZ44" s="38" t="n">
        <x:v>0.0038518058</x:v>
      </x:c>
      <x:c r="BA44" s="38" t="n">
        <x:v>-0.0256132043</x:v>
      </x:c>
      <x:c r="BB44" s="38" t="n">
        <x:v>0.0237960815</x:v>
      </x:c>
      <x:c r="BC44" s="38" t="n">
        <x:v>0.0795463464</x:v>
      </x:c>
      <x:c r="BD44" s="38" t="n">
        <x:v>0.0301549393</x:v>
      </x:c>
      <x:c r="BE44" s="38" t="n">
        <x:v>0.0012097567</x:v>
      </x:c>
      <x:c r="BF44" s="38" t="n">
        <x:v>0.0177919999</x:v>
      </x:c>
      <x:c r="BG44" s="38" t="n">
        <x:v>0.0448712856</x:v>
      </x:c>
      <x:c r="BH44" s="38" t="n">
        <x:v>-0.0083494913</x:v>
      </x:c>
      <x:c r="BI44" s="38" t="n">
        <x:v>-0.0458872785</x:v>
      </x:c>
      <x:c r="BJ44" s="38" t="n">
        <x:v>0.0622983489</x:v>
      </x:c>
    </x:row>
    <x:row r="45" ht="19" customHeight="1">
      <x:c r="A45" s="39" t="d">
        <x:v>2024-04-22T00:00:00.000Z</x:v>
      </x:c>
      <x:c r="B45" s="38" t="n">
        <x:v>-0.0242718595</x:v>
      </x:c>
      <x:c r="C45" s="38" t="n">
        <x:v>-0.0238215369</x:v>
      </x:c>
      <x:c r="D45" s="38" t="n">
        <x:v>0.0004695301</x:v>
      </x:c>
      <x:c r="E45" s="38" t="n">
        <x:v>-0.0087099508</x:v>
      </x:c>
      <x:c r="F45" s="38" t="n">
        <x:v>-0.0099475549</x:v>
      </x:c>
      <x:c r="G45" s="38" t="n">
        <x:v>0.1251352116</x:v>
      </x:c>
      <x:c r="H45" s="38" t="n">
        <x:v>0.034069975</x:v>
      </x:c>
      <x:c r="I45" s="38" t="n">
        <x:v>-0.0260515899</x:v>
      </x:c>
      <x:c r="J45" s="38" t="n">
        <x:v>0.0013026132</x:v>
      </x:c>
      <x:c r="K45" s="38" t="n">
        <x:v>-0.0511374684</x:v>
      </x:c>
      <x:c r="L45" s="38" t="n">
        <x:v>-0.0888772489</x:v>
      </x:c>
      <x:c r="M45" s="38" t="n">
        <x:v>-0.0487820954</x:v>
      </x:c>
      <x:c r="N45" s="38" t="n">
        <x:v>0.0328731434</x:v>
      </x:c>
      <x:c r="O45" s="38" t="n">
        <x:v>0.1074202126</x:v>
      </x:c>
      <x:c r="P45" s="38" t="n">
        <x:v>-0.0905978593</x:v>
      </x:c>
      <x:c r="Q45" s="38" t="n">
        <x:v>-0.0924073874</x:v>
      </x:c>
      <x:c r="R45" s="38" t="n">
        <x:v>-0.0158398956</x:v>
      </x:c>
      <x:c r="S45" s="38" t="n">
        <x:v>-0.0888263215</x:v>
      </x:c>
      <x:c r="T45" s="38" t="n">
        <x:v>0.1569649736</x:v>
      </x:c>
      <x:c r="U45" s="38" t="n">
        <x:v>0.0778601158</x:v>
      </x:c>
      <x:c r="V45" s="38" t="n">
        <x:v>-0.0643341302</x:v>
      </x:c>
      <x:c r="W45" s="38" t="n">
        <x:v>-0.0810543346</x:v>
      </x:c>
      <x:c r="X45" s="38" t="n">
        <x:v>0.0236851712</x:v>
      </x:c>
      <x:c r="Y45" s="38" t="n">
        <x:v>0.1715933039</x:v>
      </x:c>
      <x:c r="Z45" s="38" t="n">
        <x:v>0.0179746918</x:v>
      </x:c>
      <x:c r="AA45" s="38" t="n">
        <x:v>0.603131618</x:v>
      </x:c>
      <x:c r="AB45" s="38" t="n">
        <x:v>-0.0585303105</x:v>
      </x:c>
      <x:c r="AC45" s="38" t="n">
        <x:v>0.0317639344</x:v>
      </x:c>
      <x:c r="AD45" s="38" t="n">
        <x:v>0.0194454802</x:v>
      </x:c>
      <x:c r="AE45" s="38" t="n">
        <x:v>-0.0219829882</x:v>
      </x:c>
      <x:c r="AF45" s="38" t="n">
        <x:v>-0.0536097888</x:v>
      </x:c>
      <x:c r="AG45" s="38" t="n">
        <x:v>-0.1258617698</x:v>
      </x:c>
      <x:c r="AH45" s="38" t="n">
        <x:v>-0.0908368571</x:v>
      </x:c>
      <x:c r="AI45" s="38" t="n">
        <x:v>0.0008193582</x:v>
      </x:c>
      <x:c r="AJ45" s="38" t="n">
        <x:v>0.0410865066</x:v>
      </x:c>
      <x:c r="AK45" s="38" t="n">
        <x:v>0.0775105411</x:v>
      </x:c>
      <x:c r="AL45" s="38" t="n">
        <x:v>-0.003823679</x:v>
      </x:c>
      <x:c r="AM45" s="38" t="n">
        <x:v>0.1053933011</x:v>
      </x:c>
      <x:c r="AN45" s="38" t="n">
        <x:v>0.0285080473</x:v>
      </x:c>
      <x:c r="AO45" s="38" t="n">
        <x:v>-0.088288111</x:v>
      </x:c>
      <x:c r="AP45" s="38" t="n">
        <x:v>0.0275275247</x:v>
      </x:c>
      <x:c r="AQ45" s="38" t="n">
        <x:v>-0.0424401649</x:v>
      </x:c>
      <x:c r="AR45" s="38" t="n">
        <x:v>-0.0357181612</x:v>
      </x:c>
      <x:c r="AS45" s="38" t="n">
        <x:v>-0.0385812263</x:v>
      </x:c>
      <x:c r="AT45" s="38" t="n">
        <x:v>-0.0108062512</x:v>
      </x:c>
      <x:c r="AU45" s="38" t="n">
        <x:v>-0.009300743</x:v>
      </x:c>
      <x:c r="AV45" s="38" t="n">
        <x:v>-0.0097992302</x:v>
      </x:c>
      <x:c r="AW45" s="38" t="n">
        <x:v>0.0023275551</x:v>
      </x:c>
      <x:c r="AX45" s="38" t="n">
        <x:v>-0.0090291964</x:v>
      </x:c>
      <x:c r="AY45" s="38" t="n">
        <x:v>-0.0311607723</x:v>
      </x:c>
      <x:c r="AZ45" s="38" t="n">
        <x:v>0.0099443649</x:v>
      </x:c>
      <x:c r="BA45" s="38" t="n">
        <x:v>-0.0040730485</x:v>
      </x:c>
      <x:c r="BB45" s="38" t="n">
        <x:v>0.0005149419</x:v>
      </x:c>
      <x:c r="BC45" s="38" t="n">
        <x:v>-0.0101995578</x:v>
      </x:c>
      <x:c r="BD45" s="38" t="n">
        <x:v>-0.010888056</x:v>
      </x:c>
      <x:c r="BE45" s="38" t="n">
        <x:v>-0.046127154</x:v>
      </x:c>
      <x:c r="BF45" s="38" t="n">
        <x:v>-0.0042728702</x:v>
      </x:c>
      <x:c r="BG45" s="38" t="n">
        <x:v>-0.0150506124</x:v>
      </x:c>
      <x:c r="BH45" s="38" t="n">
        <x:v>-0.0569392732</x:v>
      </x:c>
      <x:c r="BI45" s="38" t="n">
        <x:v>0.0012781078</x:v>
      </x:c>
      <x:c r="BJ45" s="38" t="n">
        <x:v>0.0188438112</x:v>
      </x:c>
    </x:row>
    <x:row r="46" ht="19" customHeight="1">
      <x:c r="A46" s="39" t="d">
        <x:v>2024-05-20T00:00:00.000Z</x:v>
      </x:c>
      <x:c r="B46" s="38" t="n">
        <x:v>0.2885844615</x:v>
      </x:c>
      <x:c r="C46" s="38" t="n">
        <x:v>0.0639669508</x:v>
      </x:c>
      <x:c r="D46" s="38" t="n">
        <x:v>-0.0381814846</x:v>
      </x:c>
      <x:c r="E46" s="38" t="n">
        <x:v>-0.048119449</x:v>
      </x:c>
      <x:c r="F46" s="38" t="n">
        <x:v>-0.1177101488</x:v>
      </x:c>
      <x:c r="G46" s="38" t="n">
        <x:v>-0.0460299776</x:v>
      </x:c>
      <x:c r="H46" s="38" t="n">
        <x:v>0.0068748106</x:v>
      </x:c>
      <x:c r="I46" s="38" t="n">
        <x:v>0.0177490391</x:v>
      </x:c>
      <x:c r="J46" s="38" t="n">
        <x:v>-0.1023052599</x:v>
      </x:c>
      <x:c r="K46" s="38" t="n">
        <x:v>0.0256920505</x:v>
      </x:c>
      <x:c r="L46" s="38" t="n">
        <x:v>0.0730810693</x:v>
      </x:c>
      <x:c r="M46" s="38" t="n">
        <x:v>0.1192790264</x:v>
      </x:c>
      <x:c r="N46" s="38" t="n">
        <x:v>0.0087449386</x:v>
      </x:c>
      <x:c r="O46" s="38" t="n">
        <x:v>-0.0878565244</x:v>
      </x:c>
      <x:c r="P46" s="38" t="n">
        <x:v>-0.0804541352</x:v>
      </x:c>
      <x:c r="Q46" s="38" t="n">
        <x:v>0.0202867221</x:v>
      </x:c>
      <x:c r="R46" s="38" t="n">
        <x:v>0.0116516443</x:v>
      </x:c>
      <x:c r="S46" s="38" t="n">
        <x:v>-0.1122112686</x:v>
      </x:c>
      <x:c r="T46" s="38" t="n">
        <x:v>0.4026005045</x:v>
      </x:c>
      <x:c r="U46" s="38" t="n">
        <x:v>-0.0689206007</x:v>
      </x:c>
      <x:c r="V46" s="38" t="n">
        <x:v>0.03898443</x:v>
      </x:c>
      <x:c r="W46" s="38" t="n">
        <x:v>-0.0038948956</x:v>
      </x:c>
      <x:c r="X46" s="38" t="n">
        <x:v>-0.1190483136</x:v>
      </x:c>
      <x:c r="Y46" s="38" t="n">
        <x:v>-0.0838729574</x:v>
      </x:c>
      <x:c r="Z46" s="38" t="n">
        <x:v>-0.0397222369</x:v>
      </x:c>
      <x:c r="AA46" s="38" t="n">
        <x:v>-0.1501938573</x:v>
      </x:c>
      <x:c r="AB46" s="38" t="n">
        <x:v>0.0397786812</x:v>
      </x:c>
      <x:c r="AC46" s="38" t="n">
        <x:v>-0.002810495</x:v>
      </x:c>
      <x:c r="AD46" s="38" t="n">
        <x:v>-0.1029040065</x:v>
      </x:c>
      <x:c r="AE46" s="38" t="n">
        <x:v>0.017761804</x:v>
      </x:c>
      <x:c r="AF46" s="38" t="n">
        <x:v>-0.0246846161</x:v>
      </x:c>
      <x:c r="AG46" s="38" t="n">
        <x:v>-0.0954829973</x:v>
      </x:c>
      <x:c r="AH46" s="38" t="n">
        <x:v>-0.0729113604</x:v>
      </x:c>
      <x:c r="AI46" s="38" t="n">
        <x:v>0.0550409635</x:v>
      </x:c>
      <x:c r="AJ46" s="38" t="n">
        <x:v>0.014801264</x:v>
      </x:c>
      <x:c r="AK46" s="38" t="n">
        <x:v>0.0032622425</x:v>
      </x:c>
      <x:c r="AL46" s="38" t="n">
        <x:v>-0.00224459</x:v>
      </x:c>
      <x:c r="AM46" s="38" t="n">
        <x:v>-0.0280896443</x:v>
      </x:c>
      <x:c r="AN46" s="38" t="n">
        <x:v>0.0839387823</x:v>
      </x:c>
      <x:c r="AO46" s="38" t="n">
        <x:v>-0.031772623</x:v>
      </x:c>
      <x:c r="AP46" s="38" t="n">
        <x:v>-0.0244531472</x:v>
      </x:c>
      <x:c r="AQ46" s="38" t="n">
        <x:v>-0.0179447643</x:v>
      </x:c>
      <x:c r="AR46" s="38" t="n">
        <x:v>-0.0089228041</x:v>
      </x:c>
      <x:c r="AS46" s="38" t="n">
        <x:v>0.0299374355</x:v>
      </x:c>
      <x:c r="AT46" s="38" t="n">
        <x:v>0.0101441792</x:v>
      </x:c>
      <x:c r="AU46" s="38" t="n">
        <x:v>0.0139958933</x:v>
      </x:c>
      <x:c r="AV46" s="38" t="n">
        <x:v>0.0155384866</x:v>
      </x:c>
      <x:c r="AW46" s="38" t="n">
        <x:v>0.0170494498</x:v>
      </x:c>
      <x:c r="AX46" s="38" t="n">
        <x:v>0.0061633633</x:v>
      </x:c>
      <x:c r="AY46" s="38" t="n">
        <x:v>0.0449221487</x:v>
      </x:c>
      <x:c r="AZ46" s="38" t="n">
        <x:v>-0.0013900525</x:v>
      </x:c>
      <x:c r="BA46" s="38" t="n">
        <x:v>-0.0478362635</x:v>
      </x:c>
      <x:c r="BB46" s="38" t="n">
        <x:v>0.0024569771</x:v>
      </x:c>
      <x:c r="BC46" s="38" t="n">
        <x:v>-0.0622794903</x:v>
      </x:c>
      <x:c r="BD46" s="38" t="n">
        <x:v>-0.0167001997</x:v>
      </x:c>
      <x:c r="BE46" s="38" t="n">
        <x:v>0.0124471042</x:v>
      </x:c>
      <x:c r="BF46" s="38" t="n">
        <x:v>-0.025722245</x:v>
      </x:c>
      <x:c r="BG46" s="38" t="n">
        <x:v>-0.0105253589</x:v>
      </x:c>
      <x:c r="BH46" s="38" t="n">
        <x:v>-0.0058008342</x:v>
      </x:c>
      <x:c r="BI46" s="38" t="n">
        <x:v>0.016640772</x:v>
      </x:c>
      <x:c r="BJ46" s="38" t="n">
        <x:v>0.0640786181</x:v>
      </x:c>
    </x:row>
    <x:row r="47" ht="19" customHeight="1">
      <x:c r="A47" s="39" t="d">
        <x:v>2024-06-17T00:00:00.000Z</x:v>
      </x:c>
      <x:c r="B47" s="38" t="n">
        <x:v>-0.1443531167</x:v>
      </x:c>
      <x:c r="C47" s="38" t="n">
        <x:v>-0.03691287</x:v>
      </x:c>
      <x:c r="D47" s="38" t="n">
        <x:v>0.0053058786</x:v>
      </x:c>
      <x:c r="E47" s="38" t="n">
        <x:v>-0.0100883843</x:v>
      </x:c>
      <x:c r="F47" s="38" t="n">
        <x:v>0.0078335188</x:v>
      </x:c>
      <x:c r="G47" s="38" t="n">
        <x:v>-0.0163848164</x:v>
      </x:c>
      <x:c r="H47" s="38" t="n">
        <x:v>-0.0360390102</x:v>
      </x:c>
      <x:c r="I47" s="38" t="n">
        <x:v>0.000333369</x:v>
      </x:c>
      <x:c r="J47" s="38" t="n">
        <x:v>0.0806265685</x:v>
      </x:c>
      <x:c r="K47" s="38" t="n">
        <x:v>-0.067176454</x:v>
      </x:c>
      <x:c r="L47" s="38" t="n">
        <x:v>-0.1165720263</x:v>
      </x:c>
      <x:c r="M47" s="38" t="n">
        <x:v>-0.1367882883</x:v>
      </x:c>
      <x:c r="N47" s="38" t="n">
        <x:v>0.0610567809</x:v>
      </x:c>
      <x:c r="O47" s="38" t="n">
        <x:v>0.08104546</x:v>
      </x:c>
      <x:c r="P47" s="38" t="n">
        <x:v>-0.0279872738</x:v>
      </x:c>
      <x:c r="Q47" s="38" t="n">
        <x:v>-0.1457680145</x:v>
      </x:c>
      <x:c r="R47" s="38" t="n">
        <x:v>-0.1060506158</x:v>
      </x:c>
      <x:c r="S47" s="38" t="n">
        <x:v>-0.0303963389</x:v>
      </x:c>
      <x:c r="T47" s="38" t="n">
        <x:v>-0.007262054</x:v>
      </x:c>
      <x:c r="U47" s="38" t="n">
        <x:v>0.0682565027</x:v>
      </x:c>
      <x:c r="V47" s="38" t="n">
        <x:v>0.0922414698</x:v>
      </x:c>
      <x:c r="W47" s="38" t="n">
        <x:v>0.0296915519</x:v>
      </x:c>
      <x:c r="X47" s="38" t="n">
        <x:v>0.1182616002</x:v>
      </x:c>
      <x:c r="Y47" s="38" t="n">
        <x:v>0.0044059164</x:v>
      </x:c>
      <x:c r="Z47" s="38" t="n">
        <x:v>0.0420168369</x:v>
      </x:c>
      <x:c r="AA47" s="38" t="n">
        <x:v>-0.1065867633</x:v>
      </x:c>
      <x:c r="AB47" s="38" t="n">
        <x:v>-0.0631447137</x:v>
      </x:c>
      <x:c r="AC47" s="38" t="n">
        <x:v>0.0217768883</x:v>
      </x:c>
      <x:c r="AD47" s="38" t="n">
        <x:v>0.0140488722</x:v>
      </x:c>
      <x:c r="AE47" s="38" t="n">
        <x:v>0.1231769873</x:v>
      </x:c>
      <x:c r="AF47" s="38" t="n">
        <x:v>0.1316669007</x:v>
      </x:c>
      <x:c r="AG47" s="38" t="n">
        <x:v>-0.0151855685</x:v>
      </x:c>
      <x:c r="AH47" s="38" t="n">
        <x:v>-0.1450635312</x:v>
      </x:c>
      <x:c r="AI47" s="38" t="n">
        <x:v>0.0458208998</x:v>
      </x:c>
      <x:c r="AJ47" s="38" t="n">
        <x:v>-0.0461690542</x:v>
      </x:c>
      <x:c r="AK47" s="38" t="n">
        <x:v>-0.0955131604</x:v>
      </x:c>
      <x:c r="AL47" s="38" t="n">
        <x:v>-0.012929671</x:v>
      </x:c>
      <x:c r="AM47" s="38" t="n">
        <x:v>-0.0643943716</x:v>
      </x:c>
      <x:c r="AN47" s="38" t="n">
        <x:v>0.0059574979</x:v>
      </x:c>
      <x:c r="AO47" s="38" t="n">
        <x:v>0.1194910076</x:v>
      </x:c>
      <x:c r="AP47" s="38" t="n">
        <x:v>0.0159859594</x:v>
      </x:c>
      <x:c r="AQ47" s="38" t="n">
        <x:v>0.0102495319</x:v>
      </x:c>
      <x:c r="AR47" s="38" t="n">
        <x:v>0.020250774</x:v>
      </x:c>
      <x:c r="AS47" s="38" t="n">
        <x:v>-0.0906357863</x:v>
      </x:c>
      <x:c r="AT47" s="38" t="n">
        <x:v>-0.004209079</x:v>
      </x:c>
      <x:c r="AU47" s="38" t="n">
        <x:v>-0.0147708234</x:v>
      </x:c>
      <x:c r="AV47" s="38" t="n">
        <x:v>-0.0156395671</x:v>
      </x:c>
      <x:c r="AW47" s="38" t="n">
        <x:v>0.0060393289</x:v>
      </x:c>
      <x:c r="AX47" s="38" t="n">
        <x:v>-0.0080870436</x:v>
      </x:c>
      <x:c r="AY47" s="38" t="n">
        <x:v>0.034914383</x:v>
      </x:c>
      <x:c r="AZ47" s="38" t="n">
        <x:v>-0.0039983673</x:v>
      </x:c>
      <x:c r="BA47" s="38" t="n">
        <x:v>0.0103270206</x:v>
      </x:c>
      <x:c r="BB47" s="38" t="n">
        <x:v>-0.0070325803</x:v>
      </x:c>
      <x:c r="BC47" s="38" t="n">
        <x:v>-0.0327449349</x:v>
      </x:c>
      <x:c r="BD47" s="38" t="n">
        <x:v>-0.0373132562</x:v>
      </x:c>
      <x:c r="BE47" s="38" t="n">
        <x:v>0.00079379</x:v>
      </x:c>
      <x:c r="BF47" s="38" t="n">
        <x:v>-0.0464734034</x:v>
      </x:c>
      <x:c r="BG47" s="38" t="n">
        <x:v>-0.0464986465</x:v>
      </x:c>
      <x:c r="BH47" s="38" t="n">
        <x:v>0.0092248594</x:v>
      </x:c>
      <x:c r="BI47" s="38" t="n">
        <x:v>0.0162914835</x:v>
      </x:c>
      <x:c r="BJ47" s="38" t="n">
        <x:v>-0.0502079652</x:v>
      </x:c>
    </x:row>
    <x:row r="48" ht="19" customHeight="1">
      <x:c r="A48" s="39" t="d">
        <x:v>2024-07-15T00:00:00.000Z</x:v>
      </x:c>
      <x:c r="B48" s="38" t="n">
        <x:v>-0.1319503484</x:v>
      </x:c>
      <x:c r="C48" s="38" t="n">
        <x:v>0.086127646</x:v>
      </x:c>
      <x:c r="D48" s="38" t="n">
        <x:v>0.0265302016</x:v>
      </x:c>
      <x:c r="E48" s="38" t="n">
        <x:v>0.0213239516</x:v>
      </x:c>
      <x:c r="F48" s="38" t="n">
        <x:v>-0.0901714315</x:v>
      </x:c>
      <x:c r="G48" s="38" t="n">
        <x:v>-0.2149442269</x:v>
      </x:c>
      <x:c r="H48" s="38" t="n">
        <x:v>-0.0768691816</x:v>
      </x:c>
      <x:c r="I48" s="38" t="n">
        <x:v>-0.0621392398</x:v>
      </x:c>
      <x:c r="J48" s="38" t="n">
        <x:v>0.1152053118</x:v>
      </x:c>
      <x:c r="K48" s="38" t="n">
        <x:v>-0.0715405996</x:v>
      </x:c>
      <x:c r="L48" s="38" t="n">
        <x:v>-0.0920607596</x:v>
      </x:c>
      <x:c r="M48" s="38" t="n">
        <x:v>-0.0362164711</x:v>
      </x:c>
      <x:c r="N48" s="38" t="n">
        <x:v>0.0554935914</x:v>
      </x:c>
      <x:c r="O48" s="38" t="n">
        <x:v>0.0274437861</x:v>
      </x:c>
      <x:c r="P48" s="38" t="n">
        <x:v>0.0367381862</x:v>
      </x:c>
      <x:c r="Q48" s="38" t="n">
        <x:v>0.0456453986</x:v>
      </x:c>
      <x:c r="R48" s="38" t="n">
        <x:v>0.0136156799</x:v>
      </x:c>
      <x:c r="S48" s="38" t="n">
        <x:v>-0.0479791361</x:v>
      </x:c>
      <x:c r="T48" s="38" t="n">
        <x:v>-0.1095020549</x:v>
      </x:c>
      <x:c r="U48" s="38" t="n">
        <x:v>-0.0370027517</x:v>
      </x:c>
      <x:c r="V48" s="38" t="n">
        <x:v>-0.0880559626</x:v>
      </x:c>
      <x:c r="W48" s="38" t="n">
        <x:v>0.0318391045</x:v>
      </x:c>
      <x:c r="X48" s="38" t="n">
        <x:v>-0.0559276559</x:v>
      </x:c>
      <x:c r="Y48" s="38" t="n">
        <x:v>0.093356484</x:v>
      </x:c>
      <x:c r="Z48" s="38" t="n">
        <x:v>0.0124516028</x:v>
      </x:c>
      <x:c r="AA48" s="38" t="n">
        <x:v>-0.0287371078</x:v>
      </x:c>
      <x:c r="AB48" s="38" t="n">
        <x:v>0.2200215046</x:v>
      </x:c>
      <x:c r="AC48" s="38" t="n">
        <x:v>-0.0194258815</x:v>
      </x:c>
      <x:c r="AD48" s="38" t="n">
        <x:v>0.1596744727</x:v>
      </x:c>
      <x:c r="AE48" s="38" t="n">
        <x:v>0.0071114335</x:v>
      </x:c>
      <x:c r="AF48" s="38" t="n">
        <x:v>-0.0044604238</x:v>
      </x:c>
      <x:c r="AG48" s="38" t="n">
        <x:v>0.0682933537</x:v>
      </x:c>
      <x:c r="AH48" s="38" t="n">
        <x:v>0.0044381965</x:v>
      </x:c>
      <x:c r="AI48" s="38" t="n">
        <x:v>-0.0384436453</x:v>
      </x:c>
      <x:c r="AJ48" s="38" t="n">
        <x:v>-0.0536395404</x:v>
      </x:c>
      <x:c r="AK48" s="38" t="n">
        <x:v>0.0345091294</x:v>
      </x:c>
      <x:c r="AL48" s="38" t="n">
        <x:v>-0.0305925829</x:v>
      </x:c>
      <x:c r="AM48" s="38" t="n">
        <x:v>0.0085143252</x:v>
      </x:c>
      <x:c r="AN48" s="38" t="n">
        <x:v>-0.0413267397</x:v>
      </x:c>
      <x:c r="AO48" s="38" t="n">
        <x:v>-0.0229186272</x:v>
      </x:c>
      <x:c r="AP48" s="38" t="n">
        <x:v>0.0082511693</x:v>
      </x:c>
      <x:c r="AQ48" s="38" t="n">
        <x:v>0.0140903407</x:v>
      </x:c>
      <x:c r="AR48" s="38" t="n">
        <x:v>0.0232279724</x:v>
      </x:c>
      <x:c r="AS48" s="38" t="n">
        <x:v>0.0029870423</x:v>
      </x:c>
      <x:c r="AT48" s="38" t="n">
        <x:v>0.0085538433</x:v>
      </x:c>
      <x:c r="AU48" s="38" t="n">
        <x:v>0.0193962733</x:v>
      </x:c>
      <x:c r="AV48" s="38" t="n">
        <x:v>0.0198003162</x:v>
      </x:c>
      <x:c r="AW48" s="38" t="n">
        <x:v>0.0028805859</x:v>
      </x:c>
      <x:c r="AX48" s="38" t="n">
        <x:v>0.0032569107</x:v>
      </x:c>
      <x:c r="AY48" s="38" t="n">
        <x:v>0.009273645</x:v>
      </x:c>
      <x:c r="AZ48" s="38" t="n">
        <x:v>-0.0014580968</x:v>
      </x:c>
      <x:c r="BA48" s="38" t="n">
        <x:v>0.0306627596</x:v>
      </x:c>
      <x:c r="BB48" s="38" t="n">
        <x:v>0.0097487461</x:v>
      </x:c>
      <x:c r="BC48" s="38" t="n">
        <x:v>0.023949136</x:v>
      </x:c>
      <x:c r="BD48" s="38" t="n">
        <x:v>0.0360995374</x:v>
      </x:c>
      <x:c r="BE48" s="38" t="n">
        <x:v>0.0066918418</x:v>
      </x:c>
      <x:c r="BF48" s="38" t="n">
        <x:v>0.0105387227</x:v>
      </x:c>
      <x:c r="BG48" s="38" t="n">
        <x:v>0.0055391703</x:v>
      </x:c>
      <x:c r="BH48" s="38" t="n">
        <x:v>0.0668557957</x:v>
      </x:c>
      <x:c r="BI48" s="38" t="n">
        <x:v>-0.0488405076</x:v>
      </x:c>
      <x:c r="BJ48" s="38" t="n">
        <x:v>0.0146893986</x:v>
      </x:c>
    </x:row>
    <x:row r="49" ht="19" customHeight="1">
      <x:c r="A49" s="39" t="d">
        <x:v>2024-08-12T00:00:00.000Z</x:v>
      </x:c>
      <x:c r="B49" s="38" t="n">
        <x:v>0.0141789737</x:v>
      </x:c>
      <x:c r="C49" s="38" t="n">
        <x:v>0.0684709778</x:v>
      </x:c>
      <x:c r="D49" s="38" t="n">
        <x:v>-0.0574570769</x:v>
      </x:c>
      <x:c r="E49" s="38" t="n">
        <x:v>0.0106261851</x:v>
      </x:c>
      <x:c r="F49" s="38" t="n">
        <x:v>-0.0882753367</x:v>
      </x:c>
      <x:c r="G49" s="38" t="n">
        <x:v>-0.0143686394</x:v>
      </x:c>
      <x:c r="H49" s="38" t="n">
        <x:v>-0.029288881</x:v>
      </x:c>
      <x:c r="I49" s="38" t="n">
        <x:v>0.1476476637</x:v>
      </x:c>
      <x:c r="J49" s="38" t="n">
        <x:v>0.0159378343</x:v>
      </x:c>
      <x:c r="K49" s="38" t="n">
        <x:v>0.0396886576</x:v>
      </x:c>
      <x:c r="L49" s="38" t="n">
        <x:v>0.150383612</x:v>
      </x:c>
      <x:c r="M49" s="38" t="n">
        <x:v>-0.0717382751</x:v>
      </x:c>
      <x:c r="N49" s="38" t="n">
        <x:v>-0.0189108942</x:v>
      </x:c>
      <x:c r="O49" s="38" t="n">
        <x:v>0.010999661</x:v>
      </x:c>
      <x:c r="P49" s="38" t="n">
        <x:v>-0.001377415</x:v>
      </x:c>
      <x:c r="Q49" s="38" t="n">
        <x:v>0.1968664908</x:v>
      </x:c>
      <x:c r="R49" s="38" t="n">
        <x:v>0.0171012323</x:v>
      </x:c>
      <x:c r="S49" s="38" t="n">
        <x:v>0.1200905905</x:v>
      </x:c>
      <x:c r="T49" s="38" t="n">
        <x:v>-0.2991833451</x:v>
      </x:c>
      <x:c r="U49" s="38" t="n">
        <x:v>0.0918214864</x:v>
      </x:c>
      <x:c r="V49" s="38" t="n">
        <x:v>0.0022868545</x:v>
      </x:c>
      <x:c r="W49" s="38" t="n">
        <x:v>-0.0645907201</x:v>
      </x:c>
      <x:c r="X49" s="38" t="n">
        <x:v>0.004248408</x:v>
      </x:c>
      <x:c r="Y49" s="38" t="n">
        <x:v>0.0712967334</x:v>
      </x:c>
      <x:c r="Z49" s="38" t="n">
        <x:v>0.028244833</x:v>
      </x:c>
      <x:c r="AA49" s="38" t="n">
        <x:v>0.0784369681</x:v>
      </x:c>
      <x:c r="AB49" s="38" t="n">
        <x:v>0.3104703655</x:v>
      </x:c>
      <x:c r="AC49" s="38" t="n">
        <x:v>-0.0857231931</x:v>
      </x:c>
      <x:c r="AD49" s="38" t="n">
        <x:v>-0.2612385171</x:v>
      </x:c>
      <x:c r="AE49" s="38" t="n">
        <x:v>-0.0902956033</x:v>
      </x:c>
      <x:c r="AF49" s="38" t="n">
        <x:v>-0.0162973554</x:v>
      </x:c>
      <x:c r="AG49" s="38" t="n">
        <x:v>0.0413210778</x:v>
      </x:c>
      <x:c r="AH49" s="38" t="n">
        <x:v>-0.0575633212</x:v>
      </x:c>
      <x:c r="AI49" s="38" t="n">
        <x:v>0.0277620851</x:v>
      </x:c>
      <x:c r="AJ49" s="38" t="n">
        <x:v>0.0175765634</x:v>
      </x:c>
      <x:c r="AK49" s="38" t="n">
        <x:v>0.1406420456</x:v>
      </x:c>
      <x:c r="AL49" s="38" t="n">
        <x:v>-0.0713716248</x:v>
      </x:c>
      <x:c r="AM49" s="38" t="n">
        <x:v>-0.0265769156</x:v>
      </x:c>
      <x:c r="AN49" s="38" t="n">
        <x:v>-0.0206128982</x:v>
      </x:c>
      <x:c r="AO49" s="38" t="n">
        <x:v>-0.0378503484</x:v>
      </x:c>
      <x:c r="AP49" s="38" t="n">
        <x:v>-0.0047612873</x:v>
      </x:c>
      <x:c r="AQ49" s="38" t="n">
        <x:v>-0.0425198336</x:v>
      </x:c>
      <x:c r="AR49" s="38" t="n">
        <x:v>-0.0121878019</x:v>
      </x:c>
      <x:c r="AS49" s="38" t="n">
        <x:v>-0.0362008253</x:v>
      </x:c>
      <x:c r="AT49" s="38" t="n">
        <x:v>0.0232853781</x:v>
      </x:c>
      <x:c r="AU49" s="38" t="n">
        <x:v>0.0152200644</x:v>
      </x:c>
      <x:c r="AV49" s="38" t="n">
        <x:v>0.0148518865</x:v>
      </x:c>
      <x:c r="AW49" s="38" t="n">
        <x:v>-0.0025776073</x:v>
      </x:c>
      <x:c r="AX49" s="38" t="n">
        <x:v>-0.0050371799</x:v>
      </x:c>
      <x:c r="AY49" s="38" t="n">
        <x:v>0.0110696428</x:v>
      </x:c>
      <x:c r="AZ49" s="38" t="n">
        <x:v>0.0070331208</x:v>
      </x:c>
      <x:c r="BA49" s="38" t="n">
        <x:v>-0.0346275718</x:v>
      </x:c>
      <x:c r="BB49" s="38" t="n">
        <x:v>0.0294370539</x:v>
      </x:c>
      <x:c r="BC49" s="38" t="n">
        <x:v>-0.0411834516</x:v>
      </x:c>
      <x:c r="BD49" s="38" t="n">
        <x:v>0.0136961621</x:v>
      </x:c>
      <x:c r="BE49" s="38" t="n">
        <x:v>0.0314788032</x:v>
      </x:c>
      <x:c r="BF49" s="38" t="n">
        <x:v>0.0068828795</x:v>
      </x:c>
      <x:c r="BG49" s="38" t="n">
        <x:v>-0.0012818082</x:v>
      </x:c>
      <x:c r="BH49" s="38" t="n">
        <x:v>0.0333698377</x:v>
      </x:c>
      <x:c r="BI49" s="38" t="n">
        <x:v>-0.0127019872</x:v>
      </x:c>
      <x:c r="BJ49" s="38" t="n">
        <x:v>0.0613290747</x:v>
      </x:c>
    </x:row>
    <x:row r="50" ht="19" customHeight="1">
      <x:c r="A50" s="39" t="d">
        <x:v>2024-09-09T00:00:00.000Z</x:v>
      </x:c>
      <x:c r="B50" s="38" t="n">
        <x:v>0.0763603392</x:v>
      </x:c>
      <x:c r="C50" s="38" t="n">
        <x:v>-0.0026591648</x:v>
      </x:c>
      <x:c r="D50" s="38" t="n">
        <x:v>-0.0213727046</x:v>
      </x:c>
      <x:c r="E50" s="38" t="n">
        <x:v>0.0240194888</x:v>
      </x:c>
      <x:c r="F50" s="38" t="n">
        <x:v>-0.0097351828</x:v>
      </x:c>
      <x:c r="G50" s="38" t="n">
        <x:v>0.0187627392</x:v>
      </x:c>
      <x:c r="H50" s="38" t="n">
        <x:v>0.0150233261</x:v>
      </x:c>
      <x:c r="I50" s="38" t="n">
        <x:v>0.0773750506</x:v>
      </x:c>
      <x:c r="J50" s="38" t="n">
        <x:v>0.0258775991</x:v>
      </x:c>
      <x:c r="K50" s="38" t="n">
        <x:v>-0.0592392017</x:v>
      </x:c>
      <x:c r="L50" s="38" t="n">
        <x:v>-0.0944013835</x:v>
      </x:c>
      <x:c r="M50" s="38" t="n">
        <x:v>-0.0648844615</x:v>
      </x:c>
      <x:c r="N50" s="38" t="n">
        <x:v>-0.0717764121</x:v>
      </x:c>
      <x:c r="O50" s="38" t="n">
        <x:v>0.0894858198</x:v>
      </x:c>
      <x:c r="P50" s="38" t="n">
        <x:v>-0.1975698891</x:v>
      </x:c>
      <x:c r="Q50" s="38" t="n">
        <x:v>0.1858876292</x:v>
      </x:c>
      <x:c r="R50" s="38" t="n">
        <x:v>0.0450759351</x:v>
      </x:c>
      <x:c r="S50" s="38" t="n">
        <x:v>-0.0642757535</x:v>
      </x:c>
      <x:c r="T50" s="38" t="n">
        <x:v>-0.1889224827</x:v>
      </x:c>
      <x:c r="U50" s="38" t="n">
        <x:v>-0.1562511236</x:v>
      </x:c>
      <x:c r="V50" s="38" t="n">
        <x:v>0.0173656979</x:v>
      </x:c>
      <x:c r="W50" s="38" t="n">
        <x:v>-0.0120760234</x:v>
      </x:c>
      <x:c r="X50" s="38" t="n">
        <x:v>-0.0343815548</x:v>
      </x:c>
      <x:c r="Y50" s="38" t="n">
        <x:v>0.0416068727</x:v>
      </x:c>
      <x:c r="Z50" s="38" t="n">
        <x:v>0.043721632</x:v>
      </x:c>
      <x:c r="AA50" s="38" t="n">
        <x:v>0.4872687674</x:v>
      </x:c>
      <x:c r="AB50" s="38" t="n">
        <x:v>0.1185022961</x:v>
      </x:c>
      <x:c r="AC50" s="38" t="n">
        <x:v>-0.0196811155</x:v>
      </x:c>
      <x:c r="AD50" s="38" t="n">
        <x:v>0.0084389913</x:v>
      </x:c>
      <x:c r="AE50" s="38" t="n">
        <x:v>-0.0286443613</x:v>
      </x:c>
      <x:c r="AF50" s="38" t="n">
        <x:v>-0.1685467576</x:v>
      </x:c>
      <x:c r="AG50" s="38" t="n">
        <x:v>-0.0385980727</x:v>
      </x:c>
      <x:c r="AH50" s="38" t="n">
        <x:v>0.0640501565</x:v>
      </x:c>
      <x:c r="AI50" s="38" t="n">
        <x:v>0.0137257922</x:v>
      </x:c>
      <x:c r="AJ50" s="38" t="n">
        <x:v>0.0370775722</x:v>
      </x:c>
      <x:c r="AK50" s="38" t="n">
        <x:v>0.0968584226</x:v>
      </x:c>
      <x:c r="AL50" s="38" t="n">
        <x:v>0.0426022395</x:v>
      </x:c>
      <x:c r="AM50" s="38" t="n">
        <x:v>0.0306115793</x:v>
      </x:c>
      <x:c r="AN50" s="38" t="n">
        <x:v>-0.0367783176</x:v>
      </x:c>
      <x:c r="AO50" s="38" t="n">
        <x:v>-0.0228099468</x:v>
      </x:c>
      <x:c r="AP50" s="38" t="n">
        <x:v>-0.0196990643</x:v>
      </x:c>
      <x:c r="AQ50" s="38" t="n">
        <x:v>-0.0047563481</x:v>
      </x:c>
      <x:c r="AR50" s="38" t="n">
        <x:v>-0.0256099859</x:v>
      </x:c>
      <x:c r="AS50" s="38" t="n">
        <x:v>-0.0353922506</x:v>
      </x:c>
      <x:c r="AT50" s="38" t="n">
        <x:v>0.0173589663</x:v>
      </x:c>
      <x:c r="AU50" s="38" t="n">
        <x:v>0.0048281604</x:v>
      </x:c>
      <x:c r="AV50" s="38" t="n">
        <x:v>0.0052795101</x:v>
      </x:c>
      <x:c r="AW50" s="38" t="n">
        <x:v>0.0060905696</x:v>
      </x:c>
      <x:c r="AX50" s="38" t="n">
        <x:v>0.0157329827</x:v>
      </x:c>
      <x:c r="AY50" s="38" t="n">
        <x:v>0.0160601224</x:v>
      </x:c>
      <x:c r="AZ50" s="38" t="n">
        <x:v>-0.0047904694</x:v>
      </x:c>
      <x:c r="BA50" s="38" t="n">
        <x:v>0.0464318783</x:v>
      </x:c>
      <x:c r="BB50" s="38" t="n">
        <x:v>0.0408145364</x:v>
      </x:c>
      <x:c r="BC50" s="38" t="n">
        <x:v>-0.0809273077</x:v>
      </x:c>
      <x:c r="BD50" s="38" t="n">
        <x:v>0.0048341426</x:v>
      </x:c>
      <x:c r="BE50" s="38" t="n">
        <x:v>0.0158294464</x:v>
      </x:c>
      <x:c r="BF50" s="38" t="n">
        <x:v>0.0159397465</x:v>
      </x:c>
      <x:c r="BG50" s="38" t="n">
        <x:v>0.0160080565</x:v>
      </x:c>
      <x:c r="BH50" s="38" t="n">
        <x:v>0.081226692</x:v>
      </x:c>
      <x:c r="BI50" s="38" t="n">
        <x:v>-0.0277924677</x:v>
      </x:c>
      <x:c r="BJ50" s="38" t="n">
        <x:v>0.0532641429</x:v>
      </x:c>
    </x:row>
    <x:row r="51" ht="19" customHeight="1">
      <x:c r="A51" s="39" t="d">
        <x:v>2024-10-07T00:00:00.000Z</x:v>
      </x:c>
      <x:c r="B51" s="38" t="n">
        <x:v>0.2908722153</x:v>
      </x:c>
      <x:c r="C51" s="38" t="n">
        <x:v>-0.0965476449</x:v>
      </x:c>
      <x:c r="D51" s="38" t="n">
        <x:v>-0.0404976319</x:v>
      </x:c>
      <x:c r="E51" s="38" t="n">
        <x:v>0.008114467</x:v>
      </x:c>
      <x:c r="F51" s="38" t="n">
        <x:v>-0.0041161574</x:v>
      </x:c>
      <x:c r="G51" s="38" t="n">
        <x:v>0.0626549181</x:v>
      </x:c>
      <x:c r="H51" s="38" t="n">
        <x:v>0.007126312</x:v>
      </x:c>
      <x:c r="I51" s="38" t="n">
        <x:v>0.1114918634</x:v>
      </x:c>
      <x:c r="J51" s="38" t="n">
        <x:v>-0.0340210989</x:v>
      </x:c>
      <x:c r="K51" s="38" t="n">
        <x:v>-0.0689804959</x:v>
      </x:c>
      <x:c r="L51" s="38" t="n">
        <x:v>0.042440075</x:v>
      </x:c>
      <x:c r="M51" s="38" t="n">
        <x:v>0.0376978367</x:v>
      </x:c>
      <x:c r="N51" s="38" t="n">
        <x:v>0.0068546822</x:v>
      </x:c>
      <x:c r="O51" s="38" t="n">
        <x:v>-0.1880822355</x:v>
      </x:c>
      <x:c r="P51" s="38" t="n">
        <x:v>0.0950659371</x:v>
      </x:c>
      <x:c r="Q51" s="38" t="n">
        <x:v>-0.0354030047</x:v>
      </x:c>
      <x:c r="R51" s="38" t="n">
        <x:v>0.0103206064</x:v>
      </x:c>
      <x:c r="S51" s="38" t="n">
        <x:v>0.068479583</x:v>
      </x:c>
      <x:c r="T51" s="38" t="n">
        <x:v>-0.1454138349</x:v>
      </x:c>
      <x:c r="U51" s="38" t="n">
        <x:v>0.1444995423</x:v>
      </x:c>
      <x:c r="V51" s="38" t="n">
        <x:v>0.0276193755</x:v>
      </x:c>
      <x:c r="W51" s="38" t="n">
        <x:v>0.0321072122</x:v>
      </x:c>
      <x:c r="X51" s="38" t="n">
        <x:v>0.0409526969</x:v>
      </x:c>
      <x:c r="Y51" s="38" t="n">
        <x:v>-0.034040697</x:v>
      </x:c>
      <x:c r="Z51" s="38" t="n">
        <x:v>-0.0059486991</x:v>
      </x:c>
      <x:c r="AA51" s="38" t="n">
        <x:v>-0.1263589308</x:v>
      </x:c>
      <x:c r="AB51" s="38" t="n">
        <x:v>0.1179901087</x:v>
      </x:c>
      <x:c r="AC51" s="38" t="n">
        <x:v>0.0183637273</x:v>
      </x:c>
      <x:c r="AD51" s="38" t="n">
        <x:v>-0.0278224577</x:v>
      </x:c>
      <x:c r="AE51" s="38" t="n">
        <x:v>0.0826942283</x:v>
      </x:c>
      <x:c r="AF51" s="38" t="n">
        <x:v>-0.0422671655</x:v>
      </x:c>
      <x:c r="AG51" s="38" t="n">
        <x:v>-0.0726414981</x:v>
      </x:c>
      <x:c r="AH51" s="38" t="n">
        <x:v>0.0625477446</x:v>
      </x:c>
      <x:c r="AI51" s="38" t="n">
        <x:v>0.0113617554</x:v>
      </x:c>
      <x:c r="AJ51" s="38" t="n">
        <x:v>-0.0178313895</x:v>
      </x:c>
      <x:c r="AK51" s="38" t="n">
        <x:v>-0.029122864</x:v>
      </x:c>
      <x:c r="AL51" s="38" t="n">
        <x:v>-0.0305764203</x:v>
      </x:c>
      <x:c r="AM51" s="38" t="n">
        <x:v>-0.0555709552</x:v>
      </x:c>
      <x:c r="AN51" s="38" t="n">
        <x:v>-0.0123510816</x:v>
      </x:c>
      <x:c r="AO51" s="38" t="n">
        <x:v>0.0805756931</x:v>
      </x:c>
      <x:c r="AP51" s="38" t="n">
        <x:v>0.0054016964</x:v>
      </x:c>
      <x:c r="AQ51" s="38" t="n">
        <x:v>0.0131854284</x:v>
      </x:c>
      <x:c r="AR51" s="38" t="n">
        <x:v>0.0330639579</x:v>
      </x:c>
      <x:c r="AS51" s="38" t="n">
        <x:v>-0.0037325178</x:v>
      </x:c>
      <x:c r="AT51" s="38" t="n">
        <x:v>-0.0060787321</x:v>
      </x:c>
      <x:c r="AU51" s="38" t="n">
        <x:v>-0.0146472016</x:v>
      </x:c>
      <x:c r="AV51" s="38" t="n">
        <x:v>-0.0145700271</x:v>
      </x:c>
      <x:c r="AW51" s="38" t="n">
        <x:v>0.0080706178</x:v>
      </x:c>
      <x:c r="AX51" s="38" t="n">
        <x:v>-0.0052948662</x:v>
      </x:c>
      <x:c r="AY51" s="38" t="n">
        <x:v>0.0399617594</x:v>
      </x:c>
      <x:c r="AZ51" s="38" t="n">
        <x:v>0.0158697385</x:v>
      </x:c>
      <x:c r="BA51" s="38" t="n">
        <x:v>-0.0123603385</x:v>
      </x:c>
      <x:c r="BB51" s="38" t="n">
        <x:v>-0.0437012276</x:v>
      </x:c>
      <x:c r="BC51" s="38" t="n">
        <x:v>0.0935083393</x:v>
      </x:c>
      <x:c r="BD51" s="38" t="n">
        <x:v>0.0223492854</x:v>
      </x:c>
      <x:c r="BE51" s="38" t="n">
        <x:v>-0.0327083969</x:v>
      </x:c>
      <x:c r="BF51" s="38" t="n">
        <x:v>0.0353281397</x:v>
      </x:c>
      <x:c r="BG51" s="38" t="n">
        <x:v>0.0161976319</x:v>
      </x:c>
      <x:c r="BH51" s="38" t="n">
        <x:v>-0.0674009668</x:v>
      </x:c>
      <x:c r="BI51" s="38" t="n">
        <x:v>-0.0012114734</x:v>
      </x:c>
      <x:c r="BJ51" s="38" t="n">
        <x:v>-0.00022386</x:v>
      </x:c>
    </x:row>
    <x:row r="52" ht="19" customHeight="1">
      <x:c r="A52" s="39" t="d">
        <x:v>2024-11-04T00:00:00.000Z</x:v>
      </x:c>
      <x:c r="B52" s="38" t="n">
        <x:v>0.0643648365</x:v>
      </x:c>
      <x:c r="C52" s="38" t="n">
        <x:v>-0.1106504716</x:v>
      </x:c>
      <x:c r="D52" s="38" t="n">
        <x:v>0.0326333777</x:v>
      </x:c>
      <x:c r="E52" s="38" t="n">
        <x:v>0.1513617427</x:v>
      </x:c>
      <x:c r="F52" s="38" t="n">
        <x:v>-0.0022479008</x:v>
      </x:c>
      <x:c r="G52" s="38" t="n">
        <x:v>-0.0190847825</x:v>
      </x:c>
      <x:c r="H52" s="38" t="n">
        <x:v>-0.035405374</x:v>
      </x:c>
      <x:c r="I52" s="38" t="n">
        <x:v>0.1436080251</x:v>
      </x:c>
      <x:c r="J52" s="38" t="n">
        <x:v>0.0507012736</x:v>
      </x:c>
      <x:c r="K52" s="38" t="n">
        <x:v>-0.0748371953</x:v>
      </x:c>
      <x:c r="L52" s="38" t="n">
        <x:v>-0.102530273</x:v>
      </x:c>
      <x:c r="M52" s="38" t="n">
        <x:v>0.0436303231</x:v>
      </x:c>
      <x:c r="N52" s="38" t="n">
        <x:v>0.0296051093</x:v>
      </x:c>
      <x:c r="O52" s="38" t="n">
        <x:v>0.1709037081</x:v>
      </x:c>
      <x:c r="P52" s="38" t="n">
        <x:v>-0.0272980559</x:v>
      </x:c>
      <x:c r="Q52" s="38" t="n">
        <x:v>-0.1678864334</x:v>
      </x:c>
      <x:c r="R52" s="38" t="n">
        <x:v>0.0521086635</x:v>
      </x:c>
      <x:c r="S52" s="38" t="n">
        <x:v>-0.2600885474</x:v>
      </x:c>
      <x:c r="T52" s="38" t="n">
        <x:v>-0.0808929335</x:v>
      </x:c>
      <x:c r="U52" s="38" t="n">
        <x:v>0.3283343265</x:v>
      </x:c>
      <x:c r="V52" s="38" t="n">
        <x:v>0.1263016937</x:v>
      </x:c>
      <x:c r="W52" s="38" t="n">
        <x:v>0.0921289842</x:v>
      </x:c>
      <x:c r="X52" s="38" t="n">
        <x:v>0.2491176466</x:v>
      </x:c>
      <x:c r="Y52" s="38" t="n">
        <x:v>-0.1071705938</x:v>
      </x:c>
      <x:c r="Z52" s="38" t="n">
        <x:v>0.0363066452</x:v>
      </x:c>
      <x:c r="AA52" s="38" t="n">
        <x:v>0.0949759278</x:v>
      </x:c>
      <x:c r="AB52" s="38" t="n">
        <x:v>0.4634633109</x:v>
      </x:c>
      <x:c r="AC52" s="38" t="n">
        <x:v>0.0215590705</x:v>
      </x:c>
      <x:c r="AD52" s="38" t="n">
        <x:v>0.0744883563</x:v>
      </x:c>
      <x:c r="AE52" s="38" t="n">
        <x:v>0.0375059016</x:v>
      </x:c>
      <x:c r="AF52" s="38" t="n">
        <x:v>0.1101617478</x:v>
      </x:c>
      <x:c r="AG52" s="38" t="n">
        <x:v>-0.2342990984</x:v>
      </x:c>
      <x:c r="AH52" s="38" t="n">
        <x:v>-0.1622872971</x:v>
      </x:c>
      <x:c r="AI52" s="38" t="n">
        <x:v>-0.0687674078</x:v>
      </x:c>
      <x:c r="AJ52" s="38" t="n">
        <x:v>0.117004641</x:v>
      </x:c>
      <x:c r="AK52" s="38" t="n">
        <x:v>0.0606304053</x:v>
      </x:c>
      <x:c r="AL52" s="38" t="n">
        <x:v>0.0036253671</x:v>
      </x:c>
      <x:c r="AM52" s="38" t="n">
        <x:v>0.015862407</x:v>
      </x:c>
      <x:c r="AN52" s="38" t="n">
        <x:v>0.0655164157</x:v>
      </x:c>
      <x:c r="AO52" s="38" t="n">
        <x:v>-0.0402605358</x:v>
      </x:c>
      <x:c r="AP52" s="38" t="n">
        <x:v>-0.0439209446</x:v>
      </x:c>
      <x:c r="AQ52" s="38" t="n">
        <x:v>0.0223083634</x:v>
      </x:c>
      <x:c r="AR52" s="38" t="n">
        <x:v>0.0046641316</x:v>
      </x:c>
      <x:c r="AS52" s="38" t="n">
        <x:v>-0.0545716868</x:v>
      </x:c>
      <x:c r="AT52" s="38" t="n">
        <x:v>-0.0185778955</x:v>
      </x:c>
      <x:c r="AU52" s="38" t="n">
        <x:v>-0.0235361985</x:v>
      </x:c>
      <x:c r="AV52" s="38" t="n">
        <x:v>-0.0250434782</x:v>
      </x:c>
      <x:c r="AW52" s="38" t="n">
        <x:v>-0.0305585215</x:v>
      </x:c>
      <x:c r="AX52" s="38" t="n">
        <x:v>-0.0245509976</x:v>
      </x:c>
      <x:c r="AY52" s="38" t="n">
        <x:v>0.0378448543</x:v>
      </x:c>
      <x:c r="AZ52" s="38" t="n">
        <x:v>0.0406486495</x:v>
      </x:c>
      <x:c r="BA52" s="38" t="n">
        <x:v>0.070733996</x:v>
      </x:c>
      <x:c r="BB52" s="38" t="n">
        <x:v>-0.0285274501</x:v>
      </x:c>
      <x:c r="BC52" s="38" t="n">
        <x:v>-0.0001562346</x:v>
      </x:c>
      <x:c r="BD52" s="38" t="n">
        <x:v>0.0349593101</x:v>
      </x:c>
      <x:c r="BE52" s="38" t="n">
        <x:v>-0.0480753558</x:v>
      </x:c>
      <x:c r="BF52" s="38" t="n">
        <x:v>-0.0042511726</x:v>
      </x:c>
      <x:c r="BG52" s="38" t="n">
        <x:v>-0.0453862208</x:v>
      </x:c>
      <x:c r="BH52" s="38" t="n">
        <x:v>-0.0133054615</x:v>
      </x:c>
      <x:c r="BI52" s="38" t="n">
        <x:v>-0.0220179595</x:v>
      </x:c>
      <x:c r="BJ52" s="38" t="n">
        <x:v>-0.0190242979</x:v>
      </x:c>
    </x:row>
    <x:row r="53" ht="19" customHeight="1">
      <x:c r="A53" s="39" t="d">
        <x:v>2024-12-02T00:00:00.000Z</x:v>
      </x:c>
      <x:c r="B53" s="38" t="n">
        <x:v>0.081315923</x:v>
      </x:c>
      <x:c r="C53" s="38" t="n">
        <x:v>0.1443578929</x:v>
      </x:c>
      <x:c r="D53" s="38" t="n">
        <x:v>0.0092451587</x:v>
      </x:c>
      <x:c r="E53" s="38" t="n">
        <x:v>0.0158924618</x:v>
      </x:c>
      <x:c r="F53" s="38" t="n">
        <x:v>0.1603711901</x:v>
      </x:c>
      <x:c r="G53" s="38" t="n">
        <x:v>0.1020844725</x:v>
      </x:c>
      <x:c r="H53" s="38" t="n">
        <x:v>-0.0058316912</x:v>
      </x:c>
      <x:c r="I53" s="38" t="n">
        <x:v>0.0242443534</x:v>
      </x:c>
      <x:c r="J53" s="38" t="n">
        <x:v>-0.0292078149</x:v>
      </x:c>
      <x:c r="K53" s="38" t="n">
        <x:v>-0.0039376125</x:v>
      </x:c>
      <x:c r="L53" s="38" t="n">
        <x:v>0.0914931792</x:v>
      </x:c>
      <x:c r="M53" s="38" t="n">
        <x:v>0.0481826451</x:v>
      </x:c>
      <x:c r="N53" s="38" t="n">
        <x:v>0.0017881165</x:v>
      </x:c>
      <x:c r="O53" s="38" t="n">
        <x:v>0.0785068446</x:v>
      </x:c>
      <x:c r="P53" s="38" t="n">
        <x:v>0.1019512264</x:v>
      </x:c>
      <x:c r="Q53" s="38" t="n">
        <x:v>0.0800650062</x:v>
      </x:c>
      <x:c r="R53" s="38" t="n">
        <x:v>0.1043490513</x:v>
      </x:c>
      <x:c r="S53" s="38" t="n">
        <x:v>0.15731142</x:v>
      </x:c>
      <x:c r="T53" s="38" t="n">
        <x:v>-0.0106168573</x:v>
      </x:c>
      <x:c r="U53" s="38" t="n">
        <x:v>0.1056485173</x:v>
      </x:c>
      <x:c r="V53" s="38" t="n">
        <x:v>0.185856133</x:v>
      </x:c>
      <x:c r="W53" s="38" t="n">
        <x:v>0.0057759856</x:v>
      </x:c>
      <x:c r="X53" s="38" t="n">
        <x:v>0.0015019161</x:v>
      </x:c>
      <x:c r="Y53" s="38" t="n">
        <x:v>0.0290535948</x:v>
      </x:c>
      <x:c r="Z53" s="38" t="n">
        <x:v>-0.0384689892</x:v>
      </x:c>
      <x:c r="AA53" s="38" t="n">
        <x:v>-0.0775761618</x:v>
      </x:c>
      <x:c r="AB53" s="38" t="n">
        <x:v>0.0124723926</x:v>
      </x:c>
      <x:c r="AC53" s="38" t="n">
        <x:v>0.0551505824</x:v>
      </x:c>
      <x:c r="AD53" s="38" t="n">
        <x:v>-0.0539813478</x:v>
      </x:c>
      <x:c r="AE53" s="38" t="n">
        <x:v>0.1110334327</x:v>
      </x:c>
      <x:c r="AF53" s="38" t="n">
        <x:v>0.0669643184</x:v>
      </x:c>
      <x:c r="AG53" s="38" t="n">
        <x:v>-0.0074219164</x:v>
      </x:c>
      <x:c r="AH53" s="38" t="n">
        <x:v>-0.0483620792</x:v>
      </x:c>
      <x:c r="AI53" s="38" t="n">
        <x:v>0.1010216136</x:v>
      </x:c>
      <x:c r="AJ53" s="38" t="n">
        <x:v>-0.0273977541</x:v>
      </x:c>
      <x:c r="AK53" s="38" t="n">
        <x:v>-0.0694697871</x:v>
      </x:c>
      <x:c r="AL53" s="38" t="n">
        <x:v>0.0595417348</x:v>
      </x:c>
      <x:c r="AM53" s="38" t="n">
        <x:v>-0.0283284106</x:v>
      </x:c>
      <x:c r="AN53" s="38" t="n">
        <x:v>0.023464693</x:v>
      </x:c>
      <x:c r="AO53" s="38" t="n">
        <x:v>0.0702348081</x:v>
      </x:c>
      <x:c r="AP53" s="38" t="n">
        <x:v>0.0077833481</x:v>
      </x:c>
      <x:c r="AQ53" s="38" t="n">
        <x:v>0.0220869002</x:v>
      </x:c>
      <x:c r="AR53" s="38" t="n">
        <x:v>0.0067180504</x:v>
      </x:c>
      <x:c r="AS53" s="38" t="n">
        <x:v>-0.0009995481</x:v>
      </x:c>
      <x:c r="AT53" s="38" t="n">
        <x:v>-0.0153908194</x:v>
      </x:c>
      <x:c r="AU53" s="38" t="n">
        <x:v>-0.0175051182</x:v>
      </x:c>
      <x:c r="AV53" s="38" t="n">
        <x:v>-0.0166851119</x:v>
      </x:c>
      <x:c r="AW53" s="38" t="n">
        <x:v>-0.0355388153</x:v>
      </x:c>
      <x:c r="AX53" s="38" t="n">
        <x:v>-0.012729198</x:v>
      </x:c>
      <x:c r="AY53" s="38" t="n">
        <x:v>0.0193746931</x:v>
      </x:c>
      <x:c r="AZ53" s="38" t="n">
        <x:v>0.0424793944</x:v>
      </x:c>
      <x:c r="BA53" s="38" t="n">
        <x:v>0.0804806491</x:v>
      </x:c>
      <x:c r="BB53" s="38" t="n">
        <x:v>0.0142594155</x:v>
      </x:c>
      <x:c r="BC53" s="38" t="n">
        <x:v>-0.0516333509</x:v>
      </x:c>
      <x:c r="BD53" s="38" t="n">
        <x:v>0.0121749623</x:v>
      </x:c>
      <x:c r="BE53" s="38" t="n">
        <x:v>-0.0591374355</x:v>
      </x:c>
      <x:c r="BF53" s="38" t="n">
        <x:v>-0.032643518</x:v>
      </x:c>
      <x:c r="BG53" s="38" t="n">
        <x:v>-0.0468159561</x:v>
      </x:c>
      <x:c r="BH53" s="38" t="n">
        <x:v>-0.0150254491</x:v>
      </x:c>
      <x:c r="BI53" s="38" t="n">
        <x:v>-0.0088698977</x:v>
      </x:c>
      <x:c r="BJ53" s="38" t="n">
        <x:v>-0.0026951223</x:v>
      </x:c>
    </x:row>
    <x:row r="54" ht="19" customHeight="1">
      <x:c r="A54" s="39" t="d">
        <x:v>2024-12-30T00:00:00.000Z</x:v>
      </x:c>
      <x:c r="B54" s="38" t="n">
        <x:v>0.0325211632</x:v>
      </x:c>
      <x:c r="C54" s="38" t="n">
        <x:v>-0.0320690677</x:v>
      </x:c>
      <x:c r="D54" s="38" t="n">
        <x:v>0.0106563611</x:v>
      </x:c>
      <x:c r="E54" s="38" t="n">
        <x:v>0.0349713174</x:v>
      </x:c>
      <x:c r="F54" s="38" t="n">
        <x:v>0.0517207621</x:v>
      </x:c>
      <x:c r="G54" s="38" t="n">
        <x:v>-0.0736547515</x:v>
      </x:c>
      <x:c r="H54" s="38" t="n">
        <x:v>-0.0364862245</x:v>
      </x:c>
      <x:c r="I54" s="38" t="n">
        <x:v>-0.0901347589</x:v>
      </x:c>
      <x:c r="J54" s="38" t="n">
        <x:v>-0.0403281321</x:v>
      </x:c>
      <x:c r="K54" s="38" t="n">
        <x:v>-0.0256321169</x:v>
      </x:c>
      <x:c r="L54" s="38" t="n">
        <x:v>0.0853492004</x:v>
      </x:c>
      <x:c r="M54" s="38" t="n">
        <x:v>0.0740747783</x:v>
      </x:c>
      <x:c r="N54" s="38" t="n">
        <x:v>0.0092815725</x:v>
      </x:c>
      <x:c r="O54" s="38" t="n">
        <x:v>-0.062292383</x:v>
      </x:c>
      <x:c r="P54" s="38" t="n">
        <x:v>0.1020135914</x:v>
      </x:c>
      <x:c r="Q54" s="38" t="n">
        <x:v>-0.097543514</x:v>
      </x:c>
      <x:c r="R54" s="38" t="n">
        <x:v>0.0397342207</x:v>
      </x:c>
      <x:c r="S54" s="38" t="n">
        <x:v>-0.0073439804</x:v>
      </x:c>
      <x:c r="T54" s="38" t="n">
        <x:v>0.0364853964</x:v>
      </x:c>
      <x:c r="U54" s="38" t="n">
        <x:v>-0.0340039739</x:v>
      </x:c>
      <x:c r="V54" s="38" t="n">
        <x:v>0.0127863385</x:v>
      </x:c>
      <x:c r="W54" s="38" t="n">
        <x:v>-0.0554218901</x:v>
      </x:c>
      <x:c r="X54" s="38" t="n">
        <x:v>-0.1212299413</x:v>
      </x:c>
      <x:c r="Y54" s="38" t="n">
        <x:v>0.0518823172</x:v>
      </x:c>
      <x:c r="Z54" s="38" t="n">
        <x:v>-0.0132611285</x:v>
      </x:c>
      <x:c r="AA54" s="38" t="n">
        <x:v>-0.2083130887</x:v>
      </x:c>
      <x:c r="AB54" s="38" t="n">
        <x:v>-0.1684708181</x:v>
      </x:c>
      <x:c r="AC54" s="38" t="n">
        <x:v>0.0207280945</x:v>
      </x:c>
      <x:c r="AD54" s="38" t="n">
        <x:v>0.0191707635</x:v>
      </x:c>
      <x:c r="AE54" s="38" t="n">
        <x:v>-0.1003297157</x:v>
      </x:c>
      <x:c r="AF54" s="38" t="n">
        <x:v>0.2542705534</x:v>
      </x:c>
      <x:c r="AG54" s="38" t="n">
        <x:v>0.0427307775</x:v>
      </x:c>
      <x:c r="AH54" s="38" t="n">
        <x:v>-0.0738246494</x:v>
      </x:c>
      <x:c r="AI54" s="38" t="n">
        <x:v>-0.043248092</x:v>
      </x:c>
      <x:c r="AJ54" s="38" t="n">
        <x:v>-0.0307286127</x:v>
      </x:c>
      <x:c r="AK54" s="38" t="n">
        <x:v>0.0996685896</x:v>
      </x:c>
      <x:c r="AL54" s="38" t="n">
        <x:v>-0.0322867698</x:v>
      </x:c>
      <x:c r="AM54" s="38" t="n">
        <x:v>0.0857144777</x:v>
      </x:c>
      <x:c r="AN54" s="38" t="n">
        <x:v>-0.0461882205</x:v>
      </x:c>
      <x:c r="AO54" s="38" t="n">
        <x:v>-0.0239687193</x:v>
      </x:c>
      <x:c r="AP54" s="38" t="n">
        <x:v>0.0432340089</x:v>
      </x:c>
      <x:c r="AQ54" s="38" t="n">
        <x:v>0.0126208869</x:v>
      </x:c>
      <x:c r="AR54" s="38" t="n">
        <x:v>0.0028156991</x:v>
      </x:c>
      <x:c r="AS54" s="38" t="n">
        <x:v>-0.0265277688</x:v>
      </x:c>
      <x:c r="AT54" s="38" t="n">
        <x:v>-0.0249842634</x:v>
      </x:c>
      <x:c r="AU54" s="38" t="n">
        <x:v>-0.0304747521</x:v>
      </x:c>
      <x:c r="AV54" s="38" t="n">
        <x:v>-0.0310044264</x:v>
      </x:c>
      <x:c r="AW54" s="38" t="n">
        <x:v>-0.0339878689</x:v>
      </x:c>
      <x:c r="AX54" s="38" t="n">
        <x:v>-0.0267634568</x:v>
      </x:c>
      <x:c r="AY54" s="38" t="n">
        <x:v>-0.0284271373</x:v>
      </x:c>
      <x:c r="AZ54" s="38" t="n">
        <x:v>-0.0063929045</x:v>
      </x:c>
      <x:c r="BA54" s="38" t="n">
        <x:v>0.0060055738</x:v>
      </x:c>
      <x:c r="BB54" s="38" t="n">
        <x:v>-0.0423778354</x:v>
      </x:c>
      <x:c r="BC54" s="38" t="n">
        <x:v>-0.0635659781</x:v>
      </x:c>
      <x:c r="BD54" s="38" t="n">
        <x:v>-0.0188699316</x:v>
      </x:c>
      <x:c r="BE54" s="38" t="n">
        <x:v>-0.0294620045</x:v>
      </x:c>
      <x:c r="BF54" s="38" t="n">
        <x:v>-0.0423598733</x:v>
      </x:c>
      <x:c r="BG54" s="38" t="n">
        <x:v>-0.0934122608</x:v>
      </x:c>
      <x:c r="BH54" s="38" t="n">
        <x:v>-0.0436627641</x:v>
      </x:c>
      <x:c r="BI54" s="38" t="n">
        <x:v>0.0178770461</x:v>
      </x:c>
      <x:c r="BJ54" s="38" t="n">
        <x:v>-0.0220028414</x:v>
      </x:c>
    </x:row>
    <x:row r="55" ht="19" customHeight="1">
      <x:c r="A55" s="39" t="d">
        <x:v>2025-01-27T00:00:00.000Z</x:v>
      </x:c>
      <x:c r="B55" s="38" t="n">
        <x:v>0.0305272411</x:v>
      </x:c>
      <x:c r="C55" s="38" t="n">
        <x:v>0.0217529316</x:v>
      </x:c>
      <x:c r="D55" s="38" t="n">
        <x:v>0.0597840754</x:v>
      </x:c>
      <x:c r="E55" s="38" t="n">
        <x:v>0.0501598008</x:v>
      </x:c>
      <x:c r="F55" s="38" t="n">
        <x:v>-0.0240504468</x:v>
      </x:c>
      <x:c r="G55" s="38" t="n">
        <x:v>-0.0514608846</x:v>
      </x:c>
      <x:c r="H55" s="38" t="n">
        <x:v>0.0873219574</x:v>
      </x:c>
      <x:c r="I55" s="38" t="n">
        <x:v>-0.0127750519</x:v>
      </x:c>
      <x:c r="J55" s="38" t="n">
        <x:v>0.1582616195</x:v>
      </x:c>
      <x:c r="K55" s="38" t="n">
        <x:v>0.082844572</x:v>
      </x:c>
      <x:c r="L55" s="38" t="n">
        <x:v>-0.0076515841</x:v>
      </x:c>
      <x:c r="M55" s="38" t="n">
        <x:v>0.0587767786</x:v>
      </x:c>
      <x:c r="N55" s="38" t="n">
        <x:v>0.0590079654</x:v>
      </x:c>
      <x:c r="O55" s="38" t="n">
        <x:v>0.076444587</x:v>
      </x:c>
      <x:c r="P55" s="38" t="n">
        <x:v>-0.1255596843</x:v>
      </x:c>
      <x:c r="Q55" s="38" t="n">
        <x:v>0.2965984163</x:v>
      </x:c>
      <x:c r="R55" s="38" t="n">
        <x:v>0.0141711817</x:v>
      </x:c>
      <x:c r="S55" s="38" t="n">
        <x:v>0.1833540119</x:v>
      </x:c>
      <x:c r="T55" s="38" t="n">
        <x:v>-0.1042628265</x:v>
      </x:c>
      <x:c r="U55" s="38" t="n">
        <x:v>-0.0363657869</x:v>
      </x:c>
      <x:c r="V55" s="38" t="n">
        <x:v>0.1231195311</x:v>
      </x:c>
      <x:c r="W55" s="38" t="n">
        <x:v>-0.1903293401</x:v>
      </x:c>
      <x:c r="X55" s="38" t="n">
        <x:v>0.1402924871</x:v>
      </x:c>
      <x:c r="Y55" s="38" t="n">
        <x:v>0.0828463022</x:v>
      </x:c>
      <x:c r="Z55" s="38" t="n">
        <x:v>-0.006220194</x:v>
      </x:c>
      <x:c r="AA55" s="38" t="n">
        <x:v>-0.3944014871</x:v>
      </x:c>
      <x:c r="AB55" s="38" t="n">
        <x:v>-0.1018221264</x:v>
      </x:c>
      <x:c r="AC55" s="38" t="n">
        <x:v>-0.0185409908</x:v>
      </x:c>
      <x:c r="AD55" s="38" t="n">
        <x:v>-0.0013040009</x:v>
      </x:c>
      <x:c r="AE55" s="38" t="n">
        <x:v>-0.0166484169</x:v>
      </x:c>
      <x:c r="AF55" s="38" t="n">
        <x:v>0.0116120044</x:v>
      </x:c>
      <x:c r="AG55" s="38" t="n">
        <x:v>0.0212582411</x:v>
      </x:c>
      <x:c r="AH55" s="38" t="n">
        <x:v>-0.0031868086</x:v>
      </x:c>
      <x:c r="AI55" s="38" t="n">
        <x:v>-0.0497629808</x:v>
      </x:c>
      <x:c r="AJ55" s="38" t="n">
        <x:v>0.0773184237</x:v>
      </x:c>
      <x:c r="AK55" s="38" t="n">
        <x:v>0.0962300116</x:v>
      </x:c>
      <x:c r="AL55" s="38" t="n">
        <x:v>0.0004973892</x:v>
      </x:c>
      <x:c r="AM55" s="38" t="n">
        <x:v>0.0887028341</x:v>
      </x:c>
      <x:c r="AN55" s="38" t="n">
        <x:v>0.0433522122</x:v>
      </x:c>
      <x:c r="AO55" s="38" t="n">
        <x:v>0.0080408341</x:v>
      </x:c>
      <x:c r="AP55" s="38" t="n">
        <x:v>0.0389796572</x:v>
      </x:c>
      <x:c r="AQ55" s="38" t="n">
        <x:v>-0.0139669644</x:v>
      </x:c>
      <x:c r="AR55" s="38" t="n">
        <x:v>-0.0000463977</x:v>
      </x:c>
      <x:c r="AS55" s="38" t="n">
        <x:v>-0.0030620993</x:v>
      </x:c>
      <x:c r="AT55" s="38" t="n">
        <x:v>0.0117303194</x:v>
      </x:c>
      <x:c r="AU55" s="38" t="n">
        <x:v>0.0056938386</x:v>
      </x:c>
      <x:c r="AV55" s="38" t="n">
        <x:v>0.0059411521</x:v>
      </x:c>
      <x:c r="AW55" s="38" t="n">
        <x:v>0.0040111351</x:v>
      </x:c>
      <x:c r="AX55" s="38" t="n">
        <x:v>-0.0016151918</x:v>
      </x:c>
      <x:c r="AY55" s="38" t="n">
        <x:v>0.0206565223</x:v>
      </x:c>
      <x:c r="AZ55" s="38" t="n">
        <x:v>0.0388986635</x:v>
      </x:c>
      <x:c r="BA55" s="38" t="n">
        <x:v>0.0173601042</x:v>
      </x:c>
      <x:c r="BB55" s="38" t="n">
        <x:v>0.0008455452</x:v>
      </x:c>
      <x:c r="BC55" s="38" t="n">
        <x:v>-0.0130740857</x:v>
      </x:c>
      <x:c r="BD55" s="38" t="n">
        <x:v>0.0535658707</x:v>
      </x:c>
      <x:c r="BE55" s="38" t="n">
        <x:v>0.0581094011</x:v>
      </x:c>
      <x:c r="BF55" s="38" t="n">
        <x:v>0.031284786</x:v>
      </x:c>
      <x:c r="BG55" s="38" t="n">
        <x:v>0.0669510623</x:v>
      </x:c>
      <x:c r="BH55" s="38" t="n">
        <x:v>0.0054053303</x:v>
      </x:c>
      <x:c r="BI55" s="38" t="n">
        <x:v>-0.0558935146</x:v>
      </x:c>
      <x:c r="BJ55" s="38" t="n">
        <x:v>0.001886941</x:v>
      </x:c>
    </x:row>
    <x:row r="56" ht="19" customHeight="1">
      <x:c r="A56" s="39" t="d">
        <x:v>2025-02-24T00:00:00.000Z</x:v>
      </x:c>
      <x:c r="B56" s="38" t="n">
        <x:v>-0.2282777184</x:v>
      </x:c>
      <x:c r="C56" s="38" t="n">
        <x:v>-0.1188892313</x:v>
      </x:c>
      <x:c r="D56" s="38" t="n">
        <x:v>0.0485702708</x:v>
      </x:c>
      <x:c r="E56" s="38" t="n">
        <x:v>0.0743436631</x:v>
      </x:c>
      <x:c r="F56" s="38" t="n">
        <x:v>0.0501402627</x:v>
      </x:c>
      <x:c r="G56" s="38" t="n">
        <x:v>-0.030416997</x:v>
      </x:c>
      <x:c r="H56" s="38" t="n">
        <x:v>-0.0494264209</x:v>
      </x:c>
      <x:c r="I56" s="38" t="n">
        <x:v>-0.2143325917</x:v>
      </x:c>
      <x:c r="J56" s="38" t="n">
        <x:v>0.0743842823</x:v>
      </x:c>
      <x:c r="K56" s="38" t="n">
        <x:v>-0.0824574633</x:v>
      </x:c>
      <x:c r="L56" s="38" t="n">
        <x:v>-0.1851014338</x:v>
      </x:c>
      <x:c r="M56" s="38" t="n">
        <x:v>-0.0146160442</x:v>
      </x:c>
      <x:c r="N56" s="38" t="n">
        <x:v>-0.0178793757</x:v>
      </x:c>
      <x:c r="O56" s="38" t="n">
        <x:v>0.0183902402</x:v>
      </x:c>
      <x:c r="P56" s="38" t="n">
        <x:v>0.2182121769</x:v>
      </x:c>
      <x:c r="Q56" s="38" t="n">
        <x:v>0.0543151927</x:v>
      </x:c>
      <x:c r="R56" s="38" t="n">
        <x:v>0.0728395832</x:v>
      </x:c>
      <x:c r="S56" s="38" t="n">
        <x:v>0.20201541</x:v>
      </x:c>
      <x:c r="T56" s="38" t="n">
        <x:v>-0.3300728227</x:v>
      </x:c>
      <x:c r="U56" s="38" t="n">
        <x:v>-0.2300674342</x:v>
      </x:c>
      <x:c r="V56" s="38" t="n">
        <x:v>-0.0076901395</x:v>
      </x:c>
      <x:c r="W56" s="38" t="n">
        <x:v>0.055869918</x:v>
      </x:c>
      <x:c r="X56" s="38" t="n">
        <x:v>-0.048854542</x:v>
      </x:c>
      <x:c r="Y56" s="38" t="n">
        <x:v>0.0019150066</x:v>
      </x:c>
      <x:c r="Z56" s="38" t="n">
        <x:v>0.1147605161</x:v>
      </x:c>
      <x:c r="AA56" s="38" t="n">
        <x:v>-0.1936006927</x:v>
      </x:c>
      <x:c r="AB56" s="38" t="n">
        <x:v>0.1282706969</x:v>
      </x:c>
      <x:c r="AC56" s="38" t="n">
        <x:v>0.0057575905</x:v>
      </x:c>
      <x:c r="AD56" s="38" t="n">
        <x:v>0.0224459903</x:v>
      </x:c>
      <x:c r="AE56" s="38" t="n">
        <x:v>-0.0525352219</x:v>
      </x:c>
      <x:c r="AF56" s="38" t="n">
        <x:v>-0.0187413748</x:v>
      </x:c>
      <x:c r="AG56" s="38" t="n">
        <x:v>-0.0738873894</x:v>
      </x:c>
      <x:c r="AH56" s="38" t="n">
        <x:v>-0.1687302062</x:v>
      </x:c>
      <x:c r="AI56" s="38" t="n">
        <x:v>0.0883507909</x:v>
      </x:c>
      <x:c r="AJ56" s="38" t="n">
        <x:v>0.0629068359</x:v>
      </x:c>
      <x:c r="AK56" s="38" t="n">
        <x:v>0.0701478411</x:v>
      </x:c>
      <x:c r="AL56" s="38" t="n">
        <x:v>-0.0495832841</x:v>
      </x:c>
      <x:c r="AM56" s="38" t="n">
        <x:v>-0.1395980608</x:v>
      </x:c>
      <x:c r="AN56" s="38" t="n">
        <x:v>0.0653740243</x:v>
      </x:c>
      <x:c r="AO56" s="38" t="n">
        <x:v>0.0073451016</x:v>
      </x:c>
      <x:c r="AP56" s="38" t="n">
        <x:v>0.0778122605</x:v>
      </x:c>
      <x:c r="AQ56" s="38" t="n">
        <x:v>0.0512876475</x:v>
      </x:c>
      <x:c r="AR56" s="38" t="n">
        <x:v>0.0714071347</x:v>
      </x:c>
      <x:c r="AS56" s="38" t="n">
        <x:v>0.0084258962</x:v>
      </x:c>
      <x:c r="AT56" s="38" t="n">
        <x:v>0.0055214418</x:v>
      </x:c>
      <x:c r="AU56" s="38" t="n">
        <x:v>0.0026238889</x:v>
      </x:c>
      <x:c r="AV56" s="38" t="n">
        <x:v>0.0021025398</x:v>
      </x:c>
      <x:c r="AW56" s="38" t="n">
        <x:v>-0.0062912478</x:v>
      </x:c>
      <x:c r="AX56" s="38" t="n">
        <x:v>0.010158537</x:v>
      </x:c>
      <x:c r="AY56" s="38" t="n">
        <x:v>-0.0161862616</x:v>
      </x:c>
      <x:c r="AZ56" s="38" t="n">
        <x:v>0.012156811</x:v>
      </x:c>
      <x:c r="BA56" s="38" t="n">
        <x:v>-0.0652660586</x:v>
      </x:c>
      <x:c r="BB56" s="38" t="n">
        <x:v>0.0695627504</x:v>
      </x:c>
      <x:c r="BC56" s="38" t="n">
        <x:v>0.0251413756</x:v>
      </x:c>
      <x:c r="BD56" s="38" t="n">
        <x:v>0.0284918631</x:v>
      </x:c>
      <x:c r="BE56" s="38" t="n">
        <x:v>0.0233342226</x:v>
      </x:c>
      <x:c r="BF56" s="38" t="n">
        <x:v>-0.0071502687</x:v>
      </x:c>
      <x:c r="BG56" s="38" t="n">
        <x:v>0.0132062491</x:v>
      </x:c>
      <x:c r="BH56" s="38" t="n">
        <x:v>0.0701883098</x:v>
      </x:c>
      <x:c r="BI56" s="38" t="n">
        <x:v>-0.005006637</x:v>
      </x:c>
      <x:c r="BJ56" s="38" t="n">
        <x:v>0.0255101856</x:v>
      </x:c>
    </x:row>
    <x:row r="57" ht="19" customHeight="1">
      <x:c r="A57" s="39" t="d">
        <x:v>2025-03-24T00:00:00.000Z</x:v>
      </x:c>
      <x:c r="B57" s="38" t="n">
        <x:v>-0.0740297983</x:v>
      </x:c>
      <x:c r="C57" s="38" t="n">
        <x:v>-0.1259602202</x:v>
      </x:c>
      <x:c r="D57" s="38" t="n">
        <x:v>-0.0284710316</x:v>
      </x:c>
      <x:c r="E57" s="38" t="n">
        <x:v>-0.0429000458</x:v>
      </x:c>
      <x:c r="F57" s="38" t="n">
        <x:v>-0.1008879057</x:v>
      </x:c>
      <x:c r="G57" s="38" t="n">
        <x:v>-0.055054128</x:v>
      </x:c>
      <x:c r="H57" s="38" t="n">
        <x:v>0.0684034078</x:v>
      </x:c>
      <x:c r="I57" s="38" t="n">
        <x:v>-0.1154741549</x:v>
      </x:c>
      <x:c r="J57" s="38" t="n">
        <x:v>-0.0025327972</x:v>
      </x:c>
      <x:c r="K57" s="38" t="n">
        <x:v>-0.0222300467</x:v>
      </x:c>
      <x:c r="L57" s="38" t="n">
        <x:v>-0.0978726825</x:v>
      </x:c>
      <x:c r="M57" s="38" t="n">
        <x:v>-0.037410479</x:v>
      </x:c>
      <x:c r="N57" s="38" t="n">
        <x:v>-0.04498433</x:v>
      </x:c>
      <x:c r="O57" s="38" t="n">
        <x:v>-0.0601597857</x:v>
      </x:c>
      <x:c r="P57" s="38" t="n">
        <x:v>-0.0400900327</x:v>
      </x:c>
      <x:c r="Q57" s="38" t="n">
        <x:v>-0.1853427449</x:v>
      </x:c>
      <x:c r="R57" s="38" t="n">
        <x:v>0.0194336678</x:v>
      </x:c>
      <x:c r="S57" s="38" t="n">
        <x:v>-0.0346355352</x:v>
      </x:c>
      <x:c r="T57" s="38" t="n">
        <x:v>-0.0046962969</x:v>
      </x:c>
      <x:c r="U57" s="38" t="n">
        <x:v>0.0486120628</x:v>
      </x:c>
      <x:c r="V57" s="38" t="n">
        <x:v>-0.1145150201</x:v>
      </x:c>
      <x:c r="W57" s="38" t="n">
        <x:v>0.0169249827</x:v>
      </x:c>
      <x:c r="X57" s="38" t="n">
        <x:v>0.0832215847</x:v>
      </x:c>
      <x:c r="Y57" s="38" t="n">
        <x:v>0.0557063399</x:v>
      </x:c>
      <x:c r="Z57" s="38" t="n">
        <x:v>-0.0231397652</x:v>
      </x:c>
      <x:c r="AA57" s="38" t="n">
        <x:v>0.2286818695</x:v>
      </x:c>
      <x:c r="AB57" s="38" t="n">
        <x:v>-0.0414557256</x:v>
      </x:c>
      <x:c r="AC57" s="38" t="n">
        <x:v>-0.0424077968</x:v>
      </x:c>
      <x:c r="AD57" s="38" t="n">
        <x:v>0.054811798</x:v>
      </x:c>
      <x:c r="AE57" s="38" t="n">
        <x:v>-0.1724071</x:v>
      </x:c>
      <x:c r="AF57" s="38" t="n">
        <x:v>-0.000132724</x:v>
      </x:c>
      <x:c r="AG57" s="38" t="n">
        <x:v>0.1315593554</x:v>
      </x:c>
      <x:c r="AH57" s="38" t="n">
        <x:v>0.2234023277</x:v>
      </x:c>
      <x:c r="AI57" s="38" t="n">
        <x:v>-0.1288310653</x:v>
      </x:c>
      <x:c r="AJ57" s="38" t="n">
        <x:v>-0.0231953361</x:v>
      </x:c>
      <x:c r="AK57" s="38" t="n">
        <x:v>0.1456699729</x:v>
      </x:c>
      <x:c r="AL57" s="38" t="n">
        <x:v>0.038339858</x:v>
      </x:c>
      <x:c r="AM57" s="38" t="n">
        <x:v>-0.0104305202</x:v>
      </x:c>
      <x:c r="AN57" s="38" t="n">
        <x:v>-0.0779382773</x:v>
      </x:c>
      <x:c r="AO57" s="38" t="n">
        <x:v>-0.086412917</x:v>
      </x:c>
      <x:c r="AP57" s="38" t="n">
        <x:v>-0.0226909929</x:v>
      </x:c>
      <x:c r="AQ57" s="38" t="n">
        <x:v>-0.0415804811</x:v>
      </x:c>
      <x:c r="AR57" s="38" t="n">
        <x:v>0.0072006246</x:v>
      </x:c>
      <x:c r="AS57" s="38" t="n">
        <x:v>0.0103175654</x:v>
      </x:c>
      <x:c r="AT57" s="38" t="n">
        <x:v>0.010698013</x:v>
      </x:c>
      <x:c r="AU57" s="38" t="n">
        <x:v>0.0541733105</x:v>
      </x:c>
      <x:c r="AV57" s="38" t="n">
        <x:v>0.0611906118</x:v>
      </x:c>
      <x:c r="AW57" s="38" t="n">
        <x:v>0.0199015376</x:v>
      </x:c>
      <x:c r="AX57" s="38" t="n">
        <x:v>-0.0051410615</x:v>
      </x:c>
      <x:c r="AY57" s="38" t="n">
        <x:v>-0.0822616423</x:v>
      </x:c>
      <x:c r="AZ57" s="38" t="n">
        <x:v>0.000473037</x:v>
      </x:c>
      <x:c r="BA57" s="38" t="n">
        <x:v>-0.0100516676</x:v>
      </x:c>
      <x:c r="BB57" s="38" t="n">
        <x:v>-0.0029750616</x:v>
      </x:c>
      <x:c r="BC57" s="38" t="n">
        <x:v>-0.0051000643</x:v>
      </x:c>
      <x:c r="BD57" s="38" t="n">
        <x:v>-0.0066019644</x:v>
      </x:c>
      <x:c r="BE57" s="38" t="n">
        <x:v>0.0020396483</x:v>
      </x:c>
      <x:c r="BF57" s="38" t="n">
        <x:v>0.0133795536</x:v>
      </x:c>
      <x:c r="BG57" s="38" t="n">
        <x:v>0.0152138384</x:v>
      </x:c>
      <x:c r="BH57" s="38" t="n">
        <x:v>0.0284653812</x:v>
      </x:c>
      <x:c r="BI57" s="38" t="n">
        <x:v>0.0089519779</x:v>
      </x:c>
      <x:c r="BJ57" s="38" t="n">
        <x:v>0.019450515</x:v>
      </x:c>
    </x:row>
    <x:row r="58" ht="19" customHeight="1">
      <x:c r="A58" s="39" t="d">
        <x:v>2025-04-21T00:00:00.000Z</x:v>
      </x:c>
      <x:c r="B58" s="38" t="n">
        <x:v>0.0235038902</x:v>
      </x:c>
      <x:c r="C58" s="38" t="n">
        <x:v>0.0778306043</x:v>
      </x:c>
      <x:c r="D58" s="38" t="n">
        <x:v>-0.0572076297</x:v>
      </x:c>
      <x:c r="E58" s="38" t="n">
        <x:v>-0.0087537859</x:v>
      </x:c>
      <x:c r="F58" s="38" t="n">
        <x:v>-0.1127310091</x:v>
      </x:c>
      <x:c r="G58" s="38" t="n">
        <x:v>-0.027586657</x:v>
      </x:c>
      <x:c r="H58" s="38" t="n">
        <x:v>-0.1375769888</x:v>
      </x:c>
      <x:c r="I58" s="38" t="n">
        <x:v>0.0859191351</x:v>
      </x:c>
      <x:c r="J58" s="38" t="n">
        <x:v>-0.1276470513</x:v>
      </x:c>
      <x:c r="K58" s="38" t="n">
        <x:v>-0.012938914</x:v>
      </x:c>
      <x:c r="L58" s="38" t="n">
        <x:v>0.0958126091</x:v>
      </x:c>
      <x:c r="M58" s="38" t="n">
        <x:v>0.0958321275</x:v>
      </x:c>
      <x:c r="N58" s="38" t="n">
        <x:v>-0.0448654211</x:v>
      </x:c>
      <x:c r="O58" s="38" t="n">
        <x:v>-0.0446529975</x:v>
      </x:c>
      <x:c r="P58" s="38" t="n">
        <x:v>0.0437762525</x:v>
      </x:c>
      <x:c r="Q58" s="38" t="n">
        <x:v>-0.0622793263</x:v>
      </x:c>
      <x:c r="R58" s="38" t="n">
        <x:v>0.0113284314</x:v>
      </x:c>
      <x:c r="S58" s="38" t="n">
        <x:v>0.0814861132</x:v>
      </x:c>
      <x:c r="T58" s="38" t="n">
        <x:v>-0.2708398057</x:v>
      </x:c>
      <x:c r="U58" s="38" t="n">
        <x:v>0.0370603716</x:v>
      </x:c>
      <x:c r="V58" s="38" t="n">
        <x:v>0.0868168209</x:v>
      </x:c>
      <x:c r="W58" s="38" t="n">
        <x:v>-0.0858691897</x:v>
      </x:c>
      <x:c r="X58" s="38" t="n">
        <x:v>-0.1810159556</x:v>
      </x:c>
      <x:c r="Y58" s="38" t="n">
        <x:v>0.0716162761</x:v>
      </x:c>
      <x:c r="Z58" s="38" t="n">
        <x:v>-0.0948530321</x:v>
      </x:c>
      <x:c r="AA58" s="38" t="n">
        <x:v>-0.1542898182</x:v>
      </x:c>
      <x:c r="AB58" s="38" t="n">
        <x:v>-0.1095904821</x:v>
      </x:c>
      <x:c r="AC58" s="38" t="n">
        <x:v>-0.0677422068</x:v>
      </x:c>
      <x:c r="AD58" s="38" t="n">
        <x:v>-0.0446617961</x:v>
      </x:c>
      <x:c r="AE58" s="38" t="n">
        <x:v>0.0670242274</x:v>
      </x:c>
      <x:c r="AF58" s="38" t="n">
        <x:v>-0.0856420546</x:v>
      </x:c>
      <x:c r="AG58" s="38" t="n">
        <x:v>0.0711745711</x:v>
      </x:c>
      <x:c r="AH58" s="38" t="n">
        <x:v>-0.3411996155</x:v>
      </x:c>
      <x:c r="AI58" s="38" t="n">
        <x:v>0.1772871363</x:v>
      </x:c>
      <x:c r="AJ58" s="38" t="n">
        <x:v>-0.065722245</x:v>
      </x:c>
      <x:c r="AK58" s="38" t="n">
        <x:v>-0.0520601536</x:v>
      </x:c>
      <x:c r="AL58" s="38" t="n">
        <x:v>-0.0795200549</x:v>
      </x:c>
      <x:c r="AM58" s="38" t="n">
        <x:v>-0.0102031874</x:v>
      </x:c>
      <x:c r="AN58" s="38" t="n">
        <x:v>0.0314362893</x:v>
      </x:c>
      <x:c r="AO58" s="38" t="n">
        <x:v>-0.0632588619</x:v>
      </x:c>
      <x:c r="AP58" s="38" t="n">
        <x:v>-0.0272381148</x:v>
      </x:c>
      <x:c r="AQ58" s="38" t="n">
        <x:v>-0.0647176155</x:v>
      </x:c>
      <x:c r="AR58" s="38" t="n">
        <x:v>-0.0273245049</x:v>
      </x:c>
      <x:c r="AS58" s="38" t="n">
        <x:v>0.0574053138</x:v>
      </x:c>
      <x:c r="AT58" s="38" t="n">
        <x:v>0.025541065</x:v>
      </x:c>
      <x:c r="AU58" s="38" t="n">
        <x:v>0.0622128976</x:v>
      </x:c>
      <x:c r="AV58" s="38" t="n">
        <x:v>0.0593593289</x:v>
      </x:c>
      <x:c r="AW58" s="38" t="n">
        <x:v>0.0217422767</x:v>
      </x:c>
      <x:c r="AX58" s="38" t="n">
        <x:v>0.0440292019</x:v>
      </x:c>
      <x:c r="AY58" s="38" t="n">
        <x:v>-0.0118263696</x:v>
      </x:c>
      <x:c r="AZ58" s="38" t="n">
        <x:v>-0.0060899081</x:v>
      </x:c>
      <x:c r="BA58" s="38" t="n">
        <x:v>0.0249937161</x:v>
      </x:c>
      <x:c r="BB58" s="38" t="n">
        <x:v>0.0106290643</x:v>
      </x:c>
      <x:c r="BC58" s="38" t="n">
        <x:v>-0.1715360575</x:v>
      </x:c>
      <x:c r="BD58" s="38" t="n">
        <x:v>-0.0242557464</x:v>
      </x:c>
      <x:c r="BE58" s="38" t="n">
        <x:v>-0.0559788715</x:v>
      </x:c>
      <x:c r="BF58" s="38" t="n">
        <x:v>-0.0037787464</x:v>
      </x:c>
      <x:c r="BG58" s="38" t="n">
        <x:v>-0.0274612617</x:v>
      </x:c>
      <x:c r="BH58" s="38" t="n">
        <x:v>-0.0132595295</x:v>
      </x:c>
      <x:c r="BI58" s="38" t="n">
        <x:v>0.0310812651</x:v>
      </x:c>
      <x:c r="BJ58" s="38" t="n">
        <x:v>0.0059708946</x:v>
      </x:c>
    </x:row>
    <x:row r="59" ht="19" customHeight="1">
      <x:c r="A59" s="39" t="d">
        <x:v>2025-05-19T00:00:00.000Z</x:v>
      </x:c>
      <x:c r="B59" s="38" t="n">
        <x:v>0.0279171119</x:v>
      </x:c>
      <x:c r="C59" s="38" t="n">
        <x:v>-0.064178185</x:v>
      </x:c>
      <x:c r="D59" s="38" t="n">
        <x:v>-0.0869693851</x:v>
      </x:c>
      <x:c r="E59" s="38" t="n">
        <x:v>-0.0694937476</x:v>
      </x:c>
      <x:c r="F59" s="38" t="n">
        <x:v>0.1225048846</x:v>
      </x:c>
      <x:c r="G59" s="38" t="n">
        <x:v>-0.0951467806</x:v>
      </x:c>
      <x:c r="H59" s="38" t="n">
        <x:v>-0.0625363934</x:v>
      </x:c>
      <x:c r="I59" s="38" t="n">
        <x:v>-0.030046175</x:v>
      </x:c>
      <x:c r="J59" s="38" t="n">
        <x:v>0.0585983391</x:v>
      </x:c>
      <x:c r="K59" s="38" t="n">
        <x:v>0.1628147901</x:v>
      </x:c>
      <x:c r="L59" s="38" t="n">
        <x:v>0.2151156238</x:v>
      </x:c>
      <x:c r="M59" s="38" t="n">
        <x:v>0.1378872771</x:v>
      </x:c>
      <x:c r="N59" s="38" t="n">
        <x:v>0.0053923211</x:v>
      </x:c>
      <x:c r="O59" s="38" t="n">
        <x:v>-0.0419987097</x:v>
      </x:c>
      <x:c r="P59" s="38" t="n">
        <x:v>-0.010521758</x:v>
      </x:c>
      <x:c r="Q59" s="38" t="n">
        <x:v>-0.2570781433</x:v>
      </x:c>
      <x:c r="R59" s="38" t="n">
        <x:v>0.0434854319</x:v>
      </x:c>
      <x:c r="S59" s="38" t="n">
        <x:v>0.1547879258</x:v>
      </x:c>
      <x:c r="T59" s="38" t="n">
        <x:v>-0.012268467</x:v>
      </x:c>
      <x:c r="U59" s="38" t="n">
        <x:v>-0.0063430395</x:v>
      </x:c>
      <x:c r="V59" s="38" t="n">
        <x:v>0.0002542224</x:v>
      </x:c>
      <x:c r="W59" s="38" t="n">
        <x:v>-0.0676190923</x:v>
      </x:c>
      <x:c r="X59" s="38" t="n">
        <x:v>-0.0110173254</x:v>
      </x:c>
      <x:c r="Y59" s="38" t="n">
        <x:v>-0.0764756106</x:v>
      </x:c>
      <x:c r="Z59" s="38" t="n">
        <x:v>0.0200327307</x:v>
      </x:c>
      <x:c r="AA59" s="38" t="n">
        <x:v>0.2115168244</x:v>
      </x:c>
      <x:c r="AB59" s="38" t="n">
        <x:v>-0.3772382108</x:v>
      </x:c>
      <x:c r="AC59" s="38" t="n">
        <x:v>-0.0397542835</x:v>
      </x:c>
      <x:c r="AD59" s="38" t="n">
        <x:v>-0.0388268411</x:v>
      </x:c>
      <x:c r="AE59" s="38" t="n">
        <x:v>-0.0311695118</x:v>
      </x:c>
      <x:c r="AF59" s="38" t="n">
        <x:v>0.0376324421</x:v>
      </x:c>
      <x:c r="AG59" s="38" t="n">
        <x:v>-0.0877554263</x:v>
      </x:c>
      <x:c r="AH59" s="38" t="n">
        <x:v>-0.0855155849</x:v>
      </x:c>
      <x:c r="AI59" s="38" t="n">
        <x:v>-0.1609602571</x:v>
      </x:c>
      <x:c r="AJ59" s="38" t="n">
        <x:v>0.0229135288</x:v>
      </x:c>
      <x:c r="AK59" s="38" t="n">
        <x:v>0.0152898602</x:v>
      </x:c>
      <x:c r="AL59" s="38" t="n">
        <x:v>0.1104206912</x:v>
      </x:c>
      <x:c r="AM59" s="38" t="n">
        <x:v>-0.0373256198</x:v>
      </x:c>
      <x:c r="AN59" s="38" t="n">
        <x:v>-0.0575613524</x:v>
      </x:c>
      <x:c r="AO59" s="38" t="n">
        <x:v>-0.1209552857</x:v>
      </x:c>
      <x:c r="AP59" s="38" t="n">
        <x:v>-0.0470083444</x:v>
      </x:c>
      <x:c r="AQ59" s="38" t="n">
        <x:v>0.0581995002</x:v>
      </x:c>
      <x:c r="AR59" s="38" t="n">
        <x:v>-0.0865734858</x:v>
      </x:c>
      <x:c r="AS59" s="38" t="n">
        <x:v>0.0177575005</x:v>
      </x:c>
      <x:c r="AT59" s="38" t="n">
        <x:v>0.0272429295</x:v>
      </x:c>
      <x:c r="AU59" s="38" t="n">
        <x:v>0.0008250854</x:v>
      </x:c>
      <x:c r="AV59" s="38" t="n">
        <x:v>-0.0027079816</x:v>
      </x:c>
      <x:c r="AW59" s="38" t="n">
        <x:v>0.0177987109</x:v>
      </x:c>
      <x:c r="AX59" s="38" t="n">
        <x:v>-0.0102852147</x:v>
      </x:c>
      <x:c r="AY59" s="38" t="n">
        <x:v>0.0666254263</x:v>
      </x:c>
      <x:c r="AZ59" s="38" t="n">
        <x:v>0.019413993</x:v>
      </x:c>
      <x:c r="BA59" s="38" t="n">
        <x:v>0.0134508203</x:v>
      </x:c>
      <x:c r="BB59" s="38" t="n">
        <x:v>-0.015729635</x:v>
      </x:c>
      <x:c r="BC59" s="38" t="n">
        <x:v>-0.0131694203</x:v>
      </x:c>
      <x:c r="BD59" s="38" t="n">
        <x:v>-0.0004451617</x:v>
      </x:c>
      <x:c r="BE59" s="38" t="n">
        <x:v>-0.1078803745</x:v>
      </x:c>
      <x:c r="BF59" s="38" t="n">
        <x:v>0.0552013965</x:v>
      </x:c>
      <x:c r="BG59" s="38" t="n">
        <x:v>-0.0010699641</x:v>
      </x:c>
      <x:c r="BH59" s="38" t="n">
        <x:v>-0.0467563698</x:v>
      </x:c>
      <x:c r="BI59" s="38" t="n">
        <x:v>0.0149318929</x:v>
      </x:c>
      <x:c r="BJ59" s="38" t="n">
        <x:v>0.0176923312</x:v>
      </x:c>
    </x:row>
    <x:row r="60" ht="19" customHeight="1">
      <x:c r="A60" s="39" t="d">
        <x:v>2025-06-16T00:00:00.000Z</x:v>
      </x:c>
      <x:c r="B60" s="38" t="n">
        <x:v>0.204504954</x:v>
      </x:c>
      <x:c r="C60" s="38" t="n">
        <x:v>-0.0831311649</x:v>
      </x:c>
      <x:c r="D60" s="38" t="n">
        <x:v>-0.0146317343</x:v>
      </x:c>
      <x:c r="E60" s="38" t="n">
        <x:v>-0.0328283284</x:v>
      </x:c>
      <x:c r="F60" s="38" t="n">
        <x:v>0.0677236755</x:v>
      </x:c>
      <x:c r="G60" s="38" t="n">
        <x:v>0.0922659108</x:v>
      </x:c>
      <x:c r="H60" s="38" t="n">
        <x:v>0.0144296346</x:v>
      </x:c>
      <x:c r="I60" s="38" t="n">
        <x:v>-0.0072538309</x:v>
      </x:c>
      <x:c r="J60" s="38" t="n">
        <x:v>0.1198723606</x:v>
      </x:c>
      <x:c r="K60" s="38" t="n">
        <x:v>-0.0180920195</x:v>
      </x:c>
      <x:c r="L60" s="38" t="n">
        <x:v>0.0395812599</x:v>
      </x:c>
      <x:c r="M60" s="38" t="n">
        <x:v>0.002961603</x:v>
      </x:c>
      <x:c r="N60" s="38" t="n">
        <x:v>0.0492484048</x:v>
      </x:c>
      <x:c r="O60" s="38" t="n">
        <x:v>0.1789444732</x:v>
      </x:c>
      <x:c r="P60" s="38" t="n">
        <x:v>0.0837571729</x:v>
      </x:c>
      <x:c r="Q60" s="38" t="n">
        <x:v>-0.2278397446</x:v>
      </x:c>
      <x:c r="R60" s="38" t="n">
        <x:v>-0.0818139259</x:v>
      </x:c>
      <x:c r="S60" s="38" t="n">
        <x:v>0.0809858751</x:v>
      </x:c>
      <x:c r="T60" s="38" t="n">
        <x:v>-0.0231976621</x:v>
      </x:c>
      <x:c r="U60" s="38" t="n">
        <x:v>0.097517274</x:v>
      </x:c>
      <x:c r="V60" s="38" t="n">
        <x:v>-0.0175235167</x:v>
      </x:c>
      <x:c r="W60" s="38" t="n">
        <x:v>-0.0344246968</x:v>
      </x:c>
      <x:c r="X60" s="38" t="n">
        <x:v>0.2383827543</x:v>
      </x:c>
      <x:c r="Y60" s="38" t="n">
        <x:v>0.1188580952</x:v>
      </x:c>
      <x:c r="Z60" s="38" t="n">
        <x:v>-0.067849359</x:v>
      </x:c>
      <x:c r="AA60" s="38" t="n">
        <x:v>-0.0333072769</x:v>
      </x:c>
      <x:c r="AB60" s="38" t="n">
        <x:v>0.2288388523</x:v>
      </x:c>
      <x:c r="AC60" s="38" t="n">
        <x:v>-0.008610031</x:v>
      </x:c>
      <x:c r="AD60" s="38" t="n">
        <x:v>0.0191782198</x:v>
      </x:c>
      <x:c r="AE60" s="38" t="n">
        <x:v>-0.0389002395</x:v>
      </x:c>
      <x:c r="AF60" s="38" t="n">
        <x:v>-0.0399252229</x:v>
      </x:c>
      <x:c r="AG60" s="38" t="n">
        <x:v>0.0921688456</x:v>
      </x:c>
      <x:c r="AH60" s="38" t="n">
        <x:v>0.0029011535</x:v>
      </x:c>
      <x:c r="AI60" s="38" t="n">
        <x:v>0.0108114409</x:v>
      </x:c>
      <x:c r="AJ60" s="38" t="n">
        <x:v>-0.0316781639</x:v>
      </x:c>
      <x:c r="AK60" s="38" t="n">
        <x:v>-0.1767535997</x:v>
      </x:c>
      <x:c r="AL60" s="38" t="n">
        <x:v>-0.0167776519</x:v>
      </x:c>
      <x:c r="AM60" s="38" t="n">
        <x:v>-0.1296413574</x:v>
      </x:c>
      <x:c r="AN60" s="38" t="n">
        <x:v>-0.0234195143</x:v>
      </x:c>
      <x:c r="AO60" s="38" t="n">
        <x:v>-0.0238295048</x:v>
      </x:c>
      <x:c r="AP60" s="38" t="n">
        <x:v>-0.0555741371</x:v>
      </x:c>
      <x:c r="AQ60" s="38" t="n">
        <x:v>-0.0233647499</x:v>
      </x:c>
      <x:c r="AR60" s="38" t="n">
        <x:v>-0.0587899489</x:v>
      </x:c>
      <x:c r="AS60" s="38" t="n">
        <x:v>0.0048326395</x:v>
      </x:c>
      <x:c r="AT60" s="38" t="n">
        <x:v>0.0013547409</x:v>
      </x:c>
      <x:c r="AU60" s="38" t="n">
        <x:v>0.0188145618</x:v>
      </x:c>
      <x:c r="AV60" s="38" t="n">
        <x:v>0.0181076064</x:v>
      </x:c>
      <x:c r="AW60" s="38" t="n">
        <x:v>-0.0016514097</x:v>
      </x:c>
      <x:c r="AX60" s="38" t="n">
        <x:v>0.0368875548</x:v>
      </x:c>
      <x:c r="AY60" s="38" t="n">
        <x:v>0.0386174878</x:v>
      </x:c>
      <x:c r="AZ60" s="38" t="n">
        <x:v>0.0011094302</x:v>
      </x:c>
      <x:c r="BA60" s="38" t="n">
        <x:v>-0.0379056198</x:v>
      </x:c>
      <x:c r="BB60" s="38" t="n">
        <x:v>-0.0263139142</x:v>
      </x:c>
      <x:c r="BC60" s="38" t="n">
        <x:v>0.0975887408</x:v>
      </x:c>
      <x:c r="BD60" s="38" t="n">
        <x:v>-0.0244668743</x:v>
      </x:c>
      <x:c r="BE60" s="38" t="n">
        <x:v>0.0038380594</x:v>
      </x:c>
      <x:c r="BF60" s="38" t="n">
        <x:v>-0.0216815222</x:v>
      </x:c>
      <x:c r="BG60" s="38" t="n">
        <x:v>-0.0168954146</x:v>
      </x:c>
      <x:c r="BH60" s="38" t="n">
        <x:v>0.0115776686</x:v>
      </x:c>
      <x:c r="BI60" s="38" t="n">
        <x:v>0.0231370845</x:v>
      </x:c>
      <x:c r="BJ60" s="38" t="n">
        <x:v>-0.0229169731</x:v>
      </x:c>
    </x:row>
    <x:row r="61" ht="19" customHeight="1">
      <x:c r="A61" s="39" t="d">
        <x:v>2025-07-14T00:00:00.000Z</x:v>
      </x:c>
      <x:c r="B61" s="38" t="n">
        <x:v>-0.1364699811</x:v>
      </x:c>
      <x:c r="C61" s="38" t="n">
        <x:v>-0.2119052507</x:v>
      </x:c>
      <x:c r="D61" s="38" t="n">
        <x:v>0.0500221132</x:v>
      </x:c>
      <x:c r="E61" s="38" t="n">
        <x:v>0.027110745</x:v>
      </x:c>
      <x:c r="F61" s="38" t="n">
        <x:v>-0.0023116501</x:v>
      </x:c>
      <x:c r="G61" s="38" t="n">
        <x:v>-0.0334638327</x:v>
      </x:c>
      <x:c r="H61" s="38" t="n">
        <x:v>0.0353746473</x:v>
      </x:c>
      <x:c r="I61" s="38" t="n">
        <x:v>-0.068544673</x:v>
      </x:c>
      <x:c r="J61" s="38" t="n">
        <x:v>-0.0035989399</x:v>
      </x:c>
      <x:c r="K61" s="38" t="n">
        <x:v>0.0732634619</x:v>
      </x:c>
      <x:c r="L61" s="38" t="n">
        <x:v>-0.0149764486</x:v>
      </x:c>
      <x:c r="M61" s="38" t="n">
        <x:v>0.0196456285</x:v>
      </x:c>
      <x:c r="N61" s="38" t="n">
        <x:v>0.0152629956</x:v>
      </x:c>
      <x:c r="O61" s="38" t="n">
        <x:v>-0.0272387934</x:v>
      </x:c>
      <x:c r="P61" s="38" t="n">
        <x:v>-0.080839134</x:v>
      </x:c>
      <x:c r="Q61" s="38" t="n">
        <x:v>0.0047549902</x:v>
      </x:c>
      <x:c r="R61" s="38" t="n">
        <x:v>0.008036676</x:v>
      </x:c>
      <x:c r="S61" s="38" t="n">
        <x:v>0.0657010669</x:v>
      </x:c>
      <x:c r="T61" s="38" t="n">
        <x:v>0.211297097</x:v>
      </x:c>
      <x:c r="U61" s="38" t="n">
        <x:v>-0.1103793357</x:v>
      </x:c>
      <x:c r="V61" s="38" t="n">
        <x:v>-0.1024084072</x:v>
      </x:c>
      <x:c r="W61" s="38" t="n">
        <x:v>0.0405045453</x:v>
      </x:c>
      <x:c r="X61" s="38" t="n">
        <x:v>-0.3005010645</x:v>
      </x:c>
      <x:c r="Y61" s="38" t="n">
        <x:v>-0.0517252828</x:v>
      </x:c>
      <x:c r="Z61" s="38" t="n">
        <x:v>-0.0923061998</x:v>
      </x:c>
      <x:c r="AA61" s="38" t="n">
        <x:v>0.1181275905</x:v>
      </x:c>
      <x:c r="AB61" s="38" t="n">
        <x:v>0.3101495744</x:v>
      </x:c>
      <x:c r="AC61" s="38" t="n">
        <x:v>-0.0399817272</x:v>
      </x:c>
      <x:c r="AD61" s="38" t="n">
        <x:v>-0.0259827703</x:v>
      </x:c>
      <x:c r="AE61" s="38" t="n">
        <x:v>0.0676936867</x:v>
      </x:c>
      <x:c r="AF61" s="38" t="n">
        <x:v>0.1201221082</x:v>
      </x:c>
      <x:c r="AG61" s="38" t="n">
        <x:v>0.0667815753</x:v>
      </x:c>
      <x:c r="AH61" s="38" t="n">
        <x:v>0.1117322589</x:v>
      </x:c>
      <x:c r="AI61" s="38" t="n">
        <x:v>0.0269098228</x:v>
      </x:c>
      <x:c r="AJ61" s="38" t="n">
        <x:v>0.0601586456</x:v>
      </x:c>
      <x:c r="AK61" s="38" t="n">
        <x:v>-0.1779615785</x:v>
      </x:c>
      <x:c r="AL61" s="38" t="n">
        <x:v>0.0326881859</x:v>
      </x:c>
      <x:c r="AM61" s="38" t="n">
        <x:v>0.0462512616</x:v>
      </x:c>
      <x:c r="AN61" s="38" t="n">
        <x:v>-0.0460378712</x:v>
      </x:c>
      <x:c r="AO61" s="38" t="n">
        <x:v>-0.0159242619</x:v>
      </x:c>
      <x:c r="AP61" s="38" t="n">
        <x:v>0.0208131334</x:v>
      </x:c>
      <x:c r="AQ61" s="38" t="n">
        <x:v>0.1552287021</x:v>
      </x:c>
      <x:c r="AR61" s="38" t="n">
        <x:v>-0.057320964</x:v>
      </x:c>
      <x:c r="AS61" s="38" t="n">
        <x:v>0.0302699612</x:v>
      </x:c>
      <x:c r="AT61" s="38" t="n">
        <x:v>0.0016931533</x:v>
      </x:c>
      <x:c r="AU61" s="38" t="n">
        <x:v>0.0109437699</x:v>
      </x:c>
      <x:c r="AV61" s="38" t="n">
        <x:v>0.0121191026</x:v>
      </x:c>
      <x:c r="AW61" s="38" t="n">
        <x:v>0.0110566395</x:v>
      </x:c>
      <x:c r="AX61" s="38" t="n">
        <x:v>-0.0131634624</x:v>
      </x:c>
      <x:c r="AY61" s="38" t="n">
        <x:v>0.0741175656</x:v>
      </x:c>
      <x:c r="AZ61" s="38" t="n">
        <x:v>-0.0198848644</x:v>
      </x:c>
      <x:c r="BA61" s="38" t="n">
        <x:v>-0.0048164816</x:v>
      </x:c>
      <x:c r="BB61" s="38" t="n">
        <x:v>-0.0240207617</x:v>
      </x:c>
      <x:c r="BC61" s="38" t="n">
        <x:v>-0.041236345</x:v>
      </x:c>
      <x:c r="BD61" s="38" t="n">
        <x:v>0.0010946314</x:v>
      </x:c>
      <x:c r="BE61" s="38" t="n">
        <x:v>-0.0366692213</x:v>
      </x:c>
      <x:c r="BF61" s="38" t="n">
        <x:v>0.021085173</x:v>
      </x:c>
      <x:c r="BG61" s="38" t="n">
        <x:v>0.0102569426</x:v>
      </x:c>
      <x:c r="BH61" s="38" t="n">
        <x:v>-0.0439859228</x:v>
      </x:c>
      <x:c r="BI61" s="38" t="n">
        <x:v>0.0052185772</x:v>
      </x:c>
      <x:c r="BJ61" s="38" t="n">
        <x:v>0.0258475257</x:v>
      </x:c>
    </x:row>
    <x:row r="62" ht="19" customHeight="1">
      <x:c r="A62" s="39" t="d">
        <x:v>2025-08-11T00:00:00.000Z</x:v>
      </x:c>
      <x:c r="B62" s="38" t="n">
        <x:v>-0.0051565136</x:v>
      </x:c>
      <x:c r="C62" s="38" t="n">
        <x:v>-0.090448046</x:v>
      </x:c>
      <x:c r="D62" s="38" t="n">
        <x:v>0.036873588</x:v>
      </x:c>
      <x:c r="E62" s="38" t="n">
        <x:v>0.0161450765</x:v>
      </x:c>
      <x:c r="F62" s="38" t="n">
        <x:v>-0.0712685305</x:v>
      </x:c>
      <x:c r="G62" s="38" t="n">
        <x:v>-0.2966484265</x:v>
      </x:c>
      <x:c r="H62" s="38" t="n">
        <x:v>-0.0521868993</x:v>
      </x:c>
      <x:c r="I62" s="38" t="n">
        <x:v>0.2368036562</x:v>
      </x:c>
      <x:c r="J62" s="38" t="n">
        <x:v>0.0708800509</x:v>
      </x:c>
      <x:c r="K62" s="38" t="n">
        <x:v>-0.0836669993</x:v>
      </x:c>
      <x:c r="L62" s="38" t="n">
        <x:v>-0.0680273909</x:v>
      </x:c>
      <x:c r="M62" s="38" t="n">
        <x:v>-0.0358856546</x:v>
      </x:c>
      <x:c r="N62" s="38" t="n">
        <x:v>0.0369158482</x:v>
      </x:c>
      <x:c r="O62" s="38" t="n">
        <x:v>0.2322507325</x:v>
      </x:c>
      <x:c r="P62" s="38" t="n">
        <x:v>0.1798334475</x:v>
      </x:c>
      <x:c r="Q62" s="38" t="n">
        <x:v>0.086237445</x:v>
      </x:c>
      <x:c r="R62" s="38" t="n">
        <x:v>-0.0191198487</x:v>
      </x:c>
      <x:c r="S62" s="38" t="n">
        <x:v>-0.0361483531</x:v>
      </x:c>
      <x:c r="T62" s="38" t="n">
        <x:v>-0.1605700035</x:v>
      </x:c>
      <x:c r="U62" s="38" t="n">
        <x:v>-0.0362242473</x:v>
      </x:c>
      <x:c r="V62" s="38" t="n">
        <x:v>-0.029038991</x:v>
      </x:c>
      <x:c r="W62" s="38" t="n">
        <x:v>-0.0802313619</x:v>
      </x:c>
      <x:c r="X62" s="38" t="n">
        <x:v>0.1220045881</x:v>
      </x:c>
      <x:c r="Y62" s="38" t="n">
        <x:v>0.2698010788</x:v>
      </x:c>
      <x:c r="Z62" s="38" t="n">
        <x:v>0.0011126159</x:v>
      </x:c>
      <x:c r="AA62" s="38" t="n">
        <x:v>0.0877525446</x:v>
      </x:c>
      <x:c r="AB62" s="38" t="n">
        <x:v>-0.2715602357</x:v>
      </x:c>
      <x:c r="AC62" s="38" t="n">
        <x:v>-0.0330766218</x:v>
      </x:c>
      <x:c r="AD62" s="38" t="n">
        <x:v>0.0336960354</x:v>
      </x:c>
      <x:c r="AE62" s="38" t="n">
        <x:v>0.0273413494</x:v>
      </x:c>
      <x:c r="AF62" s="38" t="n">
        <x:v>0.0235742146</x:v>
      </x:c>
      <x:c r="AG62" s="38" t="n">
        <x:v>0.0277780096</x:v>
      </x:c>
      <x:c r="AH62" s="38" t="n">
        <x:v>0.1292343573</x:v>
      </x:c>
      <x:c r="AI62" s="38" t="n">
        <x:v>-0.1874400234</x:v>
      </x:c>
      <x:c r="AJ62" s="38" t="n">
        <x:v>0.0169842499</x:v>
      </x:c>
      <x:c r="AK62" s="38" t="n">
        <x:v>-0.1515802057</x:v>
      </x:c>
      <x:c r="AL62" s="38" t="n">
        <x:v>-0.0405143954</x:v>
      </x:c>
      <x:c r="AM62" s="38" t="n">
        <x:v>0.0516012057</x:v>
      </x:c>
      <x:c r="AN62" s="38" t="n">
        <x:v>-0.0141782679</x:v>
      </x:c>
      <x:c r="AO62" s="38" t="n">
        <x:v>0.1361925298</x:v>
      </x:c>
      <x:c r="AP62" s="38" t="n">
        <x:v>-0.0072739107</x:v>
      </x:c>
      <x:c r="AQ62" s="38" t="n">
        <x:v>0.0627477006</x:v>
      </x:c>
      <x:c r="AR62" s="38" t="n">
        <x:v>-0.0003891601</x:v>
      </x:c>
      <x:c r="AS62" s="38" t="n">
        <x:v>0.0006697671</x:v>
      </x:c>
      <x:c r="AT62" s="38" t="n">
        <x:v>0.0039790603</x:v>
      </x:c>
      <x:c r="AU62" s="38" t="n">
        <x:v>0.0097611603</x:v>
      </x:c>
      <x:c r="AV62" s="38" t="n">
        <x:v>0.0093310563</x:v>
      </x:c>
      <x:c r="AW62" s="38" t="n">
        <x:v>-0.0076009486</x:v>
      </x:c>
      <x:c r="AX62" s="38" t="n">
        <x:v>-0.0075786572</x:v>
      </x:c>
      <x:c r="AY62" s="38" t="n">
        <x:v>0.0344100444</x:v>
      </x:c>
      <x:c r="AZ62" s="38" t="n">
        <x:v>0.0370410351</x:v>
      </x:c>
      <x:c r="BA62" s="38" t="n">
        <x:v>0.0088452712</x:v>
      </x:c>
      <x:c r="BB62" s="38" t="n">
        <x:v>0.0040787617</x:v>
      </x:c>
      <x:c r="BC62" s="38" t="n">
        <x:v>-0.0193085582</x:v>
      </x:c>
      <x:c r="BD62" s="38" t="n">
        <x:v>-0.0314756387</x:v>
      </x:c>
      <x:c r="BE62" s="38" t="n">
        <x:v>0.0276657171</x:v>
      </x:c>
      <x:c r="BF62" s="38" t="n">
        <x:v>-0.0419103875</x:v>
      </x:c>
      <x:c r="BG62" s="38" t="n">
        <x:v>-0.0278115774</x:v>
      </x:c>
      <x:c r="BH62" s="38" t="n">
        <x:v>-0.0405274305</x:v>
      </x:c>
      <x:c r="BI62" s="38" t="n">
        <x:v>-0.0243171704</x:v>
      </x:c>
      <x:c r="BJ62" s="38" t="n">
        <x:v>0.0138702127</x:v>
      </x:c>
    </x:row>
    <x:row r="63" ht="19" customHeight="1">
      <x:c r="A63" s="39" t="d">
        <x:v>2025-09-08T00:00:00.000Z</x:v>
      </x:c>
      <x:c r="B63" s="38" t="n">
        <x:v>0.0807717051</x:v>
      </x:c>
      <x:c r="C63" s="38" t="n">
        <x:v>-0.2741875769</x:v>
      </x:c>
      <x:c r="D63" s="38" t="n">
        <x:v>-0.0267462316</x:v>
      </x:c>
      <x:c r="E63" s="38" t="n">
        <x:v>0.0129461899</x:v>
      </x:c>
      <x:c r="F63" s="38" t="n">
        <x:v>-0.042349101</x:v>
      </x:c>
      <x:c r="G63" s="38" t="n">
        <x:v>-0.2195707063</x:v>
      </x:c>
      <x:c r="H63" s="38" t="n">
        <x:v>-0.081544717</x:v>
      </x:c>
      <x:c r="I63" s="38" t="n">
        <x:v>0.0604810355</x:v>
      </x:c>
      <x:c r="J63" s="38" t="n">
        <x:v>0.2514411848</x:v>
      </x:c>
      <x:c r="K63" s="38" t="n">
        <x:v>0.1210619816</x:v>
      </x:c>
      <x:c r="L63" s="38" t="n">
        <x:v>-0.0401628451</x:v>
      </x:c>
      <x:c r="M63" s="38" t="n">
        <x:v>-0.0403629986</x:v>
      </x:c>
      <x:c r="N63" s="38" t="n">
        <x:v>0.0353643195</x:v>
      </x:c>
      <x:c r="O63" s="38" t="n">
        <x:v>0.2858494299</x:v>
      </x:c>
      <x:c r="P63" s="38" t="n">
        <x:v>-0.0392460783</x:v>
      </x:c>
      <x:c r="Q63" s="38" t="n">
        <x:v>0.1559011558</x:v>
      </x:c>
      <x:c r="R63" s="38" t="n">
        <x:v>-0.0609068475</x:v>
      </x:c>
      <x:c r="S63" s="38" t="n">
        <x:v>-0.019882449</x:v>
      </x:c>
      <x:c r="T63" s="38" t="n">
        <x:v>-0.2956886188</x:v>
      </x:c>
      <x:c r="U63" s="38" t="n">
        <x:v>0.0290709262</x:v>
      </x:c>
      <x:c r="V63" s="38" t="n">
        <x:v>-0.1016386878</x:v>
      </x:c>
      <x:c r="W63" s="38" t="n">
        <x:v>-0.0563017454</x:v>
      </x:c>
      <x:c r="X63" s="38" t="n">
        <x:v>0.2963271213</x:v>
      </x:c>
      <x:c r="Y63" s="38" t="n">
        <x:v>0.1090115526</x:v>
      </x:c>
      <x:c r="Z63" s="38" t="n">
        <x:v>0.01101529</x:v>
      </x:c>
      <x:c r="AA63" s="38" t="n">
        <x:v>-0.1295181582</x:v>
      </x:c>
      <x:c r="AB63" s="38" t="n">
        <x:v>-0.1594170753</x:v>
      </x:c>
      <x:c r="AC63" s="38" t="n">
        <x:v>0.0705253345</x:v>
      </x:c>
      <x:c r="AD63" s="38" t="n">
        <x:v>-0.0580204812</x:v>
      </x:c>
      <x:c r="AE63" s="38" t="n">
        <x:v>0.2202382708</x:v>
      </x:c>
      <x:c r="AF63" s="38" t="n">
        <x:v>-0.1382933429</x:v>
      </x:c>
      <x:c r="AG63" s="38" t="n">
        <x:v>0.0299017985</x:v>
      </x:c>
      <x:c r="AH63" s="38" t="n">
        <x:v>-0.193594152</x:v>
      </x:c>
      <x:c r="AI63" s="38" t="n">
        <x:v>0.0770860252</x:v>
      </x:c>
      <x:c r="AJ63" s="38" t="n">
        <x:v>-0.0104565802</x:v>
      </x:c>
      <x:c r="AK63" s="38" t="n">
        <x:v>0.074935405</x:v>
      </x:c>
      <x:c r="AL63" s="38" t="n">
        <x:v>-0.0652323079</x:v>
      </x:c>
      <x:c r="AM63" s="38" t="n">
        <x:v>0.0747363369</x:v>
      </x:c>
      <x:c r="AN63" s="38" t="n">
        <x:v>-0.0071377959</x:v>
      </x:c>
      <x:c r="AO63" s="38" t="n">
        <x:v>0.072544815</x:v>
      </x:c>
      <x:c r="AP63" s="38" t="n">
        <x:v>-0.0086484603</x:v>
      </x:c>
      <x:c r="AQ63" s="38" t="n">
        <x:v>0.0243810707</x:v>
      </x:c>
      <x:c r="AR63" s="38" t="n">
        <x:v>0.0433245453</x:v>
      </x:c>
      <x:c r="AS63" s="38" t="n">
        <x:v>0.0228380914</x:v>
      </x:c>
      <x:c r="AT63" s="38" t="n">
        <x:v>-0.0040355581</x:v>
      </x:c>
      <x:c r="AU63" s="38" t="n">
        <x:v>0.0036387288</x:v>
      </x:c>
      <x:c r="AV63" s="38" t="n">
        <x:v>0.0034423078</x:v>
      </x:c>
      <x:c r="AW63" s="38" t="n">
        <x:v>0.0198373301</x:v>
      </x:c>
      <x:c r="AX63" s="38" t="n">
        <x:v>-0.0023141424</x:v>
      </x:c>
      <x:c r="AY63" s="38" t="n">
        <x:v>0.0300347223</x:v>
      </x:c>
      <x:c r="AZ63" s="38" t="n">
        <x:v>0.0458205398</x:v>
      </x:c>
      <x:c r="BA63" s="38" t="n">
        <x:v>0.0293645028</x:v>
      </x:c>
      <x:c r="BB63" s="38" t="n">
        <x:v>-0.0425631142</x:v>
      </x:c>
      <x:c r="BC63" s="38" t="n">
        <x:v>0.0351089651</x:v>
      </x:c>
      <x:c r="BD63" s="38" t="n">
        <x:v>0.0093973662</x:v>
      </x:c>
      <x:c r="BE63" s="38" t="n">
        <x:v>0.0040640005</x:v>
      </x:c>
      <x:c r="BF63" s="38" t="n">
        <x:v>-0.018226078</x:v>
      </x:c>
      <x:c r="BG63" s="38" t="n">
        <x:v>0.0038231147</x:v>
      </x:c>
      <x:c r="BH63" s="38" t="n">
        <x:v>0.0141017399</x:v>
      </x:c>
      <x:c r="BI63" s="38" t="n">
        <x:v>-0.0161230338</x:v>
      </x:c>
      <x:c r="BJ63" s="38" t="n">
        <x:v>-0.0167669973</x:v>
      </x:c>
    </x:row>
    <x:row r="64" ht="19" customHeight="1">
      <x:c r="A64" s="39" t="d">
        <x:v>2025-10-06T00:00:00.000Z</x:v>
      </x:c>
      <x:c r="B64" s="38" t="n">
        <x:v>-0.1445452666</x:v>
      </x:c>
      <x:c r="C64" s="38" t="n">
        <x:v>0.118172487</x:v>
      </x:c>
      <x:c r="D64" s="38" t="n">
        <x:v>0.0419301292</x:v>
      </x:c>
      <x:c r="E64" s="38" t="n">
        <x:v>-0.0125606216</x:v>
      </x:c>
      <x:c r="F64" s="38" t="n">
        <x:v>0.0136166724</x:v>
      </x:c>
      <x:c r="G64" s="38" t="n">
        <x:v>0.0737653011</x:v>
      </x:c>
      <x:c r="H64" s="38" t="n">
        <x:v>-0.0551765521</x:v>
      </x:c>
      <x:c r="I64" s="38" t="n">
        <x:v>0.1201764741</x:v>
      </x:c>
      <x:c r="J64" s="38" t="n">
        <x:v>0.0493106644</x:v>
      </x:c>
      <x:c r="K64" s="38" t="n">
        <x:v>0.0578138141</x:v>
      </x:c>
      <x:c r="L64" s="38" t="n">
        <x:v>0.1308514734</x:v>
      </x:c>
      <x:c r="M64" s="38" t="n">
        <x:v>0.1408188674</x:v>
      </x:c>
      <x:c r="N64" s="38" t="n">
        <x:v>-0.0260375853</x:v>
      </x:c>
      <x:c r="O64" s="38" t="n">
        <x:v>0.1268052153</x:v>
      </x:c>
      <x:c r="P64" s="38" t="n">
        <x:v>0.0890588806</x:v>
      </x:c>
      <x:c r="Q64" s="38" t="n">
        <x:v>-0.0025137116</x:v>
      </x:c>
      <x:c r="R64" s="38" t="n">
        <x:v>0.0695895143</x:v>
      </x:c>
      <x:c r="S64" s="38" t="n">
        <x:v>0.0060842193</x:v>
      </x:c>
      <x:c r="T64" s="38" t="n">
        <x:v>0.1983245651</x:v>
      </x:c>
      <x:c r="U64" s="38" t="n">
        <x:v>0.0008230396</x:v>
      </x:c>
      <x:c r="V64" s="38" t="n">
        <x:v>0.0060009575</x:v>
      </x:c>
      <x:c r="W64" s="38" t="n">
        <x:v>-0.0321717023</x:v>
      </x:c>
      <x:c r="X64" s="38" t="n">
        <x:v>0.0260737964</x:v>
      </x:c>
      <x:c r="Y64" s="38" t="n">
        <x:v>0.1712984485</x:v>
      </x:c>
      <x:c r="Z64" s="38" t="n">
        <x:v>-0.0097439571</x:v>
      </x:c>
      <x:c r="AA64" s="38" t="n">
        <x:v>0.4390481908</x:v>
      </x:c>
      <x:c r="AB64" s="38" t="n">
        <x:v>-0.279113308</x:v>
      </x:c>
      <x:c r="AC64" s="38" t="n">
        <x:v>-0.0228954371</x:v>
      </x:c>
      <x:c r="AD64" s="38" t="n">
        <x:v>0.0297161423</x:v>
      </x:c>
      <x:c r="AE64" s="38" t="n">
        <x:v>-0.0887142132</x:v>
      </x:c>
      <x:c r="AF64" s="38" t="n">
        <x:v>0.0338875383</x:v>
      </x:c>
      <x:c r="AG64" s="38" t="n">
        <x:v>0.0501389987</x:v>
      </x:c>
      <x:c r="AH64" s="38" t="n">
        <x:v>0.3354752823</x:v>
      </x:c>
      <x:c r="AI64" s="38" t="n">
        <x:v>0.073506716</x:v>
      </x:c>
      <x:c r="AJ64" s="38" t="n">
        <x:v>-0.0158183823</x:v>
      </x:c>
      <x:c r="AK64" s="38" t="n">
        <x:v>0.1894385045</x:v>
      </x:c>
      <x:c r="AL64" s="38" t="n">
        <x:v>0.0026354326</x:v>
      </x:c>
      <x:c r="AM64" s="38" t="n">
        <x:v>-0.0547746543</x:v>
      </x:c>
      <x:c r="AN64" s="38" t="n">
        <x:v>0.0022986287</x:v>
      </x:c>
      <x:c r="AO64" s="38" t="n">
        <x:v>-0.0857724603</x:v>
      </x:c>
      <x:c r="AP64" s="38" t="n">
        <x:v>0.0265705767</x:v>
      </x:c>
      <x:c r="AQ64" s="38" t="n">
        <x:v>0.0632974725</x:v>
      </x:c>
      <x:c r="AR64" s="38" t="n">
        <x:v>0.0193163474</x:v>
      </x:c>
      <x:c r="AS64" s="38" t="n">
        <x:v>-0.0119108888</x:v>
      </x:c>
      <x:c r="AT64" s="38" t="n">
        <x:v>-0.0148339457</x:v>
      </x:c>
      <x:c r="AU64" s="38" t="n">
        <x:v>-0.0144153299</x:v>
      </x:c>
      <x:c r="AV64" s="38" t="n">
        <x:v>-0.014243116</x:v>
      </x:c>
      <x:c r="AW64" s="38" t="n">
        <x:v>-0.0155557543</x:v>
      </x:c>
      <x:c r="AX64" s="38" t="n">
        <x:v>-0.0143618833</x:v>
      </x:c>
      <x:c r="AY64" s="38" t="n">
        <x:v>-0.0055756367</x:v>
      </x:c>
      <x:c r="AZ64" s="38" t="n">
        <x:v>-0.0441020297</x:v>
      </x:c>
      <x:c r="BA64" s="38" t="n">
        <x:v>-0.0435321471</x:v>
      </x:c>
      <x:c r="BB64" s="38" t="n">
        <x:v>-0.0289036354</x:v>
      </x:c>
      <x:c r="BC64" s="38" t="n">
        <x:v>-0.0636098522</x:v>
      </x:c>
      <x:c r="BD64" s="38" t="n">
        <x:v>-0.036602666</x:v>
      </x:c>
      <x:c r="BE64" s="38" t="n">
        <x:v>0.0478294754</x:v>
      </x:c>
      <x:c r="BF64" s="38" t="n">
        <x:v>-0.0077183902</x:v>
      </x:c>
      <x:c r="BG64" s="38" t="n">
        <x:v>-0.0644875455</x:v>
      </x:c>
      <x:c r="BH64" s="38" t="n">
        <x:v>-0.0367252087</x:v>
      </x:c>
      <x:c r="BI64" s="38" t="n">
        <x:v>0.0494359073</x:v>
      </x:c>
      <x:c r="BJ64" s="38" t="n">
        <x:v>0.0850085985</x:v>
      </x:c>
    </x:row>
    <x:row r="65" ht="19" customHeight="1">
      <x:c r="A65" s="39" t="d">
        <x:v>2025-11-03T00:00:00.000Z</x:v>
      </x:c>
      <x:c r="B65" s="38" t="n">
        <x:v>-0.0636691852</x:v>
      </x:c>
      <x:c r="C65" s="38" t="n">
        <x:v>0.3017773154</x:v>
      </x:c>
      <x:c r="D65" s="38" t="n">
        <x:v>0.0752255904</x:v>
      </x:c>
      <x:c r="E65" s="38" t="n">
        <x:v>0.0296267245</x:v>
      </x:c>
      <x:c r="F65" s="38" t="n">
        <x:v>0.0200150114</x:v>
      </x:c>
      <x:c r="G65" s="38" t="n">
        <x:v>-0.3701273278</x:v>
      </x:c>
      <x:c r="H65" s="38" t="n">
        <x:v>0.1133816556</x:v>
      </x:c>
      <x:c r="I65" s="38" t="n">
        <x:v>0.1376288953</x:v>
      </x:c>
      <x:c r="J65" s="38" t="n">
        <x:v>0.3073755332</x:v>
      </x:c>
      <x:c r="K65" s="38" t="n">
        <x:v>0.0548814818</x:v>
      </x:c>
      <x:c r="L65" s="38" t="n">
        <x:v>-0.0910121389</x:v>
      </x:c>
      <x:c r="M65" s="38" t="n">
        <x:v>-0.0346072152</x:v>
      </x:c>
      <x:c r="N65" s="38" t="n">
        <x:v>-0.1833582221</x:v>
      </x:c>
      <x:c r="O65" s="38" t="n">
        <x:v>0.423779081</x:v>
      </x:c>
      <x:c r="P65" s="38" t="n">
        <x:v>-0.1028099594</x:v>
      </x:c>
      <x:c r="Q65" s="38" t="n">
        <x:v>0.311493827</x:v>
      </x:c>
      <x:c r="R65" s="38" t="n">
        <x:v>0.006509648</x:v>
      </x:c>
      <x:c r="S65" s="38" t="n">
        <x:v>0.008181548</x:v>
      </x:c>
      <x:c r="T65" s="38" t="n">
        <x:v>-0.1604973188</x:v>
      </x:c>
      <x:c r="U65" s="38" t="n">
        <x:v>-0.2612839744</x:v>
      </x:c>
      <x:c r="V65" s="38" t="n">
        <x:v>-0.0893581834</x:v>
      </x:c>
      <x:c r="W65" s="38" t="n">
        <x:v>-0.0719292848</x:v>
      </x:c>
      <x:c r="X65" s="38" t="n">
        <x:v>0.3180372899</x:v>
      </x:c>
      <x:c r="Y65" s="38" t="n">
        <x:v>0.0150424042</x:v>
      </x:c>
      <x:c r="Z65" s="38" t="n">
        <x:v>-0.127104627</x:v>
      </x:c>
      <x:c r="AA65" s="38" t="n">
        <x:v>-0.0426963961</x:v>
      </x:c>
      <x:c r="AB65" s="38" t="n">
        <x:v>-0.3377516657</x:v>
      </x:c>
      <x:c r="AC65" s="38" t="n">
        <x:v>0.0096900958</x:v>
      </x:c>
      <x:c r="AD65" s="38" t="n">
        <x:v>0.2000776288</x:v>
      </x:c>
      <x:c r="AE65" s="38" t="n">
        <x:v>-0.1632577033</x:v>
      </x:c>
      <x:c r="AF65" s="38" t="n">
        <x:v>-0.1282972938</x:v>
      </x:c>
      <x:c r="AG65" s="38" t="n">
        <x:v>0.1230533746</x:v>
      </x:c>
      <x:c r="AH65" s="38" t="n">
        <x:v>0.09464067</x:v>
      </x:c>
      <x:c r="AI65" s="38" t="n">
        <x:v>0.0738963397</x:v>
      </x:c>
      <x:c r="AJ65" s="38" t="n">
        <x:v>0.1454293438</x:v>
      </x:c>
      <x:c r="AK65" s="38" t="n">
        <x:v>0.3076584462</x:v>
      </x:c>
      <x:c r="AL65" s="38" t="n">
        <x:v>-0.0508750422</x:v>
      </x:c>
      <x:c r="AM65" s="38" t="n">
        <x:v>0.2063454714</x:v>
      </x:c>
      <x:c r="AN65" s="38" t="n">
        <x:v>-0.0100921569</x:v>
      </x:c>
      <x:c r="AO65" s="38" t="n">
        <x:v>-0.0299276942</x:v>
      </x:c>
      <x:c r="AP65" s="38" t="n">
        <x:v>0.0631253107</x:v>
      </x:c>
      <x:c r="AQ65" s="38" t="n">
        <x:v>-0.0450292528</x:v>
      </x:c>
      <x:c r="AR65" s="38" t="n">
        <x:v>0.0402713804</x:v>
      </x:c>
      <x:c r="AS65" s="38" t="n">
        <x:v>0.011174721</x:v>
      </x:c>
      <x:c r="AT65" s="38" t="n">
        <x:v>-0.0035432423</x:v>
      </x:c>
      <x:c r="AU65" s="38" t="n">
        <x:v>-0.0072355429</x:v>
      </x:c>
      <x:c r="AV65" s="38" t="n">
        <x:v>-0.0060041275</x:v>
      </x:c>
      <x:c r="AW65" s="38" t="n">
        <x:v>-0.0097495645</x:v>
      </x:c>
      <x:c r="AX65" s="38" t="n">
        <x:v>-0.0116789161</x:v>
      </x:c>
      <x:c r="AY65" s="38" t="n">
        <x:v>0.0390020995</x:v>
      </x:c>
      <x:c r="AZ65" s="38" t="n">
        <x:v>-0.0430645936</x:v>
      </x:c>
      <x:c r="BA65" s="38" t="n">
        <x:v>0.0054756313</x:v>
      </x:c>
      <x:c r="BB65" s="38" t="n">
        <x:v>-0.0427374905</x:v>
      </x:c>
      <x:c r="BC65" s="38" t="n">
        <x:v>0.0591207584</x:v>
      </x:c>
      <x:c r="BD65" s="38" t="n">
        <x:v>-0.0160557563</x:v>
      </x:c>
      <x:c r="BE65" s="38" t="n">
        <x:v>0.0208412337</x:v>
      </x:c>
      <x:c r="BF65" s="38" t="n">
        <x:v>-0.0040537868</x:v>
      </x:c>
      <x:c r="BG65" s="38" t="n">
        <x:v>-0.0455621475</x:v>
      </x:c>
      <x:c r="BH65" s="38" t="n">
        <x:v>-0.0067162681</x:v>
      </x:c>
      <x:c r="BI65" s="38" t="n">
        <x:v>-0.0065936657</x:v>
      </x:c>
      <x:c r="BJ65" s="38" t="n">
        <x:v>-0.0265898661</x:v>
      </x:c>
    </x:row>
    <x:row r="66" ht="19" customHeight="1">
      <x:c r="A66" s="39" t="d">
        <x:v>2025-12-01T00:00:00.000Z</x:v>
      </x:c>
      <x:c r="B66" s="38" t="n">
        <x:v>-0.1565400989</x:v>
      </x:c>
      <x:c r="C66" s="38" t="n">
        <x:v>0.0704477644</x:v>
      </x:c>
      <x:c r="D66" s="38" t="n">
        <x:v>0.0091485881</x:v>
      </x:c>
      <x:c r="E66" s="38" t="n">
        <x:v>0.0055324847</x:v>
      </x:c>
      <x:c r="F66" s="38" t="n">
        <x:v>-0.0989513082</x:v>
      </x:c>
      <x:c r="G66" s="38" t="n">
        <x:v>0.1131564631</x:v>
      </x:c>
      <x:c r="H66" s="38" t="n">
        <x:v>-0.1134229722</x:v>
      </x:c>
      <x:c r="I66" s="38" t="n">
        <x:v>0.0160760889</x:v>
      </x:c>
      <x:c r="J66" s="38" t="n">
        <x:v>-0.128970691</x:v>
      </x:c>
      <x:c r="K66" s="38" t="n">
        <x:v>-0.0583342373</x:v>
      </x:c>
      <x:c r="L66" s="38" t="n">
        <x:v>-0.092224204</x:v>
      </x:c>
      <x:c r="M66" s="38" t="n">
        <x:v>0.0115354349</x:v>
      </x:c>
      <x:c r="N66" s="38" t="n">
        <x:v>0.0546637146</x:v>
      </x:c>
      <x:c r="O66" s="38" t="n">
        <x:v>-0.042507723</x:v>
      </x:c>
      <x:c r="P66" s="38" t="n">
        <x:v>0.0151016209</x:v>
      </x:c>
      <x:c r="Q66" s="38" t="n">
        <x:v>-0.0580011119</x:v>
      </x:c>
      <x:c r="R66" s="38" t="n">
        <x:v>-0.0524694924</x:v>
      </x:c>
      <x:c r="S66" s="38" t="n">
        <x:v>-0.2476354653</x:v>
      </x:c>
      <x:c r="T66" s="38" t="n">
        <x:v>0.0954667228</x:v>
      </x:c>
      <x:c r="U66" s="38" t="n">
        <x:v>-0.0924203819</x:v>
      </x:c>
      <x:c r="V66" s="38" t="n">
        <x:v>-0.1472989651</x:v>
      </x:c>
      <x:c r="W66" s="38" t="n">
        <x:v>-0.0586299987</x:v>
      </x:c>
      <x:c r="X66" s="38" t="n">
        <x:v>-0.1413008061</x:v>
      </x:c>
      <x:c r="Y66" s="38" t="n">
        <x:v>-0.0339566165</x:v>
      </x:c>
      <x:c r="Z66" s="38" t="n">
        <x:v>0.0114508437</x:v>
      </x:c>
      <x:c r="AA66" s="38" t="n">
        <x:v>0.0747524881</x:v>
      </x:c>
      <x:c r="AB66" s="38" t="n">
        <x:v>0.2736171445</x:v>
      </x:c>
      <x:c r="AC66" s="38" t="n">
        <x:v>-0.066210164</x:v>
      </x:c>
      <x:c r="AD66" s="38" t="n">
        <x:v>-0.1123701773</x:v>
      </x:c>
      <x:c r="AE66" s="38" t="n">
        <x:v>-0.0248166984</x:v>
      </x:c>
      <x:c r="AF66" s="38" t="n">
        <x:v>0.0070954837</x:v>
      </x:c>
      <x:c r="AG66" s="38" t="n">
        <x:v>-0.1098302845</x:v>
      </x:c>
      <x:c r="AH66" s="38" t="n">
        <x:v>-0.1386368918</x:v>
      </x:c>
      <x:c r="AI66" s="38" t="n">
        <x:v>-0.0152092478</x:v>
      </x:c>
      <x:c r="AJ66" s="38" t="n">
        <x:v>0.0554257436</x:v>
      </x:c>
      <x:c r="AK66" s="38" t="n">
        <x:v>-0.1919508206</x:v>
      </x:c>
      <x:c r="AL66" s="38" t="n">
        <x:v>-0.0841943632</x:v>
      </x:c>
      <x:c r="AM66" s="38" t="n">
        <x:v>0.0983508299</x:v>
      </x:c>
      <x:c r="AN66" s="38" t="n">
        <x:v>-0.0870288343</x:v>
      </x:c>
      <x:c r="AO66" s="38" t="n">
        <x:v>-0.0702431024</x:v>
      </x:c>
      <x:c r="AP66" s="38" t="n">
        <x:v>-0.0203226537</x:v>
      </x:c>
      <x:c r="AQ66" s="38" t="n">
        <x:v>0.0502248009</x:v>
      </x:c>
      <x:c r="AR66" s="38" t="n">
        <x:v>-0.0132938555</x:v>
      </x:c>
      <x:c r="AS66" s="38" t="n">
        <x:v>0.0220910283</x:v>
      </x:c>
      <x:c r="AT66" s="38" t="n">
        <x:v>0.006294544</x:v>
      </x:c>
      <x:c r="AU66" s="38" t="n">
        <x:v>0.0095880209</x:v>
      </x:c>
      <x:c r="AV66" s="38" t="n">
        <x:v>0.0094833138</x:v>
      </x:c>
      <x:c r="AW66" s="38" t="n">
        <x:v>0.0362403064</x:v>
      </x:c>
      <x:c r="AX66" s="38" t="n">
        <x:v>0.0059343934</x:v>
      </x:c>
      <x:c r="AY66" s="38" t="n">
        <x:v>0.0316563596</x:v>
      </x:c>
      <x:c r="AZ66" s="38" t="n">
        <x:v>0.0364613358</x:v>
      </x:c>
      <x:c r="BA66" s="38" t="n">
        <x:v>-0.0078036165</x:v>
      </x:c>
      <x:c r="BB66" s="38" t="n">
        <x:v>0.0189715802</x:v>
      </x:c>
      <x:c r="BC66" s="38" t="n">
        <x:v>0.0235941759</x:v>
      </x:c>
      <x:c r="BD66" s="38" t="n">
        <x:v>-0.0025054996</x:v>
      </x:c>
      <x:c r="BE66" s="38" t="n">
        <x:v>0.0533500731</x:v>
      </x:c>
      <x:c r="BF66" s="38" t="n">
        <x:v>-0.0183510161</x:v>
      </x:c>
      <x:c r="BG66" s="38" t="n">
        <x:v>0.0167652938</x:v>
      </x:c>
      <x:c r="BH66" s="38" t="n">
        <x:v>-0.0312646218</x:v>
      </x:c>
      <x:c r="BI66" s="38" t="n">
        <x:v>-0.0201946106</x:v>
      </x:c>
      <x:c r="BJ66" s="38" t="n">
        <x:v>-0.0666045315</x:v>
      </x:c>
    </x:row>
    <x:row r="67" ht="19" customHeight="1">
      <x:c r="A67" s="39" t="d">
        <x:v>2025-12-29T00:00:00.000Z</x:v>
      </x:c>
      <x:c r="B67" s="38" t="n">
        <x:v>-0.0391773173</x:v>
      </x:c>
      <x:c r="C67" s="38" t="n">
        <x:v>-0.0635907882</x:v>
      </x:c>
      <x:c r="D67" s="38" t="n">
        <x:v>-0.0420706599</x:v>
      </x:c>
      <x:c r="E67" s="38" t="n">
        <x:v>-0.0201445153</x:v>
      </x:c>
      <x:c r="F67" s="38" t="n">
        <x:v>0.0888269559</x:v>
      </x:c>
      <x:c r="G67" s="38" t="n">
        <x:v>0.1430329262</x:v>
      </x:c>
      <x:c r="H67" s="38" t="n">
        <x:v>0.0630269074</x:v>
      </x:c>
      <x:c r="I67" s="38" t="n">
        <x:v>-0.0361899555</x:v>
      </x:c>
      <x:c r="J67" s="38" t="n">
        <x:v>0.0153264784</x:v>
      </x:c>
      <x:c r="K67" s="38" t="n">
        <x:v>-0.0876024758</x:v>
      </x:c>
      <x:c r="L67" s="38" t="n">
        <x:v>-0.0551614357</x:v>
      </x:c>
      <x:c r="M67" s="38" t="n">
        <x:v>-0.0538124978</x:v>
      </x:c>
      <x:c r="N67" s="38" t="n">
        <x:v>-0.0432185733</x:v>
      </x:c>
      <x:c r="O67" s="38" t="n">
        <x:v>0.0949135144</x:v>
      </x:c>
      <x:c r="P67" s="38" t="n">
        <x:v>0.0333421562</x:v>
      </x:c>
      <x:c r="Q67" s="38" t="n">
        <x:v>0.0763096349</x:v>
      </x:c>
      <x:c r="R67" s="38" t="n">
        <x:v>-0.0106607663</x:v>
      </x:c>
      <x:c r="S67" s="38" t="n">
        <x:v>-0.0104804541</x:v>
      </x:c>
      <x:c r="T67" s="38" t="n">
        <x:v>0.0979364737</x:v>
      </x:c>
      <x:c r="U67" s="38" t="n">
        <x:v>-0.0524162057</x:v>
      </x:c>
      <x:c r="V67" s="38" t="n">
        <x:v>-0.144246494</x:v>
      </x:c>
      <x:c r="W67" s="38" t="n">
        <x:v>0.094096929</x:v>
      </x:c>
      <x:c r="X67" s="38" t="n">
        <x:v>0.3941750669</x:v>
      </x:c>
      <x:c r="Y67" s="38" t="n">
        <x:v>0.0882993272</x:v>
      </x:c>
      <x:c r="Z67" s="38" t="n">
        <x:v>-0.0217251689</x:v>
      </x:c>
      <x:c r="AA67" s="38" t="n">
        <x:v>-0.0765450296</x:v>
      </x:c>
      <x:c r="AB67" s="38" t="n">
        <x:v>-0.0492029102</x:v>
      </x:c>
      <x:c r="AC67" s="38" t="n">
        <x:v>-0.0048492324</x:v>
      </x:c>
      <x:c r="AD67" s="38" t="n">
        <x:v>0.0044641836</x:v>
      </x:c>
      <x:c r="AE67" s="38" t="n">
        <x:v>0.0414695273</x:v>
      </x:c>
      <x:c r="AF67" s="38" t="n">
        <x:v>0.1247549241</x:v>
      </x:c>
      <x:c r="AG67" s="38" t="n">
        <x:v>0.1617534047</x:v>
      </x:c>
      <x:c r="AH67" s="38" t="n">
        <x:v>0.0886772838</x:v>
      </x:c>
      <x:c r="AI67" s="38" t="n">
        <x:v>0.0424137641</x:v>
      </x:c>
      <x:c r="AJ67" s="38" t="n">
        <x:v>-0.1219209069</x:v>
      </x:c>
      <x:c r="AK67" s="38" t="n">
        <x:v>0.1306043781</x:v>
      </x:c>
      <x:c r="AL67" s="38" t="n">
        <x:v>0.006007946</x:v>
      </x:c>
      <x:c r="AM67" s="38" t="n">
        <x:v>0.0135114303</x:v>
      </x:c>
      <x:c r="AN67" s="38" t="n">
        <x:v>-0.0778541685</x:v>
      </x:c>
      <x:c r="AO67" s="38" t="n">
        <x:v>-0.070455112</x:v>
      </x:c>
      <x:c r="AP67" s="38" t="n">
        <x:v>-0.0221214933</x:v>
      </x:c>
      <x:c r="AQ67" s="38" t="n">
        <x:v>-0.0108519423</x:v>
      </x:c>
      <x:c r="AR67" s="38" t="n">
        <x:v>-0.0520583733</x:v>
      </x:c>
      <x:c r="AS67" s="38" t="n">
        <x:v>0.0221121614</x:v>
      </x:c>
      <x:c r="AT67" s="38" t="n">
        <x:v>0.011238234</x:v>
      </x:c>
      <x:c r="AU67" s="38" t="n">
        <x:v>0.0095564152</x:v>
      </x:c>
      <x:c r="AV67" s="38" t="n">
        <x:v>0.0107219787</x:v>
      </x:c>
      <x:c r="AW67" s="38" t="n">
        <x:v>0.0105975009</x:v>
      </x:c>
      <x:c r="AX67" s="38" t="n">
        <x:v>0.0329757861</x:v>
      </x:c>
      <x:c r="AY67" s="38" t="n">
        <x:v>-0.0010820497</x:v>
      </x:c>
      <x:c r="AZ67" s="38" t="n">
        <x:v>0.0047543079</x:v>
      </x:c>
      <x:c r="BA67" s="38" t="n">
        <x:v>-0.0055770192</x:v>
      </x:c>
      <x:c r="BB67" s="38" t="n">
        <x:v>-0.0034417126</x:v>
      </x:c>
      <x:c r="BC67" s="38" t="n">
        <x:v>-0.0158096318</x:v>
      </x:c>
      <x:c r="BD67" s="38" t="n">
        <x:v>0.0382590757</x:v>
      </x:c>
      <x:c r="BE67" s="38" t="n">
        <x:v>0.0266758545</x:v>
      </x:c>
      <x:c r="BF67" s="38" t="n">
        <x:v>0.0355717942</x:v>
      </x:c>
      <x:c r="BG67" s="38" t="n">
        <x:v>0.076342215</x:v>
      </x:c>
      <x:c r="BH67" s="38" t="n">
        <x:v>-0.0002808698</x:v>
      </x:c>
      <x:c r="BI67" s="38" t="n">
        <x:v>-0.0188771124</x:v>
      </x:c>
      <x:c r="BJ67" s="38" t="n">
        <x:v>0.0047221049</x:v>
      </x:c>
    </x:row>
    <x:row r="68" ht="19" customHeight="1">
      <x:c r="A68" s="39" t="d">
        <x:v>2026-01-26T00:00:00.000Z</x:v>
      </x:c>
      <x:c r="B68" s="38" t="n">
        <x:v>-0.1261777642</x:v>
      </x:c>
      <x:c r="C68" s="38" t="n">
        <x:v>0.131349814</x:v>
      </x:c>
      <x:c r="D68" s="38" t="n">
        <x:v>0.0252425157</x:v>
      </x:c>
      <x:c r="E68" s="38" t="n">
        <x:v>0.0223955241</x:v>
      </x:c>
      <x:c r="F68" s="38" t="n">
        <x:v>-0.0141692057</x:v>
      </x:c>
      <x:c r="G68" s="38" t="n">
        <x:v>0.0272318599</x:v>
      </x:c>
      <x:c r="H68" s="38" t="n">
        <x:v>0.0810193477</x:v>
      </x:c>
      <x:c r="I68" s="38" t="n">
        <x:v>-0.0198222553</x:v>
      </x:c>
      <x:c r="J68" s="38" t="n">
        <x:v>0.3487211566</x:v>
      </x:c>
      <x:c r="K68" s="38" t="n">
        <x:v>-0.0697378494</x:v>
      </x:c>
      <x:c r="L68" s="38" t="n">
        <x:v>0.0683437282</x:v>
      </x:c>
      <x:c r="M68" s="38" t="n">
        <x:v>0.0092897071</x:v>
      </x:c>
      <x:c r="N68" s="38" t="n">
        <x:v>-0.0245568625</x:v>
      </x:c>
      <x:c r="O68" s="38" t="n">
        <x:v>0.2185437083</x:v>
      </x:c>
      <x:c r="P68" s="38" t="n">
        <x:v>0.067559878</x:v>
      </x:c>
      <x:c r="Q68" s="38" t="n">
        <x:v>0.1034181168</x:v>
      </x:c>
      <x:c r="R68" s="38" t="n">
        <x:v>0.0152205939</x:v>
      </x:c>
      <x:c r="S68" s="38" t="n">
        <x:v>-0.2169325287</x:v>
      </x:c>
      <x:c r="T68" s="38" t="n">
        <x:v>0.4626063024</x:v>
      </x:c>
      <x:c r="U68" s="38" t="n">
        <x:v>-0.3132175349</x:v>
      </x:c>
      <x:c r="V68" s="38" t="n">
        <x:v>-0.1571493354</x:v>
      </x:c>
      <x:c r="W68" s="38" t="n">
        <x:v>0.003702203</x:v>
      </x:c>
      <x:c r="X68" s="38" t="n">
        <x:v>0.2882645963</x:v>
      </x:c>
      <x:c r="Y68" s="38" t="n">
        <x:v>-0.1026167442</x:v>
      </x:c>
      <x:c r="Z68" s="38" t="n">
        <x:v>-0.0717725056</x:v>
      </x:c>
      <x:c r="AA68" s="38" t="n">
        <x:v>0.1973550282</x:v>
      </x:c>
      <x:c r="AB68" s="38" t="n">
        <x:v>-0.0225130196</x:v>
      </x:c>
      <x:c r="AC68" s="38" t="n">
        <x:v>-0.0192197854</x:v>
      </x:c>
      <x:c r="AD68" s="38" t="n">
        <x:v>-0.0851531127</x:v>
      </x:c>
      <x:c r="AE68" s="38" t="n">
        <x:v>-0.1175466857</x:v>
      </x:c>
      <x:c r="AF68" s="38" t="n">
        <x:v>-0.0658969878</x:v>
      </x:c>
      <x:c r="AG68" s="38" t="n">
        <x:v>0.0531841144</x:v>
      </x:c>
      <x:c r="AH68" s="38" t="n">
        <x:v>0.0630359964</x:v>
      </x:c>
      <x:c r="AI68" s="38" t="n">
        <x:v>-0.0549531377</x:v>
      </x:c>
      <x:c r="AJ68" s="38" t="n">
        <x:v>-0.0638134329</x:v>
      </x:c>
      <x:c r="AK68" s="38" t="n">
        <x:v>-0.0593840581</x:v>
      </x:c>
      <x:c r="AL68" s="38" t="n">
        <x:v>-0.147401078</x:v>
      </x:c>
      <x:c r="AM68" s="38" t="n">
        <x:v>0.0220651973</x:v>
      </x:c>
      <x:c r="AN68" s="38" t="n">
        <x:v>0.0563990878</x:v>
      </x:c>
      <x:c r="AO68" s="38" t="n">
        <x:v>0.0304918028</x:v>
      </x:c>
      <x:c r="AP68" s="38" t="n">
        <x:v>0.0072707989</x:v>
      </x:c>
      <x:c r="AQ68" s="38" t="n">
        <x:v>0.0958467837</x:v>
      </x:c>
      <x:c r="AR68" s="38" t="n">
        <x:v>-0.0874643661</x:v>
      </x:c>
      <x:c r="AS68" s="38" t="n">
        <x:v>0.0372953986</x:v>
      </x:c>
      <x:c r="AT68" s="38" t="n">
        <x:v>0.0183242146</x:v>
      </x:c>
      <x:c r="AU68" s="38" t="n">
        <x:v>0.0170001845</x:v>
      </x:c>
      <x:c r="AV68" s="38" t="n">
        <x:v>0.0157486159</x:v>
      </x:c>
      <x:c r="AW68" s="38" t="n">
        <x:v>0.0589010183</x:v>
      </x:c>
      <x:c r="AX68" s="38" t="n">
        <x:v>-0.0020556954</x:v>
      </x:c>
      <x:c r="AY68" s="38" t="n">
        <x:v>0.0192042527</x:v>
      </x:c>
      <x:c r="AZ68" s="38" t="n">
        <x:v>0.0243655012</x:v>
      </x:c>
      <x:c r="BA68" s="38" t="n">
        <x:v>0.0200932874</x:v>
      </x:c>
      <x:c r="BB68" s="38" t="n">
        <x:v>0.0995030391</x:v>
      </x:c>
      <x:c r="BC68" s="38" t="n">
        <x:v>0.151976965</x:v>
      </x:c>
      <x:c r="BD68" s="38" t="n">
        <x:v>-0.0584629328</x:v>
      </x:c>
      <x:c r="BE68" s="38" t="n">
        <x:v>-0.0178346832</x:v>
      </x:c>
      <x:c r="BF68" s="38" t="n">
        <x:v>0.0498840656</x:v>
      </x:c>
      <x:c r="BG68" s="38" t="n">
        <x:v>0.0858104407</x:v>
      </x:c>
      <x:c r="BH68" s="38" t="n">
        <x:v>0.0275116936</x:v>
      </x:c>
      <x:c r="BI68" s="38" t="n">
        <x:v>-0.0316943724</x:v>
      </x:c>
      <x:c r="BJ68" s="38" t="n">
        <x:v>-0.0079930491</x:v>
      </x:c>
    </x:row>
    <x:row r="69" ht="19" customHeight="1">
      <x:c r="A69" s="39" t="d">
        <x:v>2026-02-23T00:00:00.000Z</x:v>
      </x:c>
      <x:c r="B69" s="38" t="n">
        <x:v>0.0553423219</x:v>
      </x:c>
      <x:c r="C69" s="38" t="n">
        <x:v>-0.167588247</x:v>
      </x:c>
      <x:c r="D69" s="38" t="n">
        <x:v>0.0268014436</x:v>
      </x:c>
      <x:c r="E69" s="38" t="n">
        <x:v>0.028747487</x:v>
      </x:c>
      <x:c r="F69" s="38" t="n">
        <x:v>-0.0067204051</x:v>
      </x:c>
      <x:c r="G69" s="38" t="n">
        <x:v>-0.0264520349</x:v>
      </x:c>
      <x:c r="H69" s="38" t="n">
        <x:v>-0.0232195085</x:v>
      </x:c>
      <x:c r="I69" s="38" t="n">
        <x:v>0.2176810561</x:v>
      </x:c>
      <x:c r="J69" s="38" t="n">
        <x:v>-0.0584281178</x:v>
      </x:c>
      <x:c r="K69" s="38" t="n">
        <x:v>0.0227578339</x:v>
      </x:c>
      <x:c r="L69" s="38" t="n">
        <x:v>-0.0537211316</x:v>
      </x:c>
      <x:c r="M69" s="38" t="n">
        <x:v>-0.0174734905</x:v>
      </x:c>
      <x:c r="N69" s="38" t="n">
        <x:v>0.0539528502</x:v>
      </x:c>
      <x:c r="O69" s="38" t="n">
        <x:v>-0.043425335</x:v>
      </x:c>
      <x:c r="P69" s="38" t="n">
        <x:v>0.0325738716</x:v>
      </x:c>
      <x:c r="Q69" s="38" t="n">
        <x:v>0.0310781269</x:v>
      </x:c>
      <x:c r="R69" s="38" t="n">
        <x:v>0.0906680028</x:v>
      </x:c>
      <x:c r="S69" s="38" t="n">
        <x:v>0.0724613773</x:v>
      </x:c>
      <x:c r="T69" s="38" t="n">
        <x:v>0.2202011202</x:v>
      </x:c>
      <x:c r="U69" s="38" t="n">
        <x:v>0.1043394851</x:v>
      </x:c>
      <x:c r="V69" s="38" t="n">
        <x:v>0.1807009497</x:v>
      </x:c>
      <x:c r="W69" s="38" t="n">
        <x:v>0.0236700334</x:v>
      </x:c>
      <x:c r="X69" s="38" t="n">
        <x:v>-0.112782769</x:v>
      </x:c>
      <x:c r="Y69" s="38" t="n">
        <x:v>0.0317064202</x:v>
      </x:c>
      <x:c r="Z69" s="38" t="n">
        <x:v>0.0028785035</x:v>
      </x:c>
      <x:c r="AA69" s="38" t="n">
        <x:v>-0.1090588263</x:v>
      </x:c>
      <x:c r="AB69" s="38" t="n">
        <x:v>-0.1380482661</x:v>
      </x:c>
      <x:c r="AC69" s="38" t="n">
        <x:v>0.0412528781</x:v>
      </x:c>
      <x:c r="AD69" s="38" t="n">
        <x:v>0.0035672427</x:v>
      </x:c>
      <x:c r="AE69" s="38" t="n">
        <x:v>0.1129403363</x:v>
      </x:c>
      <x:c r="AF69" s="38" t="n">
        <x:v>-0.0894639463</x:v>
      </x:c>
      <x:c r="AG69" s="38" t="n">
        <x:v>-0.0976375392</x:v>
      </x:c>
      <x:c r="AH69" s="38" t="n">
        <x:v>-0.1155743646</x:v>
      </x:c>
      <x:c r="AI69" s="38" t="n">
        <x:v>-0.0074908724</x:v>
      </x:c>
      <x:c r="AJ69" s="38" t="n">
        <x:v>0.0631990912</x:v>
      </x:c>
      <x:c r="AK69" s="38" t="n">
        <x:v>0.295704409</x:v>
      </x:c>
      <x:c r="AL69" s="38" t="n">
        <x:v>-0.0098178205</x:v>
      </x:c>
      <x:c r="AM69" s="38" t="n">
        <x:v>-0.0613654103</x:v>
      </x:c>
      <x:c r="AN69" s="38" t="n">
        <x:v>0.0915658105</x:v>
      </x:c>
      <x:c r="AO69" s="38" t="n">
        <x:v>-0.0112640126</x:v>
      </x:c>
      <x:c r="AP69" s="38" t="n">
        <x:v>0.0307871389</x:v>
      </x:c>
      <x:c r="AQ69" s="38" t="n">
        <x:v>0.0341571322</x:v>
      </x:c>
      <x:c r="AR69" s="38" t="n">
        <x:v>0.049421325</x:v>
      </x:c>
      <x:c r="AS69" s="38" t="n">
        <x:v>0.0202956573</x:v>
      </x:c>
      <x:c r="AT69" s="38" t="n">
        <x:v>0.0066067325</x:v>
      </x:c>
      <x:c r="AU69" s="38" t="n">
        <x:v>-0.005424106</x:v>
      </x:c>
      <x:c r="AV69" s="38" t="n">
        <x:v>-0.0046832528</x:v>
      </x:c>
      <x:c r="AW69" s="38" t="n">
        <x:v>0.0311901712</x:v>
      </x:c>
      <x:c r="AX69" s="38" t="n">
        <x:v>0.001251273</x:v>
      </x:c>
      <x:c r="AY69" s="38" t="n">
        <x:v>-0.0132083008</x:v>
      </x:c>
      <x:c r="AZ69" s="38" t="n">
        <x:v>-0.0118358331</x:v>
      </x:c>
      <x:c r="BA69" s="38" t="n">
        <x:v>-0.0321926622</x:v>
      </x:c>
      <x:c r="BB69" s="38" t="n">
        <x:v>0.1183014556</x:v>
      </x:c>
      <x:c r="BC69" s="38" t="n">
        <x:v>0.1167027698</x:v>
      </x:c>
      <x:c r="BD69" s="38" t="n">
        <x:v>-0.0495901629</x:v>
      </x:c>
      <x:c r="BE69" s="38" t="n">
        <x:v>0.0571046265</x:v>
      </x:c>
      <x:c r="BF69" s="38" t="n">
        <x:v>0.1128738155</x:v>
      </x:c>
      <x:c r="BG69" s="38" t="n">
        <x:v>0.1341453886</x:v>
      </x:c>
      <x:c r="BH69" s="38" t="n">
        <x:v>0.1019205132</x:v>
      </x:c>
      <x:c r="BI69" s="38" t="n">
        <x:v>-0.035172213</x:v>
      </x:c>
      <x:c r="BJ69" s="38" t="n">
        <x:v>0.1526808993</x:v>
      </x:c>
    </x:row>
    <x:row r="70" ht="19" customHeight="1">
      <x:c r="A70" s="39" t="d">
        <x:v>2026-03-23T00:00:00.000Z</x:v>
      </x:c>
      <x:c r="B70" s="38" t="n">
        <x:v>-0.109007832</x:v>
      </x:c>
      <x:c r="C70" s="38" t="n">
        <x:v>0.1205730995</x:v>
      </x:c>
      <x:c r="D70" s="38" t="n">
        <x:v>0.0255573357</x:v>
      </x:c>
      <x:c r="E70" s="38" t="n">
        <x:v>0.0850561341</x:v>
      </x:c>
      <x:c r="F70" s="38" t="n">
        <x:v>-0.0694532249</x:v>
      </x:c>
      <x:c r="G70" s="38" t="n">
        <x:v>-0.1036068678</x:v>
      </x:c>
      <x:c r="H70" s="38" t="n">
        <x:v>0.1497285739</x:v>
      </x:c>
      <x:c r="I70" s="38" t="n">
        <x:v>0.1075838078</x:v>
      </x:c>
      <x:c r="J70" s="38" t="n">
        <x:v>0.103072369</x:v>
      </x:c>
      <x:c r="K70" s="38" t="n">
        <x:v>0.1282718052</x:v>
      </x:c>
      <x:c r="L70" s="38" t="n">
        <x:v>0.2414068296</x:v>
      </x:c>
      <x:c r="M70" s="38" t="n">
        <x:v>0.0459668948</x:v>
      </x:c>
      <x:c r="N70" s="38" t="n">
        <x:v>0.0263704899</x:v>
      </x:c>
      <x:c r="O70" s="38" t="n">
        <x:v>0.1776988969</x:v>
      </x:c>
      <x:c r="P70" s="38" t="n">
        <x:v>-0.0161210697</x:v>
      </x:c>
      <x:c r="Q70" s="38" t="n">
        <x:v>0.4663001399</x:v>
      </x:c>
      <x:c r="R70" s="38" t="n">
        <x:v>-0.096599724</x:v>
      </x:c>
      <x:c r="S70" s="38" t="n">
        <x:v>0.308559957</x:v>
      </x:c>
      <x:c r="T70" s="38" t="n">
        <x:v>0.1717971163</x:v>
      </x:c>
      <x:c r="U70" s="38" t="n">
        <x:v>-0.099983007</x:v>
      </x:c>
      <x:c r="V70" s="38" t="n">
        <x:v>0.097950079</x:v>
      </x:c>
      <x:c r="W70" s="38" t="n">
        <x:v>-0.0303873367</x:v>
      </x:c>
      <x:c r="X70" s="38" t="n">
        <x:v>-0.1033075985</x:v>
      </x:c>
      <x:c r="Y70" s="38" t="n">
        <x:v>-0.2104378279</x:v>
      </x:c>
      <x:c r="Z70" s="38" t="n">
        <x:v>-0.0270910868</x:v>
      </x:c>
      <x:c r="AA70" s="38" t="n">
        <x:v>0.1330101336</x:v>
      </x:c>
      <x:c r="AB70" s="38" t="n">
        <x:v>0.2176357066</x:v>
      </x:c>
      <x:c r="AC70" s="38" t="n">
        <x:v>-0.0453714884</x:v>
      </x:c>
      <x:c r="AD70" s="38" t="n">
        <x:v>-0.0918060501</x:v>
      </x:c>
      <x:c r="AE70" s="38" t="n">
        <x:v>0.1364678879</x:v>
      </x:c>
      <x:c r="AF70" s="38" t="n">
        <x:v>-0.0057395088</x:v>
      </x:c>
      <x:c r="AG70" s="38" t="n">
        <x:v>-0.1150010142</x:v>
      </x:c>
      <x:c r="AH70" s="38" t="n">
        <x:v>0.2320769229</x:v>
      </x:c>
      <x:c r="AI70" s="38" t="n">
        <x:v>-0.1039256937</x:v>
      </x:c>
      <x:c r="AJ70" s="38" t="n">
        <x:v>0.0563202906</x:v>
      </x:c>
      <x:c r="AK70" s="38" t="n">
        <x:v>0.007834473</x:v>
      </x:c>
      <x:c r="AL70" s="38" t="n">
        <x:v>0.0011146827</x:v>
      </x:c>
      <x:c r="AM70" s="38" t="n">
        <x:v>-0.0622675744</x:v>
      </x:c>
      <x:c r="AN70" s="38" t="n">
        <x:v>0.092301699</x:v>
      </x:c>
      <x:c r="AO70" s="38" t="n">
        <x:v>-0.0484256516</x:v>
      </x:c>
      <x:c r="AP70" s="38" t="n">
        <x:v>-0.007418815</x:v>
      </x:c>
      <x:c r="AQ70" s="38" t="n">
        <x:v>0.1067117859</x:v>
      </x:c>
      <x:c r="AR70" s="38" t="n">
        <x:v>-0.022768274</x:v>
      </x:c>
      <x:c r="AS70" s="38" t="n">
        <x:v>-0.0775449863</x:v>
      </x:c>
      <x:c r="AT70" s="38" t="n">
        <x:v>-0.0339320071</x:v>
      </x:c>
      <x:c r="AU70" s="38" t="n">
        <x:v>-0.0405612991</x:v>
      </x:c>
      <x:c r="AV70" s="38" t="n">
        <x:v>-0.0358792645</x:v>
      </x:c>
      <x:c r="AW70" s="38" t="n">
        <x:v>-0.0485309254</x:v>
      </x:c>
      <x:c r="AX70" s="38" t="n">
        <x:v>-0.0025391235</x:v>
      </x:c>
      <x:c r="AY70" s="38" t="n">
        <x:v>-0.1172105284</x:v>
      </x:c>
      <x:c r="AZ70" s="38" t="n">
        <x:v>-0.035765357</x:v>
      </x:c>
      <x:c r="BA70" s="38" t="n">
        <x:v>-0.006732414</x:v>
      </x:c>
      <x:c r="BB70" s="38" t="n">
        <x:v>-0.0929632836</x:v>
      </x:c>
      <x:c r="BC70" s="38" t="n">
        <x:v>0.1414445631</x:v>
      </x:c>
      <x:c r="BD70" s="38" t="n">
        <x:v>-0.0127129943</x:v>
      </x:c>
      <x:c r="BE70" s="38" t="n">
        <x:v>-0.1145832374</x:v>
      </x:c>
      <x:c r="BF70" s="38" t="n">
        <x:v>-0.0609757976</x:v>
      </x:c>
      <x:c r="BG70" s="38" t="n">
        <x:v>-0.0384074099</x:v>
      </x:c>
      <x:c r="BH70" s="38" t="n">
        <x:v>-0.02860967</x:v>
      </x:c>
      <x:c r="BI70" s="38" t="n">
        <x:v>0.0720231032</x:v>
      </x:c>
      <x:c r="BJ70" s="38" t="n">
        <x:v>-0.0152680964</x:v>
      </x:c>
    </x:row>
    <x:row r="71" ht="19" customHeight="1">
      <x:c r="A71" s="39" t="d">
        <x:v>2026-04-20T00:00:00.000Z</x:v>
      </x:c>
      <x:c r="B71" s="38" t="n">
        <x:v>-0.1163395555</x:v>
      </x:c>
      <x:c r="C71" s="38" t="n">
        <x:v>-0.0397447885</x:v>
      </x:c>
      <x:c r="D71" s="38" t="n">
        <x:v>0.0396683363</x:v>
      </x:c>
      <x:c r="E71" s="38" t="n">
        <x:v>0.030572461</x:v>
      </x:c>
      <x:c r="F71" s="38" t="n">
        <x:v>-0.010698099</x:v>
      </x:c>
      <x:c r="G71" s="38" t="n">
        <x:v>-0.0382881336</x:v>
      </x:c>
      <x:c r="H71" s="38" t="n">
        <x:v>0.1123766249</x:v>
      </x:c>
      <x:c r="I71" s="38" t="n">
        <x:v>-0.0515267626</x:v>
      </x:c>
      <x:c r="J71" s="38" t="n">
        <x:v>-0.0041376675</x:v>
      </x:c>
      <x:c r="K71" s="38" t="n">
        <x:v>0.0258388016</x:v>
      </x:c>
      <x:c r="L71" s="38" t="n">
        <x:v>0.0707214945</x:v>
      </x:c>
      <x:c r="M71" s="38" t="n">
        <x:v>-0.0477127957</x:v>
      </x:c>
      <x:c r="N71" s="38" t="n">
        <x:v>-0.0532711134</x:v>
      </x:c>
      <x:c r="O71" s="38" t="n">
        <x:v>0.0481955752</x:v>
      </x:c>
      <x:c r="P71" s="38" t="n">
        <x:v>0.025251204</x:v>
      </x:c>
      <x:c r="Q71" s="38" t="n">
        <x:v>-0.0807912921</x:v>
      </x:c>
      <x:c r="R71" s="38" t="n">
        <x:v>-0.0501479774</x:v>
      </x:c>
      <x:c r="S71" s="38" t="n">
        <x:v>-0.2275605548</x:v>
      </x:c>
      <x:c r="T71" s="38" t="n">
        <x:v>-0.0773071467</x:v>
      </x:c>
      <x:c r="U71" s="38" t="n">
        <x:v>-0.2003919277</x:v>
      </x:c>
      <x:c r="V71" s="38" t="n">
        <x:v>-0.1786589944</x:v>
      </x:c>
      <x:c r="W71" s="38" t="n">
        <x:v>-0.003590112</x:v>
      </x:c>
      <x:c r="X71" s="38" t="n">
        <x:v>-0.1363239975</x:v>
      </x:c>
      <x:c r="Y71" s="38" t="n">
        <x:v>0.0958325326</x:v>
      </x:c>
      <x:c r="Z71" s="38" t="n">
        <x:v>0.0044735457</x:v>
      </x:c>
      <x:c r="AA71" s="38" t="n">
        <x:v>0.3336166522</x:v>
      </x:c>
      <x:c r="AB71" s="38" t="n">
        <x:v>-0.0916488873</x:v>
      </x:c>
      <x:c r="AC71" s="38" t="n">
        <x:v>0.0184204327</x:v>
      </x:c>
      <x:c r="AD71" s="38" t="n">
        <x:v>-0.1361008235</x:v>
      </x:c>
      <x:c r="AE71" s="38" t="n">
        <x:v>-0.0431730593</x:v>
      </x:c>
      <x:c r="AF71" s="38" t="n">
        <x:v>0.0979804333</x:v>
      </x:c>
      <x:c r="AG71" s="38" t="n">
        <x:v>-0.0888739738</x:v>
      </x:c>
      <x:c r="AH71" s="38" t="n">
        <x:v>0.1580408313</x:v>
      </x:c>
      <x:c r="AI71" s="38" t="n">
        <x:v>-0.0325691042</x:v>
      </x:c>
      <x:c r="AJ71" s="38" t="n">
        <x:v>-0.0475290274</x:v>
      </x:c>
      <x:c r="AK71" s="38" t="n">
        <x:v>0.1930826811</x:v>
      </x:c>
      <x:c r="AL71" s="38" t="n">
        <x:v>-0.0548230471</x:v>
      </x:c>
      <x:c r="AM71" s="38" t="n">
        <x:v>-0.0012550365</x:v>
      </x:c>
      <x:c r="AN71" s="38" t="n">
        <x:v>-0.0608174086</x:v>
      </x:c>
      <x:c r="AO71" s="38" t="n">
        <x:v>-0.0536069768</x:v>
      </x:c>
      <x:c r="AP71" s="38" t="n">
        <x:v>-0.0234319681</x:v>
      </x:c>
      <x:c r="AQ71" s="38" t="n">
        <x:v>-0.0196391234</x:v>
      </x:c>
      <x:c r="AR71" s="38" t="n">
        <x:v>-0.0342982374</x:v>
      </x:c>
      <x:c r="AS71" s="38" t="n">
        <x:v>0.0655298189</x:v>
      </x:c>
      <x:c r="AT71" s="38" t="n">
        <x:v>0.0202383175</x:v>
      </x:c>
      <x:c r="AU71" s="38" t="n">
        <x:v>0.0286133945</x:v>
      </x:c>
      <x:c r="AV71" s="38" t="n">
        <x:v>0.0238588656</x:v>
      </x:c>
      <x:c r="AW71" s="38" t="n">
        <x:v>0.0558128236</x:v>
      </x:c>
      <x:c r="AX71" s="38" t="n">
        <x:v>0.0085674949</x:v>
      </x:c>
      <x:c r="AY71" s="38" t="n">
        <x:v>0.185654552</x:v>
      </x:c>
      <x:c r="AZ71" s="38" t="n">
        <x:v>-0.0504376426</x:v>
      </x:c>
      <x:c r="BA71" s="38" t="n">
        <x:v>-0.0294872337</x:v>
      </x:c>
      <x:c r="BB71" s="38" t="n">
        <x:v>-0.0487983997</x:v>
      </x:c>
      <x:c r="BC71" s="38" t="n">
        <x:v>-0.1333114422</x:v>
      </x:c>
      <x:c r="BD71" s="38" t="n">
        <x:v>-0.0365273166</x:v>
      </x:c>
      <x:c r="BE71" s="38" t="n">
        <x:v>-0.0759705646</x:v>
      </x:c>
      <x:c r="BF71" s="38" t="n">
        <x:v>-0.039033174</x:v>
      </x:c>
      <x:c r="BG71" s="38" t="n">
        <x:v>-0.0466265713</x:v>
      </x:c>
      <x:c r="BH71" s="38" t="n">
        <x:v>-0.0063295155</x:v>
      </x:c>
      <x:c r="BI71" s="38" t="n">
        <x:v>0.0579653466</x:v>
      </x:c>
      <x:c r="BJ71" s="38" t="n">
        <x:v>-0.0576493356</x:v>
      </x:c>
    </x:row>
    <x:row r="72" ht="19" customHeight="1">
      <x:c r="A72" s="39" t="d">
        <x:v>2026-05-18T00:00:00.000Z</x:v>
      </x:c>
      <x:c r="B72" s="38" t="n">
        <x:v>-0.0624157427</x:v>
      </x:c>
      <x:c r="C72" s="38" t="n">
        <x:v>0.0336924383</x:v>
      </x:c>
      <x:c r="D72" s="38" t="n">
        <x:v>0.0133261293</x:v>
      </x:c>
      <x:c r="E72" s="38" t="n">
        <x:v>0.012223025</x:v>
      </x:c>
      <x:c r="F72" s="38" t="n">
        <x:v>-0.0288220414</x:v>
      </x:c>
      <x:c r="G72" s="38" t="n">
        <x:v>-0.0427605189</x:v>
      </x:c>
      <x:c r="H72" s="38" t="n">
        <x:v>-0.0653295359</x:v>
      </x:c>
      <x:c r="I72" s="38" t="n">
        <x:v>0.0090372774</x:v>
      </x:c>
      <x:c r="J72" s="38" t="n">
        <x:v>0.1138031991</x:v>
      </x:c>
      <x:c r="K72" s="38" t="n">
        <x:v>-0.0213954703</x:v>
      </x:c>
      <x:c r="L72" s="38" t="n">
        <x:v>0.0966335794</x:v>
      </x:c>
      <x:c r="M72" s="38" t="n">
        <x:v>0.0633548046</x:v>
      </x:c>
      <x:c r="N72" s="38" t="n">
        <x:v>0.0438866666</x:v>
      </x:c>
      <x:c r="O72" s="38" t="n">
        <x:v>-0.0091914998</x:v>
      </x:c>
      <x:c r="P72" s="38" t="n">
        <x:v>0.094388605</x:v>
      </x:c>
      <x:c r="Q72" s="38" t="n">
        <x:v>0.4322207469</x:v>
      </x:c>
      <x:c r="R72" s="38" t="n">
        <x:v>0.010311491</x:v>
      </x:c>
      <x:c r="S72" s="38" t="n">
        <x:v>0.0414396775</x:v>
      </x:c>
      <x:c r="T72" s="38" t="n">
        <x:v>-0.1475978966</x:v>
      </x:c>
      <x:c r="U72" s="38" t="n">
        <x:v>0.0764587006</x:v>
      </x:c>
      <x:c r="V72" s="38" t="n">
        <x:v>-0.0735157145</x:v>
      </x:c>
      <x:c r="W72" s="38" t="n">
        <x:v>-0.0881631122</x:v>
      </x:c>
      <x:c r="X72" s="38" t="n">
        <x:v>0.1746078489</x:v>
      </x:c>
      <x:c r="Y72" s="38" t="n">
        <x:v>-0.140646634</x:v>
      </x:c>
      <x:c r="Z72" s="38" t="n">
        <x:v>-0.0007028132</x:v>
      </x:c>
      <x:c r="AA72" s="38" t="n">
        <x:v>-0.3603003433</x:v>
      </x:c>
      <x:c r="AB72" s="38" t="n">
        <x:v>-0.2050051061</x:v>
      </x:c>
      <x:c r="AC72" s="38" t="n">
        <x:v>-0.0552497003</x:v>
      </x:c>
      <x:c r="AD72" s="38" t="n">
        <x:v>0.2961807225</x:v>
      </x:c>
      <x:c r="AE72" s="38" t="n">
        <x:v>0.1862594771</x:v>
      </x:c>
      <x:c r="AF72" s="38" t="n">
        <x:v>-0.0981264775</x:v>
      </x:c>
      <x:c r="AG72" s="38" t="n">
        <x:v>-0.0817495971</x:v>
      </x:c>
      <x:c r="AH72" s="38" t="n">
        <x:v>0.127404153</x:v>
      </x:c>
      <x:c r="AI72" s="38" t="n">
        <x:v>0.1342892328</x:v>
      </x:c>
      <x:c r="AJ72" s="38" t="n">
        <x:v>0.0096136317</x:v>
      </x:c>
      <x:c r="AK72" s="38" t="n">
        <x:v>0.3946067584</x:v>
      </x:c>
      <x:c r="AL72" s="38" t="n">
        <x:v>-0.1492148523</x:v>
      </x:c>
      <x:c r="AM72" s="38" t="n">
        <x:v>0.1111912475</x:v>
      </x:c>
      <x:c r="AN72" s="38" t="n">
        <x:v>-0.007463153</x:v>
      </x:c>
      <x:c r="AO72" s="38" t="n">
        <x:v>-0.0526984544</x:v>
      </x:c>
      <x:c r="AP72" s="38" t="n">
        <x:v>0.0285102889</x:v>
      </x:c>
      <x:c r="AQ72" s="38" t="n">
        <x:v>0.0181270192</x:v>
      </x:c>
      <x:c r="AR72" s="38" t="n">
        <x:v>0.0604448027</x:v>
      </x:c>
      <x:c r="AS72" s="38" t="n">
        <x:v>0.00466015</x:v>
      </x:c>
      <x:c r="AT72" s="38" t="n">
        <x:v>-0.0053423713</x:v>
      </x:c>
      <x:c r="AU72" s="38" t="n">
        <x:v>-0.0159574597</x:v>
      </x:c>
      <x:c r="AV72" s="38" t="n">
        <x:v>-0.015742682</x:v>
      </x:c>
      <x:c r="AW72" s="38" t="n">
        <x:v>0.0002220564</x:v>
      </x:c>
      <x:c r="AX72" s="38" t="n">
        <x:v>-0.0108688803</x:v>
      </x:c>
      <x:c r="AY72" s="38" t="n">
        <x:v>0.0689674292</x:v>
      </x:c>
      <x:c r="AZ72" s="38" t="n">
        <x:v>-0.0630885147</x:v>
      </x:c>
      <x:c r="BA72" s="38" t="n">
        <x:v>-0.0672896001</x:v>
      </x:c>
      <x:c r="BB72" s="38" t="n">
        <x:v>0.0006211752</x:v>
      </x:c>
      <x:c r="BC72" s="38" t="n">
        <x:v>0.0652105919</x:v>
      </x:c>
      <x:c r="BD72" s="38" t="n">
        <x:v>-0.0410693711</x:v>
      </x:c>
      <x:c r="BE72" s="38" t="n">
        <x:v>0.0286673611</x:v>
      </x:c>
      <x:c r="BF72" s="38" t="n">
        <x:v>-0.0691552033</x:v>
      </x:c>
      <x:c r="BG72" s="38" t="n">
        <x:v>-0.1018650669</x:v>
      </x:c>
      <x:c r="BH72" s="38" t="n">
        <x:v>-0.0260588199</x:v>
      </x:c>
      <x:c r="BI72" s="38" t="n">
        <x:v>0.0883128428</x:v>
      </x:c>
      <x:c r="BJ72" s="38" t="n">
        <x:v>-0.0593517893</x:v>
      </x:c>
    </x:row>
    <x:row r="73" ht="19" customHeight="1">
      <x:c r="A73" s="39" t="d">
        <x:v>2026-06-15T00:00:00.000Z</x:v>
      </x:c>
      <x:c r="B73" s="38" t="n">
        <x:v>-0.0138031314</x:v>
      </x:c>
      <x:c r="C73" s="38" t="n">
        <x:v>-0.0349096708</x:v>
      </x:c>
      <x:c r="D73" s="38" t="n">
        <x:v>0.025498596</x:v>
      </x:c>
      <x:c r="E73" s="38" t="n">
        <x:v>-0.0064612812</x:v>
      </x:c>
      <x:c r="F73" s="38" t="n">
        <x:v>0.042643927</x:v>
      </x:c>
      <x:c r="G73" s="38" t="n">
        <x:v>-0.0297065416</x:v>
      </x:c>
      <x:c r="H73" s="38" t="n">
        <x:v>-0.0474578183</x:v>
      </x:c>
      <x:c r="I73" s="38" t="n">
        <x:v>0.0608466944</x:v>
      </x:c>
      <x:c r="J73" s="38" t="n">
        <x:v>0.2441504308</x:v>
      </x:c>
      <x:c r="K73" s="38" t="n">
        <x:v>0.1160502686</x:v>
      </x:c>
      <x:c r="L73" s="38" t="n">
        <x:v>-0.0988714299</x:v>
      </x:c>
      <x:c r="M73" s="38" t="n">
        <x:v>-0.0864670984</x:v>
      </x:c>
      <x:c r="N73" s="38" t="n">
        <x:v>0.0254546899</x:v>
      </x:c>
      <x:c r="O73" s="38" t="n">
        <x:v>0.3634598899</x:v>
      </x:c>
      <x:c r="P73" s="38" t="n">
        <x:v>-0.0997367804</x:v>
      </x:c>
      <x:c r="Q73" s="38" t="n">
        <x:v>0.0628266787</x:v>
      </x:c>
      <x:c r="R73" s="38" t="n">
        <x:v>-0.1883184591</x:v>
      </x:c>
      <x:c r="S73" s="38" t="n">
        <x:v>0.1517852434</x:v>
      </x:c>
      <x:c r="T73" s="38" t="n">
        <x:v>0.5224782843</x:v>
      </x:c>
      <x:c r="U73" s="38" t="n">
        <x:v>0.1005994103</x:v>
      </x:c>
      <x:c r="V73" s="38" t="n">
        <x:v>-0.1638662598</x:v>
      </x:c>
      <x:c r="W73" s="38" t="n">
        <x:v>0.0118317703</x:v>
      </x:c>
      <x:c r="X73" s="38" t="n">
        <x:v>0.3992160923</x:v>
      </x:c>
      <x:c r="Y73" s="38" t="n">
        <x:v>0.0080638467</x:v>
      </x:c>
      <x:c r="Z73" s="38" t="n">
        <x:v>0.0411266129</x:v>
      </x:c>
      <x:c r="AA73" s="38" t="n">
        <x:v>0.2816786178</x:v>
      </x:c>
      <x:c r="AB73" s="38" t="n">
        <x:v>0.1615500836</x:v>
      </x:c>
      <x:c r="AC73" s="38" t="n">
        <x:v>0.1027719962</x:v>
      </x:c>
      <x:c r="AD73" s="38" t="n">
        <x:v>-0.0415829239</x:v>
      </x:c>
      <x:c r="AE73" s="38" t="n">
        <x:v>0.1528394708</x:v>
      </x:c>
      <x:c r="AF73" s="38" t="n">
        <x:v>0.0597379046</x:v>
      </x:c>
      <x:c r="AG73" s="38" t="n">
        <x:v>-0.089618828</x:v>
      </x:c>
      <x:c r="AH73" s="38" t="n">
        <x:v>0.0356108018</x:v>
      </x:c>
      <x:c r="AI73" s="38" t="n">
        <x:v>0.0088790102</x:v>
      </x:c>
      <x:c r="AJ73" s="38" t="n">
        <x:v>0.0642955192</x:v>
      </x:c>
      <x:c r="AK73" s="38" t="n">
        <x:v>-0.2868097002</x:v>
      </x:c>
      <x:c r="AL73" s="38" t="n">
        <x:v>-0.1119613044</x:v>
      </x:c>
      <x:c r="AM73" s="38" t="n">
        <x:v>0.0230183046</x:v>
      </x:c>
      <x:c r="AN73" s="38" t="n">
        <x:v>-0.0435111209</x:v>
      </x:c>
      <x:c r="AO73" s="38" t="n">
        <x:v>0.1359607984</x:v>
      </x:c>
      <x:c r="AP73" s="38" t="n">
        <x:v>0.0076209747</x:v>
      </x:c>
      <x:c r="AQ73" s="38" t="n">
        <x:v>-0.0075685349</x:v>
      </x:c>
      <x:c r="AR73" s="38" t="n">
        <x:v>0.0081284728</x:v>
      </x:c>
      <x:c r="AS73" s="38" t="n">
        <x:v>-0.0015334979</x:v>
      </x:c>
      <x:c r="AT73" s="38" t="n">
        <x:v>-0.0149004578</x:v>
      </x:c>
      <x:c r="AU73" s="38" t="n">
        <x:v>-0.019139231</x:v>
      </x:c>
      <x:c r="AV73" s="38" t="n">
        <x:v>-0.0180289853</x:v>
      </x:c>
      <x:c r="AW73" s="38" t="n">
        <x:v>-0.0286741991</x:v>
      </x:c>
      <x:c r="AX73" s="38" t="n">
        <x:v>-0.0292438736</x:v>
      </x:c>
      <x:c r="AY73" s="38" t="n">
        <x:v>0.0065158546</x:v>
      </x:c>
      <x:c r="AZ73" s="38" t="n">
        <x:v>-0.0902225455</x:v>
      </x:c>
      <x:c r="BA73" s="38" t="n">
        <x:v>-0.027823259</x:v>
      </x:c>
      <x:c r="BB73" s="38" t="n">
        <x:v>-0.0324844111</x:v>
      </x:c>
      <x:c r="BC73" s="38" t="n">
        <x:v>-0.1809582499</x:v>
      </x:c>
      <x:c r="BD73" s="38" t="n">
        <x:v>0.0427088421</x:v>
      </x:c>
      <x:c r="BE73" s="38" t="n">
        <x:v>-0.009895702</x:v>
      </x:c>
      <x:c r="BF73" s="38" t="n">
        <x:v>0.0751766319</x:v>
      </x:c>
      <x:c r="BG73" s="38" t="n">
        <x:v>0.0442844056</x:v>
      </x:c>
      <x:c r="BH73" s="38" t="n">
        <x:v>-0.0259747681</x:v>
      </x:c>
      <x:c r="BI73" s="38" t="n">
        <x:v>0.0869129591</x:v>
      </x:c>
      <x:c r="BJ73" s="38" t="n">
        <x:v>-0.0263729722</x:v>
      </x:c>
    </x:row>
    <x:row r="74" ht="19" customHeight="1">
      <x:c r="A74" s="39" t="d">
        <x:v>2026-07-13T00:00:00.000Z</x:v>
      </x:c>
      <x:c r="B74" s="38" t="n">
        <x:v>0.0643044352</x:v>
      </x:c>
      <x:c r="C74" s="38" t="n">
        <x:v>-0.1302689843</x:v>
      </x:c>
      <x:c r="D74" s="38" t="n">
        <x:v>0.00208182</x:v>
      </x:c>
      <x:c r="E74" s="38" t="n">
        <x:v>-0.0009321588</x:v>
      </x:c>
      <x:c r="F74" s="38" t="n">
        <x:v>-0.054845935</x:v>
      </x:c>
      <x:c r="G74" s="38" t="n">
        <x:v>0.1537454434</x:v>
      </x:c>
      <x:c r="H74" s="38" t="n">
        <x:v>0.0138854889</x:v>
      </x:c>
      <x:c r="I74" s="38" t="n">
        <x:v>-0.0720163755</x:v>
      </x:c>
      <x:c r="J74" s="38" t="n">
        <x:v>-0.1608630738</x:v>
      </x:c>
      <x:c r="K74" s="38" t="n">
        <x:v>0.2855558699</x:v>
      </x:c>
      <x:c r="L74" s="38" t="n">
        <x:v>0.1910771793</x:v>
      </x:c>
      <x:c r="M74" s="38" t="n">
        <x:v>0.0916651157</x:v>
      </x:c>
      <x:c r="N74" s="38" t="n">
        <x:v>-0.0416437675</x:v>
      </x:c>
      <x:c r="O74" s="38" t="n">
        <x:v>-0.3868116835</x:v>
      </x:c>
      <x:c r="P74" s="38" t="n">
        <x:v>0.1581678572</x:v>
      </x:c>
      <x:c r="Q74" s="38" t="n">
        <x:v>-0.3820409374</x:v>
      </x:c>
      <x:c r="R74" s="38" t="n">
        <x:v>-0.0227000118</x:v>
      </x:c>
      <x:c r="S74" s="38" t="n">
        <x:v>0.3284348242</x:v>
      </x:c>
      <x:c r="T74" s="38" t="n">
        <x:v>-0.08304879</x:v>
      </x:c>
      <x:c r="U74" s="38" t="n">
        <x:v>0.2925074437</x:v>
      </x:c>
      <x:c r="V74" s="38" t="n">
        <x:v>-0.0889964885</x:v>
      </x:c>
      <x:c r="W74" s="38" t="n">
        <x:v>0.0593721456</x:v>
      </x:c>
      <x:c r="X74" s="38" t="n">
        <x:v>-0.1434616873</x:v>
      </x:c>
      <x:c r="Y74" s="38" t="n">
        <x:v>-0.2124177202</x:v>
      </x:c>
      <x:c r="Z74" s="38" t="n">
        <x:v>-0.04940395</x:v>
      </x:c>
      <x:c r="AA74" s="38" t="n">
        <x:v>0.508239914</x:v>
      </x:c>
      <x:c r="AB74" s="38" t="n">
        <x:v>-0.227496496</x:v>
      </x:c>
      <x:c r="AC74" s="38" t="n">
        <x:v>-0.0604289598</x:v>
      </x:c>
      <x:c r="AD74" s="38" t="n">
        <x:v>0.0590524283</x:v>
      </x:c>
      <x:c r="AE74" s="38" t="n">
        <x:v>0.0542139926</x:v>
      </x:c>
      <x:c r="AF74" s="38" t="n">
        <x:v>-0.030515765</x:v>
      </x:c>
      <x:c r="AG74" s="38" t="n">
        <x:v>-0.0810634417</x:v>
      </x:c>
      <x:c r="AH74" s="38" t="n">
        <x:v>0.211993801</x:v>
      </x:c>
      <x:c r="AI74" s="38" t="n">
        <x:v>-0.0716320901</x:v>
      </x:c>
      <x:c r="AJ74" s="38" t="n">
        <x:v>0.0524366317</x:v>
      </x:c>
      <x:c r="AK74" s="38" t="n">
        <x:v>-0.3117303527</x:v>
      </x:c>
      <x:c r="AL74" s="38" t="n">
        <x:v>0.1254137893</x:v>
      </x:c>
      <x:c r="AM74" s="38" t="n">
        <x:v>-0.0091624708</x:v>
      </x:c>
      <x:c r="AN74" s="38" t="n">
        <x:v>-0.0535913658</x:v>
      </x:c>
      <x:c r="AO74" s="38" t="n">
        <x:v>0.038626414</x:v>
      </x:c>
      <x:c r="AP74" s="38" t="n">
        <x:v>-0.0114141807</x:v>
      </x:c>
      <x:c r="AQ74" s="38" t="n">
        <x:v>0.010338954</x:v>
      </x:c>
      <x:c r="AR74" s="38" t="n">
        <x:v>-0.0568771686</x:v>
      </x:c>
      <x:c r="AS74" s="38" t="n">
        <x:v>-0.0187179865</x:v>
      </x:c>
      <x:c r="AT74" s="38" t="n">
        <x:v>0.000885019</x:v>
      </x:c>
      <x:c r="AU74" s="38" t="n">
        <x:v>-0.0048794744</x:v>
      </x:c>
      <x:c r="AV74" s="38" t="n">
        <x:v>-0.0054269803</x:v>
      </x:c>
      <x:c r="AW74" s="38" t="n">
        <x:v>-0.0081707824</x:v>
      </x:c>
      <x:c r="AX74" s="38" t="n">
        <x:v>-0.0193054903</x:v>
      </x:c>
      <x:c r="AY74" s="38" t="n">
        <x:v>-0.0075616593</x:v>
      </x:c>
      <x:c r="AZ74" s="38" t="n">
        <x:v>0.0309291065</x:v>
      </x:c>
      <x:c r="BA74" s="38" t="n">
        <x:v>-0.0046255156</x:v>
      </x:c>
      <x:c r="BB74" s="38" t="n">
        <x:v>0.0498777804</x:v>
      </x:c>
      <x:c r="BC74" s="38" t="n">
        <x:v>0.1054770827</x:v>
      </x:c>
      <x:c r="BD74" s="38" t="n">
        <x:v>0.0899431738</x:v>
      </x:c>
      <x:c r="BE74" s="38" t="n">
        <x:v>0.1319725593</x:v>
      </x:c>
      <x:c r="BF74" s="38" t="n">
        <x:v>-0.0056126864</x:v>
      </x:c>
      <x:c r="BG74" s="38" t="n">
        <x:v>-0.0276893035</x:v>
      </x:c>
      <x:c r="BH74" s="38" t="n">
        <x:v>0.0825107859</x:v>
      </x:c>
      <x:c r="BI74" s="38" t="n">
        <x:v>-0.1274451096</x:v>
      </x:c>
      <x:c r="BJ74" s="38" t="n">
        <x:v>0.0256902226</x:v>
      </x:c>
    </x:row>
    <x:row r="75" ht="19" customHeight="1">
      <x:c r="A75" s="39" t="d">
        <x:v>2026-08-10T00:00:00.000Z</x:v>
      </x:c>
      <x:c r="B75" s="38" t="n">
        <x:v>-0.1433700156</x:v>
      </x:c>
      <x:c r="C75" s="38" t="n">
        <x:v>-0.0025210593</x:v>
      </x:c>
      <x:c r="D75" s="38" t="n">
        <x:v>-0.0369473505</x:v>
      </x:c>
      <x:c r="E75" s="38" t="n">
        <x:v>-0.0471141125</x:v>
      </x:c>
      <x:c r="F75" s="38" t="n">
        <x:v>0.0528541928</x:v>
      </x:c>
      <x:c r="G75" s="38" t="n">
        <x:v>-0.0499252562</x:v>
      </x:c>
      <x:c r="H75" s="38" t="n">
        <x:v>0.0338900899</x:v>
      </x:c>
      <x:c r="I75" s="38" t="n">
        <x:v>-0.0827587022</x:v>
      </x:c>
      <x:c r="J75" s="38" t="n">
        <x:v>0.0299427628</x:v>
      </x:c>
      <x:c r="K75" s="38" t="n">
        <x:v>0.0123398957</x:v>
      </x:c>
      <x:c r="L75" s="38" t="n">
        <x:v>-0.0971120779</x:v>
      </x:c>
      <x:c r="M75" s="38" t="n">
        <x:v>-0.0134755089</x:v>
      </x:c>
      <x:c r="N75" s="38" t="n">
        <x:v>-0.0657715518</x:v>
      </x:c>
      <x:c r="O75" s="38" t="n">
        <x:v>-0.1680261536</x:v>
      </x:c>
      <x:c r="P75" s="38" t="n">
        <x:v>-0.1339499332</x:v>
      </x:c>
      <x:c r="Q75" s="38" t="n">
        <x:v>-0.1210540077</x:v>
      </x:c>
      <x:c r="R75" s="38" t="n">
        <x:v>0.1020736048</x:v>
      </x:c>
      <x:c r="S75" s="38" t="n">
        <x:v>0.0900287034</x:v>
      </x:c>
      <x:c r="T75" s="38" t="n">
        <x:v>-0.0985238559</x:v>
      </x:c>
      <x:c r="U75" s="38" t="n">
        <x:v>0.2344719753</x:v>
      </x:c>
      <x:c r="V75" s="38" t="n">
        <x:v>0.1691418153</x:v>
      </x:c>
      <x:c r="W75" s="38" t="n">
        <x:v>0.1051140937</x:v>
      </x:c>
      <x:c r="X75" s="38" t="n">
        <x:v>-0.1160220498</x:v>
      </x:c>
      <x:c r="Y75" s="38" t="n">
        <x:v>0.3657944333</x:v>
      </x:c>
      <x:c r="Z75" s="38" t="n">
        <x:v>-0.01320856</x:v>
      </x:c>
      <x:c r="AA75" s="38" t="n">
        <x:v>0.2221064042</x:v>
      </x:c>
      <x:c r="AB75" s="38" t="n">
        <x:v>-0.1316104881</x:v>
      </x:c>
      <x:c r="AC75" s="38" t="n">
        <x:v>-0.068508059</x:v>
      </x:c>
      <x:c r="AD75" s="38" t="n">
        <x:v>-0.0765111445</x:v>
      </x:c>
      <x:c r="AE75" s="38" t="n">
        <x:v>0.1685754229</x:v>
      </x:c>
      <x:c r="AF75" s="38" t="n">
        <x:v>0.0017960644</x:v>
      </x:c>
      <x:c r="AG75" s="38" t="n">
        <x:v>0.287854301</x:v>
      </x:c>
      <x:c r="AH75" s="38" t="n">
        <x:v>-0.2180013534</x:v>
      </x:c>
      <x:c r="AI75" s="38" t="n">
        <x:v>-0.1451068099</x:v>
      </x:c>
      <x:c r="AJ75" s="38" t="n">
        <x:v>-0.0488479024</x:v>
      </x:c>
      <x:c r="AK75" s="38" t="n">
        <x:v>-0.0642512768</x:v>
      </x:c>
      <x:c r="AL75" s="38" t="n">
        <x:v>0.2622741252</x:v>
      </x:c>
      <x:c r="AM75" s="38" t="n">
        <x:v>-0.095138038</x:v>
      </x:c>
      <x:c r="AN75" s="38" t="n">
        <x:v>-0.0052733252</x:v>
      </x:c>
      <x:c r="AO75" s="38" t="n">
        <x:v>-0.04877517</x:v>
      </x:c>
      <x:c r="AP75" s="38" t="n">
        <x:v>0.0596390065</x:v>
      </x:c>
      <x:c r="AQ75" s="38" t="n">
        <x:v>-0.0019082624</x:v>
      </x:c>
      <x:c r="AR75" s="38" t="n">
        <x:v>0.0119202581</x:v>
      </x:c>
      <x:c r="AS75" s="38" t="n">
        <x:v>0.0500143813</x:v>
      </x:c>
      <x:c r="AT75" s="38" t="n">
        <x:v>0.0154644223</x:v>
      </x:c>
      <x:c r="AU75" s="38" t="n">
        <x:v>0.0192174074</x:v>
      </x:c>
      <x:c r="AV75" s="38" t="n">
        <x:v>0.018290998</x:v>
      </x:c>
      <x:c r="AW75" s="38" t="n">
        <x:v>0.0207577563</x:v>
      </x:c>
      <x:c r="AX75" s="38" t="n">
        <x:v>0.025362448</x:v>
      </x:c>
      <x:c r="AY75" s="38" t="n">
        <x:v>0.0720471223</x:v>
      </x:c>
      <x:c r="AZ75" s="38" t="n">
        <x:v>-0.0307698375</x:v>
      </x:c>
      <x:c r="BA75" s="38" t="n">
        <x:v>-0.0383272047</x:v>
      </x:c>
      <x:c r="BB75" s="38" t="n">
        <x:v>-0.0128886845</x:v>
      </x:c>
      <x:c r="BC75" s="38" t="n">
        <x:v>0.111499343</x:v>
      </x:c>
      <x:c r="BD75" s="38" t="n">
        <x:v>-0.004503181</x:v>
      </x:c>
      <x:c r="BE75" s="38" t="n">
        <x:v>0.0289462483</x:v>
      </x:c>
      <x:c r="BF75" s="38" t="n">
        <x:v>-0.0011071486</x:v>
      </x:c>
      <x:c r="BG75" s="38" t="n">
        <x:v>0.0110269204</x:v>
      </x:c>
      <x:c r="BH75" s="38" t="n">
        <x:v>-0.0603137857</x:v>
      </x:c>
      <x:c r="BI75" s="38" t="n">
        <x:v>0.0262910176</x:v>
      </x:c>
      <x:c r="BJ75" s="38" t="n">
        <x:v>-0.0636403026</x:v>
      </x:c>
    </x:row>
  </x:sheetData>
  <x:pageMargins left="0.7" right="0.7" top="0.75" bottom="0.75" header="0.3" footer="0.3"/>
</x:worksheet>
</file>

<file path=xl/worksheets/sheet14.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row>
    <x:row r="2" ht="19" customHeight="1">
      <x:c r="A2" s="34" t="str">
        <x:v>Weighted factor returns</x:v>
      </x:c>
      <x:c r="B2" s="23"/>
      <x:c r="C2" s="23"/>
      <x:c r="D2" s="23"/>
      <x:c r="E2" s="23"/>
      <x:c r="F2" s="23"/>
      <x:c r="G2" s="23"/>
      <x:c r="H2" s="23"/>
      <x:c r="I2" s="23"/>
      <x:c r="J2" s="23"/>
      <x:c r="K2" s="23"/>
      <x:c r="L2" s="23"/>
      <x:c r="M2" s="23"/>
      <x:c r="N2" s="23"/>
      <x:c r="O2" s="23"/>
      <x:c r="P2" s="23"/>
      <x:c r="Q2" s="23"/>
      <x:c r="R2" s="23"/>
      <x:c r="S2" s="23"/>
    </x:row>
    <x:row r="3" ht="19" customHeight="1">
      <x:c r="A3" s="27"/>
      <x:c r="B3" s="23"/>
      <x:c r="C3" s="23"/>
      <x:c r="D3" s="23"/>
      <x:c r="E3" s="23"/>
      <x:c r="F3" s="23"/>
      <x:c r="G3" s="23"/>
      <x:c r="H3" s="23"/>
      <x:c r="I3" s="23"/>
      <x:c r="J3" s="23"/>
      <x:c r="K3" s="23"/>
      <x:c r="L3" s="23"/>
      <x:c r="M3" s="23"/>
      <x:c r="N3" s="23"/>
      <x:c r="O3" s="23"/>
      <x:c r="P3" s="23"/>
      <x:c r="Q3" s="23"/>
      <x:c r="R3" s="23"/>
      <x:c r="S3" s="23"/>
    </x:row>
    <x:row r="4" ht="19" customHeight="1">
      <x:c r="A4" s="23"/>
      <x:c r="B4" s="23"/>
      <x:c r="C4" s="23"/>
      <x:c r="D4" s="23"/>
      <x:c r="E4" s="23"/>
      <x:c r="F4" s="23"/>
      <x:c r="G4" s="23"/>
      <x:c r="H4" s="23"/>
      <x:c r="I4" s="23"/>
      <x:c r="J4" s="23"/>
      <x:c r="K4" s="23"/>
      <x:c r="L4" s="23"/>
      <x:c r="M4" s="23"/>
      <x:c r="N4" s="23"/>
      <x:c r="O4" s="23"/>
      <x:c r="P4" s="23"/>
      <x:c r="Q4" s="23"/>
      <x:c r="R4" s="23"/>
      <x:c r="S4" s="23"/>
    </x:row>
    <x:row r="5" ht="42" customHeight="1">
      <x:c r="A5" s="35" t="str">
        <x:v>date</x:v>
      </x:c>
      <x:c r="B5" s="35" t="str">
        <x:v>MXN/USD</x:v>
      </x:c>
      <x:c r="C5" s="35" t="str">
        <x:v>SGD/USD</x:v>
      </x:c>
      <x:c r="D5" s="35" t="str">
        <x:v>DKK/USD</x:v>
      </x:c>
      <x:c r="E5" s="35" t="str">
        <x:v>EUR/USD</x:v>
      </x:c>
      <x:c r="F5" s="35" t="str">
        <x:v>AUD/USD</x:v>
      </x:c>
      <x:c r="G5" s="35" t="str">
        <x:v>CAD/USD</x:v>
      </x:c>
      <x:c r="H5" s="35" t="str">
        <x:v>SPY</x:v>
      </x:c>
      <x:c r="I5" s="35" t="str">
        <x:v>XLC</x:v>
      </x:c>
      <x:c r="J5" s="35" t="str">
        <x:v>XLY</x:v>
      </x:c>
      <x:c r="K5" s="35" t="str">
        <x:v>XLP</x:v>
      </x:c>
      <x:c r="L5" s="35" t="str">
        <x:v>XLE</x:v>
      </x:c>
      <x:c r="M5" s="35" t="str">
        <x:v>XLF</x:v>
      </x:c>
      <x:c r="N5" s="35" t="str">
        <x:v>XLV</x:v>
      </x:c>
      <x:c r="O5" s="35" t="str">
        <x:v>XLI</x:v>
      </x:c>
      <x:c r="P5" s="35" t="str">
        <x:v>XLB</x:v>
      </x:c>
      <x:c r="Q5" s="35" t="str">
        <x:v>XLRE</x:v>
      </x:c>
      <x:c r="R5" s="35" t="str">
        <x:v>XLK</x:v>
      </x:c>
      <x:c r="S5" s="35" t="str">
        <x:v>XLU</x:v>
      </x:c>
    </x:row>
    <x:row r="6" ht="19" customHeight="1">
      <x:c r="A6" s="39" t="d">
        <x:v>2020-07-20T00:00:00.000Z</x:v>
      </x:c>
      <x:c r="B6" s="38" t="n">
        <x:v>0.0186495316</x:v>
      </x:c>
      <x:c r="C6" s="38" t="n">
        <x:v>0.0041527757</x:v>
      </x:c>
      <x:c r="D6" s="38" t="n">
        <x:v>0.0215748786</x:v>
      </x:c>
      <x:c r="E6" s="38" t="n">
        <x:v>0.0207607427</x:v>
      </x:c>
      <x:c r="F6" s="38" t="n">
        <x:v>0.0164747334</x:v>
      </x:c>
      <x:c r="G6" s="38" t="n">
        <x:v>-0.0005148334</x:v>
      </x:c>
      <x:c r="H6" s="38" t="n">
        <x:v>0.0364918849</x:v>
      </x:c>
      <x:c r="I6" s="38" t="n">
        <x:v>0.01167599</x:v>
      </x:c>
      <x:c r="J6" s="38" t="n">
        <x:v>0.013884643</x:v>
      </x:c>
      <x:c r="K6" s="38" t="n">
        <x:v>0.0297248511</x:v>
      </x:c>
      <x:c r="L6" s="38" t="n">
        <x:v>0.0022103663</x:v>
      </x:c>
      <x:c r="M6" s="38" t="n">
        <x:v>0.0082008105</x:v>
      </x:c>
      <x:c r="N6" s="38" t="n">
        <x:v>0.0225153349</x:v>
      </x:c>
      <x:c r="O6" s="38" t="n">
        <x:v>0.0105389804</x:v>
      </x:c>
      <x:c r="P6" s="38" t="n">
        <x:v>0.0390429053</x:v>
      </x:c>
      <x:c r="Q6" s="38" t="n">
        <x:v>-0.008365113</x:v>
      </x:c>
      <x:c r="R6" s="38" t="n">
        <x:v>-0.0332900542</x:v>
      </x:c>
      <x:c r="S6" s="38" t="n">
        <x:v>0.0306442561</x:v>
      </x:c>
    </x:row>
    <x:row r="7" ht="19" customHeight="1">
      <x:c r="A7" s="39" t="d">
        <x:v>2020-08-17T00:00:00.000Z</x:v>
      </x:c>
      <x:c r="B7" s="38" t="n">
        <x:v>0.0077089901</x:v>
      </x:c>
      <x:c r="C7" s="38" t="n">
        <x:v>0.0046140966</x:v>
      </x:c>
      <x:c r="D7" s="38" t="n">
        <x:v>0.0062898063</x:v>
      </x:c>
      <x:c r="E7" s="38" t="n">
        <x:v>0.0067418989</x:v>
      </x:c>
      <x:c r="F7" s="38" t="n">
        <x:v>0.0081724443</x:v>
      </x:c>
      <x:c r="G7" s="38" t="n">
        <x:v>0.0131261715</x:v>
      </x:c>
      <x:c r="H7" s="38" t="n">
        <x:v>0.0310715295</x:v>
      </x:c>
      <x:c r="I7" s="38" t="n">
        <x:v>0.0096920139</x:v>
      </x:c>
      <x:c r="J7" s="38" t="n">
        <x:v>0.0124600773</x:v>
      </x:c>
      <x:c r="K7" s="38" t="n">
        <x:v>0.0052344599</x:v>
      </x:c>
      <x:c r="L7" s="38" t="n">
        <x:v>-0.0357121413</x:v>
      </x:c>
      <x:c r="M7" s="38" t="n">
        <x:v>-0.025793548</x:v>
      </x:c>
      <x:c r="N7" s="38" t="n">
        <x:v>-0.006826031</x:v>
      </x:c>
      <x:c r="O7" s="38" t="n">
        <x:v>0.00461055</x:v>
      </x:c>
      <x:c r="P7" s="38" t="n">
        <x:v>-0.0186071688</x:v>
      </x:c>
      <x:c r="Q7" s="38" t="n">
        <x:v>-0.0036889024</x:v>
      </x:c>
      <x:c r="R7" s="38" t="n">
        <x:v>0.0183998402</x:v>
      </x:c>
      <x:c r="S7" s="38" t="n">
        <x:v>-0.0231489713</x:v>
      </x:c>
    </x:row>
    <x:row r="8" ht="19" customHeight="1">
      <x:c r="A8" s="39" t="d">
        <x:v>2020-09-14T00:00:00.000Z</x:v>
      </x:c>
      <x:c r="B8" s="38" t="n">
        <x:v>0.0216558189</x:v>
      </x:c>
      <x:c r="C8" s="38" t="n">
        <x:v>0.0048260714</x:v>
      </x:c>
      <x:c r="D8" s="38" t="n">
        <x:v>0.00251341</x:v>
      </x:c>
      <x:c r="E8" s="38" t="n">
        <x:v>0.0019210246</x:v>
      </x:c>
      <x:c r="F8" s="38" t="n">
        <x:v>0.0082413712</x:v>
      </x:c>
      <x:c r="G8" s="38" t="n">
        <x:v>0.001623583</x:v>
      </x:c>
      <x:c r="H8" s="38" t="n">
        <x:v>-0.012504665</x:v>
      </x:c>
      <x:c r="I8" s="38" t="n">
        <x:v>-0.0053581519</x:v>
      </x:c>
      <x:c r="J8" s="38" t="n">
        <x:v>0.0132634384</x:v>
      </x:c>
      <x:c r="K8" s="38" t="n">
        <x:v>-0.0013768686</x:v>
      </x:c>
      <x:c r="L8" s="38" t="n">
        <x:v>-0.0607040137</x:v>
      </x:c>
      <x:c r="M8" s="38" t="n">
        <x:v>0.0166349195</x:v>
      </x:c>
      <x:c r="N8" s="38" t="n">
        <x:v>-0.0027261716</x:v>
      </x:c>
      <x:c r="O8" s="38" t="n">
        <x:v>0.0250663963</x:v>
      </x:c>
      <x:c r="P8" s="38" t="n">
        <x:v>0.0444103086</x:v>
      </x:c>
      <x:c r="Q8" s="38" t="n">
        <x:v>0.0106015856</x:v>
      </x:c>
      <x:c r="R8" s="38" t="n">
        <x:v>-0.0111595684</x:v>
      </x:c>
      <x:c r="S8" s="38" t="n">
        <x:v>-0.006128016</x:v>
      </x:c>
    </x:row>
    <x:row r="9" ht="19" customHeight="1">
      <x:c r="A9" s="39" t="d">
        <x:v>2020-10-12T00:00:00.000Z</x:v>
      </x:c>
      <x:c r="B9" s="38" t="n">
        <x:v>0.0000053572</x:v>
      </x:c>
      <x:c r="C9" s="38" t="n">
        <x:v>0.0004591838</x:v>
      </x:c>
      <x:c r="D9" s="38" t="n">
        <x:v>-0.0061415492</x:v>
      </x:c>
      <x:c r="E9" s="38" t="n">
        <x:v>-0.005806247</x:v>
      </x:c>
      <x:c r="F9" s="38" t="n">
        <x:v>-0.0177005379</x:v>
      </x:c>
      <x:c r="G9" s="38" t="n">
        <x:v>0.0026842261</x:v>
      </x:c>
      <x:c r="H9" s="38" t="n">
        <x:v>0.0278489073</x:v>
      </x:c>
      <x:c r="I9" s="38" t="n">
        <x:v>-0.0033486763</x:v>
      </x:c>
      <x:c r="J9" s="38" t="n">
        <x:v>0.010052625</x:v>
      </x:c>
      <x:c r="K9" s="38" t="n">
        <x:v>0.0126430413</x:v>
      </x:c>
      <x:c r="L9" s="38" t="n">
        <x:v>-0.0657399156</x:v>
      </x:c>
      <x:c r="M9" s="38" t="n">
        <x:v>-0.0139306851</x:v>
      </x:c>
      <x:c r="N9" s="38" t="n">
        <x:v>0.0005859411</x:v>
      </x:c>
      <x:c r="O9" s="38" t="n">
        <x:v>-0.0047294967</x:v>
      </x:c>
      <x:c r="P9" s="38" t="n">
        <x:v>-0.012515913</x:v>
      </x:c>
      <x:c r="Q9" s="38" t="n">
        <x:v>-0.0067042842</x:v>
      </x:c>
      <x:c r="R9" s="38" t="n">
        <x:v>0.0069399726</x:v>
      </x:c>
      <x:c r="S9" s="38" t="n">
        <x:v>0.041707511</x:v>
      </x:c>
    </x:row>
    <x:row r="10" ht="19" customHeight="1">
      <x:c r="A10" s="39" t="d">
        <x:v>2020-11-09T00:00:00.000Z</x:v>
      </x:c>
      <x:c r="B10" s="38" t="n">
        <x:v>0.0204297932</x:v>
      </x:c>
      <x:c r="C10" s="38" t="n">
        <x:v>0.0042812319</x:v>
      </x:c>
      <x:c r="D10" s="38" t="n">
        <x:v>0.0051219917</x:v>
      </x:c>
      <x:c r="E10" s="38" t="n">
        <x:v>0.0057817682</x:v>
      </x:c>
      <x:c r="F10" s="38" t="n">
        <x:v>0.0121880069</x:v>
      </x:c>
      <x:c r="G10" s="38" t="n">
        <x:v>0.0047333105</x:v>
      </x:c>
      <x:c r="H10" s="38" t="n">
        <x:v>0.0176325244</x:v>
      </x:c>
      <x:c r="I10" s="38" t="n">
        <x:v>0.01623322</x:v>
      </x:c>
      <x:c r="J10" s="38" t="n">
        <x:v>-0.0111356047</x:v>
      </x:c>
      <x:c r="K10" s="38" t="n">
        <x:v>0.0034505217</x:v>
      </x:c>
      <x:c r="L10" s="38" t="n">
        <x:v>0.0502578319</x:v>
      </x:c>
      <x:c r="M10" s="38" t="n">
        <x:v>0.0291984375</x:v>
      </x:c>
      <x:c r="N10" s="38" t="n">
        <x:v>0.0122894818</x:v>
      </x:c>
      <x:c r="O10" s="38" t="n">
        <x:v>0.0106253477</x:v>
      </x:c>
      <x:c r="P10" s="38" t="n">
        <x:v>0.0111802574</x:v>
      </x:c>
      <x:c r="Q10" s="38" t="n">
        <x:v>0.0121785223</x:v>
      </x:c>
      <x:c r="R10" s="38" t="n">
        <x:v>-0.0246482288</x:v>
      </x:c>
      <x:c r="S10" s="38" t="n">
        <x:v>0.0086977122</x:v>
      </x:c>
    </x:row>
    <x:row r="11" ht="19" customHeight="1">
      <x:c r="A11" s="39" t="d">
        <x:v>2020-12-07T00:00:00.000Z</x:v>
      </x:c>
      <x:c r="B11" s="38" t="n">
        <x:v>0.0076578198</x:v>
      </x:c>
      <x:c r="C11" s="38" t="n">
        <x:v>0.004924254</x:v>
      </x:c>
      <x:c r="D11" s="38" t="n">
        <x:v>0.0142982276</x:v>
      </x:c>
      <x:c r="E11" s="38" t="n">
        <x:v>0.0133544247</x:v>
      </x:c>
      <x:c r="F11" s="38" t="n">
        <x:v>0.0224636627</x:v>
      </x:c>
      <x:c r="G11" s="38" t="n">
        <x:v>0.009409468</x:v>
      </x:c>
      <x:c r="H11" s="38" t="n">
        <x:v>0.0132087009</x:v>
      </x:c>
      <x:c r="I11" s="38" t="n">
        <x:v>0.0148477871</x:v>
      </x:c>
      <x:c r="J11" s="38" t="n">
        <x:v>0.0025555184</x:v>
      </x:c>
      <x:c r="K11" s="38" t="n">
        <x:v>-0.0082780508</x:v>
      </x:c>
      <x:c r="L11" s="38" t="n">
        <x:v>0.096069945</x:v>
      </x:c>
      <x:c r="M11" s="38" t="n">
        <x:v>0.0176761692</x:v>
      </x:c>
      <x:c r="N11" s="38" t="n">
        <x:v>-0.0099577014</x:v>
      </x:c>
      <x:c r="O11" s="38" t="n">
        <x:v>0.006001243</x:v>
      </x:c>
      <x:c r="P11" s="38" t="n">
        <x:v>0.0070076334</x:v>
      </x:c>
      <x:c r="Q11" s="38" t="n">
        <x:v>-0.0256451388</x:v>
      </x:c>
      <x:c r="R11" s="38" t="n">
        <x:v>-0.0038392003</x:v>
      </x:c>
      <x:c r="S11" s="38" t="n">
        <x:v>-0.0430132326</x:v>
      </x:c>
    </x:row>
    <x:row r="12" ht="19" customHeight="1">
      <x:c r="A12" s="39" t="d">
        <x:v>2021-01-04T00:00:00.000Z</x:v>
      </x:c>
      <x:c r="B12" s="38" t="n">
        <x:v>0.0034232717</x:v>
      </x:c>
      <x:c r="C12" s="38" t="n">
        <x:v>0.0050053368</x:v>
      </x:c>
      <x:c r="D12" s="38" t="n">
        <x:v>0.0056719508</x:v>
      </x:c>
      <x:c r="E12" s="38" t="n">
        <x:v>0.005712319</x:v>
      </x:c>
      <x:c r="F12" s="38" t="n">
        <x:v>0.0187765881</x:v>
      </x:c>
      <x:c r="G12" s="38" t="n">
        <x:v>0.0009837006</x:v>
      </x:c>
      <x:c r="H12" s="38" t="n">
        <x:v>0.0262017227</x:v>
      </x:c>
      <x:c r="I12" s="38" t="n">
        <x:v>-0.0165998229</x:v>
      </x:c>
      <x:c r="J12" s="38" t="n">
        <x:v>0.023105817</x:v>
      </x:c>
      <x:c r="K12" s="38" t="n">
        <x:v>-0.0104935051</x:v>
      </x:c>
      <x:c r="L12" s="38" t="n">
        <x:v>-0.0022801908</x:v>
      </x:c>
      <x:c r="M12" s="38" t="n">
        <x:v>0.0294161925</x:v>
      </x:c>
      <x:c r="N12" s="38" t="n">
        <x:v>0.0183737508</x:v>
      </x:c>
      <x:c r="O12" s="38" t="n">
        <x:v>-0.0174276233</x:v>
      </x:c>
      <x:c r="P12" s="38" t="n">
        <x:v>0.0293547751</x:v>
      </x:c>
      <x:c r="Q12" s="38" t="n">
        <x:v>-0.0192303959</x:v>
      </x:c>
      <x:c r="R12" s="38" t="n">
        <x:v>-0.0061747617</x:v>
      </x:c>
      <x:c r="S12" s="38" t="n">
        <x:v>-0.0074205947</x:v>
      </x:c>
    </x:row>
    <x:row r="13" ht="19" customHeight="1">
      <x:c r="A13" s="39" t="d">
        <x:v>2021-02-01T00:00:00.000Z</x:v>
      </x:c>
      <x:c r="B13" s="38" t="n">
        <x:v>-0.0027602822</x:v>
      </x:c>
      <x:c r="C13" s="38" t="n">
        <x:v>-0.0029627376</x:v>
      </x:c>
      <x:c r="D13" s="38" t="n">
        <x:v>-0.0085245135</x:v>
      </x:c>
      <x:c r="E13" s="38" t="n">
        <x:v>-0.0089231023</x:v>
      </x:c>
      <x:c r="F13" s="38" t="n">
        <x:v>-0.012806749</x:v>
      </x:c>
      <x:c r="G13" s="38" t="n">
        <x:v>-0.0036919703</x:v>
      </x:c>
      <x:c r="H13" s="38" t="n">
        <x:v>0.0100674548</x:v>
      </x:c>
      <x:c r="I13" s="38" t="n">
        <x:v>0.0264360887</x:v>
      </x:c>
      <x:c r="J13" s="38" t="n">
        <x:v>0.0076248562</x:v>
      </x:c>
      <x:c r="K13" s="38" t="n">
        <x:v>-0.0155025764</x:v>
      </x:c>
      <x:c r="L13" s="38" t="n">
        <x:v>-0.0012245722</x:v>
      </x:c>
      <x:c r="M13" s="38" t="n">
        <x:v>-0.0104675686</x:v>
      </x:c>
      <x:c r="N13" s="38" t="n">
        <x:v>-0.015094633</x:v>
      </x:c>
      <x:c r="O13" s="38" t="n">
        <x:v>-0.0155537654</x:v>
      </x:c>
      <x:c r="P13" s="38" t="n">
        <x:v>-0.0302037876</x:v>
      </x:c>
      <x:c r="Q13" s="38" t="n">
        <x:v>0.0337645015</x:v>
      </x:c>
      <x:c r="R13" s="38" t="n">
        <x:v>0.0065796694</x:v>
      </x:c>
      <x:c r="S13" s="38" t="n">
        <x:v>0.0052836634</x:v>
      </x:c>
    </x:row>
    <x:row r="14" ht="19" customHeight="1">
      <x:c r="A14" s="39" t="d">
        <x:v>2021-03-01T00:00:00.000Z</x:v>
      </x:c>
      <x:c r="B14" s="38" t="n">
        <x:v>-0.0355413094</x:v>
      </x:c>
      <x:c r="C14" s="38" t="n">
        <x:v>-0.0044613862</x:v>
      </x:c>
      <x:c r="D14" s="38" t="n">
        <x:v>-0.0068221066</x:v>
      </x:c>
      <x:c r="E14" s="38" t="n">
        <x:v>-0.0066988685</x:v>
      </x:c>
      <x:c r="F14" s="38" t="n">
        <x:v>0.0089475711</x:v>
      </x:c>
      <x:c r="G14" s="38" t="n">
        <x:v>0.0100882469</x:v>
      </x:c>
      <x:c r="H14" s="38" t="n">
        <x:v>-0.0064388068</x:v>
      </x:c>
      <x:c r="I14" s="38" t="n">
        <x:v>0.0243210272</x:v>
      </x:c>
      <x:c r="J14" s="38" t="n">
        <x:v>-0.0420948864</x:v>
      </x:c>
      <x:c r="K14" s="38" t="n">
        <x:v>-0.0083932874</x:v>
      </x:c>
      <x:c r="L14" s="38" t="n">
        <x:v>0.1122782019</x:v>
      </x:c>
      <x:c r="M14" s="38" t="n">
        <x:v>0.0565007952</x:v>
      </x:c>
      <x:c r="N14" s="38" t="n">
        <x:v>-0.0128450313</x:v>
      </x:c>
      <x:c r="O14" s="38" t="n">
        <x:v>0.032689914</x:v>
      </x:c>
      <x:c r="P14" s="38" t="n">
        <x:v>0.020767601</x:v>
      </x:c>
      <x:c r="Q14" s="38" t="n">
        <x:v>-0.0076431586</x:v>
      </x:c>
      <x:c r="R14" s="38" t="n">
        <x:v>-0.0192553427</x:v>
      </x:c>
      <x:c r="S14" s="38" t="n">
        <x:v>-0.0386693896</x:v>
      </x:c>
    </x:row>
    <x:row r="15" ht="19" customHeight="1">
      <x:c r="A15" s="39" t="d">
        <x:v>2021-03-29T00:00:00.000Z</x:v>
      </x:c>
      <x:c r="B15" s="38" t="n">
        <x:v>0.0299728026</x:v>
      </x:c>
      <x:c r="C15" s="38" t="n">
        <x:v>-0.0011811456</x:v>
      </x:c>
      <x:c r="D15" s="38" t="n">
        <x:v>-0.0082531688</x:v>
      </x:c>
      <x:c r="E15" s="38" t="n">
        <x:v>-0.0082011916</x:v>
      </x:c>
      <x:c r="F15" s="38" t="n">
        <x:v>-0.007777075</x:v>
      </x:c>
      <x:c r="G15" s="38" t="n">
        <x:v>0.0027258992</x:v>
      </x:c>
      <x:c r="H15" s="38" t="n">
        <x:v>0.0287517761</x:v>
      </x:c>
      <x:c r="I15" s="38" t="n">
        <x:v>-0.0135608694</x:v>
      </x:c>
      <x:c r="J15" s="38" t="n">
        <x:v>0.0222021336</x:v>
      </x:c>
      <x:c r="K15" s="38" t="n">
        <x:v>0.0210973061</x:v>
      </x:c>
      <x:c r="L15" s="38" t="n">
        <x:v>-0.0390110024</x:v>
      </x:c>
      <x:c r="M15" s="38" t="n">
        <x:v>-0.008353083</x:v>
      </x:c>
      <x:c r="N15" s="38" t="n">
        <x:v>0.0055511989</x:v>
      </x:c>
      <x:c r="O15" s="38" t="n">
        <x:v>0.0085369335</x:v>
      </x:c>
      <x:c r="P15" s="38" t="n">
        <x:v>0.0153494928</x:v>
      </x:c>
      <x:c r="Q15" s="38" t="n">
        <x:v>0.0398540793</x:v>
      </x:c>
      <x:c r="R15" s="38" t="n">
        <x:v>-0.0094565289</x:v>
      </x:c>
      <x:c r="S15" s="38" t="n">
        <x:v>0.0332500322</x:v>
      </x:c>
    </x:row>
    <x:row r="16" ht="19" customHeight="1">
      <x:c r="A16" s="39" t="d">
        <x:v>2021-04-26T00:00:00.000Z</x:v>
      </x:c>
      <x:c r="B16" s="38" t="n">
        <x:v>0.0023697595</x:v>
      </x:c>
      <x:c r="C16" s="38" t="n">
        <x:v>0.0069630341</x:v>
      </x:c>
      <x:c r="D16" s="38" t="n">
        <x:v>0.0138879181</x:v>
      </x:c>
      <x:c r="E16" s="38" t="n">
        <x:v>0.0137049965</x:v>
      </x:c>
      <x:c r="F16" s="38" t="n">
        <x:v>0.0081628589</x:v>
      </x:c>
      <x:c r="G16" s="38" t="n">
        <x:v>0.0096975008</x:v>
      </x:c>
      <x:c r="H16" s="38" t="n">
        <x:v>0.0255525214</x:v>
      </x:c>
      <x:c r="I16" s="38" t="n">
        <x:v>0.0066852496</x:v>
      </x:c>
      <x:c r="J16" s="38" t="n">
        <x:v>0.0114406537</x:v>
      </x:c>
      <x:c r="K16" s="38" t="n">
        <x:v>0.0031028026</x:v>
      </x:c>
      <x:c r="L16" s="38" t="n">
        <x:v>-0.0261201672</x:v>
      </x:c>
      <x:c r="M16" s="38" t="n">
        <x:v>0.0094099778</x:v>
      </x:c>
      <x:c r="N16" s="38" t="n">
        <x:v>0.0127518319</x:v>
      </x:c>
      <x:c r="O16" s="38" t="n">
        <x:v>-0.0052256665</x:v>
      </x:c>
      <x:c r="P16" s="38" t="n">
        <x:v>0.0091937719</x:v>
      </x:c>
      <x:c r="Q16" s="38" t="n">
        <x:v>0.023770444</x:v>
      </x:c>
      <x:c r="R16" s="38" t="n">
        <x:v>-0.0173804799</x:v>
      </x:c>
      <x:c r="S16" s="38" t="n">
        <x:v>0.0132597324</x:v>
      </x:c>
    </x:row>
    <x:row r="17" ht="19" customHeight="1">
      <x:c r="A17" s="39" t="d">
        <x:v>2021-05-24T00:00:00.000Z</x:v>
      </x:c>
      <x:c r="B17" s="38" t="n">
        <x:v>0.0099577389</x:v>
      </x:c>
      <x:c r="C17" s="38" t="n">
        <x:v>0.0037262612</x:v>
      </x:c>
      <x:c r="D17" s="38" t="n">
        <x:v>0.0090181656</x:v>
      </x:c>
      <x:c r="E17" s="38" t="n">
        <x:v>0.0090361951</x:v>
      </x:c>
      <x:c r="F17" s="38" t="n">
        <x:v>0.0019304809</x:v>
      </x:c>
      <x:c r="G17" s="38" t="n">
        <x:v>0.018231375</x:v>
      </x:c>
      <x:c r="H17" s="38" t="n">
        <x:v>0.0041552523</x:v>
      </x:c>
      <x:c r="I17" s="38" t="n">
        <x:v>0.0040219498</x:v>
      </x:c>
      <x:c r="J17" s="38" t="n">
        <x:v>-0.0194718143</x:v>
      </x:c>
      <x:c r="K17" s="38" t="n">
        <x:v>0.0083316361</x:v>
      </x:c>
      <x:c r="L17" s="38" t="n">
        <x:v>0.0166094589</x:v>
      </x:c>
      <x:c r="M17" s="38" t="n">
        <x:v>0.0244404712</x:v>
      </x:c>
      <x:c r="N17" s="38" t="n">
        <x:v>0.0082176579</x:v>
      </x:c>
      <x:c r="O17" s="38" t="n">
        <x:v>0.0133287019</x:v>
      </x:c>
      <x:c r="P17" s="38" t="n">
        <x:v>0.029612895</x:v>
      </x:c>
      <x:c r="Q17" s="38" t="n">
        <x:v>0.0087089084</x:v>
      </x:c>
      <x:c r="R17" s="38" t="n">
        <x:v>-0.0113013269</x:v>
      </x:c>
      <x:c r="S17" s="38" t="n">
        <x:v>-0.0193552187</x:v>
      </x:c>
    </x:row>
    <x:row r="18" ht="19" customHeight="1">
      <x:c r="A18" s="39" t="d">
        <x:v>2021-06-21T00:00:00.000Z</x:v>
      </x:c>
      <x:c r="B18" s="38" t="n">
        <x:v>0.0032750523</x:v>
      </x:c>
      <x:c r="C18" s="38" t="n">
        <x:v>-0.0099011329</x:v>
      </x:c>
      <x:c r="D18" s="38" t="n">
        <x:v>-0.0137216941</x:v>
      </x:c>
      <x:c r="E18" s="38" t="n">
        <x:v>-0.0136744459</x:v>
      </x:c>
      <x:c r="F18" s="38" t="n">
        <x:v>-0.0128949568</x:v>
      </x:c>
      <x:c r="G18" s="38" t="n">
        <x:v>-0.0166569349</x:v>
      </x:c>
      <x:c r="H18" s="38" t="n">
        <x:v>0.0120969621</x:v>
      </x:c>
      <x:c r="I18" s="38" t="n">
        <x:v>0.0068571222</x:v>
      </x:c>
      <x:c r="J18" s="38" t="n">
        <x:v>0.0127719269</x:v>
      </x:c>
      <x:c r="K18" s="38" t="n">
        <x:v>-0.0122002946</x:v>
      </x:c>
      <x:c r="L18" s="38" t="n">
        <x:v>0.0269070465</x:v>
      </x:c>
      <x:c r="M18" s="38" t="n">
        <x:v>-0.0271866134</x:v>
      </x:c>
      <x:c r="N18" s="38" t="n">
        <x:v>0.006197789</x:v>
      </x:c>
      <x:c r="O18" s="38" t="n">
        <x:v>-0.028318164</x:v>
      </x:c>
      <x:c r="P18" s="38" t="n">
        <x:v>-0.0441344952</x:v>
      </x:c>
      <x:c r="Q18" s="38" t="n">
        <x:v>0.0199837933</x:v>
      </x:c>
      <x:c r="R18" s="38" t="n">
        <x:v>0.0152458447</x:v>
      </x:c>
      <x:c r="S18" s="38" t="n">
        <x:v>-0.0143336559</x:v>
      </x:c>
    </x:row>
    <x:row r="19" ht="19" customHeight="1">
      <x:c r="A19" s="39" t="d">
        <x:v>2021-07-19T00:00:00.000Z</x:v>
      </x:c>
      <x:c r="B19" s="38" t="n">
        <x:v>-0.0076242443</x:v>
      </x:c>
      <x:c r="C19" s="38" t="n">
        <x:v>-0.008459875</x:v>
      </x:c>
      <x:c r="D19" s="38" t="n">
        <x:v>-0.0090105517</x:v>
      </x:c>
      <x:c r="E19" s="38" t="n">
        <x:v>-0.0090961232</x:v>
      </x:c>
      <x:c r="F19" s="38" t="n">
        <x:v>-0.0193891754</x:v>
      </x:c>
      <x:c r="G19" s="38" t="n">
        <x:v>-0.0200834483</x:v>
      </x:c>
      <x:c r="H19" s="38" t="n">
        <x:v>0.0200938871</x:v>
      </x:c>
      <x:c r="I19" s="38" t="n">
        <x:v>0.0059501056</x:v>
      </x:c>
      <x:c r="J19" s="38" t="n">
        <x:v>0.0030245434</x:v>
      </x:c>
      <x:c r="K19" s="38" t="n">
        <x:v>0.0066749124</x:v>
      </x:c>
      <x:c r="L19" s="38" t="n">
        <x:v>-0.101498578</x:v>
      </x:c>
      <x:c r="M19" s="38" t="n">
        <x:v>-0.0298698284</x:v>
      </x:c>
      <x:c r="N19" s="38" t="n">
        <x:v>0.0185689263</x:v>
      </x:c>
      <x:c r="O19" s="38" t="n">
        <x:v>-0.0121313061</x:v>
      </x:c>
      <x:c r="P19" s="38" t="n">
        <x:v>-0.0171882115</x:v>
      </x:c>
      <x:c r="Q19" s="38" t="n">
        <x:v>0.0110877191</x:v>
      </x:c>
      <x:c r="R19" s="38" t="n">
        <x:v>0.0118746796</x:v>
      </x:c>
      <x:c r="S19" s="38" t="n">
        <x:v>0.0066409303</x:v>
      </x:c>
    </x:row>
    <x:row r="20" ht="19" customHeight="1">
      <x:c r="A20" s="39" t="d">
        <x:v>2021-08-16T00:00:00.000Z</x:v>
      </x:c>
      <x:c r="B20" s="38" t="n">
        <x:v>-0.0101933852</x:v>
      </x:c>
      <x:c r="C20" s="38" t="n">
        <x:v>-0.0014013823</x:v>
      </x:c>
      <x:c r="D20" s="38" t="n">
        <x:v>-0.0041864252</x:v>
      </x:c>
      <x:c r="E20" s="38" t="n">
        <x:v>-0.0041543842</x:v>
      </x:c>
      <x:c r="F20" s="38" t="n">
        <x:v>-0.0210081319</x:v>
      </x:c>
      <x:c r="G20" s="38" t="n">
        <x:v>0.0090561068</x:v>
      </x:c>
      <x:c r="H20" s="38" t="n">
        <x:v>0.0051288387</x:v>
      </x:c>
      <x:c r="I20" s="38" t="n">
        <x:v>-0.0090072846</x:v>
      </x:c>
      <x:c r="J20" s="38" t="n">
        <x:v>-0.0194083122</x:v>
      </x:c>
      <x:c r="K20" s="38" t="n">
        <x:v>0.009309232</x:v>
      </x:c>
      <x:c r="L20" s="38" t="n">
        <x:v>-0.0553708812</x:v>
      </x:c>
      <x:c r="M20" s="38" t="n">
        <x:v>0.0196885566</x:v>
      </x:c>
      <x:c r="N20" s="38" t="n">
        <x:v>0.0189290576</x:v>
      </x:c>
      <x:c r="O20" s="38" t="n">
        <x:v>-0.0133796769</x:v>
      </x:c>
      <x:c r="P20" s="38" t="n">
        <x:v>0.0138068453</x:v>
      </x:c>
      <x:c r="Q20" s="38" t="n">
        <x:v>0.0108939566</x:v>
      </x:c>
      <x:c r="R20" s="38" t="n">
        <x:v>-0.0015767236</x:v>
      </x:c>
      <x:c r="S20" s="38" t="n">
        <x:v>0.0364985969</x:v>
      </x:c>
    </x:row>
    <x:row r="21" ht="19" customHeight="1">
      <x:c r="A21" s="39" t="d">
        <x:v>2021-09-13T00:00:00.000Z</x:v>
      </x:c>
      <x:c r="B21" s="38" t="n">
        <x:v>0.0113679055</x:v>
      </x:c>
      <x:c r="C21" s="38" t="n">
        <x:v>0.0079645254</x:v>
      </x:c>
      <x:c r="D21" s="38" t="n">
        <x:v>0.0016612158</x:v>
      </x:c>
      <x:c r="E21" s="38" t="n">
        <x:v>0.0016577794</x:v>
      </x:c>
      <x:c r="F21" s="38" t="n">
        <x:v>0.0143867212</x:v>
      </x:c>
      <x:c r="G21" s="38" t="n">
        <x:v>-0.0038966561</x:v>
      </x:c>
      <x:c r="H21" s="38" t="n">
        <x:v>-0.0008274545</x:v>
      </x:c>
      <x:c r="I21" s="38" t="n">
        <x:v>0.0059656564</x:v>
      </x:c>
      <x:c r="J21" s="38" t="n">
        <x:v>0.0324522716</x:v>
      </x:c>
      <x:c r="K21" s="38" t="n">
        <x:v>-0.0138271038</x:v>
      </x:c>
      <x:c r="L21" s="38" t="n">
        <x:v>0.0288265392</x:v>
      </x:c>
      <x:c r="M21" s="38" t="n">
        <x:v>-0.0031254351</x:v>
      </x:c>
      <x:c r="N21" s="38" t="n">
        <x:v>-0.0168152889</x:v>
      </x:c>
      <x:c r="O21" s="38" t="n">
        <x:v>-0.0171215851</x:v>
      </x:c>
      <x:c r="P21" s="38" t="n">
        <x:v>-0.0180013016</x:v>
      </x:c>
      <x:c r="Q21" s="38" t="n">
        <x:v>0.0034619591</x:v>
      </x:c>
      <x:c r="R21" s="38" t="n">
        <x:v>0.000781779</x:v>
      </x:c>
      <x:c r="S21" s="38" t="n">
        <x:v>-0.0371124367</x:v>
      </x:c>
    </x:row>
    <x:row r="22" ht="19" customHeight="1">
      <x:c r="A22" s="39" t="d">
        <x:v>2021-10-11T00:00:00.000Z</x:v>
      </x:c>
      <x:c r="B22" s="38" t="n">
        <x:v>-0.0106482622</x:v>
      </x:c>
      <x:c r="C22" s="38" t="n">
        <x:v>-0.000571528</x:v>
      </x:c>
      <x:c r="D22" s="38" t="n">
        <x:v>-0.0078677445</x:v>
      </x:c>
      <x:c r="E22" s="38" t="n">
        <x:v>-0.0074452233</x:v>
      </x:c>
      <x:c r="F22" s="38" t="n">
        <x:v>0.0113323803</x:v>
      </x:c>
      <x:c r="G22" s="38" t="n">
        <x:v>0.0089875043</x:v>
      </x:c>
      <x:c r="H22" s="38" t="n">
        <x:v>0.0068644654</x:v>
      </x:c>
      <x:c r="I22" s="38" t="n">
        <x:v>-0.0268231487</x:v>
      </x:c>
      <x:c r="J22" s="38" t="n">
        <x:v>0.0182022738</x:v>
      </x:c>
      <x:c r="K22" s="38" t="n">
        <x:v>-0.0049293575</x:v>
      </x:c>
      <x:c r="L22" s="38" t="n">
        <x:v>0.0926285148</x:v>
      </x:c>
      <x:c r="M22" s="38" t="n">
        <x:v>0.0297426303</x:v>
      </x:c>
      <x:c r="N22" s="38" t="n">
        <x:v>-0.0286513877</x:v>
      </x:c>
      <x:c r="O22" s="38" t="n">
        <x:v>0.0107650993</x:v>
      </x:c>
      <x:c r="P22" s="38" t="n">
        <x:v>0.0222709382</x:v>
      </x:c>
      <x:c r="Q22" s="38" t="n">
        <x:v>-0.0064833238</x:v>
      </x:c>
      <x:c r="R22" s="38" t="n">
        <x:v>-0.006239255</x:v>
      </x:c>
      <x:c r="S22" s="38" t="n">
        <x:v>-0.0077187121</x:v>
      </x:c>
    </x:row>
    <x:row r="23" ht="19" customHeight="1">
      <x:c r="A23" s="39" t="d">
        <x:v>2021-11-08T00:00:00.000Z</x:v>
      </x:c>
      <x:c r="B23" s="38" t="n">
        <x:v>-0.0061530254</x:v>
      </x:c>
      <x:c r="C23" s="38" t="n">
        <x:v>-0.0021295648</x:v>
      </x:c>
      <x:c r="D23" s="38" t="n">
        <x:v>-0.0089791492</x:v>
      </x:c>
      <x:c r="E23" s="38" t="n">
        <x:v>-0.0093062377</x:v>
      </x:c>
      <x:c r="F23" s="38" t="n">
        <x:v>-0.0114459554</x:v>
      </x:c>
      <x:c r="G23" s="38" t="n">
        <x:v>0.0019806907</x:v>
      </x:c>
      <x:c r="H23" s="38" t="n">
        <x:v>0.0323921895</x:v>
      </x:c>
      <x:c r="I23" s="38" t="n">
        <x:v>-0.0203338981</x:v>
      </x:c>
      <x:c r="J23" s="38" t="n">
        <x:v>0.0212555599</x:v>
      </x:c>
      <x:c r="K23" s="38" t="n">
        <x:v>0.0052989404</x:v>
      </x:c>
      <x:c r="L23" s="38" t="n">
        <x:v>-0.0106161769</x:v>
      </x:c>
      <x:c r="M23" s="38" t="n">
        <x:v>-0.0166564906</x:v>
      </x:c>
      <x:c r="N23" s="38" t="n">
        <x:v>0.0144570134</x:v>
      </x:c>
      <x:c r="O23" s="38" t="n">
        <x:v>-0.004418288</x:v>
      </x:c>
      <x:c r="P23" s="38" t="n">
        <x:v>0.0238380313</x:v>
      </x:c>
      <x:c r="Q23" s="38" t="n">
        <x:v>0.007194635</x:v>
      </x:c>
      <x:c r="R23" s="38" t="n">
        <x:v>0.0021993395</x:v>
      </x:c>
      <x:c r="S23" s="38" t="n">
        <x:v>-0.0056298621</x:v>
      </x:c>
    </x:row>
    <x:row r="24" ht="19" customHeight="1">
      <x:c r="A24" s="39" t="d">
        <x:v>2021-12-06T00:00:00.000Z</x:v>
      </x:c>
      <x:c r="B24" s="38" t="n">
        <x:v>-0.0123702181</x:v>
      </x:c>
      <x:c r="C24" s="38" t="n">
        <x:v>-0.0059774548</x:v>
      </x:c>
      <x:c r="D24" s="38" t="n">
        <x:v>-0.0077217079</x:v>
      </x:c>
      <x:c r="E24" s="38" t="n">
        <x:v>-0.0078315889</x:v>
      </x:c>
      <x:c r="F24" s="38" t="n">
        <x:v>-0.0114323968</x:v>
      </x:c>
      <x:c r="G24" s="38" t="n">
        <x:v>-0.0172166316</x:v>
      </x:c>
      <x:c r="H24" s="38" t="n">
        <x:v>0.0051846948</x:v>
      </x:c>
      <x:c r="I24" s="38" t="n">
        <x:v>-0.0431351329</x:v>
      </x:c>
      <x:c r="J24" s="38" t="n">
        <x:v>0.0053809662</x:v>
      </x:c>
      <x:c r="K24" s="38" t="n">
        <x:v>0.0096582534</x:v>
      </x:c>
      <x:c r="L24" s="38" t="n">
        <x:v>-0.0222335959</x:v>
      </x:c>
      <x:c r="M24" s="38" t="n">
        <x:v>-0.0254429542</x:v>
      </x:c>
      <x:c r="N24" s="38" t="n">
        <x:v>0.0000020555</x:v>
      </x:c>
      <x:c r="O24" s="38" t="n">
        <x:v>-0.017369071</x:v>
      </x:c>
      <x:c r="P24" s="38" t="n">
        <x:v>-0.0167854792</x:v>
      </x:c>
      <x:c r="Q24" s="38" t="n">
        <x:v>0.0150153993</x:v>
      </x:c>
      <x:c r="R24" s="38" t="n">
        <x:v>0.0241430222</x:v>
      </x:c>
      <x:c r="S24" s="38" t="n">
        <x:v>0.0210540453</x:v>
      </x:c>
    </x:row>
    <x:row r="25" ht="19" customHeight="1">
      <x:c r="A25" s="39" t="d">
        <x:v>2022-01-03T00:00:00.000Z</x:v>
      </x:c>
      <x:c r="B25" s="38" t="n">
        <x:v>0.0172576224</x:v>
      </x:c>
      <x:c r="C25" s="38" t="n">
        <x:v>0.0046704405</x:v>
      </x:c>
      <x:c r="D25" s="38" t="n">
        <x:v>0.0023512168</x:v>
      </x:c>
      <x:c r="E25" s="38" t="n">
        <x:v>0.0029176747</x:v>
      </x:c>
      <x:c r="F25" s="38" t="n">
        <x:v>0.000930662</x:v>
      </x:c>
      <x:c r="G25" s="38" t="n">
        <x:v>0.0006342883</x:v>
      </x:c>
      <x:c r="H25" s="38" t="n">
        <x:v>-0.0045629136</x:v>
      </x:c>
      <x:c r="I25" s="38" t="n">
        <x:v>0.0051513207</x:v>
      </x:c>
      <x:c r="J25" s="38" t="n">
        <x:v>-0.0055583265</x:v>
      </x:c>
      <x:c r="K25" s="38" t="n">
        <x:v>0.0358804767</x:v>
      </x:c>
      <x:c r="L25" s="38" t="n">
        <x:v>0.0380041114</x:v>
      </x:c>
      <x:c r="M25" s="38" t="n">
        <x:v>0.0427994655</x:v>
      </x:c>
      <x:c r="N25" s="38" t="n">
        <x:v>0.0019186705</x:v>
      </x:c>
      <x:c r="O25" s="38" t="n">
        <x:v>0.0116836099</x:v>
      </x:c>
      <x:c r="P25" s="38" t="n">
        <x:v>0.0163775108</x:v>
      </x:c>
      <x:c r="Q25" s="38" t="n">
        <x:v>0.0159231692</x:v>
      </x:c>
      <x:c r="R25" s="38" t="n">
        <x:v>-0.0286397103</x:v>
      </x:c>
      <x:c r="S25" s="38" t="n">
        <x:v>0.0175921273</x:v>
      </x:c>
    </x:row>
    <x:row r="26" ht="19" customHeight="1">
      <x:c r="A26" s="39" t="d">
        <x:v>2022-01-31T00:00:00.000Z</x:v>
      </x:c>
      <x:c r="B26" s="38" t="n">
        <x:v>-0.0104297469</x:v>
      </x:c>
      <x:c r="C26" s="38" t="n">
        <x:v>0.0048805813</x:v>
      </x:c>
      <x:c r="D26" s="38" t="n">
        <x:v>0.0052030717</x:v>
      </x:c>
      <x:c r="E26" s="38" t="n">
        <x:v>0.0055090039</x:v>
      </x:c>
      <x:c r="F26" s="38" t="n">
        <x:v>-0.0038637554</x:v>
      </x:c>
      <x:c r="G26" s="38" t="n">
        <x:v>0.0020180531</x:v>
      </x:c>
      <x:c r="H26" s="38" t="n">
        <x:v>-0.0274081986</x:v>
      </x:c>
      <x:c r="I26" s="38" t="n">
        <x:v>-0.024231248</x:v>
      </x:c>
      <x:c r="J26" s="38" t="n">
        <x:v>-0.017019641</x:v>
      </x:c>
      <x:c r="K26" s="38" t="n">
        <x:v>-0.004397012</x:v>
      </x:c>
      <x:c r="L26" s="38" t="n">
        <x:v>0.05911436</x:v>
      </x:c>
      <x:c r="M26" s="38" t="n">
        <x:v>0.0011380642</x:v>
      </x:c>
      <x:c r="N26" s="38" t="n">
        <x:v>-0.0002983968</x:v>
      </x:c>
      <x:c r="O26" s="38" t="n">
        <x:v>-0.0232727283</x:v>
      </x:c>
      <x:c r="P26" s="38" t="n">
        <x:v>-0.0295115024</x:v>
      </x:c>
      <x:c r="Q26" s="38" t="n">
        <x:v>-0.0111127391</x:v>
      </x:c>
      <x:c r="R26" s="38" t="n">
        <x:v>0.0126476052</x:v>
      </x:c>
      <x:c r="S26" s="38" t="n">
        <x:v>-0.0115960282</x:v>
      </x:c>
    </x:row>
    <x:row r="27" ht="19" customHeight="1">
      <x:c r="A27" s="39" t="d">
        <x:v>2022-02-28T00:00:00.000Z</x:v>
      </x:c>
      <x:c r="B27" s="38" t="n">
        <x:v>-0.0093661451</x:v>
      </x:c>
      <x:c r="C27" s="38" t="n">
        <x:v>-0.0055487534</x:v>
      </x:c>
      <x:c r="D27" s="38" t="n">
        <x:v>-0.0331280601</x:v>
      </x:c>
      <x:c r="E27" s="38" t="n">
        <x:v>-0.0326120095</x:v>
      </x:c>
      <x:c r="F27" s="38" t="n">
        <x:v>0.022963488</x:v>
      </x:c>
      <x:c r="G27" s="38" t="n">
        <x:v>0.0018556833</x:v>
      </x:c>
      <x:c r="H27" s="38" t="n">
        <x:v>-0.0274400464</x:v>
      </x:c>
      <x:c r="I27" s="38" t="n">
        <x:v>-0.0224361764</x:v>
      </x:c>
      <x:c r="J27" s="38" t="n">
        <x:v>-0.0129139502</x:v>
      </x:c>
      <x:c r="K27" s="38" t="n">
        <x:v>0.0098107801</x:v>
      </x:c>
      <x:c r="L27" s="38" t="n">
        <x:v>0.0395873856</x:v>
      </x:c>
      <x:c r="M27" s="38" t="n">
        <x:v>-0.0341434448</x:v>
      </x:c>
      <x:c r="N27" s="38" t="n">
        <x:v>0.0120139249</x:v>
      </x:c>
      <x:c r="O27" s="38" t="n">
        <x:v>0.023329477</x:v>
      </x:c>
      <x:c r="P27" s="38" t="n">
        <x:v>0.0216785582</x:v>
      </x:c>
      <x:c r="Q27" s="38" t="n">
        <x:v>0.0273694126</x:v>
      </x:c>
      <x:c r="R27" s="38" t="n">
        <x:v>-0.0058396634</x:v>
      </x:c>
      <x:c r="S27" s="38" t="n">
        <x:v>0.0337360614</x:v>
      </x:c>
    </x:row>
    <x:row r="28" ht="19" customHeight="1">
      <x:c r="A28" s="39" t="d">
        <x:v>2022-03-28T00:00:00.000Z</x:v>
      </x:c>
      <x:c r="B28" s="38" t="n">
        <x:v>0.0397613351</x:v>
      </x:c>
      <x:c r="C28" s="38" t="n">
        <x:v>-0.0003444792</x:v>
      </x:c>
      <x:c r="D28" s="38" t="n">
        <x:v>0.0078227158</x:v>
      </x:c>
      <x:c r="E28" s="38" t="n">
        <x:v>0.0066389084</x:v>
      </x:c>
      <x:c r="F28" s="38" t="n">
        <x:v>0.0128598901</x:v>
      </x:c>
      <x:c r="G28" s="38" t="n">
        <x:v>0.0092463469</x:v>
      </x:c>
      <x:c r="H28" s="38" t="n">
        <x:v>0.0370698697</x:v>
      </x:c>
      <x:c r="I28" s="38" t="n">
        <x:v>0.0000153839</x:v>
      </x:c>
      <x:c r="J28" s="38" t="n">
        <x:v>0.0215326868</x:v>
      </x:c>
      <x:c r="K28" s="38" t="n">
        <x:v>-0.0051867934</x:v>
      </x:c>
      <x:c r="L28" s="38" t="n">
        <x:v>0.0125071484</x:v>
      </x:c>
      <x:c r="M28" s="38" t="n">
        <x:v>-0.0091510615</x:v>
      </x:c>
      <x:c r="N28" s="38" t="n">
        <x:v>0.0142262368</x:v>
      </x:c>
      <x:c r="O28" s="38" t="n">
        <x:v>-0.0193448392</x:v>
      </x:c>
      <x:c r="P28" s="38" t="n">
        <x:v>0.0277347</x:v>
      </x:c>
      <x:c r="Q28" s="38" t="n">
        <x:v>0.0187564346</x:v>
      </x:c>
      <x:c r="R28" s="38" t="n">
        <x:v>-0.0101006739</x:v>
      </x:c>
      <x:c r="S28" s="38" t="n">
        <x:v>0.0339972296</x:v>
      </x:c>
    </x:row>
    <x:row r="29" ht="19" customHeight="1">
      <x:c r="A29" s="39" t="d">
        <x:v>2022-04-25T00:00:00.000Z</x:v>
      </x:c>
      <x:c r="B29" s="38" t="n">
        <x:v>-0.019763488</x:v>
      </x:c>
      <x:c r="C29" s="38" t="n">
        <x:v>-0.0143937086</x:v>
      </x:c>
      <x:c r="D29" s="38" t="n">
        <x:v>-0.0349971198</x:v>
      </x:c>
      <x:c r="E29" s="38" t="n">
        <x:v>-0.0350639724</x:v>
      </x:c>
      <x:c r="F29" s="38" t="n">
        <x:v>-0.0404783969</x:v>
      </x:c>
      <x:c r="G29" s="38" t="n">
        <x:v>-0.0130084194</x:v>
      </x:c>
      <x:c r="H29" s="38" t="n">
        <x:v>-0.0712042877</x:v>
      </x:c>
      <x:c r="I29" s="38" t="n">
        <x:v>-0.0523048457</x:v>
      </x:c>
      <x:c r="J29" s="38" t="n">
        <x:v>-0.0054839316</x:v>
      </x:c>
      <x:c r="K29" s="38" t="n">
        <x:v>0.0373797913</x:v>
      </x:c>
      <x:c r="L29" s="38" t="n">
        <x:v>-0.0518820033</x:v>
      </x:c>
      <x:c r="M29" s="38" t="n">
        <x:v>-0.0215971358</x:v>
      </x:c>
      <x:c r="N29" s="38" t="n">
        <x:v>-0.0129342483</x:v>
      </x:c>
      <x:c r="O29" s="38" t="n">
        <x:v>0.0057342681</x:v>
      </x:c>
      <x:c r="P29" s="38" t="n">
        <x:v>0.0205530352</x:v>
      </x:c>
      <x:c r="Q29" s="38" t="n">
        <x:v>0.0219348228</x:v>
      </x:c>
      <x:c r="R29" s="38" t="n">
        <x:v>0.0190315606</x:v>
      </x:c>
      <x:c r="S29" s="38" t="n">
        <x:v>-0.0173011826</x:v>
      </x:c>
    </x:row>
    <x:row r="30" ht="19" customHeight="1">
      <x:c r="A30" s="39" t="d">
        <x:v>2022-05-23T00:00:00.000Z</x:v>
      </x:c>
      <x:c r="B30" s="38" t="n">
        <x:v>0.0305750099</x:v>
      </x:c>
      <x:c r="C30" s="38" t="n">
        <x:v>0.0067992212</x:v>
      </x:c>
      <x:c r="D30" s="38" t="n">
        <x:v>0.0135067433</x:v>
      </x:c>
      <x:c r="E30" s="38" t="n">
        <x:v>0.0137970535</x:v>
      </x:c>
      <x:c r="F30" s="38" t="n">
        <x:v>-0.0010780797</x:v>
      </x:c>
      <x:c r="G30" s="38" t="n">
        <x:v>-0.0019452381</x:v>
      </x:c>
      <x:c r="H30" s="38" t="n">
        <x:v>0.006010838</x:v>
      </x:c>
      <x:c r="I30" s="38" t="n">
        <x:v>0.0111457456</x:v>
      </x:c>
      <x:c r="J30" s="38" t="n">
        <x:v>-0.0436494385</x:v>
      </x:c>
      <x:c r="K30" s="38" t="n">
        <x:v>-0.0299285609</x:v>
      </x:c>
      <x:c r="L30" s="38" t="n">
        <x:v>0.1066699617</x:v>
      </x:c>
      <x:c r="M30" s="38" t="n">
        <x:v>0.0164349895</x:v>
      </x:c>
      <x:c r="N30" s="38" t="n">
        <x:v>0.0171319703</x:v>
      </x:c>
      <x:c r="O30" s="38" t="n">
        <x:v>-0.005212756</x:v>
      </x:c>
      <x:c r="P30" s="38" t="n">
        <x:v>0.017343387</x:v>
      </x:c>
      <x:c r="Q30" s="38" t="n">
        <x:v>-0.0297642621</x:v>
      </x:c>
      <x:c r="R30" s="38" t="n">
        <x:v>-0.007856937</x:v>
      </x:c>
      <x:c r="S30" s="38" t="n">
        <x:v>0.0376790998</x:v>
      </x:c>
    </x:row>
    <x:row r="31" ht="19" customHeight="1">
      <x:c r="A31" s="39" t="d">
        <x:v>2022-06-20T00:00:00.000Z</x:v>
      </x:c>
      <x:c r="B31" s="38" t="n">
        <x:v>-0.0111637241</x:v>
      </x:c>
      <x:c r="C31" s="38" t="n">
        <x:v>-0.0088459163</x:v>
      </x:c>
      <x:c r="D31" s="38" t="n">
        <x:v>-0.0133365065</x:v>
      </x:c>
      <x:c r="E31" s="38" t="n">
        <x:v>-0.0130951605</x:v>
      </x:c>
      <x:c r="F31" s="38" t="n">
        <x:v>-0.0215763642</x:v>
      </x:c>
      <x:c r="G31" s="38" t="n">
        <x:v>-0.0127468701</x:v>
      </x:c>
      <x:c r="H31" s="38" t="n">
        <x:v>-0.0450482721</x:v>
      </x:c>
      <x:c r="I31" s="38" t="n">
        <x:v>0.0021465661</x:v>
      </x:c>
      <x:c r="J31" s="38" t="n">
        <x:v>0.0273689811</x:v>
      </x:c>
      <x:c r="K31" s="38" t="n">
        <x:v>0.0004253994</x:v>
      </x:c>
      <x:c r="L31" s="38" t="n">
        <x:v>-0.1836697031</x:v>
      </x:c>
      <x:c r="M31" s="38" t="n">
        <x:v>-0.0352763201</x:v>
      </x:c>
      <x:c r="N31" s="38" t="n">
        <x:v>-0.0062741775</x:v>
      </x:c>
      <x:c r="O31" s="38" t="n">
        <x:v>-0.0158282912</x:v>
      </x:c>
      <x:c r="P31" s="38" t="n">
        <x:v>-0.0621247877</x:v>
      </x:c>
      <x:c r="Q31" s="38" t="n">
        <x:v>-0.0052825868</x:v>
      </x:c>
      <x:c r="R31" s="38" t="n">
        <x:v>0.0233420991</x:v>
      </x:c>
      <x:c r="S31" s="38" t="n">
        <x:v>-0.0464455081</x:v>
      </x:c>
    </x:row>
    <x:row r="32" ht="19" customHeight="1">
      <x:c r="A32" s="39" t="d">
        <x:v>2022-07-18T00:00:00.000Z</x:v>
      </x:c>
      <x:c r="B32" s="38" t="n">
        <x:v>-0.0263756101</x:v>
      </x:c>
      <x:c r="C32" s="38" t="n">
        <x:v>-0.0007354959</x:v>
      </x:c>
      <x:c r="D32" s="38" t="n">
        <x:v>-0.0260808804</x:v>
      </x:c>
      <x:c r="E32" s="38" t="n">
        <x:v>-0.0259059622</x:v>
      </x:c>
      <x:c r="F32" s="38" t="n">
        <x:v>0.0096442558</x:v>
      </x:c>
      <x:c r="G32" s="38" t="n">
        <x:v>-0.0002036979</x:v>
      </x:c>
      <x:c r="H32" s="38" t="n">
        <x:v>0.0100108147</x:v>
      </x:c>
      <x:c r="I32" s="38" t="n">
        <x:v>-0.0205901201</x:v>
      </x:c>
      <x:c r="J32" s="38" t="n">
        <x:v>0.0359411363</x:v>
      </x:c>
      <x:c r="K32" s="38" t="n">
        <x:v>-0.001406008</x:v>
      </x:c>
      <x:c r="L32" s="38" t="n">
        <x:v>-0.0223649161</x:v>
      </x:c>
      <x:c r="M32" s="38" t="n">
        <x:v>0.0000428454</x:v>
      </x:c>
      <x:c r="N32" s="38" t="n">
        <x:v>-0.0023953934</x:v>
      </x:c>
      <x:c r="O32" s="38" t="n">
        <x:v>0.0029270846</x:v>
      </x:c>
      <x:c r="P32" s="38" t="n">
        <x:v>-0.0208162728</x:v>
      </x:c>
      <x:c r="Q32" s="38" t="n">
        <x:v>0.0050171207</x:v>
      </x:c>
      <x:c r="R32" s="38" t="n">
        <x:v>0.0079451822</x:v>
      </x:c>
      <x:c r="S32" s="38" t="n">
        <x:v>-0.0019436178</x:v>
      </x:c>
    </x:row>
    <x:row r="33" ht="19" customHeight="1">
      <x:c r="A33" s="39" t="d">
        <x:v>2022-08-15T00:00:00.000Z</x:v>
      </x:c>
      <x:c r="B33" s="38" t="n">
        <x:v>0.0138916534</x:v>
      </x:c>
      <x:c r="C33" s="38" t="n">
        <x:v>-0.0021763882</x:v>
      </x:c>
      <x:c r="D33" s="38" t="n">
        <x:v>-0.0128170695</x:v>
      </x:c>
      <x:c r="E33" s="38" t="n">
        <x:v>-0.0136178704</x:v>
      </x:c>
      <x:c r="F33" s="38" t="n">
        <x:v>-0.0133049535</x:v>
      </x:c>
      <x:c r="G33" s="38" t="n">
        <x:v>0.0049434185</x:v>
      </x:c>
      <x:c r="H33" s="38" t="n">
        <x:v>0.052686073</x:v>
      </x:c>
      <x:c r="I33" s="38" t="n">
        <x:v>-0.0231151369</x:v>
      </x:c>
      <x:c r="J33" s="38" t="n">
        <x:v>0.0084698063</x:v>
      </x:c>
      <x:c r="K33" s="38" t="n">
        <x:v>0.0168830787</x:v>
      </x:c>
      <x:c r="L33" s="38" t="n">
        <x:v>0.0784878558</x:v>
      </x:c>
      <x:c r="M33" s="38" t="n">
        <x:v>0.0079453664</x:v>
      </x:c>
      <x:c r="N33" s="38" t="n">
        <x:v>-0.0068815448</x:v>
      </x:c>
      <x:c r="O33" s="38" t="n">
        <x:v>0.0220568029</x:v>
      </x:c>
      <x:c r="P33" s="38" t="n">
        <x:v>0.003586369</x:v>
      </x:c>
      <x:c r="Q33" s="38" t="n">
        <x:v>0.0055250073</x:v>
      </x:c>
      <x:c r="R33" s="38" t="n">
        <x:v>-0.0154108933</x:v>
      </x:c>
      <x:c r="S33" s="38" t="n">
        <x:v>0.0655597468</x:v>
      </x:c>
    </x:row>
    <x:row r="34" ht="19" customHeight="1">
      <x:c r="A34" s="39" t="d">
        <x:v>2022-09-12T00:00:00.000Z</x:v>
      </x:c>
      <x:c r="B34" s="38" t="n">
        <x:v>0.0061091448</x:v>
      </x:c>
      <x:c r="C34" s="38" t="n">
        <x:v>-0.0085970163</x:v>
      </x:c>
      <x:c r="D34" s="38" t="n">
        <x:v>-0.0020403404</x:v>
      </x:c>
      <x:c r="E34" s="38" t="n">
        <x:v>-0.0021363926</x:v>
      </x:c>
      <x:c r="F34" s="38" t="n">
        <x:v>-0.0123139224</x:v>
      </x:c>
      <x:c r="G34" s="38" t="n">
        <x:v>-0.0050136091</x:v>
      </x:c>
      <x:c r="H34" s="38" t="n">
        <x:v>-0.069827755</x:v>
      </x:c>
      <x:c r="I34" s="38" t="n">
        <x:v>-0.0150742067</x:v>
      </x:c>
      <x:c r="J34" s="38" t="n">
        <x:v>0.042021843</x:v>
      </x:c>
      <x:c r="K34" s="38" t="n">
        <x:v>-0.0336010098</x:v>
      </x:c>
      <x:c r="L34" s="38" t="n">
        <x:v>-0.0431710175</x:v>
      </x:c>
      <x:c r="M34" s="38" t="n">
        <x:v>0.0089939475</x:v>
      </x:c>
      <x:c r="N34" s="38" t="n">
        <x:v>-0.0038551107</x:v>
      </x:c>
      <x:c r="O34" s="38" t="n">
        <x:v>-0.024497478</x:v>
      </x:c>
      <x:c r="P34" s="38" t="n">
        <x:v>-0.0120808681</x:v>
      </x:c>
      <x:c r="Q34" s="38" t="n">
        <x:v>-0.0194078102</x:v>
      </x:c>
      <x:c r="R34" s="38" t="n">
        <x:v>-0.0107082848</x:v>
      </x:c>
      <x:c r="S34" s="38" t="n">
        <x:v>-0.008656152</x:v>
      </x:c>
    </x:row>
    <x:row r="35" ht="19" customHeight="1">
      <x:c r="A35" s="39" t="d">
        <x:v>2022-10-10T00:00:00.000Z</x:v>
      </x:c>
      <x:c r="B35" s="38" t="n">
        <x:v>-0.0014494322</x:v>
      </x:c>
      <x:c r="C35" s="38" t="n">
        <x:v>-0.0098416045</x:v>
      </x:c>
      <x:c r="D35" s="38" t="n">
        <x:v>-0.0243677525</x:v>
      </x:c>
      <x:c r="E35" s="38" t="n">
        <x:v>-0.0241147097</x:v>
      </x:c>
      <x:c r="F35" s="38" t="n">
        <x:v>-0.0586173875</x:v>
      </x:c>
      <x:c r="G35" s="38" t="n">
        <x:v>-0.0485955433</x:v>
      </x:c>
      <x:c r="H35" s="38" t="n">
        <x:v>-0.061536653</x:v>
      </x:c>
      <x:c r="I35" s="38" t="n">
        <x:v>-0.0074498685</x:v>
      </x:c>
      <x:c r="J35" s="38" t="n">
        <x:v>-0.0452595235</x:v>
      </x:c>
      <x:c r="K35" s="38" t="n">
        <x:v>-0.0156794504</x:v>
      </x:c>
      <x:c r="L35" s="38" t="n">
        <x:v>-0.0033181175</x:v>
      </x:c>
      <x:c r="M35" s="38" t="n">
        <x:v>-0.0006473301</x:v>
      </x:c>
      <x:c r="N35" s="38" t="n">
        <x:v>0.0064247266</x:v>
      </x:c>
      <x:c r="O35" s="38" t="n">
        <x:v>0.0128324428</x:v>
      </x:c>
      <x:c r="P35" s="38" t="n">
        <x:v>-0.001983665</x:v>
      </x:c>
      <x:c r="Q35" s="38" t="n">
        <x:v>-0.0822989007</x:v>
      </x:c>
      <x:c r="R35" s="38" t="n">
        <x:v>0.0130343864</x:v>
      </x:c>
      <x:c r="S35" s="38" t="n">
        <x:v>-0.1202199147</x:v>
      </x:c>
    </x:row>
    <x:row r="36" ht="19" customHeight="1">
      <x:c r="A36" s="39" t="d">
        <x:v>2022-11-07T00:00:00.000Z</x:v>
      </x:c>
      <x:c r="B36" s="38" t="n">
        <x:v>0.0238939464</x:v>
      </x:c>
      <x:c r="C36" s="38" t="n">
        <x:v>0.0301783777</x:v>
      </x:c>
      <x:c r="D36" s="38" t="n">
        <x:v>0.0521479596</x:v>
      </x:c>
      <x:c r="E36" s="38" t="n">
        <x:v>0.0536768252</x:v>
      </x:c>
      <x:c r="F36" s="38" t="n">
        <x:v>0.0515911396</x:v>
      </x:c>
      <x:c r="G36" s="38" t="n">
        <x:v>0.017316032</x:v>
      </x:c>
      <x:c r="H36" s="38" t="n">
        <x:v>0.0898286568</x:v>
      </x:c>
      <x:c r="I36" s="38" t="n">
        <x:v>-0.0467494945</x:v>
      </x:c>
      <x:c r="J36" s="38" t="n">
        <x:v>-0.040227387</x:v>
      </x:c>
      <x:c r="K36" s="38" t="n">
        <x:v>0.0330387236</x:v>
      </x:c>
      <x:c r="L36" s="38" t="n">
        <x:v>0.1209128737</x:v>
      </x:c>
      <x:c r="M36" s="38" t="n">
        <x:v>0.0470886925</x:v>
      </x:c>
      <x:c r="N36" s="38" t="n">
        <x:v>0.0171677598</x:v>
      </x:c>
      <x:c r="O36" s="38" t="n">
        <x:v>0.0526429717</x:v>
      </x:c>
      <x:c r="P36" s="38" t="n">
        <x:v>0.0784392268</x:v>
      </x:c>
      <x:c r="Q36" s="38" t="n">
        <x:v>0.0443677292</x:v>
      </x:c>
      <x:c r="R36" s="38" t="n">
        <x:v>-0.0216858</x:v>
      </x:c>
      <x:c r="S36" s="38" t="n">
        <x:v>0.0366346697</x:v>
      </x:c>
    </x:row>
    <x:row r="37" ht="19" customHeight="1">
      <x:c r="A37" s="39" t="d">
        <x:v>2022-12-05T00:00:00.000Z</x:v>
      </x:c>
      <x:c r="B37" s="38" t="n">
        <x:v>-0.0116183583</x:v>
      </x:c>
      <x:c r="C37" s="38" t="n">
        <x:v>0.0102456444</x:v>
      </x:c>
      <x:c r="D37" s="38" t="n">
        <x:v>0.0143479924</x:v>
      </x:c>
      <x:c r="E37" s="38" t="n">
        <x:v>0.0140005987</x:v>
      </x:c>
      <x:c r="F37" s="38" t="n">
        <x:v>0.0118288682</x:v>
      </x:c>
      <x:c r="G37" s="38" t="n">
        <x:v>-0.0058133488</x:v>
      </x:c>
      <x:c r="H37" s="38" t="n">
        <x:v>-0.0111200711</x:v>
      </x:c>
      <x:c r="I37" s="38" t="n">
        <x:v>0.0023591171</x:v>
      </x:c>
      <x:c r="J37" s="38" t="n">
        <x:v>-0.0130305669</x:v>
      </x:c>
      <x:c r="K37" s="38" t="n">
        <x:v>0.0300992626</x:v>
      </x:c>
      <x:c r="L37" s="38" t="n">
        <x:v>-0.1217385551</x:v>
      </x:c>
      <x:c r="M37" s="38" t="n">
        <x:v>-0.0249685389</x:v>
      </x:c>
      <x:c r="N37" s="38" t="n">
        <x:v>0.0335061331</x:v>
      </x:c>
      <x:c r="O37" s="38" t="n">
        <x:v>0.0031711194</x:v>
      </x:c>
      <x:c r="P37" s="38" t="n">
        <x:v>0.0069738109</x:v>
      </x:c>
      <x:c r="Q37" s="38" t="n">
        <x:v>0.0045311863</x:v>
      </x:c>
      <x:c r="R37" s="38" t="n">
        <x:v>0.0027027925</x:v>
      </x:c>
      <x:c r="S37" s="38" t="n">
        <x:v>0.0351793435</x:v>
      </x:c>
    </x:row>
    <x:row r="38" ht="19" customHeight="1">
      <x:c r="A38" s="39" t="d">
        <x:v>2023-01-02T00:00:00.000Z</x:v>
      </x:c>
      <x:c r="B38" s="38" t="n">
        <x:v>0.0282365127</x:v>
      </x:c>
      <x:c r="C38" s="38" t="n">
        <x:v>0.0124341339</x:v>
      </x:c>
      <x:c r="D38" s="38" t="n">
        <x:v>0.0090054624</x:v>
      </x:c>
      <x:c r="E38" s="38" t="n">
        <x:v>0.0094171329</x:v>
      </x:c>
      <x:c r="F38" s="38" t="n">
        <x:v>0.0103567073</x:v>
      </x:c>
      <x:c r="G38" s="38" t="n">
        <x:v>0.0010434147</x:v>
      </x:c>
      <x:c r="H38" s="38" t="n">
        <x:v>-0.0074518312</x:v>
      </x:c>
      <x:c r="I38" s="38" t="n">
        <x:v>0.0272960819</x:v>
      </x:c>
      <x:c r="J38" s="38" t="n">
        <x:v>-0.0278144287</x:v>
      </x:c>
      <x:c r="K38" s="38" t="n">
        <x:v>0.0067690716</x:v>
      </x:c>
      <x:c r="L38" s="38" t="n">
        <x:v>0.0368463241</x:v>
      </x:c>
      <x:c r="M38" s="38" t="n">
        <x:v>0.0302381862</x:v>
      </x:c>
      <x:c r="N38" s="38" t="n">
        <x:v>-0.0091830362</x:v>
      </x:c>
      <x:c r="O38" s="38" t="n">
        <x:v>0.02364957</x:v>
      </x:c>
      <x:c r="P38" s="38" t="n">
        <x:v>0.0060393406</x:v>
      </x:c>
      <x:c r="Q38" s="38" t="n">
        <x:v>0.0113285966</x:v>
      </x:c>
      <x:c r="R38" s="38" t="n">
        <x:v>-0.0272666738</x:v>
      </x:c>
      <x:c r="S38" s="38" t="n">
        <x:v>0.0093656446</x:v>
      </x:c>
    </x:row>
    <x:row r="39" ht="19" customHeight="1">
      <x:c r="A39" s="39" t="d">
        <x:v>2023-01-30T00:00:00.000Z</x:v>
      </x:c>
      <x:c r="B39" s="38" t="n">
        <x:v>0.0075703034</x:v>
      </x:c>
      <x:c r="C39" s="38" t="n">
        <x:v>0.0084665796</x:v>
      </x:c>
      <x:c r="D39" s="38" t="n">
        <x:v>0.0115759178</x:v>
      </x:c>
      <x:c r="E39" s="38" t="n">
        <x:v>0.0132130312</x:v>
      </x:c>
      <x:c r="F39" s="38" t="n">
        <x:v>0.0053920415</x:v>
      </x:c>
      <x:c r="G39" s="38" t="n">
        <x:v>0.0119037388</x:v>
      </x:c>
      <x:c r="H39" s="38" t="n">
        <x:v>0.0525208258</x:v>
      </x:c>
      <x:c r="I39" s="38" t="n">
        <x:v>0.077826062</x:v>
      </x:c>
      <x:c r="J39" s="38" t="n">
        <x:v>0.0635114395</x:v>
      </x:c>
      <x:c r="K39" s="38" t="n">
        <x:v>-0.050012359</x:v>
      </x:c>
      <x:c r="L39" s="38" t="n">
        <x:v>-0.025393296</x:v>
      </x:c>
      <x:c r="M39" s="38" t="n">
        <x:v>-0.0147592753</x:v>
      </x:c>
      <x:c r="N39" s="38" t="n">
        <x:v>-0.0447491241</x:v>
      </x:c>
      <x:c r="O39" s="38" t="n">
        <x:v>-0.0318840846</x:v>
      </x:c>
      <x:c r="P39" s="38" t="n">
        <x:v>-0.0065549459</x:v>
      </x:c>
      <x:c r="Q39" s="38" t="n">
        <x:v>0.0290429595</x:v>
      </x:c>
      <x:c r="R39" s="38" t="n">
        <x:v>0.0349427269</x:v>
      </x:c>
      <x:c r="S39" s="38" t="n">
        <x:v>-0.0624301956</x:v>
      </x:c>
    </x:row>
    <x:row r="40" ht="19" customHeight="1">
      <x:c r="A40" s="39" t="d">
        <x:v>2023-02-27T00:00:00.000Z</x:v>
      </x:c>
      <x:c r="B40" s="38" t="n">
        <x:v>0.0481412698</x:v>
      </x:c>
      <x:c r="C40" s="38" t="n">
        <x:v>-0.0143521615</x:v>
      </x:c>
      <x:c r="D40" s="38" t="n">
        <x:v>-0.0128705138</x:v>
      </x:c>
      <x:c r="E40" s="38" t="n">
        <x:v>-0.0145237556</x:v>
      </x:c>
      <x:c r="F40" s="38" t="n">
        <x:v>-0.0200043098</x:v>
      </x:c>
      <x:c r="G40" s="38" t="n">
        <x:v>-0.0123111453</x:v>
      </x:c>
      <x:c r="H40" s="38" t="n">
        <x:v>-0.0175509567</x:v>
      </x:c>
      <x:c r="I40" s="38" t="n">
        <x:v>-0.0353671313</x:v>
      </x:c>
      <x:c r="J40" s="38" t="n">
        <x:v>-0.0017037999</x:v>
      </x:c>
      <x:c r="K40" s="38" t="n">
        <x:v>-0.0043511326</x:v>
      </x:c>
      <x:c r="L40" s="38" t="n">
        <x:v>-0.0096018959</x:v>
      </x:c>
      <x:c r="M40" s="38" t="n">
        <x:v>-0.002291051</x:v>
      </x:c>
      <x:c r="N40" s="38" t="n">
        <x:v>-0.017301219</x:v>
      </x:c>
      <x:c r="O40" s="38" t="n">
        <x:v>0.0196456429</x:v>
      </x:c>
      <x:c r="P40" s="38" t="n">
        <x:v>0.0271132935</x:v>
      </x:c>
      <x:c r="Q40" s="38" t="n">
        <x:v>-0.029223963</x:v>
      </x:c>
      <x:c r="R40" s="38" t="n">
        <x:v>0.0161480024</x:v>
      </x:c>
      <x:c r="S40" s="38" t="n">
        <x:v>-0.0172817192</x:v>
      </x:c>
    </x:row>
    <x:row r="41" ht="19" customHeight="1">
      <x:c r="A41" s="39" t="d">
        <x:v>2023-03-27T00:00:00.000Z</x:v>
      </x:c>
      <x:c r="B41" s="38" t="n">
        <x:v>-0.0029930495</x:v>
      </x:c>
      <x:c r="C41" s="38" t="n">
        <x:v>0.0095882832</x:v>
      </x:c>
      <x:c r="D41" s="38" t="n">
        <x:v>0.016158667</x:v>
      </x:c>
      <x:c r="E41" s="38" t="n">
        <x:v>0.0182087978</x:v>
      </x:c>
      <x:c r="F41" s="38" t="n">
        <x:v>-0.0070233243</x:v>
      </x:c>
      <x:c r="G41" s="38" t="n">
        <x:v>-0.005578965</x:v>
      </x:c>
      <x:c r="H41" s="38" t="n">
        <x:v>0.0147768852</x:v>
      </x:c>
      <x:c r="I41" s="38" t="n">
        <x:v>0.0413579808</x:v>
      </x:c>
      <x:c r="J41" s="38" t="n">
        <x:v>0.0121331831</x:v>
      </x:c>
      <x:c r="K41" s="38" t="n">
        <x:v>0.0234253522</x:v>
      </x:c>
      <x:c r="L41" s="38" t="n">
        <x:v>-0.0537744696</x:v>
      </x:c>
      <x:c r="M41" s="38" t="n">
        <x:v>-0.1097281967</x:v>
      </x:c>
      <x:c r="N41" s="38" t="n">
        <x:v>-0.0029118333</x:v>
      </x:c>
      <x:c r="O41" s="38" t="n">
        <x:v>-0.0334947985</x:v>
      </x:c>
      <x:c r="P41" s="38" t="n">
        <x:v>-0.0485575542</x:v>
      </x:c>
      <x:c r="Q41" s="38" t="n">
        <x:v>-0.0330746479</x:v>
      </x:c>
      <x:c r="R41" s="38" t="n">
        <x:v>0.0476314863</x:v>
      </x:c>
      <x:c r="S41" s="38" t="n">
        <x:v>0.0170581376</x:v>
      </x:c>
    </x:row>
    <x:row r="42" ht="19" customHeight="1">
      <x:c r="A42" s="39" t="d">
        <x:v>2023-04-24T00:00:00.000Z</x:v>
      </x:c>
      <x:c r="B42" s="38" t="n">
        <x:v>0.0008232827</x:v>
      </x:c>
      <x:c r="C42" s="38" t="n">
        <x:v>-0.0031178827</x:v>
      </x:c>
      <x:c r="D42" s="38" t="n">
        <x:v>0.0139767667</x:v>
      </x:c>
      <x:c r="E42" s="38" t="n">
        <x:v>0.0210613759</x:v>
      </x:c>
      <x:c r="F42" s="38" t="n">
        <x:v>-0.0135479897</x:v>
      </x:c>
      <x:c r="G42" s="38" t="n">
        <x:v>0.0078626369</x:v>
      </x:c>
      <x:c r="H42" s="38" t="n">
        <x:v>0.0143147111</x:v>
      </x:c>
      <x:c r="I42" s="38" t="n">
        <x:v>0.0182032937</x:v>
      </x:c>
      <x:c r="J42" s="38" t="n">
        <x:v>-0.0196873655</x:v>
      </x:c>
      <x:c r="K42" s="38" t="n">
        <x:v>0.0255069417</x:v>
      </x:c>
      <x:c r="L42" s="38" t="n">
        <x:v>0.0080302247</x:v>
      </x:c>
      <x:c r="M42" s="38" t="n">
        <x:v>0.0149248413</x:v>
      </x:c>
      <x:c r="N42" s="38" t="n">
        <x:v>0.0197922047</x:v>
      </x:c>
      <x:c r="O42" s="38" t="n">
        <x:v>-0.0256829556</x:v>
      </x:c>
      <x:c r="P42" s="38" t="n">
        <x:v>-0.0108308606</x:v>
      </x:c>
      <x:c r="Q42" s="38" t="n">
        <x:v>0.0019460978</x:v>
      </x:c>
      <x:c r="R42" s="38" t="n">
        <x:v>-0.0212644432</x:v>
      </x:c>
      <x:c r="S42" s="38" t="n">
        <x:v>0.0086062463</x:v>
      </x:c>
    </x:row>
    <x:row r="43" ht="19" customHeight="1">
      <x:c r="A43" s="39" t="d">
        <x:v>2023-05-22T00:00:00.000Z</x:v>
      </x:c>
      <x:c r="B43" s="38" t="n">
        <x:v>0.0190984884</x:v>
      </x:c>
      <x:c r="C43" s="38" t="n">
        <x:v>-0.0101001616</x:v>
      </x:c>
      <x:c r="D43" s="38" t="n">
        <x:v>-0.023803999</x:v>
      </x:c>
      <x:c r="E43" s="38" t="n">
        <x:v>-0.0331357279</x:v>
      </x:c>
      <x:c r="F43" s="38" t="n">
        <x:v>-0.016530579</x:v>
      </x:c>
      <x:c r="G43" s="38" t="n">
        <x:v>0.0026015062</x:v>
      </x:c>
      <x:c r="H43" s="38" t="n">
        <x:v>0.0089637475</x:v>
      </x:c>
      <x:c r="I43" s="38" t="n">
        <x:v>0.0275033569</x:v>
      </x:c>
      <x:c r="J43" s="38" t="n">
        <x:v>0.0219325204</x:v>
      </x:c>
      <x:c r="K43" s="38" t="n">
        <x:v>-0.0534481174</x:v>
      </x:c>
      <x:c r="L43" s="38" t="n">
        <x:v>-0.0888563304</x:v>
      </x:c>
      <x:c r="M43" s="38" t="n">
        <x:v>-0.0387527634</x:v>
      </x:c>
      <x:c r="N43" s="38" t="n">
        <x:v>-0.0478499538</x:v>
      </x:c>
      <x:c r="O43" s="38" t="n">
        <x:v>-0.0257600144</x:v>
      </x:c>
      <x:c r="P43" s="38" t="n">
        <x:v>-0.0558971314</x:v>
      </x:c>
      <x:c r="Q43" s="38" t="n">
        <x:v>-0.0536588148</x:v>
      </x:c>
      <x:c r="R43" s="38" t="n">
        <x:v>0.0686500643</x:v>
      </x:c>
      <x:c r="S43" s="38" t="n">
        <x:v>-0.0665158159</x:v>
      </x:c>
    </x:row>
    <x:row r="44" ht="19" customHeight="1">
      <x:c r="A44" s="39" t="d">
        <x:v>2023-06-19T00:00:00.000Z</x:v>
      </x:c>
      <x:c r="B44" s="38" t="n">
        <x:v>0.0249418435</x:v>
      </x:c>
      <x:c r="C44" s="38" t="n">
        <x:v>-0.0006880892</x:v>
      </x:c>
      <x:c r="D44" s="38" t="n">
        <x:v>0.0145783204</x:v>
      </x:c>
      <x:c r="E44" s="38" t="n">
        <x:v>0.0172096367</x:v>
      </x:c>
      <x:c r="F44" s="38" t="n">
        <x:v>0.0255940676</x:v>
      </x:c>
      <x:c r="G44" s="38" t="n">
        <x:v>0.0203512248</x:v>
      </x:c>
      <x:c r="H44" s="38" t="n">
        <x:v>0.0321709376</x:v>
      </x:c>
      <x:c r="I44" s="38" t="n">
        <x:v>0.0015663212</x:v>
      </x:c>
      <x:c r="J44" s="38" t="n">
        <x:v>0.0503160022</x:v>
      </x:c>
      <x:c r="K44" s="38" t="n">
        <x:v>-0.0031562929</x:v>
      </x:c>
      <x:c r="L44" s="38" t="n">
        <x:v>-0.0219381784</x:v>
      </x:c>
      <x:c r="M44" s="38" t="n">
        <x:v>-0.0053711621</x:v>
      </x:c>
      <x:c r="N44" s="38" t="n">
        <x:v>0.0195457284</x:v>
      </x:c>
      <x:c r="O44" s="38" t="n">
        <x:v>0.018599965</x:v>
      </x:c>
      <x:c r="P44" s="38" t="n">
        <x:v>0.0222305024</x:v>
      </x:c>
      <x:c r="Q44" s="38" t="n">
        <x:v>-0.0087148843</x:v>
      </x:c>
      <x:c r="R44" s="38" t="n">
        <x:v>-0.0227274852</x:v>
      </x:c>
      <x:c r="S44" s="38" t="n">
        <x:v>-0.0019200324</x:v>
      </x:c>
    </x:row>
    <x:row r="45" ht="19" customHeight="1">
      <x:c r="A45" s="39" t="d">
        <x:v>2023-07-17T00:00:00.000Z</x:v>
      </x:c>
      <x:c r="B45" s="38" t="n">
        <x:v>0.0088200841</x:v>
      </x:c>
      <x:c r="C45" s="38" t="n">
        <x:v>0.0144810333</x:v>
      </x:c>
      <x:c r="D45" s="38" t="n">
        <x:v>0.019330926</x:v>
      </x:c>
      <x:c r="E45" s="38" t="n">
        <x:v>0.0171537968</x:v>
      </x:c>
      <x:c r="F45" s="38" t="n">
        <x:v>0.0070265705</x:v>
      </x:c>
      <x:c r="G45" s="38" t="n">
        <x:v>0.0008710018</x:v>
      </x:c>
      <x:c r="H45" s="38" t="n">
        <x:v>0.0403821663</x:v>
      </x:c>
      <x:c r="I45" s="38" t="n">
        <x:v>-0.0137088431</x:v>
      </x:c>
      <x:c r="J45" s="38" t="n">
        <x:v>-0.0091953583</x:v>
      </x:c>
      <x:c r="K45" s="38" t="n">
        <x:v>0.0058678003</x:v>
      </x:c>
      <x:c r="L45" s="38" t="n">
        <x:v>0.0692096561</x:v>
      </x:c>
      <x:c r="M45" s="38" t="n">
        <x:v>0.0357120563</x:v>
      </x:c>
      <x:c r="N45" s="38" t="n">
        <x:v>0.0097838583</x:v>
      </x:c>
      <x:c r="O45" s="38" t="n">
        <x:v>0.0177363118</x:v>
      </x:c>
      <x:c r="P45" s="38" t="n">
        <x:v>0.017604683</x:v>
      </x:c>
      <x:c r="Q45" s="38" t="n">
        <x:v>0.0408051369</x:v>
      </x:c>
      <x:c r="R45" s="38" t="n">
        <x:v>-0.0173281219</x:v>
      </x:c>
      <x:c r="S45" s="38" t="n">
        <x:v>0.0294389744</x:v>
      </x:c>
    </x:row>
    <x:row r="46" ht="19" customHeight="1">
      <x:c r="A46" s="39" t="d">
        <x:v>2023-08-14T00:00:00.000Z</x:v>
      </x:c>
      <x:c r="B46" s="38" t="n">
        <x:v>-0.0030916124</x:v>
      </x:c>
      <x:c r="C46" s="38" t="n">
        <x:v>-0.0201188763</x:v>
      </x:c>
      <x:c r="D46" s="38" t="n">
        <x:v>-0.0220767951</x:v>
      </x:c>
      <x:c r="E46" s="38" t="n">
        <x:v>-0.0212554666</x:v>
      </x:c>
      <x:c r="F46" s="38" t="n">
        <x:v>-0.0470177105</x:v>
      </x:c>
      <x:c r="G46" s="38" t="n">
        <x:v>-0.0187244283</x:v>
      </x:c>
      <x:c r="H46" s="38" t="n">
        <x:v>-0.0337253294</x:v>
      </x:c>
      <x:c r="I46" s="38" t="n">
        <x:v>0.0257937923</x:v>
      </x:c>
      <x:c r="J46" s="38" t="n">
        <x:v>-0.000591877</x:v>
      </x:c>
      <x:c r="K46" s="38" t="n">
        <x:v>-0.0210116526</x:v>
      </x:c>
      <x:c r="L46" s="38" t="n">
        <x:v>0.0239389957</x:v>
      </x:c>
      <x:c r="M46" s="38" t="n">
        <x:v>-0.0101588074</x:v>
      </x:c>
      <x:c r="N46" s="38" t="n">
        <x:v>-0.0055458894</x:v>
      </x:c>
      <x:c r="O46" s="38" t="n">
        <x:v>-0.0025553004</x:v>
      </x:c>
      <x:c r="P46" s="38" t="n">
        <x:v>-0.0069187527</x:v>
      </x:c>
      <x:c r="Q46" s="38" t="n">
        <x:v>-0.0287121805</x:v>
      </x:c>
      <x:c r="R46" s="38" t="n">
        <x:v>-0.0127111754</x:v>
      </x:c>
      <x:c r="S46" s="38" t="n">
        <x:v>-0.0610277362</x:v>
      </x:c>
    </x:row>
    <x:row r="47" ht="19" customHeight="1">
      <x:c r="A47" s="39" t="d">
        <x:v>2023-09-11T00:00:00.000Z</x:v>
      </x:c>
      <x:c r="B47" s="38" t="n">
        <x:v>-0.0012002924</x:v>
      </x:c>
      <x:c r="C47" s="38" t="n">
        <x:v>-0.0032764764</x:v>
      </x:c>
      <x:c r="D47" s="38" t="n">
        <x:v>-0.0201686581</x:v>
      </x:c>
      <x:c r="E47" s="38" t="n">
        <x:v>-0.0193310018</x:v>
      </x:c>
      <x:c r="F47" s="38" t="n">
        <x:v>0.0038512317</x:v>
      </x:c>
      <x:c r="G47" s="38" t="n">
        <x:v>-0.007990888</x:v>
      </x:c>
      <x:c r="H47" s="38" t="n">
        <x:v>0.0185475354</x:v>
      </x:c>
      <x:c r="I47" s="38" t="n">
        <x:v>0.0205292239</x:v>
      </x:c>
      <x:c r="J47" s="38" t="n">
        <x:v>0.038461155</x:v>
      </x:c>
      <x:c r="K47" s="38" t="n">
        <x:v>-0.0215842786</x:v>
      </x:c>
      <x:c r="L47" s="38" t="n">
        <x:v>0.018405961</x:v>
      </x:c>
      <x:c r="M47" s="38" t="n">
        <x:v>0.0072714201</x:v>
      </x:c>
      <x:c r="N47" s="38" t="n">
        <x:v>-0.0198636508</x:v>
      </x:c>
      <x:c r="O47" s="38" t="n">
        <x:v>-0.0301536688</x:v>
      </x:c>
      <x:c r="P47" s="38" t="n">
        <x:v>-0.0023277284</x:v>
      </x:c>
      <x:c r="Q47" s="38" t="n">
        <x:v>0.0054756732</x:v>
      </x:c>
      <x:c r="R47" s="38" t="n">
        <x:v>-0.0034864475</x:v>
      </x:c>
      <x:c r="S47" s="38" t="n">
        <x:v>0.0117279486</x:v>
      </x:c>
    </x:row>
    <x:row r="48" ht="19" customHeight="1">
      <x:c r="A48" s="39" t="d">
        <x:v>2023-10-09T00:00:00.000Z</x:v>
      </x:c>
      <x:c r="B48" s="38" t="n">
        <x:v>-0.0566305347</x:v>
      </x:c>
      <x:c r="C48" s="38" t="n">
        <x:v>-0.0050352341</x:v>
      </x:c>
      <x:c r="D48" s="38" t="n">
        <x:v>-0.0137687614</x:v>
      </x:c>
      <x:c r="E48" s="38" t="n">
        <x:v>-0.0146843872</x:v>
      </x:c>
      <x:c r="F48" s="38" t="n">
        <x:v>-0.0178254497</x:v>
      </x:c>
      <x:c r="G48" s="38" t="n">
        <x:v>-0.0012014004</x:v>
      </x:c>
      <x:c r="H48" s="38" t="n">
        <x:v>-0.0266743108</x:v>
      </x:c>
      <x:c r="I48" s="38" t="n">
        <x:v>0.0226020638</x:v>
      </x:c>
      <x:c r="J48" s="38" t="n">
        <x:v>-0.0357109349</x:v>
      </x:c>
      <x:c r="K48" s="38" t="n">
        <x:v>-0.0580345405</x:v>
      </x:c>
      <x:c r="L48" s="38" t="n">
        <x:v>-0.0434935362</x:v>
      </x:c>
      <x:c r="M48" s="38" t="n">
        <x:v>-0.0228997477</x:v>
      </x:c>
      <x:c r="N48" s="38" t="n">
        <x:v>-0.0005102184</x:v>
      </x:c>
      <x:c r="O48" s="38" t="n">
        <x:v>-0.0062882736</x:v>
      </x:c>
      <x:c r="P48" s="38" t="n">
        <x:v>-0.0238719838</x:v>
      </x:c>
      <x:c r="Q48" s="38" t="n">
        <x:v>-0.0328869732</x:v>
      </x:c>
      <x:c r="R48" s="38" t="n">
        <x:v>0.040137855</x:v>
      </x:c>
      <x:c r="S48" s="38" t="n">
        <x:v>-0.0732309423</x:v>
      </x:c>
    </x:row>
    <x:row r="49" ht="19" customHeight="1">
      <x:c r="A49" s="39" t="d">
        <x:v>2023-11-06T00:00:00.000Z</x:v>
      </x:c>
      <x:c r="B49" s="38" t="n">
        <x:v>0.024837379</x:v>
      </x:c>
      <x:c r="C49" s="38" t="n">
        <x:v>0.0070101872</x:v>
      </x:c>
      <x:c r="D49" s="38" t="n">
        <x:v>0.016617822</x:v>
      </x:c>
      <x:c r="E49" s="38" t="n">
        <x:v>0.0187311379</x:v>
      </x:c>
      <x:c r="F49" s="38" t="n">
        <x:v>0.0070607868</x:v>
      </x:c>
      <x:c r="G49" s="38" t="n">
        <x:v>-0.0082979315</x:v>
      </x:c>
      <x:c r="H49" s="38" t="n">
        <x:v>0.0208279786</x:v>
      </x:c>
      <x:c r="I49" s="38" t="n">
        <x:v>0.0031854566</x:v>
      </x:c>
      <x:c r="J49" s="38" t="n">
        <x:v>-0.0020281061</x:v>
      </x:c>
      <x:c r="K49" s="38" t="n">
        <x:v>0.0221778506</x:v>
      </x:c>
      <x:c r="L49" s="38" t="n">
        <x:v>-0.0867209869</x:v>
      </x:c>
      <x:c r="M49" s="38" t="n">
        <x:v>0.0022939942</x:v>
      </x:c>
      <x:c r="N49" s="38" t="n">
        <x:v>-0.0416021337</x:v>
      </x:c>
      <x:c r="O49" s="38" t="n">
        <x:v>-0.0129543657</x:v>
      </x:c>
      <x:c r="P49" s="38" t="n">
        <x:v>-0.0181612844</x:v>
      </x:c>
      <x:c r="Q49" s="38" t="n">
        <x:v>-0.0109020546</x:v>
      </x:c>
      <x:c r="R49" s="38" t="n">
        <x:v>0.0326962036</x:v>
      </x:c>
      <x:c r="S49" s="38" t="n">
        <x:v>0.0059209849</x:v>
      </x:c>
    </x:row>
    <x:row r="50" ht="19" customHeight="1">
      <x:c r="A50" s="39" t="d">
        <x:v>2023-12-04T00:00:00.000Z</x:v>
      </x:c>
      <x:c r="B50" s="38" t="n">
        <x:v>0.0172403637</x:v>
      </x:c>
      <x:c r="C50" s="38" t="n">
        <x:v>0.0148989999</x:v>
      </x:c>
      <x:c r="D50" s="38" t="n">
        <x:v>0.0075915798</x:v>
      </x:c>
      <x:c r="E50" s="38" t="n">
        <x:v>0.0055406637</x:v>
      </x:c>
      <x:c r="F50" s="38" t="n">
        <x:v>0.0363346623</x:v>
      </x:c>
      <x:c r="G50" s="38" t="n">
        <x:v>0.0121185085</x:v>
      </x:c>
      <x:c r="H50" s="38" t="n">
        <x:v>0.0439819057</x:v>
      </x:c>
      <x:c r="I50" s="38" t="n">
        <x:v>-0.0095976166</x:v>
      </x:c>
      <x:c r="J50" s="38" t="n">
        <x:v>0.0268707044</x:v>
      </x:c>
      <x:c r="K50" s="38" t="n">
        <x:v>-0.0022037125</x:v>
      </x:c>
      <x:c r="L50" s="38" t="n">
        <x:v>-0.0254590362</x:v>
      </x:c>
      <x:c r="M50" s="38" t="n">
        <x:v>0.0270764833</x:v>
      </x:c>
      <x:c r="N50" s="38" t="n">
        <x:v>0.0237647514</x:v>
      </x:c>
      <x:c r="O50" s="38" t="n">
        <x:v>0.0203682309</x:v>
      </x:c>
      <x:c r="P50" s="38" t="n">
        <x:v>0.0258344885</x:v>
      </x:c>
      <x:c r="Q50" s="38" t="n">
        <x:v>0.0667026062</x:v>
      </x:c>
      <x:c r="R50" s="38" t="n">
        <x:v>-0.0240368774</x:v>
      </x:c>
      <x:c r="S50" s="38" t="n">
        <x:v>0.0300608375</x:v>
      </x:c>
    </x:row>
    <x:row r="51" ht="19" customHeight="1">
      <x:c r="A51" s="39" t="d">
        <x:v>2024-01-01T00:00:00.000Z</x:v>
      </x:c>
      <x:c r="B51" s="38" t="n">
        <x:v>0.0280848655</x:v>
      </x:c>
      <x:c r="C51" s="38" t="n">
        <x:v>0.0079094672</x:v>
      </x:c>
      <x:c r="D51" s="38" t="n">
        <x:v>0.0165215582</x:v>
      </x:c>
      <x:c r="E51" s="38" t="n">
        <x:v>0.0171575387</x:v>
      </x:c>
      <x:c r="F51" s="38" t="n">
        <x:v>0.0172866988</x:v>
      </x:c>
      <x:c r="G51" s="38" t="n">
        <x:v>0.0230624665</x:v>
      </x:c>
      <x:c r="H51" s="38" t="n">
        <x:v>0.021207956</x:v>
      </x:c>
      <x:c r="I51" s="38" t="n">
        <x:v>0.0072029883</x:v>
      </x:c>
      <x:c r="J51" s="38" t="n">
        <x:v>-0.0191468077</x:v>
      </x:c>
      <x:c r="K51" s="38" t="n">
        <x:v>0.0254625413</x:v>
      </x:c>
      <x:c r="L51" s="38" t="n">
        <x:v>0.0245130835</x:v>
      </x:c>
      <x:c r="M51" s="38" t="n">
        <x:v>0.0312359611</x:v>
      </x:c>
      <x:c r="N51" s="38" t="n">
        <x:v>0.0466104382</x:v>
      </x:c>
      <x:c r="O51" s="38" t="n">
        <x:v>0.0074878052</x:v>
      </x:c>
      <x:c r="P51" s="38" t="n">
        <x:v>0.0220189969</x:v>
      </x:c>
      <x:c r="Q51" s="38" t="n">
        <x:v>0.0351161041</x:v>
      </x:c>
      <x:c r="R51" s="38" t="n">
        <x:v>-0.042033632</x:v>
      </x:c>
      <x:c r="S51" s="38" t="n">
        <x:v>0.0163341123</x:v>
      </x:c>
    </x:row>
    <x:row r="52" ht="19" customHeight="1">
      <x:c r="A52" s="39" t="d">
        <x:v>2024-01-29T00:00:00.000Z</x:v>
      </x:c>
      <x:c r="B52" s="38" t="n">
        <x:v>-0.0153879192</x:v>
      </x:c>
      <x:c r="C52" s="38" t="n">
        <x:v>-0.0104239618</x:v>
      </x:c>
      <x:c r="D52" s="38" t="n">
        <x:v>-0.0141853867</x:v>
      </x:c>
      <x:c r="E52" s="38" t="n">
        <x:v>-0.0141464705</x:v>
      </x:c>
      <x:c r="F52" s="38" t="n">
        <x:v>-0.0206246909</x:v>
      </x:c>
      <x:c r="G52" s="38" t="n">
        <x:v>-0.0138591136</x:v>
      </x:c>
      <x:c r="H52" s="38" t="n">
        <x:v>0.0571428617</x:v>
      </x:c>
      <x:c r="I52" s="38" t="n">
        <x:v>0.054570196</x:v>
      </x:c>
      <x:c r="J52" s="38" t="n">
        <x:v>-0.0319703395</x:v>
      </x:c>
      <x:c r="K52" s="38" t="n">
        <x:v>0.0064800107</x:v>
      </x:c>
      <x:c r="L52" s="38" t="n">
        <x:v>-0.022889479</x:v>
      </x:c>
      <x:c r="M52" s="38" t="n">
        <x:v>-0.0142307994</x:v>
      </x:c>
      <x:c r="N52" s="38" t="n">
        <x:v>-0.0063830183</x:v>
      </x:c>
      <x:c r="O52" s="38" t="n">
        <x:v>-0.014369745</x:v>
      </x:c>
      <x:c r="P52" s="38" t="n">
        <x:v>-0.0577490819</x:v>
      </x:c>
      <x:c r="Q52" s="38" t="n">
        <x:v>-0.0687423095</x:v>
      </x:c>
      <x:c r="R52" s="38" t="n">
        <x:v>0.014948248</x:v>
      </x:c>
      <x:c r="S52" s="38" t="n">
        <x:v>-0.075959519</x:v>
      </x:c>
    </x:row>
    <x:row r="53" ht="19" customHeight="1">
      <x:c r="A53" s="39" t="d">
        <x:v>2024-02-26T00:00:00.000Z</x:v>
      </x:c>
      <x:c r="B53" s="38" t="n">
        <x:v>0.0071475905</x:v>
      </x:c>
      <x:c r="C53" s="38" t="n">
        <x:v>-0.0005493575</x:v>
      </x:c>
      <x:c r="D53" s="38" t="n">
        <x:v>0.004957841</x:v>
      </x:c>
      <x:c r="E53" s="38" t="n">
        <x:v>0.0042265038</x:v>
      </x:c>
      <x:c r="F53" s="38" t="n">
        <x:v>-0.0123435534</x:v>
      </x:c>
      <x:c r="G53" s="38" t="n">
        <x:v>-0.0069563753</x:v>
      </x:c>
      <x:c r="H53" s="38" t="n">
        <x:v>0.038750554</x:v>
      </x:c>
      <x:c r="I53" s="38" t="n">
        <x:v>-0.0303093071</x:v>
      </x:c>
      <x:c r="J53" s="38" t="n">
        <x:v>0.0065813535</x:v>
      </x:c>
      <x:c r="K53" s="38" t="n">
        <x:v>-0.0126907804</x:v>
      </x:c>
      <x:c r="L53" s="38" t="n">
        <x:v>0.0327017701</x:v>
      </x:c>
      <x:c r="M53" s="38" t="n">
        <x:v>0.0020141144</x:v>
      </x:c>
      <x:c r="N53" s="38" t="n">
        <x:v>0.0125625297</x:v>
      </x:c>
      <x:c r="O53" s="38" t="n">
        <x:v>0.0164840579</x:v>
      </x:c>
      <x:c r="P53" s="38" t="n">
        <x:v>0.0318645286</x:v>
      </x:c>
      <x:c r="Q53" s="38" t="n">
        <x:v>0.0061132964</x:v>
      </x:c>
      <x:c r="R53" s="38" t="n">
        <x:v>-0.0123144429</x:v>
      </x:c>
      <x:c r="S53" s="38" t="n">
        <x:v>-0.0143950162</x:v>
      </x:c>
    </x:row>
    <x:row r="54" ht="19" customHeight="1">
      <x:c r="A54" s="39" t="d">
        <x:v>2024-03-25T00:00:00.000Z</x:v>
      </x:c>
      <x:c r="B54" s="38" t="n">
        <x:v>0.0290061683</x:v>
      </x:c>
      <x:c r="C54" s="38" t="n">
        <x:v>-0.0034162939</x:v>
      </x:c>
      <x:c r="D54" s="38" t="n">
        <x:v>-0.0053069</x:v>
      </x:c>
      <x:c r="E54" s="38" t="n">
        <x:v>-0.0049799988</x:v>
      </x:c>
      <x:c r="F54" s="38" t="n">
        <x:v>0.0032213102</x:v>
      </x:c>
      <x:c r="G54" s="38" t="n">
        <x:v>-0.0065204629</x:v>
      </x:c>
      <x:c r="H54" s="38" t="n">
        <x:v>0.0244260573</x:v>
      </x:c>
      <x:c r="I54" s="38" t="n">
        <x:v>0.0038518058</x:v>
      </x:c>
      <x:c r="J54" s="38" t="n">
        <x:v>-0.0256132043</x:v>
      </x:c>
      <x:c r="K54" s="38" t="n">
        <x:v>0.0237960815</x:v>
      </x:c>
      <x:c r="L54" s="38" t="n">
        <x:v>0.0795463464</x:v>
      </x:c>
      <x:c r="M54" s="38" t="n">
        <x:v>0.0301549393</x:v>
      </x:c>
      <x:c r="N54" s="38" t="n">
        <x:v>0.0012097567</x:v>
      </x:c>
      <x:c r="O54" s="38" t="n">
        <x:v>0.0177919999</x:v>
      </x:c>
      <x:c r="P54" s="38" t="n">
        <x:v>0.0448712856</x:v>
      </x:c>
      <x:c r="Q54" s="38" t="n">
        <x:v>-0.0083494913</x:v>
      </x:c>
      <x:c r="R54" s="38" t="n">
        <x:v>-0.0458872785</x:v>
      </x:c>
      <x:c r="S54" s="38" t="n">
        <x:v>0.0622983489</x:v>
      </x:c>
    </x:row>
    <x:row r="55" ht="19" customHeight="1">
      <x:c r="A55" s="39" t="d">
        <x:v>2024-04-22T00:00:00.000Z</x:v>
      </x:c>
      <x:c r="B55" s="38" t="n">
        <x:v>-0.0385812263</x:v>
      </x:c>
      <x:c r="C55" s="38" t="n">
        <x:v>-0.0108062512</x:v>
      </x:c>
      <x:c r="D55" s="38" t="n">
        <x:v>-0.009300743</x:v>
      </x:c>
      <x:c r="E55" s="38" t="n">
        <x:v>-0.0097992302</x:v>
      </x:c>
      <x:c r="F55" s="38" t="n">
        <x:v>0.0023275551</x:v>
      </x:c>
      <x:c r="G55" s="38" t="n">
        <x:v>-0.0090291964</x:v>
      </x:c>
      <x:c r="H55" s="38" t="n">
        <x:v>-0.0311607723</x:v>
      </x:c>
      <x:c r="I55" s="38" t="n">
        <x:v>0.0099443649</x:v>
      </x:c>
      <x:c r="J55" s="38" t="n">
        <x:v>-0.0040730485</x:v>
      </x:c>
      <x:c r="K55" s="38" t="n">
        <x:v>0.0005149419</x:v>
      </x:c>
      <x:c r="L55" s="38" t="n">
        <x:v>-0.0101995578</x:v>
      </x:c>
      <x:c r="M55" s="38" t="n">
        <x:v>-0.010888056</x:v>
      </x:c>
      <x:c r="N55" s="38" t="n">
        <x:v>-0.046127154</x:v>
      </x:c>
      <x:c r="O55" s="38" t="n">
        <x:v>-0.0042728702</x:v>
      </x:c>
      <x:c r="P55" s="38" t="n">
        <x:v>-0.0150506124</x:v>
      </x:c>
      <x:c r="Q55" s="38" t="n">
        <x:v>-0.0569392732</x:v>
      </x:c>
      <x:c r="R55" s="38" t="n">
        <x:v>0.0012781078</x:v>
      </x:c>
      <x:c r="S55" s="38" t="n">
        <x:v>0.0188438112</x:v>
      </x:c>
    </x:row>
    <x:row r="56" ht="19" customHeight="1">
      <x:c r="A56" s="39" t="d">
        <x:v>2024-05-20T00:00:00.000Z</x:v>
      </x:c>
      <x:c r="B56" s="38" t="n">
        <x:v>0.0299374355</x:v>
      </x:c>
      <x:c r="C56" s="38" t="n">
        <x:v>0.0101441792</x:v>
      </x:c>
      <x:c r="D56" s="38" t="n">
        <x:v>0.0139958933</x:v>
      </x:c>
      <x:c r="E56" s="38" t="n">
        <x:v>0.0155384866</x:v>
      </x:c>
      <x:c r="F56" s="38" t="n">
        <x:v>0.0170494498</x:v>
      </x:c>
      <x:c r="G56" s="38" t="n">
        <x:v>0.0061633633</x:v>
      </x:c>
      <x:c r="H56" s="38" t="n">
        <x:v>0.0449221487</x:v>
      </x:c>
      <x:c r="I56" s="38" t="n">
        <x:v>-0.0013900525</x:v>
      </x:c>
      <x:c r="J56" s="38" t="n">
        <x:v>-0.0478362635</x:v>
      </x:c>
      <x:c r="K56" s="38" t="n">
        <x:v>0.0024569771</x:v>
      </x:c>
      <x:c r="L56" s="38" t="n">
        <x:v>-0.0622794903</x:v>
      </x:c>
      <x:c r="M56" s="38" t="n">
        <x:v>-0.0167001997</x:v>
      </x:c>
      <x:c r="N56" s="38" t="n">
        <x:v>0.0124471042</x:v>
      </x:c>
      <x:c r="O56" s="38" t="n">
        <x:v>-0.025722245</x:v>
      </x:c>
      <x:c r="P56" s="38" t="n">
        <x:v>-0.0105253589</x:v>
      </x:c>
      <x:c r="Q56" s="38" t="n">
        <x:v>-0.0058008342</x:v>
      </x:c>
      <x:c r="R56" s="38" t="n">
        <x:v>0.016640772</x:v>
      </x:c>
      <x:c r="S56" s="38" t="n">
        <x:v>0.0640786181</x:v>
      </x:c>
    </x:row>
    <x:row r="57" ht="19" customHeight="1">
      <x:c r="A57" s="39" t="d">
        <x:v>2024-06-17T00:00:00.000Z</x:v>
      </x:c>
      <x:c r="B57" s="38" t="n">
        <x:v>-0.0906357863</x:v>
      </x:c>
      <x:c r="C57" s="38" t="n">
        <x:v>-0.004209079</x:v>
      </x:c>
      <x:c r="D57" s="38" t="n">
        <x:v>-0.0147708234</x:v>
      </x:c>
      <x:c r="E57" s="38" t="n">
        <x:v>-0.0156395671</x:v>
      </x:c>
      <x:c r="F57" s="38" t="n">
        <x:v>0.0060393289</x:v>
      </x:c>
      <x:c r="G57" s="38" t="n">
        <x:v>-0.0080870436</x:v>
      </x:c>
      <x:c r="H57" s="38" t="n">
        <x:v>0.034914383</x:v>
      </x:c>
      <x:c r="I57" s="38" t="n">
        <x:v>-0.0039983673</x:v>
      </x:c>
      <x:c r="J57" s="38" t="n">
        <x:v>0.0103270206</x:v>
      </x:c>
      <x:c r="K57" s="38" t="n">
        <x:v>-0.0070325803</x:v>
      </x:c>
      <x:c r="L57" s="38" t="n">
        <x:v>-0.0327449349</x:v>
      </x:c>
      <x:c r="M57" s="38" t="n">
        <x:v>-0.0373132562</x:v>
      </x:c>
      <x:c r="N57" s="38" t="n">
        <x:v>0.00079379</x:v>
      </x:c>
      <x:c r="O57" s="38" t="n">
        <x:v>-0.0464734034</x:v>
      </x:c>
      <x:c r="P57" s="38" t="n">
        <x:v>-0.0464986465</x:v>
      </x:c>
      <x:c r="Q57" s="38" t="n">
        <x:v>0.0092248594</x:v>
      </x:c>
      <x:c r="R57" s="38" t="n">
        <x:v>0.0162914835</x:v>
      </x:c>
      <x:c r="S57" s="38" t="n">
        <x:v>-0.0502079652</x:v>
      </x:c>
    </x:row>
    <x:row r="58" ht="19" customHeight="1">
      <x:c r="A58" s="39" t="d">
        <x:v>2024-07-15T00:00:00.000Z</x:v>
      </x:c>
      <x:c r="B58" s="38" t="n">
        <x:v>0.0029870423</x:v>
      </x:c>
      <x:c r="C58" s="38" t="n">
        <x:v>0.0085538433</x:v>
      </x:c>
      <x:c r="D58" s="38" t="n">
        <x:v>0.0193962733</x:v>
      </x:c>
      <x:c r="E58" s="38" t="n">
        <x:v>0.0198003162</x:v>
      </x:c>
      <x:c r="F58" s="38" t="n">
        <x:v>0.0028805859</x:v>
      </x:c>
      <x:c r="G58" s="38" t="n">
        <x:v>0.0032569107</x:v>
      </x:c>
      <x:c r="H58" s="38" t="n">
        <x:v>0.009273645</x:v>
      </x:c>
      <x:c r="I58" s="38" t="n">
        <x:v>-0.0014580968</x:v>
      </x:c>
      <x:c r="J58" s="38" t="n">
        <x:v>0.0306627596</x:v>
      </x:c>
      <x:c r="K58" s="38" t="n">
        <x:v>0.0097487461</x:v>
      </x:c>
      <x:c r="L58" s="38" t="n">
        <x:v>0.023949136</x:v>
      </x:c>
      <x:c r="M58" s="38" t="n">
        <x:v>0.0360995374</x:v>
      </x:c>
      <x:c r="N58" s="38" t="n">
        <x:v>0.0066918418</x:v>
      </x:c>
      <x:c r="O58" s="38" t="n">
        <x:v>0.0105387227</x:v>
      </x:c>
      <x:c r="P58" s="38" t="n">
        <x:v>0.0055391703</x:v>
      </x:c>
      <x:c r="Q58" s="38" t="n">
        <x:v>0.0668557957</x:v>
      </x:c>
      <x:c r="R58" s="38" t="n">
        <x:v>-0.0488405076</x:v>
      </x:c>
      <x:c r="S58" s="38" t="n">
        <x:v>0.0146893986</x:v>
      </x:c>
    </x:row>
    <x:row r="59" ht="19" customHeight="1">
      <x:c r="A59" s="39" t="d">
        <x:v>2024-08-12T00:00:00.000Z</x:v>
      </x:c>
      <x:c r="B59" s="38" t="n">
        <x:v>-0.0362008253</x:v>
      </x:c>
      <x:c r="C59" s="38" t="n">
        <x:v>0.0232853781</x:v>
      </x:c>
      <x:c r="D59" s="38" t="n">
        <x:v>0.0152200644</x:v>
      </x:c>
      <x:c r="E59" s="38" t="n">
        <x:v>0.0148518865</x:v>
      </x:c>
      <x:c r="F59" s="38" t="n">
        <x:v>-0.0025776073</x:v>
      </x:c>
      <x:c r="G59" s="38" t="n">
        <x:v>-0.0050371799</x:v>
      </x:c>
      <x:c r="H59" s="38" t="n">
        <x:v>0.0110696428</x:v>
      </x:c>
      <x:c r="I59" s="38" t="n">
        <x:v>0.0070331208</x:v>
      </x:c>
      <x:c r="J59" s="38" t="n">
        <x:v>-0.0346275718</x:v>
      </x:c>
      <x:c r="K59" s="38" t="n">
        <x:v>0.0294370539</x:v>
      </x:c>
      <x:c r="L59" s="38" t="n">
        <x:v>-0.0411834516</x:v>
      </x:c>
      <x:c r="M59" s="38" t="n">
        <x:v>0.0136961621</x:v>
      </x:c>
      <x:c r="N59" s="38" t="n">
        <x:v>0.0314788032</x:v>
      </x:c>
      <x:c r="O59" s="38" t="n">
        <x:v>0.0068828795</x:v>
      </x:c>
      <x:c r="P59" s="38" t="n">
        <x:v>-0.0012818082</x:v>
      </x:c>
      <x:c r="Q59" s="38" t="n">
        <x:v>0.0333698377</x:v>
      </x:c>
      <x:c r="R59" s="38" t="n">
        <x:v>-0.0127019872</x:v>
      </x:c>
      <x:c r="S59" s="38" t="n">
        <x:v>0.0613290747</x:v>
      </x:c>
    </x:row>
    <x:row r="60" ht="19" customHeight="1">
      <x:c r="A60" s="39" t="d">
        <x:v>2024-09-09T00:00:00.000Z</x:v>
      </x:c>
      <x:c r="B60" s="38" t="n">
        <x:v>-0.0353922506</x:v>
      </x:c>
      <x:c r="C60" s="38" t="n">
        <x:v>0.0173589663</x:v>
      </x:c>
      <x:c r="D60" s="38" t="n">
        <x:v>0.0048281604</x:v>
      </x:c>
      <x:c r="E60" s="38" t="n">
        <x:v>0.0052795101</x:v>
      </x:c>
      <x:c r="F60" s="38" t="n">
        <x:v>0.0060905696</x:v>
      </x:c>
      <x:c r="G60" s="38" t="n">
        <x:v>0.0157329827</x:v>
      </x:c>
      <x:c r="H60" s="38" t="n">
        <x:v>0.0160601224</x:v>
      </x:c>
      <x:c r="I60" s="38" t="n">
        <x:v>-0.0047904694</x:v>
      </x:c>
      <x:c r="J60" s="38" t="n">
        <x:v>0.0464318783</x:v>
      </x:c>
      <x:c r="K60" s="38" t="n">
        <x:v>0.0408145364</x:v>
      </x:c>
      <x:c r="L60" s="38" t="n">
        <x:v>-0.0809273077</x:v>
      </x:c>
      <x:c r="M60" s="38" t="n">
        <x:v>0.0048341426</x:v>
      </x:c>
      <x:c r="N60" s="38" t="n">
        <x:v>0.0158294464</x:v>
      </x:c>
      <x:c r="O60" s="38" t="n">
        <x:v>0.0159397465</x:v>
      </x:c>
      <x:c r="P60" s="38" t="n">
        <x:v>0.0160080565</x:v>
      </x:c>
      <x:c r="Q60" s="38" t="n">
        <x:v>0.081226692</x:v>
      </x:c>
      <x:c r="R60" s="38" t="n">
        <x:v>-0.0277924677</x:v>
      </x:c>
      <x:c r="S60" s="38" t="n">
        <x:v>0.0532641429</x:v>
      </x:c>
    </x:row>
    <x:row r="61" ht="19" customHeight="1">
      <x:c r="A61" s="39" t="d">
        <x:v>2024-10-07T00:00:00.000Z</x:v>
      </x:c>
      <x:c r="B61" s="38" t="n">
        <x:v>-0.0037325178</x:v>
      </x:c>
      <x:c r="C61" s="38" t="n">
        <x:v>-0.0060787321</x:v>
      </x:c>
      <x:c r="D61" s="38" t="n">
        <x:v>-0.0146472016</x:v>
      </x:c>
      <x:c r="E61" s="38" t="n">
        <x:v>-0.0145700271</x:v>
      </x:c>
      <x:c r="F61" s="38" t="n">
        <x:v>0.0080706178</x:v>
      </x:c>
      <x:c r="G61" s="38" t="n">
        <x:v>-0.0052948662</x:v>
      </x:c>
      <x:c r="H61" s="38" t="n">
        <x:v>0.0399617594</x:v>
      </x:c>
      <x:c r="I61" s="38" t="n">
        <x:v>0.0158697385</x:v>
      </x:c>
      <x:c r="J61" s="38" t="n">
        <x:v>-0.0123603385</x:v>
      </x:c>
      <x:c r="K61" s="38" t="n">
        <x:v>-0.0437012276</x:v>
      </x:c>
      <x:c r="L61" s="38" t="n">
        <x:v>0.0935083393</x:v>
      </x:c>
      <x:c r="M61" s="38" t="n">
        <x:v>0.0223492854</x:v>
      </x:c>
      <x:c r="N61" s="38" t="n">
        <x:v>-0.0327083969</x:v>
      </x:c>
      <x:c r="O61" s="38" t="n">
        <x:v>0.0353281397</x:v>
      </x:c>
      <x:c r="P61" s="38" t="n">
        <x:v>0.0161976319</x:v>
      </x:c>
      <x:c r="Q61" s="38" t="n">
        <x:v>-0.0674009668</x:v>
      </x:c>
      <x:c r="R61" s="38" t="n">
        <x:v>-0.0012114734</x:v>
      </x:c>
      <x:c r="S61" s="38" t="n">
        <x:v>-0.00022386</x:v>
      </x:c>
    </x:row>
    <x:row r="62" ht="19" customHeight="1">
      <x:c r="A62" s="39" t="d">
        <x:v>2024-11-04T00:00:00.000Z</x:v>
      </x:c>
      <x:c r="B62" s="38" t="n">
        <x:v>-0.0545716868</x:v>
      </x:c>
      <x:c r="C62" s="38" t="n">
        <x:v>-0.0185778955</x:v>
      </x:c>
      <x:c r="D62" s="38" t="n">
        <x:v>-0.0235361985</x:v>
      </x:c>
      <x:c r="E62" s="38" t="n">
        <x:v>-0.0250434782</x:v>
      </x:c>
      <x:c r="F62" s="38" t="n">
        <x:v>-0.0305585215</x:v>
      </x:c>
      <x:c r="G62" s="38" t="n">
        <x:v>-0.0245509976</x:v>
      </x:c>
      <x:c r="H62" s="38" t="n">
        <x:v>0.0378448543</x:v>
      </x:c>
      <x:c r="I62" s="38" t="n">
        <x:v>0.0406486495</x:v>
      </x:c>
      <x:c r="J62" s="38" t="n">
        <x:v>0.070733996</x:v>
      </x:c>
      <x:c r="K62" s="38" t="n">
        <x:v>-0.0285274501</x:v>
      </x:c>
      <x:c r="L62" s="38" t="n">
        <x:v>-0.0001562346</x:v>
      </x:c>
      <x:c r="M62" s="38" t="n">
        <x:v>0.0349593101</x:v>
      </x:c>
      <x:c r="N62" s="38" t="n">
        <x:v>-0.0480753558</x:v>
      </x:c>
      <x:c r="O62" s="38" t="n">
        <x:v>-0.0042511726</x:v>
      </x:c>
      <x:c r="P62" s="38" t="n">
        <x:v>-0.0453862208</x:v>
      </x:c>
      <x:c r="Q62" s="38" t="n">
        <x:v>-0.0133054615</x:v>
      </x:c>
      <x:c r="R62" s="38" t="n">
        <x:v>-0.0220179595</x:v>
      </x:c>
      <x:c r="S62" s="38" t="n">
        <x:v>-0.0190242979</x:v>
      </x:c>
    </x:row>
    <x:row r="63" ht="19" customHeight="1">
      <x:c r="A63" s="39" t="d">
        <x:v>2024-12-02T00:00:00.000Z</x:v>
      </x:c>
      <x:c r="B63" s="38" t="n">
        <x:v>-0.0009995481</x:v>
      </x:c>
      <x:c r="C63" s="38" t="n">
        <x:v>-0.0153908194</x:v>
      </x:c>
      <x:c r="D63" s="38" t="n">
        <x:v>-0.0175051182</x:v>
      </x:c>
      <x:c r="E63" s="38" t="n">
        <x:v>-0.0166851119</x:v>
      </x:c>
      <x:c r="F63" s="38" t="n">
        <x:v>-0.0355388153</x:v>
      </x:c>
      <x:c r="G63" s="38" t="n">
        <x:v>-0.012729198</x:v>
      </x:c>
      <x:c r="H63" s="38" t="n">
        <x:v>0.0193746931</x:v>
      </x:c>
      <x:c r="I63" s="38" t="n">
        <x:v>0.0424793944</x:v>
      </x:c>
      <x:c r="J63" s="38" t="n">
        <x:v>0.0804806491</x:v>
      </x:c>
      <x:c r="K63" s="38" t="n">
        <x:v>0.0142594155</x:v>
      </x:c>
      <x:c r="L63" s="38" t="n">
        <x:v>-0.0516333509</x:v>
      </x:c>
      <x:c r="M63" s="38" t="n">
        <x:v>0.0121749623</x:v>
      </x:c>
      <x:c r="N63" s="38" t="n">
        <x:v>-0.0591374355</x:v>
      </x:c>
      <x:c r="O63" s="38" t="n">
        <x:v>-0.032643518</x:v>
      </x:c>
      <x:c r="P63" s="38" t="n">
        <x:v>-0.0468159561</x:v>
      </x:c>
      <x:c r="Q63" s="38" t="n">
        <x:v>-0.0150254491</x:v>
      </x:c>
      <x:c r="R63" s="38" t="n">
        <x:v>-0.0088698977</x:v>
      </x:c>
      <x:c r="S63" s="38" t="n">
        <x:v>-0.0026951223</x:v>
      </x:c>
    </x:row>
    <x:row r="64" ht="19" customHeight="1">
      <x:c r="A64" s="39" t="d">
        <x:v>2024-12-30T00:00:00.000Z</x:v>
      </x:c>
      <x:c r="B64" s="38" t="n">
        <x:v>-0.0265277688</x:v>
      </x:c>
      <x:c r="C64" s="38" t="n">
        <x:v>-0.0249842634</x:v>
      </x:c>
      <x:c r="D64" s="38" t="n">
        <x:v>-0.0304747521</x:v>
      </x:c>
      <x:c r="E64" s="38" t="n">
        <x:v>-0.0310044264</x:v>
      </x:c>
      <x:c r="F64" s="38" t="n">
        <x:v>-0.0339878689</x:v>
      </x:c>
      <x:c r="G64" s="38" t="n">
        <x:v>-0.0267634568</x:v>
      </x:c>
      <x:c r="H64" s="38" t="n">
        <x:v>-0.0284271373</x:v>
      </x:c>
      <x:c r="I64" s="38" t="n">
        <x:v>-0.0063929045</x:v>
      </x:c>
      <x:c r="J64" s="38" t="n">
        <x:v>0.0060055738</x:v>
      </x:c>
      <x:c r="K64" s="38" t="n">
        <x:v>-0.0423778354</x:v>
      </x:c>
      <x:c r="L64" s="38" t="n">
        <x:v>-0.0635659781</x:v>
      </x:c>
      <x:c r="M64" s="38" t="n">
        <x:v>-0.0188699316</x:v>
      </x:c>
      <x:c r="N64" s="38" t="n">
        <x:v>-0.0294620045</x:v>
      </x:c>
      <x:c r="O64" s="38" t="n">
        <x:v>-0.0423598733</x:v>
      </x:c>
      <x:c r="P64" s="38" t="n">
        <x:v>-0.0934122608</x:v>
      </x:c>
      <x:c r="Q64" s="38" t="n">
        <x:v>-0.0436627641</x:v>
      </x:c>
      <x:c r="R64" s="38" t="n">
        <x:v>0.0178770461</x:v>
      </x:c>
      <x:c r="S64" s="38" t="n">
        <x:v>-0.0220028414</x:v>
      </x:c>
    </x:row>
    <x:row r="65" ht="19" customHeight="1">
      <x:c r="A65" s="39" t="d">
        <x:v>2025-01-27T00:00:00.000Z</x:v>
      </x:c>
      <x:c r="B65" s="38" t="n">
        <x:v>-0.0030620993</x:v>
      </x:c>
      <x:c r="C65" s="38" t="n">
        <x:v>0.0117303194</x:v>
      </x:c>
      <x:c r="D65" s="38" t="n">
        <x:v>0.0056938386</x:v>
      </x:c>
      <x:c r="E65" s="38" t="n">
        <x:v>0.0059411521</x:v>
      </x:c>
      <x:c r="F65" s="38" t="n">
        <x:v>0.0040111351</x:v>
      </x:c>
      <x:c r="G65" s="38" t="n">
        <x:v>-0.0016151918</x:v>
      </x:c>
      <x:c r="H65" s="38" t="n">
        <x:v>0.0206565223</x:v>
      </x:c>
      <x:c r="I65" s="38" t="n">
        <x:v>0.0388986635</x:v>
      </x:c>
      <x:c r="J65" s="38" t="n">
        <x:v>0.0173601042</x:v>
      </x:c>
      <x:c r="K65" s="38" t="n">
        <x:v>0.0008455452</x:v>
      </x:c>
      <x:c r="L65" s="38" t="n">
        <x:v>-0.0130740857</x:v>
      </x:c>
      <x:c r="M65" s="38" t="n">
        <x:v>0.0535658707</x:v>
      </x:c>
      <x:c r="N65" s="38" t="n">
        <x:v>0.0581094011</x:v>
      </x:c>
      <x:c r="O65" s="38" t="n">
        <x:v>0.031284786</x:v>
      </x:c>
      <x:c r="P65" s="38" t="n">
        <x:v>0.0669510623</x:v>
      </x:c>
      <x:c r="Q65" s="38" t="n">
        <x:v>0.0054053303</x:v>
      </x:c>
      <x:c r="R65" s="38" t="n">
        <x:v>-0.0558935146</x:v>
      </x:c>
      <x:c r="S65" s="38" t="n">
        <x:v>0.001886941</x:v>
      </x:c>
    </x:row>
    <x:row r="66" ht="19" customHeight="1">
      <x:c r="A66" s="39" t="d">
        <x:v>2025-02-24T00:00:00.000Z</x:v>
      </x:c>
      <x:c r="B66" s="38" t="n">
        <x:v>0.0084258962</x:v>
      </x:c>
      <x:c r="C66" s="38" t="n">
        <x:v>0.0055214418</x:v>
      </x:c>
      <x:c r="D66" s="38" t="n">
        <x:v>0.0026238889</x:v>
      </x:c>
      <x:c r="E66" s="38" t="n">
        <x:v>0.0021025398</x:v>
      </x:c>
      <x:c r="F66" s="38" t="n">
        <x:v>-0.0062912478</x:v>
      </x:c>
      <x:c r="G66" s="38" t="n">
        <x:v>0.010158537</x:v>
      </x:c>
      <x:c r="H66" s="38" t="n">
        <x:v>-0.0161862616</x:v>
      </x:c>
      <x:c r="I66" s="38" t="n">
        <x:v>0.012156811</x:v>
      </x:c>
      <x:c r="J66" s="38" t="n">
        <x:v>-0.0652660586</x:v>
      </x:c>
      <x:c r="K66" s="38" t="n">
        <x:v>0.0695627504</x:v>
      </x:c>
      <x:c r="L66" s="38" t="n">
        <x:v>0.0251413756</x:v>
      </x:c>
      <x:c r="M66" s="38" t="n">
        <x:v>0.0284918631</x:v>
      </x:c>
      <x:c r="N66" s="38" t="n">
        <x:v>0.0233342226</x:v>
      </x:c>
      <x:c r="O66" s="38" t="n">
        <x:v>-0.0071502687</x:v>
      </x:c>
      <x:c r="P66" s="38" t="n">
        <x:v>0.0132062491</x:v>
      </x:c>
      <x:c r="Q66" s="38" t="n">
        <x:v>0.0701883098</x:v>
      </x:c>
      <x:c r="R66" s="38" t="n">
        <x:v>-0.005006637</x:v>
      </x:c>
      <x:c r="S66" s="38" t="n">
        <x:v>0.0255101856</x:v>
      </x:c>
    </x:row>
    <x:row r="67" ht="19" customHeight="1">
      <x:c r="A67" s="39" t="d">
        <x:v>2025-03-24T00:00:00.000Z</x:v>
      </x:c>
      <x:c r="B67" s="38" t="n">
        <x:v>0.0103175654</x:v>
      </x:c>
      <x:c r="C67" s="38" t="n">
        <x:v>0.010698013</x:v>
      </x:c>
      <x:c r="D67" s="38" t="n">
        <x:v>0.0541733105</x:v>
      </x:c>
      <x:c r="E67" s="38" t="n">
        <x:v>0.0611906118</x:v>
      </x:c>
      <x:c r="F67" s="38" t="n">
        <x:v>0.0199015376</x:v>
      </x:c>
      <x:c r="G67" s="38" t="n">
        <x:v>-0.0051410615</x:v>
      </x:c>
      <x:c r="H67" s="38" t="n">
        <x:v>-0.0822616423</x:v>
      </x:c>
      <x:c r="I67" s="38" t="n">
        <x:v>0.000473037</x:v>
      </x:c>
      <x:c r="J67" s="38" t="n">
        <x:v>-0.0100516676</x:v>
      </x:c>
      <x:c r="K67" s="38" t="n">
        <x:v>-0.0029750616</x:v>
      </x:c>
      <x:c r="L67" s="38" t="n">
        <x:v>-0.0051000643</x:v>
      </x:c>
      <x:c r="M67" s="38" t="n">
        <x:v>-0.0066019644</x:v>
      </x:c>
      <x:c r="N67" s="38" t="n">
        <x:v>0.0020396483</x:v>
      </x:c>
      <x:c r="O67" s="38" t="n">
        <x:v>0.0133795536</x:v>
      </x:c>
      <x:c r="P67" s="38" t="n">
        <x:v>0.0152138384</x:v>
      </x:c>
      <x:c r="Q67" s="38" t="n">
        <x:v>0.0284653812</x:v>
      </x:c>
      <x:c r="R67" s="38" t="n">
        <x:v>0.0089519779</x:v>
      </x:c>
      <x:c r="S67" s="38" t="n">
        <x:v>0.019450515</x:v>
      </x:c>
    </x:row>
    <x:row r="68" ht="19" customHeight="1">
      <x:c r="A68" s="39" t="d">
        <x:v>2025-04-21T00:00:00.000Z</x:v>
      </x:c>
      <x:c r="B68" s="38" t="n">
        <x:v>0.0574053138</x:v>
      </x:c>
      <x:c r="C68" s="38" t="n">
        <x:v>0.025541065</x:v>
      </x:c>
      <x:c r="D68" s="38" t="n">
        <x:v>0.0622128976</x:v>
      </x:c>
      <x:c r="E68" s="38" t="n">
        <x:v>0.0593593289</x:v>
      </x:c>
      <x:c r="F68" s="38" t="n">
        <x:v>0.0217422767</x:v>
      </x:c>
      <x:c r="G68" s="38" t="n">
        <x:v>0.0440292019</x:v>
      </x:c>
      <x:c r="H68" s="38" t="n">
        <x:v>-0.0118263696</x:v>
      </x:c>
      <x:c r="I68" s="38" t="n">
        <x:v>-0.0060899081</x:v>
      </x:c>
      <x:c r="J68" s="38" t="n">
        <x:v>0.0249937161</x:v>
      </x:c>
      <x:c r="K68" s="38" t="n">
        <x:v>0.0106290643</x:v>
      </x:c>
      <x:c r="L68" s="38" t="n">
        <x:v>-0.1715360575</x:v>
      </x:c>
      <x:c r="M68" s="38" t="n">
        <x:v>-0.0242557464</x:v>
      </x:c>
      <x:c r="N68" s="38" t="n">
        <x:v>-0.0559788715</x:v>
      </x:c>
      <x:c r="O68" s="38" t="n">
        <x:v>-0.0037787464</x:v>
      </x:c>
      <x:c r="P68" s="38" t="n">
        <x:v>-0.0274612617</x:v>
      </x:c>
      <x:c r="Q68" s="38" t="n">
        <x:v>-0.0132595295</x:v>
      </x:c>
      <x:c r="R68" s="38" t="n">
        <x:v>0.0310812651</x:v>
      </x:c>
      <x:c r="S68" s="38" t="n">
        <x:v>0.0059708946</x:v>
      </x:c>
    </x:row>
    <x:row r="69" ht="19" customHeight="1">
      <x:c r="A69" s="39" t="d">
        <x:v>2025-05-19T00:00:00.000Z</x:v>
      </x:c>
      <x:c r="B69" s="38" t="n">
        <x:v>0.0177575005</x:v>
      </x:c>
      <x:c r="C69" s="38" t="n">
        <x:v>0.0272429295</x:v>
      </x:c>
      <x:c r="D69" s="38" t="n">
        <x:v>0.0008250854</x:v>
      </x:c>
      <x:c r="E69" s="38" t="n">
        <x:v>-0.0027079816</x:v>
      </x:c>
      <x:c r="F69" s="38" t="n">
        <x:v>0.0177987109</x:v>
      </x:c>
      <x:c r="G69" s="38" t="n">
        <x:v>-0.0102852147</x:v>
      </x:c>
      <x:c r="H69" s="38" t="n">
        <x:v>0.0666254263</x:v>
      </x:c>
      <x:c r="I69" s="38" t="n">
        <x:v>0.019413993</x:v>
      </x:c>
      <x:c r="J69" s="38" t="n">
        <x:v>0.0134508203</x:v>
      </x:c>
      <x:c r="K69" s="38" t="n">
        <x:v>-0.015729635</x:v>
      </x:c>
      <x:c r="L69" s="38" t="n">
        <x:v>-0.0131694203</x:v>
      </x:c>
      <x:c r="M69" s="38" t="n">
        <x:v>-0.0004451617</x:v>
      </x:c>
      <x:c r="N69" s="38" t="n">
        <x:v>-0.1078803745</x:v>
      </x:c>
      <x:c r="O69" s="38" t="n">
        <x:v>0.0552013965</x:v>
      </x:c>
      <x:c r="P69" s="38" t="n">
        <x:v>-0.0010699641</x:v>
      </x:c>
      <x:c r="Q69" s="38" t="n">
        <x:v>-0.0467563698</x:v>
      </x:c>
      <x:c r="R69" s="38" t="n">
        <x:v>0.0149318929</x:v>
      </x:c>
      <x:c r="S69" s="38" t="n">
        <x:v>0.0176923312</x:v>
      </x:c>
    </x:row>
    <x:row r="70" ht="19" customHeight="1">
      <x:c r="A70" s="39" t="d">
        <x:v>2025-06-16T00:00:00.000Z</x:v>
      </x:c>
      <x:c r="B70" s="38" t="n">
        <x:v>0.0048326395</x:v>
      </x:c>
      <x:c r="C70" s="38" t="n">
        <x:v>0.0013547409</x:v>
      </x:c>
      <x:c r="D70" s="38" t="n">
        <x:v>0.0188145618</x:v>
      </x:c>
      <x:c r="E70" s="38" t="n">
        <x:v>0.0181076064</x:v>
      </x:c>
      <x:c r="F70" s="38" t="n">
        <x:v>-0.0016514097</x:v>
      </x:c>
      <x:c r="G70" s="38" t="n">
        <x:v>0.0368875548</x:v>
      </x:c>
      <x:c r="H70" s="38" t="n">
        <x:v>0.0386174878</x:v>
      </x:c>
      <x:c r="I70" s="38" t="n">
        <x:v>0.0011094302</x:v>
      </x:c>
      <x:c r="J70" s="38" t="n">
        <x:v>-0.0379056198</x:v>
      </x:c>
      <x:c r="K70" s="38" t="n">
        <x:v>-0.0263139142</x:v>
      </x:c>
      <x:c r="L70" s="38" t="n">
        <x:v>0.0975887408</x:v>
      </x:c>
      <x:c r="M70" s="38" t="n">
        <x:v>-0.0244668743</x:v>
      </x:c>
      <x:c r="N70" s="38" t="n">
        <x:v>0.0038380594</x:v>
      </x:c>
      <x:c r="O70" s="38" t="n">
        <x:v>-0.0216815222</x:v>
      </x:c>
      <x:c r="P70" s="38" t="n">
        <x:v>-0.0168954146</x:v>
      </x:c>
      <x:c r="Q70" s="38" t="n">
        <x:v>0.0115776686</x:v>
      </x:c>
      <x:c r="R70" s="38" t="n">
        <x:v>0.0231370845</x:v>
      </x:c>
      <x:c r="S70" s="38" t="n">
        <x:v>-0.0229169731</x:v>
      </x:c>
    </x:row>
    <x:row r="71" ht="19" customHeight="1">
      <x:c r="A71" s="39" t="d">
        <x:v>2025-07-14T00:00:00.000Z</x:v>
      </x:c>
      <x:c r="B71" s="38" t="n">
        <x:v>0.0302699612</x:v>
      </x:c>
      <x:c r="C71" s="38" t="n">
        <x:v>0.0016931533</x:v>
      </x:c>
      <x:c r="D71" s="38" t="n">
        <x:v>0.0109437699</x:v>
      </x:c>
      <x:c r="E71" s="38" t="n">
        <x:v>0.0121191026</x:v>
      </x:c>
      <x:c r="F71" s="38" t="n">
        <x:v>0.0110566395</x:v>
      </x:c>
      <x:c r="G71" s="38" t="n">
        <x:v>-0.0131634624</x:v>
      </x:c>
      <x:c r="H71" s="38" t="n">
        <x:v>0.0741175656</x:v>
      </x:c>
      <x:c r="I71" s="38" t="n">
        <x:v>-0.0198848644</x:v>
      </x:c>
      <x:c r="J71" s="38" t="n">
        <x:v>-0.0048164816</x:v>
      </x:c>
      <x:c r="K71" s="38" t="n">
        <x:v>-0.0240207617</x:v>
      </x:c>
      <x:c r="L71" s="38" t="n">
        <x:v>-0.041236345</x:v>
      </x:c>
      <x:c r="M71" s="38" t="n">
        <x:v>0.0010946314</x:v>
      </x:c>
      <x:c r="N71" s="38" t="n">
        <x:v>-0.0366692213</x:v>
      </x:c>
      <x:c r="O71" s="38" t="n">
        <x:v>0.021085173</x:v>
      </x:c>
      <x:c r="P71" s="38" t="n">
        <x:v>0.0102569426</x:v>
      </x:c>
      <x:c r="Q71" s="38" t="n">
        <x:v>-0.0439859228</x:v>
      </x:c>
      <x:c r="R71" s="38" t="n">
        <x:v>0.0052185772</x:v>
      </x:c>
      <x:c r="S71" s="38" t="n">
        <x:v>0.0258475257</x:v>
      </x:c>
    </x:row>
    <x:row r="72" ht="19" customHeight="1">
      <x:c r="A72" s="39" t="d">
        <x:v>2025-08-11T00:00:00.000Z</x:v>
      </x:c>
      <x:c r="B72" s="38" t="n">
        <x:v>0.0006697671</x:v>
      </x:c>
      <x:c r="C72" s="38" t="n">
        <x:v>0.0039790603</x:v>
      </x:c>
      <x:c r="D72" s="38" t="n">
        <x:v>0.0097611603</x:v>
      </x:c>
      <x:c r="E72" s="38" t="n">
        <x:v>0.0093310563</x:v>
      </x:c>
      <x:c r="F72" s="38" t="n">
        <x:v>-0.0076009486</x:v>
      </x:c>
      <x:c r="G72" s="38" t="n">
        <x:v>-0.0075786572</x:v>
      </x:c>
      <x:c r="H72" s="38" t="n">
        <x:v>0.0344100444</x:v>
      </x:c>
      <x:c r="I72" s="38" t="n">
        <x:v>0.0370410351</x:v>
      </x:c>
      <x:c r="J72" s="38" t="n">
        <x:v>0.0088452712</x:v>
      </x:c>
      <x:c r="K72" s="38" t="n">
        <x:v>0.0040787617</x:v>
      </x:c>
      <x:c r="L72" s="38" t="n">
        <x:v>-0.0193085582</x:v>
      </x:c>
      <x:c r="M72" s="38" t="n">
        <x:v>-0.0314756387</x:v>
      </x:c>
      <x:c r="N72" s="38" t="n">
        <x:v>0.0276657171</x:v>
      </x:c>
      <x:c r="O72" s="38" t="n">
        <x:v>-0.0419103875</x:v>
      </x:c>
      <x:c r="P72" s="38" t="n">
        <x:v>-0.0278115774</x:v>
      </x:c>
      <x:c r="Q72" s="38" t="n">
        <x:v>-0.0405274305</x:v>
      </x:c>
      <x:c r="R72" s="38" t="n">
        <x:v>-0.0243171704</x:v>
      </x:c>
      <x:c r="S72" s="38" t="n">
        <x:v>0.0138702127</x:v>
      </x:c>
    </x:row>
    <x:row r="73" ht="19" customHeight="1">
      <x:c r="A73" s="39" t="d">
        <x:v>2025-09-08T00:00:00.000Z</x:v>
      </x:c>
      <x:c r="B73" s="38" t="n">
        <x:v>0.0228380914</x:v>
      </x:c>
      <x:c r="C73" s="38" t="n">
        <x:v>-0.0040355581</x:v>
      </x:c>
      <x:c r="D73" s="38" t="n">
        <x:v>0.0036387288</x:v>
      </x:c>
      <x:c r="E73" s="38" t="n">
        <x:v>0.0034423078</x:v>
      </x:c>
      <x:c r="F73" s="38" t="n">
        <x:v>0.0198373301</x:v>
      </x:c>
      <x:c r="G73" s="38" t="n">
        <x:v>-0.0023141424</x:v>
      </x:c>
      <x:c r="H73" s="38" t="n">
        <x:v>0.0300347223</x:v>
      </x:c>
      <x:c r="I73" s="38" t="n">
        <x:v>0.0458205398</x:v>
      </x:c>
      <x:c r="J73" s="38" t="n">
        <x:v>0.0293645028</x:v>
      </x:c>
      <x:c r="K73" s="38" t="n">
        <x:v>-0.0425631142</x:v>
      </x:c>
      <x:c r="L73" s="38" t="n">
        <x:v>0.0351089651</x:v>
      </x:c>
      <x:c r="M73" s="38" t="n">
        <x:v>0.0093973662</x:v>
      </x:c>
      <x:c r="N73" s="38" t="n">
        <x:v>0.0040640005</x:v>
      </x:c>
      <x:c r="O73" s="38" t="n">
        <x:v>-0.018226078</x:v>
      </x:c>
      <x:c r="P73" s="38" t="n">
        <x:v>0.0038231147</x:v>
      </x:c>
      <x:c r="Q73" s="38" t="n">
        <x:v>0.0141017399</x:v>
      </x:c>
      <x:c r="R73" s="38" t="n">
        <x:v>-0.0161230338</x:v>
      </x:c>
      <x:c r="S73" s="38" t="n">
        <x:v>-0.0167669973</x:v>
      </x:c>
    </x:row>
    <x:row r="74" ht="19" customHeight="1">
      <x:c r="A74" s="39" t="d">
        <x:v>2025-10-06T00:00:00.000Z</x:v>
      </x:c>
      <x:c r="B74" s="38" t="n">
        <x:v>-0.0119108888</x:v>
      </x:c>
      <x:c r="C74" s="38" t="n">
        <x:v>-0.0148339457</x:v>
      </x:c>
      <x:c r="D74" s="38" t="n">
        <x:v>-0.0144153299</x:v>
      </x:c>
      <x:c r="E74" s="38" t="n">
        <x:v>-0.014243116</x:v>
      </x:c>
      <x:c r="F74" s="38" t="n">
        <x:v>-0.0155557543</x:v>
      </x:c>
      <x:c r="G74" s="38" t="n">
        <x:v>-0.0143618833</x:v>
      </x:c>
      <x:c r="H74" s="38" t="n">
        <x:v>-0.0055756367</x:v>
      </x:c>
      <x:c r="I74" s="38" t="n">
        <x:v>-0.0441020297</x:v>
      </x:c>
      <x:c r="J74" s="38" t="n">
        <x:v>-0.0435321471</x:v>
      </x:c>
      <x:c r="K74" s="38" t="n">
        <x:v>-0.0289036354</x:v>
      </x:c>
      <x:c r="L74" s="38" t="n">
        <x:v>-0.0636098522</x:v>
      </x:c>
      <x:c r="M74" s="38" t="n">
        <x:v>-0.036602666</x:v>
      </x:c>
      <x:c r="N74" s="38" t="n">
        <x:v>0.0478294754</x:v>
      </x:c>
      <x:c r="O74" s="38" t="n">
        <x:v>-0.0077183902</x:v>
      </x:c>
      <x:c r="P74" s="38" t="n">
        <x:v>-0.0644875455</x:v>
      </x:c>
      <x:c r="Q74" s="38" t="n">
        <x:v>-0.0367252087</x:v>
      </x:c>
      <x:c r="R74" s="38" t="n">
        <x:v>0.0494359073</x:v>
      </x:c>
      <x:c r="S74" s="38" t="n">
        <x:v>0.0850085985</x:v>
      </x:c>
    </x:row>
    <x:row r="75" ht="19" customHeight="1">
      <x:c r="A75" s="39" t="d">
        <x:v>2025-11-03T00:00:00.000Z</x:v>
      </x:c>
      <x:c r="B75" s="38" t="n">
        <x:v>0.011174721</x:v>
      </x:c>
      <x:c r="C75" s="38" t="n">
        <x:v>-0.0035432423</x:v>
      </x:c>
      <x:c r="D75" s="38" t="n">
        <x:v>-0.0072355429</x:v>
      </x:c>
      <x:c r="E75" s="38" t="n">
        <x:v>-0.0060041275</x:v>
      </x:c>
      <x:c r="F75" s="38" t="n">
        <x:v>-0.0097495645</x:v>
      </x:c>
      <x:c r="G75" s="38" t="n">
        <x:v>-0.0116789161</x:v>
      </x:c>
      <x:c r="H75" s="38" t="n">
        <x:v>0.0390020995</x:v>
      </x:c>
      <x:c r="I75" s="38" t="n">
        <x:v>-0.0430645936</x:v>
      </x:c>
      <x:c r="J75" s="38" t="n">
        <x:v>0.0054756313</x:v>
      </x:c>
      <x:c r="K75" s="38" t="n">
        <x:v>-0.0427374905</x:v>
      </x:c>
      <x:c r="L75" s="38" t="n">
        <x:v>0.0591207584</x:v>
      </x:c>
      <x:c r="M75" s="38" t="n">
        <x:v>-0.0160557563</x:v>
      </x:c>
      <x:c r="N75" s="38" t="n">
        <x:v>0.0208412337</x:v>
      </x:c>
      <x:c r="O75" s="38" t="n">
        <x:v>-0.0040537868</x:v>
      </x:c>
      <x:c r="P75" s="38" t="n">
        <x:v>-0.0455621475</x:v>
      </x:c>
      <x:c r="Q75" s="38" t="n">
        <x:v>-0.0067162681</x:v>
      </x:c>
      <x:c r="R75" s="38" t="n">
        <x:v>-0.0065936657</x:v>
      </x:c>
      <x:c r="S75" s="38" t="n">
        <x:v>-0.0265898661</x:v>
      </x:c>
    </x:row>
    <x:row r="76" ht="19" customHeight="1">
      <x:c r="A76" s="39" t="d">
        <x:v>2025-12-01T00:00:00.000Z</x:v>
      </x:c>
      <x:c r="B76" s="38" t="n">
        <x:v>0.0220910283</x:v>
      </x:c>
      <x:c r="C76" s="38" t="n">
        <x:v>0.006294544</x:v>
      </x:c>
      <x:c r="D76" s="38" t="n">
        <x:v>0.0095880209</x:v>
      </x:c>
      <x:c r="E76" s="38" t="n">
        <x:v>0.0094833138</x:v>
      </x:c>
      <x:c r="F76" s="38" t="n">
        <x:v>0.0362403064</x:v>
      </x:c>
      <x:c r="G76" s="38" t="n">
        <x:v>0.0059343934</x:v>
      </x:c>
      <x:c r="H76" s="38" t="n">
        <x:v>0.0316563596</x:v>
      </x:c>
      <x:c r="I76" s="38" t="n">
        <x:v>0.0364613358</x:v>
      </x:c>
      <x:c r="J76" s="38" t="n">
        <x:v>-0.0078036165</x:v>
      </x:c>
      <x:c r="K76" s="38" t="n">
        <x:v>0.0189715802</x:v>
      </x:c>
      <x:c r="L76" s="38" t="n">
        <x:v>0.0235941759</x:v>
      </x:c>
      <x:c r="M76" s="38" t="n">
        <x:v>-0.0025054996</x:v>
      </x:c>
      <x:c r="N76" s="38" t="n">
        <x:v>0.0533500731</x:v>
      </x:c>
      <x:c r="O76" s="38" t="n">
        <x:v>-0.0183510161</x:v>
      </x:c>
      <x:c r="P76" s="38" t="n">
        <x:v>0.0167652938</x:v>
      </x:c>
      <x:c r="Q76" s="38" t="n">
        <x:v>-0.0312646218</x:v>
      </x:c>
      <x:c r="R76" s="38" t="n">
        <x:v>-0.0201946106</x:v>
      </x:c>
      <x:c r="S76" s="38" t="n">
        <x:v>-0.0666045315</x:v>
      </x:c>
    </x:row>
    <x:row r="77" ht="19" customHeight="1">
      <x:c r="A77" s="39" t="d">
        <x:v>2025-12-29T00:00:00.000Z</x:v>
      </x:c>
      <x:c r="B77" s="38" t="n">
        <x:v>0.0221121614</x:v>
      </x:c>
      <x:c r="C77" s="38" t="n">
        <x:v>0.011238234</x:v>
      </x:c>
      <x:c r="D77" s="38" t="n">
        <x:v>0.0095564152</x:v>
      </x:c>
      <x:c r="E77" s="38" t="n">
        <x:v>0.0107219787</x:v>
      </x:c>
      <x:c r="F77" s="38" t="n">
        <x:v>0.0105975009</x:v>
      </x:c>
      <x:c r="G77" s="38" t="n">
        <x:v>0.0329757861</x:v>
      </x:c>
      <x:c r="H77" s="38" t="n">
        <x:v>-0.0010820497</x:v>
      </x:c>
      <x:c r="I77" s="38" t="n">
        <x:v>0.0047543079</x:v>
      </x:c>
      <x:c r="J77" s="38" t="n">
        <x:v>-0.0055770192</x:v>
      </x:c>
      <x:c r="K77" s="38" t="n">
        <x:v>-0.0034417126</x:v>
      </x:c>
      <x:c r="L77" s="38" t="n">
        <x:v>-0.0158096318</x:v>
      </x:c>
      <x:c r="M77" s="38" t="n">
        <x:v>0.0382590757</x:v>
      </x:c>
      <x:c r="N77" s="38" t="n">
        <x:v>0.0266758545</x:v>
      </x:c>
      <x:c r="O77" s="38" t="n">
        <x:v>0.0355717942</x:v>
      </x:c>
      <x:c r="P77" s="38" t="n">
        <x:v>0.076342215</x:v>
      </x:c>
      <x:c r="Q77" s="38" t="n">
        <x:v>-0.0002808698</x:v>
      </x:c>
      <x:c r="R77" s="38" t="n">
        <x:v>-0.0188771124</x:v>
      </x:c>
      <x:c r="S77" s="38" t="n">
        <x:v>0.0047221049</x:v>
      </x:c>
    </x:row>
    <x:row r="78" ht="19" customHeight="1">
      <x:c r="A78" s="39" t="d">
        <x:v>2026-01-26T00:00:00.000Z</x:v>
      </x:c>
      <x:c r="B78" s="38" t="n">
        <x:v>0.0372953986</x:v>
      </x:c>
      <x:c r="C78" s="38" t="n">
        <x:v>0.0183242146</x:v>
      </x:c>
      <x:c r="D78" s="38" t="n">
        <x:v>0.0170001845</x:v>
      </x:c>
      <x:c r="E78" s="38" t="n">
        <x:v>0.0157486159</x:v>
      </x:c>
      <x:c r="F78" s="38" t="n">
        <x:v>0.0589010183</x:v>
      </x:c>
      <x:c r="G78" s="38" t="n">
        <x:v>-0.0020556954</x:v>
      </x:c>
      <x:c r="H78" s="38" t="n">
        <x:v>0.0192042527</x:v>
      </x:c>
      <x:c r="I78" s="38" t="n">
        <x:v>0.0243655012</x:v>
      </x:c>
      <x:c r="J78" s="38" t="n">
        <x:v>0.0200932874</x:v>
      </x:c>
      <x:c r="K78" s="38" t="n">
        <x:v>0.0995030391</x:v>
      </x:c>
      <x:c r="L78" s="38" t="n">
        <x:v>0.151976965</x:v>
      </x:c>
      <x:c r="M78" s="38" t="n">
        <x:v>-0.0584629328</x:v>
      </x:c>
      <x:c r="N78" s="38" t="n">
        <x:v>-0.0178346832</x:v>
      </x:c>
      <x:c r="O78" s="38" t="n">
        <x:v>0.0498840656</x:v>
      </x:c>
      <x:c r="P78" s="38" t="n">
        <x:v>0.0858104407</x:v>
      </x:c>
      <x:c r="Q78" s="38" t="n">
        <x:v>0.0275116936</x:v>
      </x:c>
      <x:c r="R78" s="38" t="n">
        <x:v>-0.0316943724</x:v>
      </x:c>
      <x:c r="S78" s="38" t="n">
        <x:v>-0.0079930491</x:v>
      </x:c>
    </x:row>
    <x:row r="79" ht="19" customHeight="1">
      <x:c r="A79" s="39" t="d">
        <x:v>2026-02-23T00:00:00.000Z</x:v>
      </x:c>
      <x:c r="B79" s="38" t="n">
        <x:v>0.0202956573</x:v>
      </x:c>
      <x:c r="C79" s="38" t="n">
        <x:v>0.0066067325</x:v>
      </x:c>
      <x:c r="D79" s="38" t="n">
        <x:v>-0.005424106</x:v>
      </x:c>
      <x:c r="E79" s="38" t="n">
        <x:v>-0.0046832528</x:v>
      </x:c>
      <x:c r="F79" s="38" t="n">
        <x:v>0.0311901712</x:v>
      </x:c>
      <x:c r="G79" s="38" t="n">
        <x:v>0.001251273</x:v>
      </x:c>
      <x:c r="H79" s="38" t="n">
        <x:v>-0.0132083008</x:v>
      </x:c>
      <x:c r="I79" s="38" t="n">
        <x:v>-0.0118358331</x:v>
      </x:c>
      <x:c r="J79" s="38" t="n">
        <x:v>-0.0321926622</x:v>
      </x:c>
      <x:c r="K79" s="38" t="n">
        <x:v>0.1183014556</x:v>
      </x:c>
      <x:c r="L79" s="38" t="n">
        <x:v>0.1167027698</x:v>
      </x:c>
      <x:c r="M79" s="38" t="n">
        <x:v>-0.0495901629</x:v>
      </x:c>
      <x:c r="N79" s="38" t="n">
        <x:v>0.0571046265</x:v>
      </x:c>
      <x:c r="O79" s="38" t="n">
        <x:v>0.1128738155</x:v>
      </x:c>
      <x:c r="P79" s="38" t="n">
        <x:v>0.1341453886</x:v>
      </x:c>
      <x:c r="Q79" s="38" t="n">
        <x:v>0.1019205132</x:v>
      </x:c>
      <x:c r="R79" s="38" t="n">
        <x:v>-0.035172213</x:v>
      </x:c>
      <x:c r="S79" s="38" t="n">
        <x:v>0.1526808993</x:v>
      </x:c>
    </x:row>
    <x:row r="80" ht="19" customHeight="1">
      <x:c r="A80" s="39" t="d">
        <x:v>2026-03-23T00:00:00.000Z</x:v>
      </x:c>
      <x:c r="B80" s="38" t="n">
        <x:v>-0.0775449863</x:v>
      </x:c>
      <x:c r="C80" s="38" t="n">
        <x:v>-0.0339320071</x:v>
      </x:c>
      <x:c r="D80" s="38" t="n">
        <x:v>-0.0405612991</x:v>
      </x:c>
      <x:c r="E80" s="38" t="n">
        <x:v>-0.0358792645</x:v>
      </x:c>
      <x:c r="F80" s="38" t="n">
        <x:v>-0.0485309254</x:v>
      </x:c>
      <x:c r="G80" s="38" t="n">
        <x:v>-0.0025391235</x:v>
      </x:c>
      <x:c r="H80" s="38" t="n">
        <x:v>-0.1172105284</x:v>
      </x:c>
      <x:c r="I80" s="38" t="n">
        <x:v>-0.035765357</x:v>
      </x:c>
      <x:c r="J80" s="38" t="n">
        <x:v>-0.006732414</x:v>
      </x:c>
      <x:c r="K80" s="38" t="n">
        <x:v>-0.0929632836</x:v>
      </x:c>
      <x:c r="L80" s="38" t="n">
        <x:v>0.1414445631</x:v>
      </x:c>
      <x:c r="M80" s="38" t="n">
        <x:v>-0.0127129943</x:v>
      </x:c>
      <x:c r="N80" s="38" t="n">
        <x:v>-0.1145832374</x:v>
      </x:c>
      <x:c r="O80" s="38" t="n">
        <x:v>-0.0609757976</x:v>
      </x:c>
      <x:c r="P80" s="38" t="n">
        <x:v>-0.0384074099</x:v>
      </x:c>
      <x:c r="Q80" s="38" t="n">
        <x:v>-0.02860967</x:v>
      </x:c>
      <x:c r="R80" s="38" t="n">
        <x:v>0.0720231032</x:v>
      </x:c>
      <x:c r="S80" s="38" t="n">
        <x:v>-0.0152680964</x:v>
      </x:c>
    </x:row>
    <x:row r="81" ht="19" customHeight="1">
      <x:c r="A81" s="39" t="d">
        <x:v>2026-04-20T00:00:00.000Z</x:v>
      </x:c>
      <x:c r="B81" s="38" t="n">
        <x:v>0.0655298189</x:v>
      </x:c>
      <x:c r="C81" s="38" t="n">
        <x:v>0.0202383175</x:v>
      </x:c>
      <x:c r="D81" s="38" t="n">
        <x:v>0.0286133945</x:v>
      </x:c>
      <x:c r="E81" s="38" t="n">
        <x:v>0.0238588656</x:v>
      </x:c>
      <x:c r="F81" s="38" t="n">
        <x:v>0.0558128236</x:v>
      </x:c>
      <x:c r="G81" s="38" t="n">
        <x:v>0.0085674949</x:v>
      </x:c>
      <x:c r="H81" s="38" t="n">
        <x:v>0.185654552</x:v>
      </x:c>
      <x:c r="I81" s="38" t="n">
        <x:v>-0.0504376426</x:v>
      </x:c>
      <x:c r="J81" s="38" t="n">
        <x:v>-0.0294872337</x:v>
      </x:c>
      <x:c r="K81" s="38" t="n">
        <x:v>-0.0487983997</x:v>
      </x:c>
      <x:c r="L81" s="38" t="n">
        <x:v>-0.1333114422</x:v>
      </x:c>
      <x:c r="M81" s="38" t="n">
        <x:v>-0.0365273166</x:v>
      </x:c>
      <x:c r="N81" s="38" t="n">
        <x:v>-0.0759705646</x:v>
      </x:c>
      <x:c r="O81" s="38" t="n">
        <x:v>-0.039033174</x:v>
      </x:c>
      <x:c r="P81" s="38" t="n">
        <x:v>-0.0466265713</x:v>
      </x:c>
      <x:c r="Q81" s="38" t="n">
        <x:v>-0.0063295155</x:v>
      </x:c>
      <x:c r="R81" s="38" t="n">
        <x:v>0.0579653466</x:v>
      </x:c>
      <x:c r="S81" s="38" t="n">
        <x:v>-0.0576493356</x:v>
      </x:c>
    </x:row>
    <x:row r="82" ht="19" customHeight="1">
      <x:c r="A82" s="39" t="d">
        <x:v>2026-05-18T00:00:00.000Z</x:v>
      </x:c>
      <x:c r="B82" s="38" t="n">
        <x:v>0.00466015</x:v>
      </x:c>
      <x:c r="C82" s="38" t="n">
        <x:v>-0.0053423713</x:v>
      </x:c>
      <x:c r="D82" s="38" t="n">
        <x:v>-0.0159574597</x:v>
      </x:c>
      <x:c r="E82" s="38" t="n">
        <x:v>-0.015742682</x:v>
      </x:c>
      <x:c r="F82" s="38" t="n">
        <x:v>0.0002220564</x:v>
      </x:c>
      <x:c r="G82" s="38" t="n">
        <x:v>-0.0108688803</x:v>
      </x:c>
      <x:c r="H82" s="38" t="n">
        <x:v>0.0689674292</x:v>
      </x:c>
      <x:c r="I82" s="38" t="n">
        <x:v>-0.0630885147</x:v>
      </x:c>
      <x:c r="J82" s="38" t="n">
        <x:v>-0.0672896001</x:v>
      </x:c>
      <x:c r="K82" s="38" t="n">
        <x:v>0.0006211752</x:v>
      </x:c>
      <x:c r="L82" s="38" t="n">
        <x:v>0.0652105919</x:v>
      </x:c>
      <x:c r="M82" s="38" t="n">
        <x:v>-0.0410693711</x:v>
      </x:c>
      <x:c r="N82" s="38" t="n">
        <x:v>0.0286673611</x:v>
      </x:c>
      <x:c r="O82" s="38" t="n">
        <x:v>-0.0691552033</x:v>
      </x:c>
      <x:c r="P82" s="38" t="n">
        <x:v>-0.1018650669</x:v>
      </x:c>
      <x:c r="Q82" s="38" t="n">
        <x:v>-0.0260588199</x:v>
      </x:c>
      <x:c r="R82" s="38" t="n">
        <x:v>0.0883128428</x:v>
      </x:c>
      <x:c r="S82" s="38" t="n">
        <x:v>-0.0593517893</x:v>
      </x:c>
    </x:row>
    <x:row r="83" ht="19" customHeight="1">
      <x:c r="A83" s="39" t="d">
        <x:v>2026-06-15T00:00:00.000Z</x:v>
      </x:c>
      <x:c r="B83" s="38" t="n">
        <x:v>-0.0015334979</x:v>
      </x:c>
      <x:c r="C83" s="38" t="n">
        <x:v>-0.0149004578</x:v>
      </x:c>
      <x:c r="D83" s="38" t="n">
        <x:v>-0.019139231</x:v>
      </x:c>
      <x:c r="E83" s="38" t="n">
        <x:v>-0.0180289853</x:v>
      </x:c>
      <x:c r="F83" s="38" t="n">
        <x:v>-0.0286741991</x:v>
      </x:c>
      <x:c r="G83" s="38" t="n">
        <x:v>-0.0292438736</x:v>
      </x:c>
      <x:c r="H83" s="38" t="n">
        <x:v>0.0065158546</x:v>
      </x:c>
      <x:c r="I83" s="38" t="n">
        <x:v>-0.0902225455</x:v>
      </x:c>
      <x:c r="J83" s="38" t="n">
        <x:v>-0.027823259</x:v>
      </x:c>
      <x:c r="K83" s="38" t="n">
        <x:v>-0.0324844111</x:v>
      </x:c>
      <x:c r="L83" s="38" t="n">
        <x:v>-0.1809582499</x:v>
      </x:c>
      <x:c r="M83" s="38" t="n">
        <x:v>0.0427088421</x:v>
      </x:c>
      <x:c r="N83" s="38" t="n">
        <x:v>-0.009895702</x:v>
      </x:c>
      <x:c r="O83" s="38" t="n">
        <x:v>0.0751766319</x:v>
      </x:c>
      <x:c r="P83" s="38" t="n">
        <x:v>0.0442844056</x:v>
      </x:c>
      <x:c r="Q83" s="38" t="n">
        <x:v>-0.0259747681</x:v>
      </x:c>
      <x:c r="R83" s="38" t="n">
        <x:v>0.0869129591</x:v>
      </x:c>
      <x:c r="S83" s="38" t="n">
        <x:v>-0.0263729722</x:v>
      </x:c>
    </x:row>
    <x:row r="84" ht="19" customHeight="1">
      <x:c r="A84" s="39" t="d">
        <x:v>2026-07-13T00:00:00.000Z</x:v>
      </x:c>
      <x:c r="B84" s="38" t="n">
        <x:v>-0.0187179865</x:v>
      </x:c>
      <x:c r="C84" s="38" t="n">
        <x:v>0.000885019</x:v>
      </x:c>
      <x:c r="D84" s="38" t="n">
        <x:v>-0.0048794744</x:v>
      </x:c>
      <x:c r="E84" s="38" t="n">
        <x:v>-0.0054269803</x:v>
      </x:c>
      <x:c r="F84" s="38" t="n">
        <x:v>-0.0081707824</x:v>
      </x:c>
      <x:c r="G84" s="38" t="n">
        <x:v>-0.0193054903</x:v>
      </x:c>
      <x:c r="H84" s="38" t="n">
        <x:v>-0.0075616593</x:v>
      </x:c>
      <x:c r="I84" s="38" t="n">
        <x:v>0.0309291065</x:v>
      </x:c>
      <x:c r="J84" s="38" t="n">
        <x:v>-0.0046255156</x:v>
      </x:c>
      <x:c r="K84" s="38" t="n">
        <x:v>0.0498777804</x:v>
      </x:c>
      <x:c r="L84" s="38" t="n">
        <x:v>0.1054770827</x:v>
      </x:c>
      <x:c r="M84" s="38" t="n">
        <x:v>0.0899431738</x:v>
      </x:c>
      <x:c r="N84" s="38" t="n">
        <x:v>0.1319725593</x:v>
      </x:c>
      <x:c r="O84" s="38" t="n">
        <x:v>-0.0056126864</x:v>
      </x:c>
      <x:c r="P84" s="38" t="n">
        <x:v>-0.0276893035</x:v>
      </x:c>
      <x:c r="Q84" s="38" t="n">
        <x:v>0.0825107859</x:v>
      </x:c>
      <x:c r="R84" s="38" t="n">
        <x:v>-0.1274451096</x:v>
      </x:c>
      <x:c r="S84" s="38" t="n">
        <x:v>0.0256902226</x:v>
      </x:c>
    </x:row>
    <x:row r="85" ht="19" customHeight="1">
      <x:c r="A85" s="39" t="d">
        <x:v>2026-08-10T00:00:00.000Z</x:v>
      </x:c>
      <x:c r="B85" s="38" t="n">
        <x:v>0.0500143813</x:v>
      </x:c>
      <x:c r="C85" s="38" t="n">
        <x:v>0.0154644223</x:v>
      </x:c>
      <x:c r="D85" s="38" t="n">
        <x:v>0.0192174074</x:v>
      </x:c>
      <x:c r="E85" s="38" t="n">
        <x:v>0.018290998</x:v>
      </x:c>
      <x:c r="F85" s="38" t="n">
        <x:v>0.0207577563</x:v>
      </x:c>
      <x:c r="G85" s="38" t="n">
        <x:v>0.025362448</x:v>
      </x:c>
      <x:c r="H85" s="38" t="n">
        <x:v>0.0720471223</x:v>
      </x:c>
      <x:c r="I85" s="38" t="n">
        <x:v>-0.0307698375</x:v>
      </x:c>
      <x:c r="J85" s="38" t="n">
        <x:v>-0.0383272047</x:v>
      </x:c>
      <x:c r="K85" s="38" t="n">
        <x:v>-0.0128886845</x:v>
      </x:c>
      <x:c r="L85" s="38" t="n">
        <x:v>0.111499343</x:v>
      </x:c>
      <x:c r="M85" s="38" t="n">
        <x:v>-0.004503181</x:v>
      </x:c>
      <x:c r="N85" s="38" t="n">
        <x:v>0.0289462483</x:v>
      </x:c>
      <x:c r="O85" s="38" t="n">
        <x:v>-0.0011071486</x:v>
      </x:c>
      <x:c r="P85" s="38" t="n">
        <x:v>0.0110269204</x:v>
      </x:c>
      <x:c r="Q85" s="38" t="n">
        <x:v>-0.0603137857</x:v>
      </x:c>
      <x:c r="R85" s="38" t="n">
        <x:v>0.0262910176</x:v>
      </x:c>
      <x:c r="S85" s="38" t="n">
        <x:v>-0.0636403026</x:v>
      </x:c>
    </x:row>
  </x:sheetData>
  <x:pageMargins left="0.7" right="0.7" top="0.75" bottom="0.75" header="0.3" footer="0.3"/>
</x:worksheet>
</file>

<file path=xl/worksheets/sheet15.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s>
  <x:sheetData>
    <x:row r="1" ht="19" customHeight="1">
      <x:c r="A1" s="23"/>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c r="AQ1" s="23"/>
      <x:c r="AR1" s="23"/>
    </x:row>
    <x:row r="2" ht="19" customHeight="1">
      <x:c r="A2" s="34" t="str">
        <x:v>Weighted stock returns</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c r="AA2" s="23"/>
      <x:c r="AB2" s="23"/>
      <x:c r="AC2" s="23"/>
      <x:c r="AD2" s="23"/>
      <x:c r="AE2" s="23"/>
      <x:c r="AF2" s="23"/>
      <x:c r="AG2" s="23"/>
      <x:c r="AH2" s="23"/>
      <x:c r="AI2" s="23"/>
      <x:c r="AJ2" s="23"/>
      <x:c r="AK2" s="23"/>
      <x:c r="AL2" s="23"/>
      <x:c r="AM2" s="23"/>
      <x:c r="AN2" s="23"/>
      <x:c r="AO2" s="23"/>
      <x:c r="AP2" s="23"/>
      <x:c r="AQ2" s="23"/>
      <x:c r="AR2" s="23"/>
    </x:row>
    <x:row r="3" ht="19" customHeight="1">
      <x:c r="A3" s="27"/>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19"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row>
    <x:row r="5" ht="42" customHeight="1">
      <x:c r="A5" s="35" t="str">
        <x:v>date</x:v>
      </x:c>
      <x:c r="B5" s="35" t="str">
        <x:v>VST</x:v>
      </x:c>
      <x:c r="C5" s="35" t="str">
        <x:v>VIST</x:v>
      </x:c>
      <x:c r="D5" s="35" t="str">
        <x:v>AEP</x:v>
      </x:c>
      <x:c r="E5" s="35" t="str">
        <x:v>ETR</x:v>
      </x:c>
      <x:c r="F5" s="35" t="str">
        <x:v>DIS</x:v>
      </x:c>
      <x:c r="G5" s="35" t="str">
        <x:v>CMG</x:v>
      </x:c>
      <x:c r="H5" s="35" t="str">
        <x:v>AMZN</x:v>
      </x:c>
      <x:c r="I5" s="35" t="str">
        <x:v>FIX</x:v>
      </x:c>
      <x:c r="J5" s="35" t="str">
        <x:v>STX</x:v>
      </x:c>
      <x:c r="K5" s="35" t="str">
        <x:v>VLO</x:v>
      </x:c>
      <x:c r="L5" s="35" t="str">
        <x:v>CF</x:v>
      </x:c>
      <x:c r="M5" s="35" t="str">
        <x:v>NTR</x:v>
      </x:c>
      <x:c r="N5" s="35" t="str">
        <x:v>LNN</x:v>
      </x:c>
      <x:c r="O5" s="35" t="str">
        <x:v>WDC</x:v>
      </x:c>
      <x:c r="P5" s="35" t="str">
        <x:v>ASND</x:v>
      </x:c>
      <x:c r="Q5" s="35" t="str">
        <x:v>DOCN</x:v>
      </x:c>
      <x:c r="R5" s="35" t="str">
        <x:v>CME</x:v>
      </x:c>
      <x:c r="S5" s="35" t="str">
        <x:v>NET</x:v>
      </x:c>
      <x:c r="T5" s="35" t="str">
        <x:v>MRNA</x:v>
      </x:c>
      <x:c r="U5" s="35" t="str">
        <x:v>AXON</x:v>
      </x:c>
      <x:c r="V5" s="35" t="str">
        <x:v>NFLX</x:v>
      </x:c>
      <x:c r="W5" s="35" t="str">
        <x:v>CMCSA</x:v>
      </x:c>
      <x:c r="X5" s="35" t="str">
        <x:v>MU</x:v>
      </x:c>
      <x:c r="Y5" s="35" t="str">
        <x:v>NEM</x:v>
      </x:c>
      <x:c r="Z5" s="35" t="str">
        <x:v>PGR</x:v>
      </x:c>
      <x:c r="AA5" s="35" t="str">
        <x:v>ORKA</x:v>
      </x:c>
      <x:c r="AB5" s="35" t="str">
        <x:v>UPST</x:v>
      </x:c>
      <x:c r="AC5" s="35" t="str">
        <x:v>PG</x:v>
      </x:c>
      <x:c r="AD5" s="35" t="str">
        <x:v>F</x:v>
      </x:c>
      <x:c r="AE5" s="35" t="str">
        <x:v>HPE</x:v>
      </x:c>
      <x:c r="AF5" s="35" t="str">
        <x:v>BA</x:v>
      </x:c>
      <x:c r="AG5" s="35" t="str">
        <x:v>HII</x:v>
      </x:c>
      <x:c r="AH5" s="35" t="str">
        <x:v>AMD</x:v>
      </x:c>
      <x:c r="AI5" s="35" t="str">
        <x:v>LLY</x:v>
      </x:c>
      <x:c r="AJ5" s="35" t="str">
        <x:v>WELL</x:v>
      </x:c>
      <x:c r="AK5" s="35" t="str">
        <x:v>NOK</x:v>
      </x:c>
      <x:c r="AL5" s="35" t="str">
        <x:v>MSFT</x:v>
      </x:c>
      <x:c r="AM5" s="35" t="str">
        <x:v>GOOGL</x:v>
      </x:c>
      <x:c r="AN5" s="35" t="str">
        <x:v>COST</x:v>
      </x:c>
      <x:c r="AO5" s="35" t="str">
        <x:v>HD</x:v>
      </x:c>
      <x:c r="AP5" s="35" t="str">
        <x:v>KO</x:v>
      </x:c>
      <x:c r="AQ5" s="35" t="str">
        <x:v>JNJ</x:v>
      </x:c>
      <x:c r="AR5" s="35" t="str">
        <x:v>BRK-B</x:v>
      </x:c>
    </x:row>
    <x:row r="6" ht="19" customHeight="1">
      <x:c r="A6" s="39" t="d">
        <x:v>2020-07-20T00:00:00.000Z</x:v>
      </x:c>
      <x:c r="B6" s="38" t="n">
        <x:v>0.0220390063</x:v>
      </x:c>
      <x:c r="C6" s="38" t="n">
        <x:v>0.0913738586</x:v>
      </x:c>
      <x:c r="D6" s="38" t="n">
        <x:v>0.065894395</x:v>
      </x:c>
      <x:c r="E6" s="38" t="n">
        <x:v>0.0616212415</x:v>
      </x:c>
      <x:c r="F6" s="38" t="n">
        <x:v>0.0408369218</x:v>
      </x:c>
      <x:c r="G6" s="38" t="n">
        <x:v>0.0488435173</x:v>
      </x:c>
      <x:c r="H6" s="38" t="n">
        <x:v>0.060334672</x:v>
      </x:c>
      <x:c r="I6" s="38" t="n">
        <x:v>0.0400888818</x:v>
      </x:c>
      <x:c r="J6" s="38" t="n">
        <x:v>0.012246831</x:v>
      </x:c>
      <x:c r="K6" s="38" t="n">
        <x:v>0.0157935009</x:v>
      </x:c>
      <x:c r="L6" s="38" t="n">
        <x:v>0.0587088521</x:v>
      </x:c>
      <x:c r="M6" s="38" t="n">
        <x:v>0.0003337584</x:v>
      </x:c>
      <x:c r="N6" s="38" t="n">
        <x:v>0.0942125819</x:v>
      </x:c>
      <x:c r="O6" s="38" t="n">
        <x:v>0.0257220611</x:v>
      </x:c>
      <x:c r="P6" s="38" t="n">
        <x:v>-0.0383983713</x:v>
      </x:c>
      <x:c r="Q6" s="38"/>
      <x:c r="R6" s="38" t="n">
        <x:v>0.0206868203</x:v>
      </x:c>
      <x:c r="S6" s="38" t="n">
        <x:v>0.0028997815</x:v>
      </x:c>
      <x:c r="T6" s="38" t="n">
        <x:v>0.0967126786</x:v>
      </x:c>
      <x:c r="U6" s="38" t="n">
        <x:v>-0.0625549678</x:v>
      </x:c>
      <x:c r="V6" s="38" t="n">
        <x:v>0.043632435</x:v>
      </x:c>
      <x:c r="W6" s="38" t="n">
        <x:v>0.0656159276</x:v>
      </x:c>
      <x:c r="X6" s="38" t="n">
        <x:v>0.0168902307</x:v>
      </x:c>
      <x:c r="Y6" s="38" t="n">
        <x:v>0.0639776961</x:v>
      </x:c>
      <x:c r="Z6" s="38" t="n">
        <x:v>0.0661737627</x:v>
      </x:c>
      <x:c r="AA6" s="38" t="n">
        <x:v>0.0047416266</x:v>
      </x:c>
      <x:c r="AB6" s="38"/>
      <x:c r="AC6" s="38" t="n">
        <x:v>0.0518281507</x:v>
      </x:c>
      <x:c r="AD6" s="38" t="n">
        <x:v>0.0826279046</x:v>
      </x:c>
      <x:c r="AE6" s="38" t="n">
        <x:v>0.0068247691</x:v>
      </x:c>
      <x:c r="AF6" s="38" t="n">
        <x:v>0.0118623428</x:v>
      </x:c>
      <x:c r="AG6" s="38" t="n">
        <x:v>0.0190614606</x:v>
      </x:c>
      <x:c r="AH6" s="38" t="n">
        <x:v>0.1771735437</x:v>
      </x:c>
      <x:c r="AI6" s="38" t="n">
        <x:v>-0.0110980307</x:v>
      </x:c>
      <x:c r="AJ6" s="38" t="n">
        <x:v>0.018060508</x:v>
      </x:c>
      <x:c r="AK6" s="38" t="n">
        <x:v>-0.0050342082</x:v>
      </x:c>
      <x:c r="AL6" s="38" t="n">
        <x:v>0.0135922784</x:v>
      </x:c>
      <x:c r="AM6" s="38" t="n">
        <x:v>0.0552254293</x:v>
      </x:c>
      <x:c r="AN6" s="38" t="n">
        <x:v>0.0510931372</x:v>
      </x:c>
      <x:c r="AO6" s="38" t="n">
        <x:v>0.0522281853</x:v>
      </x:c>
      <x:c r="AP6" s="38" t="n">
        <x:v>0.058169789</x:v>
      </x:c>
      <x:c r="AQ6" s="38" t="n">
        <x:v>0.0392262159</x:v>
      </x:c>
      <x:c r="AR6" s="38" t="n">
        <x:v>0.0563475197</x:v>
      </x:c>
    </x:row>
    <x:row r="7" ht="19" customHeight="1">
      <x:c r="A7" s="39" t="d">
        <x:v>2020-08-17T00:00:00.000Z</x:v>
      </x:c>
      <x:c r="B7" s="38" t="n">
        <x:v>0.0063881766</x:v>
      </x:c>
      <x:c r="C7" s="38" t="n">
        <x:v>-0.1035908235</x:v>
      </x:c>
      <x:c r="D7" s="38" t="n">
        <x:v>-0.054707001</x:v>
      </x:c>
      <x:c r="E7" s="38" t="n">
        <x:v>-0.0198401839</x:v>
      </x:c>
      <x:c r="F7" s="38" t="n">
        <x:v>0.0442634235</x:v>
      </x:c>
      <x:c r="G7" s="38" t="n">
        <x:v>0.056953218</x:v>
      </x:c>
      <x:c r="H7" s="38" t="n">
        <x:v>0.0483615256</x:v>
      </x:c>
      <x:c r="I7" s="38" t="n">
        <x:v>0.1346319383</x:v>
      </x:c>
      <x:c r="J7" s="38" t="n">
        <x:v>-0.0380111286</x:v>
      </x:c>
      <x:c r="K7" s="38" t="n">
        <x:v>-0.0437937152</x:v>
      </x:c>
      <x:c r="L7" s="38" t="n">
        <x:v>0.0361204319</x:v>
      </x:c>
      <x:c r="M7" s="38" t="n">
        <x:v>0.0750045252</x:v>
      </x:c>
      <x:c r="N7" s="38" t="n">
        <x:v>0.0148283943</x:v>
      </x:c>
      <x:c r="O7" s="38" t="n">
        <x:v>-0.1322918813</x:v>
      </x:c>
      <x:c r="P7" s="38" t="n">
        <x:v>0.0104085381</x:v>
      </x:c>
      <x:c r="Q7" s="38"/>
      <x:c r="R7" s="38" t="n">
        <x:v>0.0164500421</x:v>
      </x:c>
      <x:c r="S7" s="38" t="n">
        <x:v>0.047310469</x:v>
      </x:c>
      <x:c r="T7" s="38" t="n">
        <x:v>-0.0534228852</x:v>
      </x:c>
      <x:c r="U7" s="38" t="n">
        <x:v>-0.0197343452</x:v>
      </x:c>
      <x:c r="V7" s="38" t="n">
        <x:v>0.0134466419</x:v>
      </x:c>
      <x:c r="W7" s="38" t="n">
        <x:v>-0.0035730158</x:v>
      </x:c>
      <x:c r="X7" s="38" t="n">
        <x:v>-0.0877648255</x:v>
      </x:c>
      <x:c r="Y7" s="38" t="n">
        <x:v>-0.009834991</x:v>
      </x:c>
      <x:c r="Z7" s="38" t="n">
        <x:v>0.0243095959</x:v>
      </x:c>
      <x:c r="AA7" s="38" t="n">
        <x:v>-0.1178831828</x:v>
      </x:c>
      <x:c r="AB7" s="38"/>
      <x:c r="AC7" s="38" t="n">
        <x:v>0.0480966262</x:v>
      </x:c>
      <x:c r="AD7" s="38" t="n">
        <x:v>-0.0179207832</x:v>
      </x:c>
      <x:c r="AE7" s="38" t="n">
        <x:v>-0.0168786529</x:v>
      </x:c>
      <x:c r="AF7" s="38" t="n">
        <x:v>-0.0202325356</x:v>
      </x:c>
      <x:c r="AG7" s="38" t="n">
        <x:v>-0.0606088716</x:v>
      </x:c>
      <x:c r="AH7" s="38" t="n">
        <x:v>0.1040340046</x:v>
      </x:c>
      <x:c r="AI7" s="38" t="n">
        <x:v>-0.0340459869</x:v>
      </x:c>
      <x:c r="AJ7" s="38" t="n">
        <x:v>0.0542875197</x:v>
      </x:c>
      <x:c r="AK7" s="38" t="n">
        <x:v>0.0798483407</x:v>
      </x:c>
      <x:c r="AL7" s="38" t="n">
        <x:v>0.0325361308</x:v>
      </x:c>
      <x:c r="AM7" s="38" t="n">
        <x:v>0.0240934181</x:v>
      </x:c>
      <x:c r="AN7" s="38" t="n">
        <x:v>0.0321694834</x:v>
      </x:c>
      <x:c r="AO7" s="38" t="n">
        <x:v>0.0360409485</x:v>
      </x:c>
      <x:c r="AP7" s="38" t="n">
        <x:v>-0.0139345064</x:v>
      </x:c>
      <x:c r="AQ7" s="38" t="n">
        <x:v>0.0170088631</x:v>
      </x:c>
      <x:c r="AR7" s="38" t="n">
        <x:v>0.0354336791</x:v>
      </x:c>
    </x:row>
    <x:row r="8" ht="19" customHeight="1">
      <x:c r="A8" s="39" t="d">
        <x:v>2020-09-14T00:00:00.000Z</x:v>
      </x:c>
      <x:c r="B8" s="38" t="n">
        <x:v>-0.0257498283</x:v>
      </x:c>
      <x:c r="C8" s="38" t="n">
        <x:v>-0.1365672096</x:v>
      </x:c>
      <x:c r="D8" s="38" t="n">
        <x:v>-0.0021259424</x:v>
      </x:c>
      <x:c r="E8" s="38" t="n">
        <x:v>-0.015603049</x:v>
      </x:c>
      <x:c r="F8" s="38" t="n">
        <x:v>0.0051979195</x:v>
      </x:c>
      <x:c r="G8" s="38" t="n">
        <x:v>-0.0171092034</x:v>
      </x:c>
      <x:c r="H8" s="38" t="n">
        <x:v>-0.0591760379</x:v>
      </x:c>
      <x:c r="I8" s="38" t="n">
        <x:v>0.0034086916</x:v>
      </x:c>
      <x:c r="J8" s="38" t="n">
        <x:v>0.0475581957</x:v>
      </x:c>
      <x:c r="K8" s="38" t="n">
        <x:v>-0.0431806512</x:v>
      </x:c>
      <x:c r="L8" s="38" t="n">
        <x:v>0.0276395004</x:v>
      </x:c>
      <x:c r="M8" s="38" t="n">
        <x:v>0.0601344162</x:v>
      </x:c>
      <x:c r="N8" s="38" t="n">
        <x:v>-0.0199823524</x:v>
      </x:c>
      <x:c r="O8" s="38" t="n">
        <x:v>0.0552443752</x:v>
      </x:c>
      <x:c r="P8" s="38" t="n">
        <x:v>0.0246954214</x:v>
      </x:c>
      <x:c r="Q8" s="38"/>
      <x:c r="R8" s="38" t="n">
        <x:v>-0.0128365967</x:v>
      </x:c>
      <x:c r="S8" s="38" t="n">
        <x:v>-0.0267832065</x:v>
      </x:c>
      <x:c r="T8" s="38" t="n">
        <x:v>0.0280669042</x:v>
      </x:c>
      <x:c r="U8" s="38" t="n">
        <x:v>-0.0004063168</x:v>
      </x:c>
      <x:c r="V8" s="38" t="n">
        <x:v>-0.0259833372</x:v>
      </x:c>
      <x:c r="W8" s="38" t="n">
        <x:v>0.0277369343</x:v>
      </x:c>
      <x:c r="X8" s="38" t="n">
        <x:v>0.0970034891</x:v>
      </x:c>
      <x:c r="Y8" s="38" t="n">
        <x:v>-0.0052538016</x:v>
      </x:c>
      <x:c r="Z8" s="38" t="n">
        <x:v>0.029884206</x:v>
      </x:c>
      <x:c r="AA8" s="38" t="n">
        <x:v>-0.0415990982</x:v>
      </x:c>
      <x:c r="AB8" s="38"/>
      <x:c r="AC8" s="38" t="n">
        <x:v>-0.0002848656</x:v>
      </x:c>
      <x:c r="AD8" s="38" t="n">
        <x:v>0.0459253507</x:v>
      </x:c>
      <x:c r="AE8" s="38" t="n">
        <x:v>0.0171404607</x:v>
      </x:c>
      <x:c r="AF8" s="38" t="n">
        <x:v>-0.021648463</x:v>
      </x:c>
      <x:c r="AG8" s="38" t="n">
        <x:v>-0.0305939002</x:v>
      </x:c>
      <x:c r="AH8" s="38" t="n">
        <x:v>-0.0626348729</x:v>
      </x:c>
      <x:c r="AI8" s="38" t="n">
        <x:v>0.0181008022</x:v>
      </x:c>
      <x:c r="AJ8" s="38" t="n">
        <x:v>0.0031793305</x:v>
      </x:c>
      <x:c r="AK8" s="38" t="n">
        <x:v>-0.1089838345</x:v>
      </x:c>
      <x:c r="AL8" s="38" t="n">
        <x:v>-0.0341817785</x:v>
      </x:c>
      <x:c r="AM8" s="38" t="n">
        <x:v>-0.0460273269</x:v>
      </x:c>
      <x:c r="AN8" s="38" t="n">
        <x:v>-0.014216778</x:v>
      </x:c>
      <x:c r="AO8" s="38" t="n">
        <x:v>-0.0131632859</x:v>
      </x:c>
      <x:c r="AP8" s="38" t="n">
        <x:v>0.0408015462</x:v>
      </x:c>
      <x:c r="AQ8" s="38" t="n">
        <x:v>-0.0095525896</x:v>
      </x:c>
      <x:c r="AR8" s="38" t="n">
        <x:v>0.028333869</x:v>
      </x:c>
    </x:row>
    <x:row r="9" ht="19" customHeight="1">
      <x:c r="A9" s="39" t="d">
        <x:v>2020-10-12T00:00:00.000Z</x:v>
      </x:c>
      <x:c r="B9" s="38" t="n">
        <x:v>0.0278073665</x:v>
      </x:c>
      <x:c r="C9" s="38" t="n">
        <x:v>-0.0246643334</x:v>
      </x:c>
      <x:c r="D9" s="38" t="n">
        <x:v>0.0850209842</x:v>
      </x:c>
      <x:c r="E9" s="38" t="n">
        <x:v>0.0631550189</x:v>
      </x:c>
      <x:c r="F9" s="38" t="n">
        <x:v>-0.0080826207</x:v>
      </x:c>
      <x:c r="G9" s="38" t="n">
        <x:v>0.0551829524</x:v>
      </x:c>
      <x:c r="H9" s="38" t="n">
        <x:v>0.0579386511</x:v>
      </x:c>
      <x:c r="I9" s="38" t="n">
        <x:v>0.0355883897</x:v>
      </x:c>
      <x:c r="J9" s="38" t="n">
        <x:v>0.0373466</x:v>
      </x:c>
      <x:c r="K9" s="38" t="n">
        <x:v>-0.1086282583</x:v>
      </x:c>
      <x:c r="L9" s="38" t="n">
        <x:v>-0.0849366935</x:v>
      </x:c>
      <x:c r="M9" s="38" t="n">
        <x:v>-0.0125634058</x:v>
      </x:c>
      <x:c r="N9" s="38" t="n">
        <x:v>0.0476446093</x:v>
      </x:c>
      <x:c r="O9" s="38" t="n">
        <x:v>0.0110196293</x:v>
      </x:c>
      <x:c r="P9" s="38" t="n">
        <x:v>0.0426145903</x:v>
      </x:c>
      <x:c r="Q9" s="38"/>
      <x:c r="R9" s="38" t="n">
        <x:v>-0.0035673623</x:v>
      </x:c>
      <x:c r="S9" s="38" t="n">
        <x:v>0.2562645494</x:v>
      </x:c>
      <x:c r="T9" s="38" t="n">
        <x:v>0.0321129687</x:v>
      </x:c>
      <x:c r="U9" s="38" t="n">
        <x:v>0.1584790836</x:v>
      </x:c>
      <x:c r="V9" s="38" t="n">
        <x:v>0.0690378347</x:v>
      </x:c>
      <x:c r="W9" s="38" t="n">
        <x:v>0.0066019239</x:v>
      </x:c>
      <x:c r="X9" s="38" t="n">
        <x:v>0.0096428433</x:v>
      </x:c>
      <x:c r="Y9" s="38" t="n">
        <x:v>-0.0181689103</x:v>
      </x:c>
      <x:c r="Z9" s="38" t="n">
        <x:v>-0.0014031314</x:v>
      </x:c>
      <x:c r="AA9" s="38" t="n">
        <x:v>-0.1230174388</x:v>
      </x:c>
      <x:c r="AB9" s="38"/>
      <x:c r="AC9" s="38" t="n">
        <x:v>0.0282687269</x:v>
      </x:c>
      <x:c r="AD9" s="38" t="n">
        <x:v>0.0335082491</x:v>
      </x:c>
      <x:c r="AE9" s="38" t="n">
        <x:v>-0.0011954391</x:v>
      </x:c>
      <x:c r="AF9" s="38" t="n">
        <x:v>0.0214477058</x:v>
      </x:c>
      <x:c r="AG9" s="38" t="n">
        <x:v>-0.0045041903</x:v>
      </x:c>
      <x:c r="AH9" s="38" t="n">
        <x:v>0.0591763431</x:v>
      </x:c>
      <x:c r="AI9" s="38" t="n">
        <x:v>-0.0304172079</x:v>
      </x:c>
      <x:c r="AJ9" s="38" t="n">
        <x:v>-0.022233673</x:v>
      </x:c>
      <x:c r="AK9" s="38" t="n">
        <x:v>-0.0083822374</x:v>
      </x:c>
      <x:c r="AL9" s="38" t="n">
        <x:v>0.0520769622</x:v>
      </x:c>
      <x:c r="AM9" s="38" t="n">
        <x:v>0.0438406683</x:v>
      </x:c>
      <x:c r="AN9" s="38" t="n">
        <x:v>0.0721600945</x:v>
      </x:c>
      <x:c r="AO9" s="38" t="n">
        <x:v>0.0251362389</x:v>
      </x:c>
      <x:c r="AP9" s="38" t="n">
        <x:v>-0.0047417235</x:v>
      </x:c>
      <x:c r="AQ9" s="38" t="n">
        <x:v>-0.0041209611</x:v>
      </x:c>
      <x:c r="AR9" s="38" t="n">
        <x:v>-0.0166165693</x:v>
      </x:c>
    </x:row>
    <x:row r="10" ht="19" customHeight="1">
      <x:c r="A10" s="39" t="d">
        <x:v>2020-11-09T00:00:00.000Z</x:v>
      </x:c>
      <x:c r="B10" s="38" t="n">
        <x:v>0.0210824094</x:v>
      </x:c>
      <x:c r="C10" s="38" t="n">
        <x:v>0.0371254355</x:v>
      </x:c>
      <x:c r="D10" s="38" t="n">
        <x:v>-0.0057644431</x:v>
      </x:c>
      <x:c r="E10" s="38" t="n">
        <x:v>0.0184075058</x:v>
      </x:c>
      <x:c r="F10" s="38" t="n">
        <x:v>0.0501435182</x:v>
      </x:c>
      <x:c r="G10" s="38" t="n">
        <x:v>-0.0391993616</x:v>
      </x:c>
      <x:c r="H10" s="38" t="n">
        <x:v>-0.0258662008</x:v>
      </x:c>
      <x:c r="I10" s="38" t="n">
        <x:v>-0.0606832918</x:v>
      </x:c>
      <x:c r="J10" s="38" t="n">
        <x:v>0.0354524633</x:v>
      </x:c>
      <x:c r="K10" s="38" t="n">
        <x:v>0.135695071</x:v>
      </x:c>
      <x:c r="L10" s="38" t="n">
        <x:v>0.0365458702</x:v>
      </x:c>
      <x:c r="M10" s="38" t="n">
        <x:v>0.0246371245</x:v>
      </x:c>
      <x:c r="N10" s="38" t="n">
        <x:v>0.0489972297</x:v>
      </x:c>
      <x:c r="O10" s="38" t="n">
        <x:v>0.0511762211</x:v>
      </x:c>
      <x:c r="P10" s="38" t="n">
        <x:v>0.0255942639</x:v>
      </x:c>
      <x:c r="Q10" s="38"/>
      <x:c r="R10" s="38" t="n">
        <x:v>-0.0069939245</x:v>
      </x:c>
      <x:c r="S10" s="38" t="n">
        <x:v>0.051687018</x:v>
      </x:c>
      <x:c r="T10" s="38" t="n">
        <x:v>0.1091553707</x:v>
      </x:c>
      <x:c r="U10" s="38" t="n">
        <x:v>0.0591411717</x:v>
      </x:c>
      <x:c r="V10" s="38" t="n">
        <x:v>-0.0544647528</x:v>
      </x:c>
      <x:c r="W10" s="38" t="n">
        <x:v>0.0418721938</x:v>
      </x:c>
      <x:c r="X10" s="38" t="n">
        <x:v>0.0664521115</x:v>
      </x:c>
      <x:c r="Y10" s="38" t="n">
        <x:v>0.0272484212</x:v>
      </x:c>
      <x:c r="Z10" s="38" t="n">
        <x:v>-0.0051482121</x:v>
      </x:c>
      <x:c r="AA10" s="38" t="n">
        <x:v>-0.0196443944</x:v>
      </x:c>
      <x:c r="AB10" s="38"/>
      <x:c r="AC10" s="38" t="n">
        <x:v>0.0027468259</x:v>
      </x:c>
      <x:c r="AD10" s="38" t="n">
        <x:v>0.0618067552</x:v>
      </x:c>
      <x:c r="AE10" s="38" t="n">
        <x:v>0.0387161341</x:v>
      </x:c>
      <x:c r="AF10" s="38" t="n">
        <x:v>0.0642025601</x:v>
      </x:c>
      <x:c r="AG10" s="38" t="n">
        <x:v>0.059086119</x:v>
      </x:c>
      <x:c r="AH10" s="38" t="n">
        <x:v>-0.0121623456</x:v>
      </x:c>
      <x:c r="AI10" s="38" t="n">
        <x:v>-0.0119670796</x:v>
      </x:c>
      <x:c r="AJ10" s="38" t="n">
        <x:v>0.1150571973</x:v>
      </x:c>
      <x:c r="AK10" s="38" t="n">
        <x:v>-0.0322926523</x:v>
      </x:c>
      <x:c r="AL10" s="38" t="n">
        <x:v>-0.0083090001</x:v>
      </x:c>
      <x:c r="AM10" s="38" t="n">
        <x:v>0.0705514079</x:v>
      </x:c>
      <x:c r="AN10" s="38" t="n">
        <x:v>-0.0029809652</x:v>
      </x:c>
      <x:c r="AO10" s="38" t="n">
        <x:v>-0.0213691294</x:v>
      </x:c>
      <x:c r="AP10" s="38" t="n">
        <x:v>0.0380373059</x:v>
      </x:c>
      <x:c r="AQ10" s="38" t="n">
        <x:v>0.0069492213</x:v>
      </x:c>
      <x:c r="AR10" s="38" t="n">
        <x:v>0.0406334392</x:v>
      </x:c>
    </x:row>
    <x:row r="11" ht="19" customHeight="1">
      <x:c r="A11" s="39" t="d">
        <x:v>2020-12-07T00:00:00.000Z</x:v>
      </x:c>
      <x:c r="B11" s="38" t="n">
        <x:v>-0.0445335861</x:v>
      </x:c>
      <x:c r="C11" s="38" t="n">
        <x:v>0.0961509125</x:v>
      </x:c>
      <x:c r="D11" s="38" t="n">
        <x:v>-0.0480843261</x:v>
      </x:c>
      <x:c r="E11" s="38" t="n">
        <x:v>-0.0352422787</x:v>
      </x:c>
      <x:c r="F11" s="38" t="n">
        <x:v>0.1394546461</x:v>
      </x:c>
      <x:c r="G11" s="38" t="n">
        <x:v>0.0222147771</x:v>
      </x:c>
      <x:c r="H11" s="38" t="n">
        <x:v>-0.0023149072</x:v>
      </x:c>
      <x:c r="I11" s="38" t="n">
        <x:v>0.0086280771</x:v>
      </x:c>
      <x:c r="J11" s="38" t="n">
        <x:v>0.0983875649</x:v>
      </x:c>
      <x:c r="K11" s="38" t="n">
        <x:v>0.096584071</x:v>
      </x:c>
      <x:c r="L11" s="38" t="n">
        <x:v>0.141519196</x:v>
      </x:c>
      <x:c r="M11" s="38" t="n">
        <x:v>0.0909251776</x:v>
      </x:c>
      <x:c r="N11" s="38" t="n">
        <x:v>0.020085439</x:v>
      </x:c>
      <x:c r="O11" s="38" t="n">
        <x:v>0.1217105158</x:v>
      </x:c>
      <x:c r="P11" s="38" t="n">
        <x:v>0.0454722829</x:v>
      </x:c>
      <x:c r="Q11" s="38"/>
      <x:c r="R11" s="38" t="n">
        <x:v>0.0509640165</x:v>
      </x:c>
      <x:c r="S11" s="38" t="n">
        <x:v>0.1496008211</x:v>
      </x:c>
      <x:c r="T11" s="38" t="n">
        <x:v>0.3283390206</x:v>
      </x:c>
      <x:c r="U11" s="38" t="n">
        <x:v>0.010229687</x:v>
      </x:c>
      <x:c r="V11" s="38" t="n">
        <x:v>0.024119465</x:v>
      </x:c>
      <x:c r="W11" s="38" t="n">
        <x:v>0.0225383585</x:v>
      </x:c>
      <x:c r="X11" s="38" t="n">
        <x:v>0.1148170354</x:v>
      </x:c>
      <x:c r="Y11" s="38" t="n">
        <x:v>-0.0602245654</x:v>
      </x:c>
      <x:c r="Z11" s="38" t="n">
        <x:v>-0.0077974489</x:v>
      </x:c>
      <x:c r="AA11" s="38" t="n">
        <x:v>0.0552101368</x:v>
      </x:c>
      <x:c r="AB11" s="38"/>
      <x:c r="AC11" s="38" t="n">
        <x:v>-0.0322965378</x:v>
      </x:c>
      <x:c r="AD11" s="38" t="n">
        <x:v>0.0319029989</x:v>
      </x:c>
      <x:c r="AE11" s="38" t="n">
        <x:v>0.1035954294</x:v>
      </x:c>
      <x:c r="AF11" s="38" t="n">
        <x:v>0.1212425769</x:v>
      </x:c>
      <x:c r="AG11" s="38" t="n">
        <x:v>0.0506772761</x:v>
      </x:c>
      <x:c r="AH11" s="38" t="n">
        <x:v>0.0689786873</x:v>
      </x:c>
      <x:c r="AI11" s="38" t="n">
        <x:v>0.0682150642</x:v>
      </x:c>
      <x:c r="AJ11" s="38" t="n">
        <x:v>-0.0118647244</x:v>
      </x:c>
      <x:c r="AK11" s="38" t="n">
        <x:v>0.0370780772</x:v>
      </x:c>
      <x:c r="AL11" s="38" t="n">
        <x:v>-0.0072983665</x:v>
      </x:c>
      <x:c r="AM11" s="38" t="n">
        <x:v>0.0008355345</x:v>
      </x:c>
      <x:c r="AN11" s="38" t="n">
        <x:v>0.009297042</x:v>
      </x:c>
      <x:c r="AO11" s="38" t="n">
        <x:v>-0.0240150808</x:v>
      </x:c>
      <x:c r="AP11" s="38" t="n">
        <x:v>0.0034641139</x:v>
      </x:c>
      <x:c r="AQ11" s="38" t="n">
        <x:v>0.0157915052</x:v>
      </x:c>
      <x:c r="AR11" s="38" t="n">
        <x:v>-0.0026483096</x:v>
      </x:c>
    </x:row>
    <x:row r="12" ht="19" customHeight="1">
      <x:c r="A12" s="39" t="d">
        <x:v>2021-01-04T00:00:00.000Z</x:v>
      </x:c>
      <x:c r="B12" s="38" t="n">
        <x:v>0.0862152649</x:v>
      </x:c>
      <x:c r="C12" s="38" t="n">
        <x:v>-0.0238929068</x:v>
      </x:c>
      <x:c r="D12" s="38" t="n">
        <x:v>-0.0261655364</x:v>
      </x:c>
      <x:c r="E12" s="38" t="n">
        <x:v>-0.0435305468</x:v>
      </x:c>
      <x:c r="F12" s="38" t="n">
        <x:v>0.0099172193</x:v>
      </x:c>
      <x:c r="G12" s="38" t="n">
        <x:v>0.0448797055</x:v>
      </x:c>
      <x:c r="H12" s="38" t="n">
        <x:v>0.0124522116</x:v>
      </x:c>
      <x:c r="I12" s="38" t="n">
        <x:v>0.0647683905</x:v>
      </x:c>
      <x:c r="J12" s="38" t="n">
        <x:v>-0.0489908664</x:v>
      </x:c>
      <x:c r="K12" s="38" t="n">
        <x:v>-0.0133812744</x:v>
      </x:c>
      <x:c r="L12" s="38" t="n">
        <x:v>0.0543828605</x:v>
      </x:c>
      <x:c r="M12" s="38" t="n">
        <x:v>0.0332426509</x:v>
      </x:c>
      <x:c r="N12" s="38" t="n">
        <x:v>0.1080269129</x:v>
      </x:c>
      <x:c r="O12" s="38" t="n">
        <x:v>0.0083947114</x:v>
      </x:c>
      <x:c r="P12" s="38" t="n">
        <x:v>-0.0341683459</x:v>
      </x:c>
      <x:c r="Q12" s="38"/>
      <x:c r="R12" s="38" t="n">
        <x:v>0.0687668355</x:v>
      </x:c>
      <x:c r="S12" s="38" t="n">
        <x:v>-0.0238820402</x:v>
      </x:c>
      <x:c r="T12" s="38" t="n">
        <x:v>-0.1956304848</x:v>
      </x:c>
      <x:c r="U12" s="38" t="n">
        <x:v>0.0106683283</x:v>
      </x:c>
      <x:c r="V12" s="38" t="n">
        <x:v>0.0083827476</x:v>
      </x:c>
      <x:c r="W12" s="38" t="n">
        <x:v>0.0097452985</x:v>
      </x:c>
      <x:c r="X12" s="38" t="n">
        <x:v>0.0551502028</x:v>
      </x:c>
      <x:c r="Y12" s="38" t="n">
        <x:v>0.0381431434</x:v>
      </x:c>
      <x:c r="Z12" s="38" t="n">
        <x:v>0.0289026235</x:v>
      </x:c>
      <x:c r="AA12" s="38" t="n">
        <x:v>-0.0287353817</x:v>
      </x:c>
      <x:c r="AB12" s="38"/>
      <x:c r="AC12" s="38" t="n">
        <x:v>0.0098008554</x:v>
      </x:c>
      <x:c r="AD12" s="38" t="n">
        <x:v>-0.0013134919</x:v>
      </x:c>
      <x:c r="AE12" s="38" t="n">
        <x:v>-0.0054533708</x:v>
      </x:c>
      <x:c r="AF12" s="38" t="n">
        <x:v>-0.0549578097</x:v>
      </x:c>
      <x:c r="AG12" s="38" t="n">
        <x:v>-0.0293870297</x:v>
      </x:c>
      <x:c r="AH12" s="38" t="n">
        <x:v>0.0186201124</x:v>
      </x:c>
      <x:c r="AI12" s="38" t="n">
        <x:v>0.0230943163</x:v>
      </x:c>
      <x:c r="AJ12" s="38" t="n">
        <x:v>-0.0146381219</x:v>
      </x:c>
      <x:c r="AK12" s="38" t="n">
        <x:v>-0.0192558526</x:v>
      </x:c>
      <x:c r="AL12" s="38" t="n">
        <x:v>0.0173879203</x:v>
      </x:c>
      <x:c r="AM12" s="38" t="n">
        <x:v>0.0076284329</x:v>
      </x:c>
      <x:c r="AN12" s="38" t="n">
        <x:v>-0.0081961667</x:v>
      </x:c>
      <x:c r="AO12" s="38" t="n">
        <x:v>0.0100679488</x:v>
      </x:c>
      <x:c r="AP12" s="38" t="n">
        <x:v>-0.0257273981</x:v>
      </x:c>
      <x:c r="AQ12" s="38" t="n">
        <x:v>0.0268113415</x:v>
      </x:c>
      <x:c r="AR12" s="38" t="n">
        <x:v>0.0196384612</x:v>
      </x:c>
    </x:row>
    <x:row r="13" ht="19" customHeight="1">
      <x:c r="A13" s="39" t="d">
        <x:v>2021-02-01T00:00:00.000Z</x:v>
      </x:c>
      <x:c r="B13" s="38" t="n">
        <x:v>0.0017127728</x:v>
      </x:c>
      <x:c r="C13" s="38" t="n">
        <x:v>-0.0084490507</x:v>
      </x:c>
      <x:c r="D13" s="38" t="n">
        <x:v>0.0223896294</x:v>
      </x:c>
      <x:c r="E13" s="38" t="n">
        <x:v>0.0071218492</x:v>
      </x:c>
      <x:c r="F13" s="38" t="n">
        <x:v>0.0082382279</x:v>
      </x:c>
      <x:c r="G13" s="38" t="n">
        <x:v>0.0431036112</x:v>
      </x:c>
      <x:c r="H13" s="38" t="n">
        <x:v>0.0311282741</x:v>
      </x:c>
      <x:c r="I13" s="38" t="n">
        <x:v>0.0114704093</x:v>
      </x:c>
      <x:c r="J13" s="38" t="n">
        <x:v>0.0977712305</x:v>
      </x:c>
      <x:c r="K13" s="38" t="n">
        <x:v>0.0403130244</x:v>
      </x:c>
      <x:c r="L13" s="38" t="n">
        <x:v>-0.0002781164</x:v>
      </x:c>
      <x:c r="M13" s="38" t="n">
        <x:v>0.0247026565</x:v>
      </x:c>
      <x:c r="N13" s="38" t="n">
        <x:v>0.0280870312</x:v>
      </x:c>
      <x:c r="O13" s="38" t="n">
        <x:v>0.0853490787</x:v>
      </x:c>
      <x:c r="P13" s="38" t="n">
        <x:v>-0.0609983587</x:v>
      </x:c>
      <x:c r="Q13" s="38"/>
      <x:c r="R13" s="38" t="n">
        <x:v>-0.0254458401</x:v>
      </x:c>
      <x:c r="S13" s="38" t="n">
        <x:v>0.0467313922</x:v>
      </x:c>
      <x:c r="T13" s="38" t="n">
        <x:v>0.2680476294</x:v>
      </x:c>
      <x:c r="U13" s="38" t="n">
        <x:v>0.20761951</x:v>
      </x:c>
      <x:c r="V13" s="38" t="n">
        <x:v>0.0457026969</x:v>
      </x:c>
      <x:c r="W13" s="38" t="n">
        <x:v>-0.0050277405</x:v>
      </x:c>
      <x:c r="X13" s="38" t="n">
        <x:v>0.0278671739</x:v>
      </x:c>
      <x:c r="Y13" s="38" t="n">
        <x:v>-0.0343174071</x:v>
      </x:c>
      <x:c r="Z13" s="38" t="n">
        <x:v>-0.04638991</x:v>
      </x:c>
      <x:c r="AA13" s="38" t="n">
        <x:v>0.0595177951</x:v>
      </x:c>
      <x:c r="AB13" s="38" t="n">
        <x:v>0.2133335809</x:v>
      </x:c>
      <x:c r="AC13" s="38" t="n">
        <x:v>-0.037642187</x:v>
      </x:c>
      <x:c r="AD13" s="38" t="n">
        <x:v>0.1476187982</x:v>
      </x:c>
      <x:c r="AE13" s="38" t="n">
        <x:v>0.0604925126</x:v>
      </x:c>
      <x:c r="AF13" s="38" t="n">
        <x:v>-0.0056587647</x:v>
      </x:c>
      <x:c r="AG13" s="38" t="n">
        <x:v>-0.0187077407</x:v>
      </x:c>
      <x:c r="AH13" s="38" t="n">
        <x:v>-0.0439548536</x:v>
      </x:c>
      <x:c r="AI13" s="38" t="n">
        <x:v>0.1156230072</x:v>
      </x:c>
      <x:c r="AJ13" s="38" t="n">
        <x:v>0.0126938597</x:v>
      </x:c>
      <x:c r="AK13" s="38" t="n">
        <x:v>0.042724185</x:v>
      </x:c>
      <x:c r="AL13" s="38" t="n">
        <x:v>0.0587283611</x:v>
      </x:c>
      <x:c r="AM13" s="38" t="n">
        <x:v>0.0900288903</x:v>
      </x:c>
      <x:c r="AN13" s="38" t="n">
        <x:v>-0.0232668238</x:v>
      </x:c>
      <x:c r="AO13" s="38" t="n">
        <x:v>0.021401875</x:v>
      </x:c>
      <x:c r="AP13" s="38" t="n">
        <x:v>-0.017039537</x:v>
      </x:c>
      <x:c r="AQ13" s="38" t="n">
        <x:v>0.0163123864</x:v>
      </x:c>
      <x:c r="AR13" s="38" t="n">
        <x:v>0.002890573</x:v>
      </x:c>
    </x:row>
    <x:row r="14" ht="19" customHeight="1">
      <x:c r="A14" s="39" t="d">
        <x:v>2021-03-01T00:00:00.000Z</x:v>
      </x:c>
      <x:c r="B14" s="38" t="n">
        <x:v>-0.1013829291</x:v>
      </x:c>
      <x:c r="C14" s="38" t="n">
        <x:v>0.0222961626</x:v>
      </x:c>
      <x:c r="D14" s="38" t="n">
        <x:v>-0.0192764009</x:v>
      </x:c>
      <x:c r="E14" s="38" t="n">
        <x:v>-0.0431202749</x:v>
      </x:c>
      <x:c r="F14" s="38" t="n">
        <x:v>0.0289646369</x:v>
      </x:c>
      <x:c r="G14" s="38" t="n">
        <x:v>-0.0749510029</x:v>
      </x:c>
      <x:c r="H14" s="38" t="n">
        <x:v>-0.0674569667</x:v>
      </x:c>
      <x:c r="I14" s="38" t="n">
        <x:v>0.1123592548</x:v>
      </x:c>
      <x:c r="J14" s="38" t="n">
        <x:v>0.0335883175</x:v>
      </x:c>
      <x:c r="K14" s="38" t="n">
        <x:v>0.1597671841</x:v>
      </x:c>
      <x:c r="L14" s="38" t="n">
        <x:v>0.0579537277</x:v>
      </x:c>
      <x:c r="M14" s="38" t="n">
        <x:v>0.0115929889</x:v>
      </x:c>
      <x:c r="N14" s="38" t="n">
        <x:v>0.0343558456</x:v>
      </x:c>
      <x:c r="O14" s="38" t="n">
        <x:v>0.0794458887</x:v>
      </x:c>
      <x:c r="P14" s="38" t="n">
        <x:v>-0.0236058533</x:v>
      </x:c>
      <x:c r="Q14" s="38"/>
      <x:c r="R14" s="38" t="n">
        <x:v>0.0677325188</x:v>
      </x:c>
      <x:c r="S14" s="38" t="n">
        <x:v>-0.1485499577</x:v>
      </x:c>
      <x:c r="T14" s="38" t="n">
        <x:v>-0.1750423828</x:v>
      </x:c>
      <x:c r="U14" s="38" t="n">
        <x:v>-0.1302696764</x:v>
      </x:c>
      <x:c r="V14" s="38" t="n">
        <x:v>-0.0392505458</x:v>
      </x:c>
      <x:c r="W14" s="38" t="n">
        <x:v>0.0456390739</x:v>
      </x:c>
      <x:c r="X14" s="38" t="n">
        <x:v>0.0560942714</x:v>
      </x:c>
      <x:c r="Y14" s="38" t="n">
        <x:v>-0.0209362115</x:v>
      </x:c>
      <x:c r="Z14" s="38" t="n">
        <x:v>0.0143711413</x:v>
      </x:c>
      <x:c r="AA14" s="38" t="n">
        <x:v>-0.0749587433</x:v>
      </x:c>
      <x:c r="AB14" s="38" t="n">
        <x:v>-0.2347590861</x:v>
      </x:c>
      <x:c r="AC14" s="38" t="n">
        <x:v>-0.0171010882</x:v>
      </x:c>
      <x:c r="AD14" s="38" t="n">
        <x:v>0.0389157033</x:v>
      </x:c>
      <x:c r="AE14" s="38" t="n">
        <x:v>0.0557294816</x:v>
      </x:c>
      <x:c r="AF14" s="38" t="n">
        <x:v>0.043185318</x:v>
      </x:c>
      <x:c r="AG14" s="38" t="n">
        <x:v>0.079406597</x:v>
      </x:c>
      <x:c r="AH14" s="38" t="n">
        <x:v>-0.068680381</x:v>
      </x:c>
      <x:c r="AI14" s="38" t="n">
        <x:v>0.0178758222</x:v>
      </x:c>
      <x:c r="AJ14" s="38" t="n">
        <x:v>0.0620764445</x:v>
      </x:c>
      <x:c r="AK14" s="38" t="n">
        <x:v>-0.0511237226</x:v>
      </x:c>
      <x:c r="AL14" s="38" t="n">
        <x:v>-0.0258366356</x:v>
      </x:c>
      <x:c r="AM14" s="38" t="n">
        <x:v>0.0023961187</x:v>
      </x:c>
      <x:c r="AN14" s="38" t="n">
        <x:v>-0.0685825964</x:v>
      </x:c>
      <x:c r="AO14" s="38" t="n">
        <x:v>-0.0579811652</x:v>
      </x:c>
      <x:c r="AP14" s="38" t="n">
        <x:v>0.0138162826</x:v>
      </x:c>
      <x:c r="AQ14" s="38" t="n">
        <x:v>-0.0279316761</x:v>
      </x:c>
      <x:c r="AR14" s="38" t="n">
        <x:v>0.044864882</x:v>
      </x:c>
    </x:row>
    <x:row r="15" ht="19" customHeight="1">
      <x:c r="A15" s="39" t="d">
        <x:v>2021-03-29T00:00:00.000Z</x:v>
      </x:c>
      <x:c r="B15" s="38" t="n">
        <x:v>0.0015270548</x:v>
      </x:c>
      <x:c r="C15" s="38" t="n">
        <x:v>-0.0249202531</x:v>
      </x:c>
      <x:c r="D15" s="38" t="n">
        <x:v>0.0498763397</x:v>
      </x:c>
      <x:c r="E15" s="38" t="n">
        <x:v>0.0688046838</x:v>
      </x:c>
      <x:c r="F15" s="38" t="n">
        <x:v>-0.0033229068</x:v>
      </x:c>
      <x:c r="G15" s="38" t="n">
        <x:v>0.0473322763</x:v>
      </x:c>
      <x:c r="H15" s="38" t="n">
        <x:v>0.0321733344</x:v>
      </x:c>
      <x:c r="I15" s="38" t="n">
        <x:v>0.0531783028</x:v>
      </x:c>
      <x:c r="J15" s="38" t="n">
        <x:v>0.0470240261</x:v>
      </x:c>
      <x:c r="K15" s="38" t="n">
        <x:v>-0.0298426283</x:v>
      </x:c>
      <x:c r="L15" s="38" t="n">
        <x:v>-0.0160577967</x:v>
      </x:c>
      <x:c r="M15" s="38" t="n">
        <x:v>0.004039344</x:v>
      </x:c>
      <x:c r="N15" s="38" t="n">
        <x:v>0.030459277</x:v>
      </x:c>
      <x:c r="O15" s="38" t="n">
        <x:v>0.0292216443</x:v>
      </x:c>
      <x:c r="P15" s="38" t="n">
        <x:v>-0.0735856995</x:v>
      </x:c>
      <x:c r="Q15" s="38"/>
      <x:c r="R15" s="38" t="n">
        <x:v>-0.0204159933</x:v>
      </x:c>
      <x:c r="S15" s="38" t="n">
        <x:v>0.0423470441</x:v>
      </x:c>
      <x:c r="T15" s="38" t="n">
        <x:v>0.001678733</x:v>
      </x:c>
      <x:c r="U15" s="38" t="n">
        <x:v>0.0000863182</x:v>
      </x:c>
      <x:c r="V15" s="38" t="n">
        <x:v>0.0269323977</x:v>
      </x:c>
      <x:c r="W15" s="38" t="n">
        <x:v>-0.0038214493</x:v>
      </x:c>
      <x:c r="X15" s="38" t="n">
        <x:v>0.0236941239</x:v>
      </x:c>
      <x:c r="Y15" s="38" t="n">
        <x:v>0.0528286683</x:v>
      </x:c>
      <x:c r="Z15" s="38" t="n">
        <x:v>0.0399621171</x:v>
      </x:c>
      <x:c r="AA15" s="38" t="n">
        <x:v>-0.0564386297</x:v>
      </x:c>
      <x:c r="AB15" s="38" t="n">
        <x:v>0.6399732226</x:v>
      </x:c>
      <x:c r="AC15" s="38" t="n">
        <x:v>0.0393837394</x:v>
      </x:c>
      <x:c r="AD15" s="38" t="n">
        <x:v>-0.0050511307</x:v>
      </x:c>
      <x:c r="AE15" s="38" t="n">
        <x:v>0.0583731573</x:v>
      </x:c>
      <x:c r="AF15" s="38" t="n">
        <x:v>0.0772028307</x:v>
      </x:c>
      <x:c r="AG15" s="38" t="n">
        <x:v>0.0590093384</x:v>
      </x:c>
      <x:c r="AH15" s="38" t="n">
        <x:v>0.019879627</x:v>
      </x:c>
      <x:c r="AI15" s="38" t="n">
        <x:v>-0.0683181602</x:v>
      </x:c>
      <x:c r="AJ15" s="38" t="n">
        <x:v>0.0257245738</x:v>
      </x:c>
      <x:c r="AK15" s="38" t="n">
        <x:v>0.0188012124</x:v>
      </x:c>
      <x:c r="AL15" s="38" t="n">
        <x:v>0.0280058589</x:v>
      </x:c>
      <x:c r="AM15" s="38" t="n">
        <x:v>0.0095538181</x:v>
      </x:c>
      <x:c r="AN15" s="38" t="n">
        <x:v>0.0691566269</x:v>
      </x:c>
      <x:c r="AO15" s="38" t="n">
        <x:v>0.1235085695</x:v>
      </x:c>
      <x:c r="AP15" s="38" t="n">
        <x:v>0.025673747</x:v>
      </x:c>
      <x:c r="AQ15" s="38" t="n">
        <x:v>0.0260544252</x:v>
      </x:c>
      <x:c r="AR15" s="38" t="n">
        <x:v>0.0121923244</x:v>
      </x:c>
    </x:row>
    <x:row r="16" ht="19" customHeight="1">
      <x:c r="A16" s="39" t="d">
        <x:v>2021-04-26T00:00:00.000Z</x:v>
      </x:c>
      <x:c r="B16" s="38" t="n">
        <x:v>-0.0307733723</x:v>
      </x:c>
      <x:c r="C16" s="38" t="n">
        <x:v>-0.0023490576</x:v>
      </x:c>
      <x:c r="D16" s="38" t="n">
        <x:v>0.0227800598</x:v>
      </x:c>
      <x:c r="E16" s="38" t="n">
        <x:v>0.0578703561</x:v>
      </x:c>
      <x:c r="F16" s="38" t="n">
        <x:v>-0.0098498106</x:v>
      </x:c>
      <x:c r="G16" s="38" t="n">
        <x:v>0.0228902458</x:v>
      </x:c>
      <x:c r="H16" s="38" t="n">
        <x:v>0.0579211932</x:v>
      </x:c>
      <x:c r="I16" s="38" t="n">
        <x:v>0.0498995375</x:v>
      </x:c>
      <x:c r="J16" s="38" t="n">
        <x:v>0.105113407</x:v>
      </x:c>
      <x:c r="K16" s="38" t="n">
        <x:v>-0.0112408364</x:v>
      </x:c>
      <x:c r="L16" s="38" t="n">
        <x:v>0.0360325378</x:v>
      </x:c>
      <x:c r="M16" s="38" t="n">
        <x:v>0.0079907375</x:v>
      </x:c>
      <x:c r="N16" s="38" t="n">
        <x:v>-0.0060878253</x:v>
      </x:c>
      <x:c r="O16" s="38" t="n">
        <x:v>-0.0065248496</x:v>
      </x:c>
      <x:c r="P16" s="38" t="n">
        <x:v>0.0663085767</x:v>
      </x:c>
      <x:c r="Q16" s="38" t="n">
        <x:v>-0.0032959941</x:v>
      </x:c>
      <x:c r="R16" s="38" t="n">
        <x:v>-0.0125800257</x:v>
      </x:c>
      <x:c r="S16" s="38" t="n">
        <x:v>0.1038213495</x:v>
      </x:c>
      <x:c r="T16" s="38" t="n">
        <x:v>0.1874438966</x:v>
      </x:c>
      <x:c r="U16" s="38" t="n">
        <x:v>0.0363390071</x:v>
      </x:c>
      <x:c r="V16" s="38" t="n">
        <x:v>-0.0308647885</x:v>
      </x:c>
      <x:c r="W16" s="38" t="n">
        <x:v>0.0186692794</x:v>
      </x:c>
      <x:c r="X16" s="38" t="n">
        <x:v>-0.0444943686</x:v>
      </x:c>
      <x:c r="Y16" s="38" t="n">
        <x:v>0.0060475452</x:v>
      </x:c>
      <x:c r="Z16" s="38" t="n">
        <x:v>0.0337599304</x:v>
      </x:c>
      <x:c r="AA16" s="38" t="n">
        <x:v>-0.0556832145</x:v>
      </x:c>
      <x:c r="AB16" s="38" t="n">
        <x:v>-0.1754272011</x:v>
      </x:c>
      <x:c r="AC16" s="38" t="n">
        <x:v>-0.0000298188</x:v>
      </x:c>
      <x:c r="AD16" s="38" t="n">
        <x:v>-0.0332760866</x:v>
      </x:c>
      <x:c r="AE16" s="38" t="n">
        <x:v>0.0126314412</x:v>
      </x:c>
      <x:c r="AF16" s="38" t="n">
        <x:v>-0.0479448941</x:v>
      </x:c>
      <x:c r="AG16" s="38" t="n">
        <x:v>0.0243197476</x:v>
      </x:c>
      <x:c r="AH16" s="38" t="n">
        <x:v>0.0040783942</x:v>
      </x:c>
      <x:c r="AI16" s="38" t="n">
        <x:v>-0.0084036516</x:v>
      </x:c>
      <x:c r="AJ16" s="38" t="n">
        <x:v>0.0150306636</x:v>
      </x:c>
      <x:c r="AK16" s="38" t="n">
        <x:v>0.0982881443</x:v>
      </x:c>
      <x:c r="AL16" s="38" t="n">
        <x:v>0.0248907811</x:v>
      </x:c>
      <x:c r="AM16" s="38" t="n">
        <x:v>0.0625302513</x:v>
      </x:c>
      <x:c r="AN16" s="38" t="n">
        <x:v>0.0308796888</x:v>
      </x:c>
      <x:c r="AO16" s="38" t="n">
        <x:v>0.031574691</x:v>
      </x:c>
      <x:c r="AP16" s="38" t="n">
        <x:v>0.0172845782</x:v>
      </x:c>
      <x:c r="AQ16" s="38" t="n">
        <x:v>-0.0003844653</x:v>
      </x:c>
      <x:c r="AR16" s="38" t="n">
        <x:v>0.0393485843</x:v>
      </x:c>
    </x:row>
    <x:row r="17" ht="19" customHeight="1">
      <x:c r="A17" s="39" t="d">
        <x:v>2021-05-24T00:00:00.000Z</x:v>
      </x:c>
      <x:c r="B17" s="38" t="n">
        <x:v>-0.0269071767</x:v>
      </x:c>
      <x:c r="C17" s="38" t="n">
        <x:v>0.1885922645</x:v>
      </x:c>
      <x:c r="D17" s="38" t="n">
        <x:v>-0.0143441509</x:v>
      </x:c>
      <x:c r="E17" s="38" t="n">
        <x:v>-0.0183022922</x:v>
      </x:c>
      <x:c r="F17" s="38" t="n">
        <x:v>-0.0256668731</x:v>
      </x:c>
      <x:c r="G17" s="38" t="n">
        <x:v>-0.0532581273</x:v>
      </x:c>
      <x:c r="H17" s="38" t="n">
        <x:v>-0.046397165</x:v>
      </x:c>
      <x:c r="I17" s="38" t="n">
        <x:v>0.0050570956</x:v>
      </x:c>
      <x:c r="J17" s="38" t="n">
        <x:v>0.0243400295</x:v>
      </x:c>
      <x:c r="K17" s="38" t="n">
        <x:v>0.0609849292</x:v>
      </x:c>
      <x:c r="L17" s="38" t="n">
        <x:v>0.0602337863</x:v>
      </x:c>
      <x:c r="M17" s="38" t="n">
        <x:v>0.0754079941</x:v>
      </x:c>
      <x:c r="N17" s="38" t="n">
        <x:v>-0.0031180436</x:v>
      </x:c>
      <x:c r="O17" s="38" t="n">
        <x:v>0.04005985</x:v>
      </x:c>
      <x:c r="P17" s="38" t="n">
        <x:v>-0.0481614075</x:v>
      </x:c>
      <x:c r="Q17" s="38" t="n">
        <x:v>-0.0226963855</x:v>
      </x:c>
      <x:c r="R17" s="38" t="n">
        <x:v>0.0506386909</x:v>
      </x:c>
      <x:c r="S17" s="38" t="n">
        <x:v>-0.0204042227</x:v>
      </x:c>
      <x:c r="T17" s="38" t="n">
        <x:v>0.0216061318</x:v>
      </x:c>
      <x:c r="U17" s="38" t="n">
        <x:v>-0.0479127897</x:v>
      </x:c>
      <x:c r="V17" s="38" t="n">
        <x:v>-0.0133200055</x:v>
      </x:c>
      <x:c r="W17" s="38" t="n">
        <x:v>0.0133151451</x:v>
      </x:c>
      <x:c r="X17" s="38" t="n">
        <x:v>-0.0143990539</x:v>
      </x:c>
      <x:c r="Y17" s="38" t="n">
        <x:v>0.1036734222</x:v>
      </x:c>
      <x:c r="Z17" s="38" t="n">
        <x:v>-0.0105493332</x:v>
      </x:c>
      <x:c r="AA17" s="38" t="n">
        <x:v>0.0091619938</x:v>
      </x:c>
      <x:c r="AB17" s="38" t="n">
        <x:v>0.1950237502</x:v>
      </x:c>
      <x:c r="AC17" s="38" t="n">
        <x:v>0.0067687011</x:v>
      </x:c>
      <x:c r="AD17" s="38" t="n">
        <x:v>0.1462813021</x:v>
      </x:c>
      <x:c r="AE17" s="38" t="n">
        <x:v>-0.0023825603</x:v>
      </x:c>
      <x:c r="AF17" s="38" t="n">
        <x:v>0.0335388131</x:v>
      </x:c>
      <x:c r="AG17" s="38" t="n">
        <x:v>0.0149377945</x:v>
      </x:c>
      <x:c r="AH17" s="38" t="n">
        <x:v>-0.0120939439</x:v>
      </x:c>
      <x:c r="AI17" s="38" t="n">
        <x:v>0.0591720871</x:v>
      </x:c>
      <x:c r="AJ17" s="38" t="n">
        <x:v>0.003002065</x:v>
      </x:c>
      <x:c r="AK17" s="38" t="n">
        <x:v>0.0619918828</x:v>
      </x:c>
      <x:c r="AL17" s="38" t="n">
        <x:v>-0.0048612119</x:v>
      </x:c>
      <x:c r="AM17" s="38" t="n">
        <x:v>0.0009029908</x:v>
      </x:c>
      <x:c r="AN17" s="38" t="n">
        <x:v>0.0104586528</x:v>
      </x:c>
      <x:c r="AO17" s="38" t="n">
        <x:v>-0.0094066612</x:v>
      </x:c>
      <x:c r="AP17" s="38" t="n">
        <x:v>0.0152240704</x:v>
      </x:c>
      <x:c r="AQ17" s="38" t="n">
        <x:v>0.0288910506</x:v>
      </x:c>
      <x:c r="AR17" s="38" t="n">
        <x:v>0.0326082949</x:v>
      </x:c>
    </x:row>
    <x:row r="18" ht="19" customHeight="1">
      <x:c r="A18" s="39" t="d">
        <x:v>2021-06-21T00:00:00.000Z</x:v>
      </x:c>
      <x:c r="B18" s="38" t="n">
        <x:v>0.0881147607</x:v>
      </x:c>
      <x:c r="C18" s="38" t="n">
        <x:v>0.0484905579</x:v>
      </x:c>
      <x:c r="D18" s="38" t="n">
        <x:v>-0.009276256</x:v>
      </x:c>
      <x:c r="E18" s="38" t="n">
        <x:v>-0.0229152384</x:v>
      </x:c>
      <x:c r="F18" s="38" t="n">
        <x:v>-0.0010820958</x:v>
      </x:c>
      <x:c r="G18" s="38" t="n">
        <x:v>0.0654440734</x:v>
      </x:c>
      <x:c r="H18" s="38" t="n">
        <x:v>0.0346886291</x:v>
      </x:c>
      <x:c r="I18" s="38" t="n">
        <x:v>-0.028182453</x:v>
      </x:c>
      <x:c r="J18" s="38" t="n">
        <x:v>-0.0654204117</x:v>
      </x:c>
      <x:c r="K18" s="38" t="n">
        <x:v>0.0133949392</x:v>
      </x:c>
      <x:c r="L18" s="38" t="n">
        <x:v>-0.02267832</x:v>
      </x:c>
      <x:c r="M18" s="38" t="n">
        <x:v>-0.0112879944</x:v>
      </x:c>
      <x:c r="N18" s="38" t="n">
        <x:v>-0.0147973983</x:v>
      </x:c>
      <x:c r="O18" s="38" t="n">
        <x:v>-0.0395355626</x:v>
      </x:c>
      <x:c r="P18" s="38" t="n">
        <x:v>0.0279900482</x:v>
      </x:c>
      <x:c r="Q18" s="38" t="n">
        <x:v>0.1271811746</x:v>
      </x:c>
      <x:c r="R18" s="38" t="n">
        <x:v>0.0007817705</x:v>
      </x:c>
      <x:c r="S18" s="38" t="n">
        <x:v>0.157752372</x:v>
      </x:c>
      <x:c r="T18" s="38" t="n">
        <x:v>0.1113640028</x:v>
      </x:c>
      <x:c r="U18" s="38" t="n">
        <x:v>0.1305193171</x:v>
      </x:c>
      <x:c r="V18" s="38" t="n">
        <x:v>0.0303425397</x:v>
      </x:c>
      <x:c r="W18" s="38" t="n">
        <x:v>-0.0104153478</x:v>
      </x:c>
      <x:c r="X18" s="38" t="n">
        <x:v>-0.0163538049</x:v>
      </x:c>
      <x:c r="Y18" s="38" t="n">
        <x:v>-0.0975585787</x:v>
      </x:c>
      <x:c r="Z18" s="38" t="n">
        <x:v>-0.0146586789</x:v>
      </x:c>
      <x:c r="AA18" s="38" t="n">
        <x:v>0.0235498406</x:v>
      </x:c>
      <x:c r="AB18" s="38" t="n">
        <x:v>-0.1243028872</x:v>
      </x:c>
      <x:c r="AC18" s="38" t="n">
        <x:v>0.0003343148</x:v>
      </x:c>
      <x:c r="AD18" s="38" t="n">
        <x:v>0.0286045872</x:v>
      </x:c>
      <x:c r="AE18" s="38" t="n">
        <x:v>-0.0462711019</x:v>
      </x:c>
      <x:c r="AF18" s="38" t="n">
        <x:v>0.0035355024</x:v>
      </x:c>
      <x:c r="AG18" s="38" t="n">
        <x:v>-0.0087858258</x:v>
      </x:c>
      <x:c r="AH18" s="38" t="n">
        <x:v>0.0430740961</x:v>
      </x:c>
      <x:c r="AI18" s="38" t="n">
        <x:v>0.0914498334</x:v>
      </x:c>
      <x:c r="AJ18" s="38" t="n">
        <x:v>0.0751065666</x:v>
      </x:c>
      <x:c r="AK18" s="38" t="n">
        <x:v>0.0352092646</x:v>
      </x:c>
      <x:c r="AL18" s="38" t="n">
        <x:v>0.0383941563</x:v>
      </x:c>
      <x:c r="AM18" s="38" t="n">
        <x:v>0.0250047404</x:v>
      </x:c>
      <x:c r="AN18" s="38" t="n">
        <x:v>0.0270683213</x:v>
      </x:c>
      <x:c r="AO18" s="38" t="n">
        <x:v>-0.0073827471</x:v>
      </x:c>
      <x:c r="AP18" s="38" t="n">
        <x:v>-0.0065635303</x:v>
      </x:c>
      <x:c r="AQ18" s="38" t="n">
        <x:v>-0.0194663318</x:v>
      </x:c>
      <x:c r="AR18" s="38" t="n">
        <x:v>-0.0250880108</x:v>
      </x:c>
    </x:row>
    <x:row r="19" ht="19" customHeight="1">
      <x:c r="A19" s="39" t="d">
        <x:v>2021-07-19T00:00:00.000Z</x:v>
      </x:c>
      <x:c r="B19" s="38" t="n">
        <x:v>0.0247391046</x:v>
      </x:c>
      <x:c r="C19" s="38" t="n">
        <x:v>0.0377983153</x:v>
      </x:c>
      <x:c r="D19" s="38" t="n">
        <x:v>0.0092561288</x:v>
      </x:c>
      <x:c r="E19" s="38" t="n">
        <x:v>0.0074155284</x:v>
      </x:c>
      <x:c r="F19" s="38" t="n">
        <x:v>-0.008143034</x:v>
      </x:c>
      <x:c r="G19" s="38" t="n">
        <x:v>0.1220790897</x:v>
      </x:c>
      <x:c r="H19" s="38" t="n">
        <x:v>0.0472430897</x:v>
      </x:c>
      <x:c r="I19" s="38" t="n">
        <x:v>-0.0335200126</x:v>
      </x:c>
      <x:c r="J19" s="38" t="n">
        <x:v>-0.007746716</x:v>
      </x:c>
      <x:c r="K19" s="38" t="n">
        <x:v>-0.1655368723</x:v>
      </x:c>
      <x:c r="L19" s="38" t="n">
        <x:v>-0.0532603572</x:v>
      </x:c>
      <x:c r="M19" s="38" t="n">
        <x:v>-0.0160089985</x:v>
      </x:c>
      <x:c r="N19" s="38" t="n">
        <x:v>-0.0092384799</x:v>
      </x:c>
      <x:c r="O19" s="38" t="n">
        <x:v>-0.0680390757</x:v>
      </x:c>
      <x:c r="P19" s="38" t="n">
        <x:v>-0.126358988</x:v>
      </x:c>
      <x:c r="Q19" s="38" t="n">
        <x:v>0.0419728337</x:v>
      </x:c>
      <x:c r="R19" s="38" t="n">
        <x:v>-0.0188939725</x:v>
      </x:c>
      <x:c r="S19" s="38" t="n">
        <x:v>0.0730052809</x:v>
      </x:c>
      <x:c r="T19" s="38" t="n">
        <x:v>0.3012156044</x:v>
      </x:c>
      <x:c r="U19" s="38" t="n">
        <x:v>0.0399089198</x:v>
      </x:c>
      <x:c r="V19" s="38" t="n">
        <x:v>-0.0146096261</x:v>
      </x:c>
      <x:c r="W19" s="38" t="n">
        <x:v>0.0248792097</x:v>
      </x:c>
      <x:c r="X19" s="38" t="n">
        <x:v>-0.0503788671</x:v>
      </x:c>
      <x:c r="Y19" s="38" t="n">
        <x:v>-0.02734155</x:v>
      </x:c>
      <x:c r="Z19" s="38" t="n">
        <x:v>-0.0137938162</x:v>
      </x:c>
      <x:c r="AA19" s="38" t="n">
        <x:v>-0.129250487</x:v>
      </x:c>
      <x:c r="AB19" s="38" t="n">
        <x:v>-0.0308034227</x:v>
      </x:c>
      <x:c r="AC19" s="38" t="n">
        <x:v>0.0272518349</x:v>
      </x:c>
      <x:c r="AD19" s="38" t="n">
        <x:v>-0.0617286745</x:v>
      </x:c>
      <x:c r="AE19" s="38" t="n">
        <x:v>-0.0289898717</x:v>
      </x:c>
      <x:c r="AF19" s="38" t="n">
        <x:v>-0.0747419251</x:v>
      </x:c>
      <x:c r="AG19" s="38" t="n">
        <x:v>-0.0298533136</x:v>
      </x:c>
      <x:c r="AH19" s="38" t="n">
        <x:v>0.0479998747</x:v>
      </x:c>
      <x:c r="AI19" s="38" t="n">
        <x:v>0.0383663093</x:v>
      </x:c>
      <x:c r="AJ19" s="38" t="n">
        <x:v>0.0284418548</x:v>
      </x:c>
      <x:c r="AK19" s="38" t="n">
        <x:v>0.0349942837</x:v>
      </x:c>
      <x:c r="AL19" s="38" t="n">
        <x:v>0.0580823106</x:v>
      </x:c>
      <x:c r="AM19" s="38" t="n">
        <x:v>0.0537355551</x:v>
      </x:c>
      <x:c r="AN19" s="38" t="n">
        <x:v>0.0462005201</x:v>
      </x:c>
      <x:c r="AO19" s="38" t="n">
        <x:v>0.0388238173</x:v>
      </x:c>
      <x:c r="AP19" s="38" t="n">
        <x:v>0.0315656571</x:v>
      </x:c>
      <x:c r="AQ19" s="38" t="n">
        <x:v>0.0294708258</x:v>
      </x:c>
      <x:c r="AR19" s="38" t="n">
        <x:v>0.0002579711</x:v>
      </x:c>
    </x:row>
    <x:row r="20" ht="19" customHeight="1">
      <x:c r="A20" s="39" t="d">
        <x:v>2021-08-16T00:00:00.000Z</x:v>
      </x:c>
      <x:c r="B20" s="38" t="n">
        <x:v>-0.034521578</x:v>
      </x:c>
      <x:c r="C20" s="38" t="n">
        <x:v>0.0128302825</x:v>
      </x:c>
      <x:c r="D20" s="38" t="n">
        <x:v>0.0436756876</x:v>
      </x:c>
      <x:c r="E20" s="38" t="n">
        <x:v>0.0781741628</x:v>
      </x:c>
      <x:c r="F20" s="38" t="n">
        <x:v>-0.0038466709</x:v>
      </x:c>
      <x:c r="G20" s="38" t="n">
        <x:v>0.0215743087</x:v>
      </x:c>
      <x:c r="H20" s="38" t="n">
        <x:v>-0.0883629032</x:v>
      </x:c>
      <x:c r="I20" s="38" t="n">
        <x:v>-0.0078218828</x:v>
      </x:c>
      <x:c r="J20" s="38" t="n">
        <x:v>0.0299946133</x:v>
      </x:c>
      <x:c r="K20" s="38" t="n">
        <x:v>-0.0280612641</x:v>
      </x:c>
      <x:c r="L20" s="38" t="n">
        <x:v>-0.0369383736</x:v>
      </x:c>
      <x:c r="M20" s="38" t="n">
        <x:v>0.0022365362</x:v>
      </x:c>
      <x:c r="N20" s="38" t="n">
        <x:v>0.0274590308</x:v>
      </x:c>
      <x:c r="O20" s="38" t="n">
        <x:v>-0.0397128577</x:v>
      </x:c>
      <x:c r="P20" s="38" t="n">
        <x:v>0.0268777704</x:v>
      </x:c>
      <x:c r="Q20" s="38" t="n">
        <x:v>-0.0178208779</x:v>
      </x:c>
      <x:c r="R20" s="38" t="n">
        <x:v>-0.0437351385</x:v>
      </x:c>
      <x:c r="S20" s="38" t="n">
        <x:v>0.0151910077</x:v>
      </x:c>
      <x:c r="T20" s="38" t="n">
        <x:v>0.0618616286</x:v>
      </x:c>
      <x:c r="U20" s="38" t="n">
        <x:v>0.0136105284</x:v>
      </x:c>
      <x:c r="V20" s="38" t="n">
        <x:v>0.0392548917</x:v>
      </x:c>
      <x:c r="W20" s="38" t="n">
        <x:v>0.0118106722</x:v>
      </x:c>
      <x:c r="X20" s="38" t="n">
        <x:v>-0.0517741668</x:v>
      </x:c>
      <x:c r="Y20" s="38" t="n">
        <x:v>-0.0427835765</x:v>
      </x:c>
      <x:c r="Z20" s="38" t="n">
        <x:v>0.0195650863</x:v>
      </x:c>
      <x:c r="AA20" s="38" t="n">
        <x:v>-0.0249970904</x:v>
      </x:c>
      <x:c r="AB20" s="38" t="n">
        <x:v>0.3429509378</x:v>
      </x:c>
      <x:c r="AC20" s="38" t="n">
        <x:v>0.0246477531</x:v>
      </x:c>
      <x:c r="AD20" s="38" t="n">
        <x:v>-0.062792607</x:v>
      </x:c>
      <x:c r="AE20" s="38" t="n">
        <x:v>0.0221726183</x:v>
      </x:c>
      <x:c r="AF20" s="38" t="n">
        <x:v>-0.0270045554</x:v>
      </x:c>
      <x:c r="AG20" s="38" t="n">
        <x:v>-0.0033241558</x:v>
      </x:c>
      <x:c r="AH20" s="38" t="n">
        <x:v>0.0842525567</x:v>
      </x:c>
      <x:c r="AI20" s="38" t="n">
        <x:v>0.0710212554</x:v>
      </x:c>
      <x:c r="AJ20" s="38" t="n">
        <x:v>-0.0225028898</x:v>
      </x:c>
      <x:c r="AK20" s="38" t="n">
        <x:v>0.0170569604</x:v>
      </x:c>
      <x:c r="AL20" s="38" t="n">
        <x:v>0.0340319817</x:v>
      </x:c>
      <x:c r="AM20" s="38" t="n">
        <x:v>0.0216250483</x:v>
      </x:c>
      <x:c r="AN20" s="38" t="n">
        <x:v>0.0546518975</x:v>
      </x:c>
      <x:c r="AO20" s="38" t="n">
        <x:v>-0.0072030329</x:v>
      </x:c>
      <x:c r="AP20" s="38" t="n">
        <x:v>-0.0043126122</x:v>
      </x:c>
      <x:c r="AQ20" s="38" t="n">
        <x:v>0.0288568745</x:v>
      </x:c>
      <x:c r="AR20" s="38" t="n">
        <x:v>0.0159319685</x:v>
      </x:c>
    </x:row>
    <x:row r="21" ht="19" customHeight="1">
      <x:c r="A21" s="39" t="d">
        <x:v>2021-09-13T00:00:00.000Z</x:v>
      </x:c>
      <x:c r="B21" s="38" t="n">
        <x:v>-0.0070959563</x:v>
      </x:c>
      <x:c r="C21" s="38" t="n">
        <x:v>0.0541401377</x:v>
      </x:c>
      <x:c r="D21" s="38" t="n">
        <x:v>-0.0535595605</x:v>
      </x:c>
      <x:c r="E21" s="38" t="n">
        <x:v>-0.0211984556</x:v>
      </x:c>
      <x:c r="F21" s="38" t="n">
        <x:v>0.0312897719</x:v>
      </x:c>
      <x:c r="G21" s="38" t="n">
        <x:v>0.006179243</x:v>
      </x:c>
      <x:c r="H21" s="38" t="n">
        <x:v>0.0529750474</x:v>
      </x:c>
      <x:c r="I21" s="38" t="n">
        <x:v>-0.0454883525</x:v>
      </x:c>
      <x:c r="J21" s="38" t="n">
        <x:v>-0.0442354765</x:v>
      </x:c>
      <x:c r="K21" s="38" t="n">
        <x:v>0.0577055527</x:v>
      </x:c>
      <x:c r="L21" s="38" t="n">
        <x:v>0.0665326244</x:v>
      </x:c>
      <x:c r="M21" s="38" t="n">
        <x:v>0.0408510169</x:v>
      </x:c>
      <x:c r="N21" s="38" t="n">
        <x:v>-0.0435948775</x:v>
      </x:c>
      <x:c r="O21" s="38" t="n">
        <x:v>-0.0241481712</x:v>
      </x:c>
      <x:c r="P21" s="38" t="n">
        <x:v>0.1970453253</x:v>
      </x:c>
      <x:c r="Q21" s="38" t="n">
        <x:v>0.2927360077</x:v>
      </x:c>
      <x:c r="R21" s="38" t="n">
        <x:v>-0.030587429</x:v>
      </x:c>
      <x:c r="S21" s="38" t="n">
        <x:v>0.0612391361</x:v>
      </x:c>
      <x:c r="T21" s="38" t="n">
        <x:v>0.077868095</x:v>
      </x:c>
      <x:c r="U21" s="38" t="n">
        <x:v>-0.054074183</x:v>
      </x:c>
      <x:c r="V21" s="38" t="n">
        <x:v>0.0502405934</x:v>
      </x:c>
      <x:c r="W21" s="38" t="n">
        <x:v>-0.026522865</x:v>
      </x:c>
      <x:c r="X21" s="38" t="n">
        <x:v>0.0378434803</x:v>
      </x:c>
      <x:c r="Y21" s="38" t="n">
        <x:v>-0.0072380059</x:v>
      </x:c>
      <x:c r="Z21" s="38" t="n">
        <x:v>-0.0350469431</x:v>
      </x:c>
      <x:c r="AA21" s="38" t="n">
        <x:v>0.0541297882</x:v>
      </x:c>
      <x:c r="AB21" s="38" t="n">
        <x:v>0.2945695435</x:v>
      </x:c>
      <x:c r="AC21" s="38" t="n">
        <x:v>-0.0034813724</x:v>
      </x:c>
      <x:c r="AD21" s="38" t="n">
        <x:v>0.0504305952</x:v>
      </x:c>
      <x:c r="AE21" s="38" t="n">
        <x:v>-0.0436938243</x:v>
      </x:c>
      <x:c r="AF21" s="38" t="n">
        <x:v>0.0021759406</x:v>
      </x:c>
      <x:c r="AG21" s="38" t="n">
        <x:v>-0.0224251515</x:v>
      </x:c>
      <x:c r="AH21" s="38" t="n">
        <x:v>-0.0049609263</x:v>
      </x:c>
      <x:c r="AI21" s="38" t="n">
        <x:v>-0.1096779348</x:v>
      </x:c>
      <x:c r="AJ21" s="38" t="n">
        <x:v>0.0127202339</x:v>
      </x:c>
      <x:c r="AK21" s="38" t="n">
        <x:v>-0.0471595478</x:v>
      </x:c>
      <x:c r="AL21" s="38" t="n">
        <x:v>-0.0099836215</x:v>
      </x:c>
      <x:c r="AM21" s="38" t="n">
        <x:v>0.0162760335</x:v>
      </x:c>
      <x:c r="AN21" s="38" t="n">
        <x:v>0.000760761</x:v>
      </x:c>
      <x:c r="AO21" s="38" t="n">
        <x:v>0.016399412</x:v>
      </x:c>
      <x:c r="AP21" s="38" t="n">
        <x:v>-0.0215612953</x:v>
      </x:c>
      <x:c r="AQ21" s="38" t="n">
        <x:v>-0.0533948828</x:v>
      </x:c>
      <x:c r="AR21" s="38" t="n">
        <x:v>-0.0203440965</x:v>
      </x:c>
    </x:row>
    <x:row r="22" ht="19" customHeight="1">
      <x:c r="A22" s="39" t="d">
        <x:v>2021-10-11T00:00:00.000Z</x:v>
      </x:c>
      <x:c r="B22" s="38" t="n">
        <x:v>0.0687870395</x:v>
      </x:c>
      <x:c r="C22" s="38" t="n">
        <x:v>0.2401276909</x:v>
      </x:c>
      <x:c r="D22" s="38" t="n">
        <x:v>-0.0049597744</x:v>
      </x:c>
      <x:c r="E22" s="38" t="n">
        <x:v>-0.0561854685</x:v>
      </x:c>
      <x:c r="F22" s="38" t="n">
        <x:v>-0.0265407244</x:v>
      </x:c>
      <x:c r="G22" s="38" t="n">
        <x:v>-0.0284546063</x:v>
      </x:c>
      <x:c r="H22" s="38" t="n">
        <x:v>-0.0106088487</x:v>
      </x:c>
      <x:c r="I22" s="38" t="n">
        <x:v>0.098987404</x:v>
      </x:c>
      <x:c r="J22" s="38" t="n">
        <x:v>-0.008863287</x:v>
      </x:c>
      <x:c r="K22" s="38" t="n">
        <x:v>0.1236935219</x:v>
      </x:c>
      <x:c r="L22" s="38" t="n">
        <x:v>0.1251374488</x:v>
      </x:c>
      <x:c r="M22" s="38" t="n">
        <x:v>0.0879491673</x:v>
      </x:c>
      <x:c r="N22" s="38" t="n">
        <x:v>0.027878159</x:v>
      </x:c>
      <x:c r="O22" s="38" t="n">
        <x:v>-0.0301826513</x:v>
      </x:c>
      <x:c r="P22" s="38" t="n">
        <x:v>-0.006442019</x:v>
      </x:c>
      <x:c r="Q22" s="38" t="n">
        <x:v>0.0549079726</x:v>
      </x:c>
      <x:c r="R22" s="38" t="n">
        <x:v>0.0791798003</x:v>
      </x:c>
      <x:c r="S22" s="38" t="n">
        <x:v>0.1660939327</x:v>
      </x:c>
      <x:c r="T22" s="38" t="n">
        <x:v>-0.1924700521</x:v>
      </x:c>
      <x:c r="U22" s="38" t="n">
        <x:v>0.0216274554</x:v>
      </x:c>
      <x:c r="V22" s="38" t="n">
        <x:v>0.0435897263</x:v>
      </x:c>
      <x:c r="W22" s="38" t="n">
        <x:v>-0.0348899754</x:v>
      </x:c>
      <x:c r="X22" s="38" t="n">
        <x:v>-0.0626263488</x:v>
      </x:c>
      <x:c r="Y22" s="38" t="n">
        <x:v>0.0219729537</x:v>
      </x:c>
      <x:c r="Z22" s="38" t="n">
        <x:v>-0.0093320417</x:v>
      </x:c>
      <x:c r="AA22" s="38" t="n">
        <x:v>-0.071780646</x:v>
      </x:c>
      <x:c r="AB22" s="38" t="n">
        <x:v>0.1712468677</x:v>
      </x:c>
      <x:c r="AC22" s="38" t="n">
        <x:v>0.0003774244</x:v>
      </x:c>
      <x:c r="AD22" s="38" t="n">
        <x:v>0.1003355908</x:v>
      </x:c>
      <x:c r="AE22" s="38" t="n">
        <x:v>0.0760409852</x:v>
      </x:c>
      <x:c r="AF22" s="38" t="n">
        <x:v>0.0116505003</x:v>
      </x:c>
      <x:c r="AG22" s="38" t="n">
        <x:v>0.0522084968</x:v>
      </x:c>
      <x:c r="AH22" s="38" t="n">
        <x:v>0.0520048506</x:v>
      </x:c>
      <x:c r="AI22" s="38" t="n">
        <x:v>0.0226544202</x:v>
      </x:c>
      <x:c r="AJ22" s="38" t="n">
        <x:v>-0.0137912217</x:v>
      </x:c>
      <x:c r="AK22" s="38" t="n">
        <x:v>0.047829156</x:v>
      </x:c>
      <x:c r="AL22" s="38" t="n">
        <x:v>0.0097894063</x:v>
      </x:c>
      <x:c r="AM22" s="38" t="n">
        <x:v>0.0027427229</x:v>
      </x:c>
      <x:c r="AN22" s="38" t="n">
        <x:v>-0.0106389638</x:v>
      </x:c>
      <x:c r="AO22" s="38" t="n">
        <x:v>0.0292786212</x:v>
      </x:c>
      <x:c r="AP22" s="38" t="n">
        <x:v>0.0005002688</x:v>
      </x:c>
      <x:c r="AQ22" s="38" t="n">
        <x:v>-0.0144182249</x:v>
      </x:c>
      <x:c r="AR22" s="38" t="n">
        <x:v>0.0180967422</x:v>
      </x:c>
    </x:row>
    <x:row r="23" ht="19" customHeight="1">
      <x:c r="A23" s="39" t="d">
        <x:v>2021-11-08T00:00:00.000Z</x:v>
      </x:c>
      <x:c r="B23" s="38" t="n">
        <x:v>-0.0010540649</x:v>
      </x:c>
      <x:c r="C23" s="38" t="n">
        <x:v>-0.0455254034</x:v>
      </x:c>
      <x:c r="D23" s="38" t="n">
        <x:v>-0.0058202721</x:v>
      </x:c>
      <x:c r="E23" s="38" t="n">
        <x:v>0.002393634</x:v>
      </x:c>
      <x:c r="F23" s="38" t="n">
        <x:v>-0.0692586962</x:v>
      </x:c>
      <x:c r="G23" s="38" t="n">
        <x:v>0.0119978434</x:v>
      </x:c>
      <x:c r="H23" s="38" t="n">
        <x:v>0.0231458515</x:v>
      </x:c>
      <x:c r="I23" s="38" t="n">
        <x:v>0.1510552779</x:v>
      </x:c>
      <x:c r="J23" s="38" t="n">
        <x:v>0.191150051</x:v>
      </x:c>
      <x:c r="K23" s="38" t="n">
        <x:v>-0.0185170523</x:v>
      </x:c>
      <x:c r="L23" s="38" t="n">
        <x:v>0.0655898571</x:v>
      </x:c>
      <x:c r="M23" s="38" t="n">
        <x:v>-0.0290190745</x:v>
      </x:c>
      <x:c r="N23" s="38" t="n">
        <x:v>-0.0128556289</x:v>
      </x:c>
      <x:c r="O23" s="38" t="n">
        <x:v>0.0614086013</x:v>
      </x:c>
      <x:c r="P23" s="38" t="n">
        <x:v>-0.0186917011</x:v>
      </x:c>
      <x:c r="Q23" s="38" t="n">
        <x:v>0.2284669581</x:v>
      </x:c>
      <x:c r="R23" s="38" t="n">
        <x:v>0.0409870379</x:v>
      </x:c>
      <x:c r="S23" s="38" t="n">
        <x:v>0.1379993906</x:v>
      </x:c>
      <x:c r="T23" s="38" t="n">
        <x:v>-0.2336489034</x:v>
      </x:c>
      <x:c r="U23" s="38" t="n">
        <x:v>-0.0298764588</x:v>
      </x:c>
      <x:c r="V23" s="38" t="n">
        <x:v>0.0572956397</x:v>
      </x:c>
      <x:c r="W23" s="38" t="n">
        <x:v>-0.0066837131</x:v>
      </x:c>
      <x:c r="X23" s="38" t="n">
        <x:v>0.0918307548</x:v>
      </x:c>
      <x:c r="Y23" s="38" t="n">
        <x:v>0.02029564</x:v>
      </x:c>
      <x:c r="Z23" s="38" t="n">
        <x:v>0.0362852111</x:v>
      </x:c>
      <x:c r="AA23" s="38" t="n">
        <x:v>-0.0841750339</x:v>
      </x:c>
      <x:c r="AB23" s="38" t="n">
        <x:v>-0.2691397061</x:v>
      </x:c>
      <x:c r="AC23" s="38" t="n">
        <x:v>0.0144337573</x:v>
      </x:c>
      <x:c r="AD23" s="38" t="n">
        <x:v>0.1497681788</x:v>
      </x:c>
      <x:c r="AE23" s="38" t="n">
        <x:v>-0.0236605411</x:v>
      </x:c>
      <x:c r="AF23" s="38" t="n">
        <x:v>0.0123682262</x:v>
      </x:c>
      <x:c r="AG23" s="38" t="n">
        <x:v>-0.0635549309</x:v>
      </x:c>
      <x:c r="AH23" s="38" t="n">
        <x:v>0.1913259029</x:v>
      </x:c>
      <x:c r="AI23" s="38" t="n">
        <x:v>0.0627458394</x:v>
      </x:c>
      <x:c r="AJ23" s="38" t="n">
        <x:v>0.0117297264</x:v>
      </x:c>
      <x:c r="AK23" s="38" t="n">
        <x:v>-0.0262573349</x:v>
      </x:c>
      <x:c r="AL23" s="38" t="n">
        <x:v>0.0701557857</x:v>
      </x:c>
      <x:c r="AM23" s="38" t="n">
        <x:v>0.0348356929</x:v>
      </x:c>
      <x:c r="AN23" s="38" t="n">
        <x:v>0.0935856999</x:v>
      </x:c>
      <x:c r="AO23" s="38" t="n">
        <x:v>0.0424816069</x:v>
      </x:c>
      <x:c r="AP23" s="38" t="n">
        <x:v>0.0264997524</x:v>
      </x:c>
      <x:c r="AQ23" s="38" t="n">
        <x:v>0.0157123211</x:v>
      </x:c>
      <x:c r="AR23" s="38" t="n">
        <x:v>0.0043139618</x:v>
      </x:c>
    </x:row>
    <x:row r="24" ht="19" customHeight="1">
      <x:c r="A24" s="39" t="d">
        <x:v>2021-12-06T00:00:00.000Z</x:v>
      </x:c>
      <x:c r="B24" s="38" t="n">
        <x:v>0.0472299803</x:v>
      </x:c>
      <x:c r="C24" s="38" t="n">
        <x:v>-0.0200739835</x:v>
      </x:c>
      <x:c r="D24" s="38" t="n">
        <x:v>0.0166325122</x:v>
      </x:c>
      <x:c r="E24" s="38" t="n">
        <x:v>0.0389696662</x:v>
      </x:c>
      <x:c r="F24" s="38" t="n">
        <x:v>-0.0310566971</x:v>
      </x:c>
      <x:c r="G24" s="38" t="n">
        <x:v>-0.0553959294</x:v>
      </x:c>
      <x:c r="H24" s="38" t="n">
        <x:v>-0.0162716869</x:v>
      </x:c>
      <x:c r="I24" s="38" t="n">
        <x:v>-0.0217304544</x:v>
      </x:c>
      <x:c r="J24" s="38" t="n">
        <x:v>-0.0278321485</x:v>
      </x:c>
      <x:c r="K24" s="38" t="n">
        <x:v>-0.0456322204</x:v>
      </x:c>
      <x:c r="L24" s="38" t="n">
        <x:v>-0.0379067747</x:v>
      </x:c>
      <x:c r="M24" s="38" t="n">
        <x:v>0.0203224706</x:v>
      </x:c>
      <x:c r="N24" s="38" t="n">
        <x:v>-0.0424672443</x:v>
      </x:c>
      <x:c r="O24" s="38" t="n">
        <x:v>-0.0318398946</x:v>
      </x:c>
      <x:c r="P24" s="38" t="n">
        <x:v>-0.0745739114</x:v>
      </x:c>
      <x:c r="Q24" s="38" t="n">
        <x:v>-0.2712617581</x:v>
      </x:c>
      <x:c r="R24" s="38" t="n">
        <x:v>0.0137016262</x:v>
      </x:c>
      <x:c r="S24" s="38" t="n">
        <x:v>-0.2640315014</x:v>
      </x:c>
      <x:c r="T24" s="38" t="n">
        <x:v>0.0743304005</x:v>
      </x:c>
      <x:c r="U24" s="38" t="n">
        <x:v>-0.1305261421</x:v>
      </x:c>
      <x:c r="V24" s="38" t="n">
        <x:v>-0.0769074915</x:v>
      </x:c>
      <x:c r="W24" s="38" t="n">
        <x:v>-0.0694807667</x:v>
      </x:c>
      <x:c r="X24" s="38" t="n">
        <x:v>0.0709811082</x:v>
      </x:c>
      <x:c r="Y24" s="38" t="n">
        <x:v>-0.0252370673</x:v>
      </x:c>
      <x:c r="Z24" s="38" t="n">
        <x:v>-0.0081352335</x:v>
      </x:c>
      <x:c r="AA24" s="38" t="n">
        <x:v>-0.0408898457</x:v>
      </x:c>
      <x:c r="AB24" s="38" t="n">
        <x:v>-0.3481287047</x:v>
      </x:c>
      <x:c r="AC24" s="38" t="n">
        <x:v>0.0413129087</x:v>
      </x:c>
      <x:c r="AD24" s="38" t="n">
        <x:v>0.0703101233</x:v>
      </x:c>
      <x:c r="AE24" s="38" t="n">
        <x:v>0.0321846325</x:v>
      </x:c>
      <x:c r="AF24" s="38" t="n">
        <x:v>-0.0523328781</x:v>
      </x:c>
      <x:c r="AG24" s="38" t="n">
        <x:v>-0.0180509903</x:v>
      </x:c>
      <x:c r="AH24" s="38" t="n">
        <x:v>-0.0457164493</x:v>
      </x:c>
      <x:c r="AI24" s="38" t="n">
        <x:v>-0.0431621826</x:v>
      </x:c>
      <x:c r="AJ24" s="38" t="n">
        <x:v>-0.0186439529</x:v>
      </x:c>
      <x:c r="AK24" s="38" t="n">
        <x:v>0.0407401441</x:v>
      </x:c>
      <x:c r="AL24" s="38" t="n">
        <x:v>0.0132897597</x:v>
      </x:c>
      <x:c r="AM24" s="38" t="n">
        <x:v>-0.0031957633</x:v>
      </x:c>
      <x:c r="AN24" s="38" t="n">
        <x:v>0.0542788525</x:v>
      </x:c>
      <x:c r="AO24" s="38" t="n">
        <x:v>0.0790349789</x:v>
      </x:c>
      <x:c r="AP24" s="38" t="n">
        <x:v>0.0013164268</x:v>
      </x:c>
      <x:c r="AQ24" s="38" t="n">
        <x:v>0.0066106613</x:v>
      </x:c>
      <x:c r="AR24" s="38" t="n">
        <x:v>0.0054674069</x:v>
      </x:c>
    </x:row>
    <x:row r="25" ht="19" customHeight="1">
      <x:c r="A25" s="39" t="d">
        <x:v>2022-01-03T00:00:00.000Z</x:v>
      </x:c>
      <x:c r="B25" s="38" t="n">
        <x:v>0.0601118291</x:v>
      </x:c>
      <x:c r="C25" s="38" t="n">
        <x:v>-0.0172154974</x:v>
      </x:c>
      <x:c r="D25" s="38" t="n">
        <x:v>0.0554086951</x:v>
      </x:c>
      <x:c r="E25" s="38" t="n">
        <x:v>0.0305650484</x:v>
      </x:c>
      <x:c r="F25" s="38" t="n">
        <x:v>0.0234380992</x:v>
      </x:c>
      <x:c r="G25" s="38" t="n">
        <x:v>-0.0529515018</x:v>
      </x:c>
      <x:c r="H25" s="38" t="n">
        <x:v>-0.0410199522</x:v>
      </x:c>
      <x:c r="I25" s="38" t="n">
        <x:v>-0.0071548349</x:v>
      </x:c>
      <x:c r="J25" s="38" t="n">
        <x:v>0.051402997</x:v>
      </x:c>
      <x:c r="K25" s="38" t="n">
        <x:v>0.095154311</x:v>
      </x:c>
      <x:c r="L25" s="38" t="n">
        <x:v>0.0870465862</x:v>
      </x:c>
      <x:c r="M25" s="38" t="n">
        <x:v>-0.0078185333</x:v>
      </x:c>
      <x:c r="N25" s="38" t="n">
        <x:v>-0.0587761178</x:v>
      </x:c>
      <x:c r="O25" s="38" t="n">
        <x:v>0.0915951907</x:v>
      </x:c>
      <x:c r="P25" s="38" t="n">
        <x:v>-0.1284027889</x:v>
      </x:c>
      <x:c r="Q25" s="38" t="n">
        <x:v>-0.1240651213</x:v>
      </x:c>
      <x:c r="R25" s="38" t="n">
        <x:v>-0.0003724415</x:v>
      </x:c>
      <x:c r="S25" s="38" t="n">
        <x:v>-0.1934837666</x:v>
      </x:c>
      <x:c r="T25" s="38" t="n">
        <x:v>-0.1307638951</x:v>
      </x:c>
      <x:c r="U25" s="38" t="n">
        <x:v>0.0185476394</x:v>
      </x:c>
      <x:c r="V25" s="38" t="n">
        <x:v>-0.0871672665</x:v>
      </x:c>
      <x:c r="W25" s="38" t="n">
        <x:v>0.0266018553</x:v>
      </x:c>
      <x:c r="X25" s="38" t="n">
        <x:v>0.0711800962</x:v>
      </x:c>
      <x:c r="Y25" s="38" t="n">
        <x:v>0.0409824837</x:v>
      </x:c>
      <x:c r="Z25" s="38" t="n">
        <x:v>0.1095427284</x:v>
      </x:c>
      <x:c r="AA25" s="38" t="n">
        <x:v>-0.0944677777</x:v>
      </x:c>
      <x:c r="AB25" s="38" t="n">
        <x:v>-0.2260828108</x:v>
      </x:c>
      <x:c r="AC25" s="38" t="n">
        <x:v>0.0325263896</x:v>
      </x:c>
      <x:c r="AD25" s="38" t="n">
        <x:v>0.0927466497</x:v>
      </x:c>
      <x:c r="AE25" s="38" t="n">
        <x:v>0.0844891437</x:v>
      </x:c>
      <x:c r="AF25" s="38" t="n">
        <x:v>0.0352931501</x:v>
      </x:c>
      <x:c r="AG25" s="38" t="n">
        <x:v>0.0262239028</x:v>
      </x:c>
      <x:c r="AH25" s="38" t="n">
        <x:v>-0.0344197239</x:v>
      </x:c>
      <x:c r="AI25" s="38" t="n">
        <x:v>0.0433644048</x:v>
      </x:c>
      <x:c r="AJ25" s="38" t="n">
        <x:v>0.0426877495</x:v>
      </x:c>
      <x:c r="AK25" s="38" t="n">
        <x:v>0.009382528</x:v>
      </x:c>
      <x:c r="AL25" s="38" t="n">
        <x:v>-0.0617389762</x:v>
      </x:c>
      <x:c r="AM25" s="38" t="n">
        <x:v>-0.0548088322</x:v>
      </x:c>
      <x:c r="AN25" s="38" t="n">
        <x:v>-0.0293936395</x:v>
      </x:c>
      <x:c r="AO25" s="38" t="n">
        <x:v>-0.0382945978</x:v>
      </x:c>
      <x:c r="AP25" s="38" t="n">
        <x:v>0.0493880634</x:v>
      </x:c>
      <x:c r="AQ25" s="38" t="n">
        <x:v>0.0354345045</x:v>
      </x:c>
      <x:c r="AR25" s="38" t="n">
        <x:v>0.0738256486</x:v>
      </x:c>
    </x:row>
    <x:row r="26" ht="19" customHeight="1">
      <x:c r="A26" s="39" t="d">
        <x:v>2022-01-31T00:00:00.000Z</x:v>
      </x:c>
      <x:c r="B26" s="38" t="n">
        <x:v>-0.0284866339</x:v>
      </x:c>
      <x:c r="C26" s="38" t="n">
        <x:v>0.0844784456</x:v>
      </x:c>
      <x:c r="D26" s="38" t="n">
        <x:v>-0.013057106</x:v>
      </x:c>
      <x:c r="E26" s="38" t="n">
        <x:v>-0.0079506006</x:v>
      </x:c>
      <x:c r="F26" s="38" t="n">
        <x:v>-0.0760822416</x:v>
      </x:c>
      <x:c r="G26" s="38" t="n">
        <x:v>-0.0535348087</x:v>
      </x:c>
      <x:c r="H26" s="38" t="n">
        <x:v>-0.0221285531</x:v>
      </x:c>
      <x:c r="I26" s="38" t="n">
        <x:v>-0.0903994658</x:v>
      </x:c>
      <x:c r="J26" s="38" t="n">
        <x:v>-0.0147001465</x:v>
      </x:c>
      <x:c r="K26" s="38" t="n">
        <x:v>0.0572267116</x:v>
      </x:c>
      <x:c r="L26" s="38" t="n">
        <x:v>0.0592178107</x:v>
      </x:c>
      <x:c r="M26" s="38" t="n">
        <x:v>0.033413747</x:v>
      </x:c>
      <x:c r="N26" s="38" t="n">
        <x:v>-0.0633757431</x:v>
      </x:c>
      <x:c r="O26" s="38" t="n">
        <x:v>-0.1726288651</x:v>
      </x:c>
      <x:c r="P26" s="38" t="n">
        <x:v>0.0299034309</x:v>
      </x:c>
      <x:c r="Q26" s="38" t="n">
        <x:v>-0.152787759</x:v>
      </x:c>
      <x:c r="R26" s="38" t="n">
        <x:v>0.0646886502</x:v>
      </x:c>
      <x:c r="S26" s="38" t="n">
        <x:v>-0.0261343589</x:v>
      </x:c>
      <x:c r="T26" s="38" t="n">
        <x:v>-0.1957075605</x:v>
      </x:c>
      <x:c r="U26" s="38" t="n">
        <x:v>-0.011005716</x:v>
      </x:c>
      <x:c r="V26" s="38" t="n">
        <x:v>-0.1996348367</x:v>
      </x:c>
      <x:c r="W26" s="38" t="n">
        <x:v>-0.0104446607</x:v>
      </x:c>
      <x:c r="X26" s="38" t="n">
        <x:v>-0.1092207967</x:v>
      </x:c>
      <x:c r="Y26" s="38" t="n">
        <x:v>0.0179673171</x:v>
      </x:c>
      <x:c r="Z26" s="38" t="n">
        <x:v>-0.000726523</x:v>
      </x:c>
      <x:c r="AA26" s="38" t="n">
        <x:v>-0.066583748</x:v>
      </x:c>
      <x:c r="AB26" s="38" t="n">
        <x:v>-0.1228053716</x:v>
      </x:c>
      <x:c r="AC26" s="38" t="n">
        <x:v>-0.0014981198</x:v>
      </x:c>
      <x:c r="AD26" s="38" t="n">
        <x:v>-0.2183670763</x:v>
      </x:c>
      <x:c r="AE26" s="38" t="n">
        <x:v>-0.0123072399</x:v>
      </x:c>
      <x:c r="AF26" s="38" t="n">
        <x:v>-0.0309247346</x:v>
      </x:c>
      <x:c r="AG26" s="38" t="n">
        <x:v>-0.039738651</x:v>
      </x:c>
      <x:c r="AH26" s="38" t="n">
        <x:v>-0.0473943508</x:v>
      </x:c>
      <x:c r="AI26" s="38" t="n">
        <x:v>-0.0495226261</x:v>
      </x:c>
      <x:c r="AJ26" s="38" t="n">
        <x:v>-0.0634430388</x:v>
      </x:c>
      <x:c r="AK26" s="38" t="n">
        <x:v>-0.0476236949</x:v>
      </x:c>
      <x:c r="AL26" s="38" t="n">
        <x:v>-0.0188357375</x:v>
      </x:c>
      <x:c r="AM26" s="38" t="n">
        <x:v>0.0322825242</x:v>
      </x:c>
      <x:c r="AN26" s="38" t="n">
        <x:v>-0.0213137006</x:v>
      </x:c>
      <x:c r="AO26" s="38" t="n">
        <x:v>-0.064998231</x:v>
      </x:c>
      <x:c r="AP26" s="38" t="n">
        <x:v>0.0074880422</x:v>
      </x:c>
      <x:c r="AQ26" s="38" t="n">
        <x:v>-0.0096782732</x:v>
      </x:c>
      <x:c r="AR26" s="38" t="n">
        <x:v>-0.0108787697</x:v>
      </x:c>
    </x:row>
    <x:row r="27" ht="19" customHeight="1">
      <x:c r="A27" s="39" t="d">
        <x:v>2022-02-28T00:00:00.000Z</x:v>
      </x:c>
      <x:c r="B27" s="38" t="n">
        <x:v>0.0224245236</x:v>
      </x:c>
      <x:c r="C27" s="38" t="n">
        <x:v>0.1726312634</x:v>
      </x:c>
      <x:c r="D27" s="38" t="n">
        <x:v>0.0628117341</x:v>
      </x:c>
      <x:c r="E27" s="38" t="n">
        <x:v>0.015434197</x:v>
      </x:c>
      <x:c r="F27" s="38" t="n">
        <x:v>-0.0067225739</x:v>
      </x:c>
      <x:c r="G27" s="38" t="n">
        <x:v>-0.0205705591</x:v>
      </x:c>
      <x:c r="H27" s="38" t="n">
        <x:v>-0.0578740052</x:v>
      </x:c>
      <x:c r="I27" s="38" t="n">
        <x:v>0.0037074395</x:v>
      </x:c>
      <x:c r="J27" s="38" t="n">
        <x:v>-0.0382344341</x:v>
      </x:c>
      <x:c r="K27" s="38" t="n">
        <x:v>-0.0060962853</x:v>
      </x:c>
      <x:c r="L27" s="38" t="n">
        <x:v>0.1456478069</x:v>
      </x:c>
      <x:c r="M27" s="38" t="n">
        <x:v>0.1984258998</x:v>
      </x:c>
      <x:c r="N27" s="38" t="n">
        <x:v>0.06915488</x:v>
      </x:c>
      <x:c r="O27" s="38" t="n">
        <x:v>-0.0220590938</x:v>
      </x:c>
      <x:c r="P27" s="38" t="n">
        <x:v>-0.1118415147</x:v>
      </x:c>
      <x:c r="Q27" s="38" t="n">
        <x:v>-0.0788427192</x:v>
      </x:c>
      <x:c r="R27" s="38" t="n">
        <x:v>-0.0071621135</x:v>
      </x:c>
      <x:c r="S27" s="38" t="n">
        <x:v>-0.0163336928</x:v>
      </x:c>
      <x:c r="T27" s="38" t="n">
        <x:v>-0.129965316</x:v>
      </x:c>
      <x:c r="U27" s="38" t="n">
        <x:v>-0.0252791552</x:v>
      </x:c>
      <x:c r="V27" s="38" t="n">
        <x:v>-0.0918731721</x:v>
      </x:c>
      <x:c r="W27" s="38" t="n">
        <x:v>-0.0321122575</x:v>
      </x:c>
      <x:c r="X27" s="38" t="n">
        <x:v>0.0066345811</x:v>
      </x:c>
      <x:c r="Y27" s="38" t="n">
        <x:v>0.1448320076</x:v>
      </x:c>
      <x:c r="Z27" s="38" t="n">
        <x:v>-0.0127107084</x:v>
      </x:c>
      <x:c r="AA27" s="38" t="n">
        <x:v>0.0675291562</x:v>
      </x:c>
      <x:c r="AB27" s="38" t="n">
        <x:v>0.1920911207</x:v>
      </x:c>
      <x:c r="AC27" s="38" t="n">
        <x:v>-0.0295070518</x:v>
      </x:c>
      <x:c r="AD27" s="38" t="n">
        <x:v>-0.0466380039</x:v>
      </x:c>
      <x:c r="AE27" s="38" t="n">
        <x:v>-0.0184640189</x:v>
      </x:c>
      <x:c r="AF27" s="38" t="n">
        <x:v>-0.0968238273</x:v>
      </x:c>
      <x:c r="AG27" s="38" t="n">
        <x:v>0.1342513808</x:v>
      </x:c>
      <x:c r="AH27" s="38" t="n">
        <x:v>-0.0958621858</x:v>
      </x:c>
      <x:c r="AI27" s="38" t="n">
        <x:v>0.0627037869</x:v>
      </x:c>
      <x:c r="AJ27" s="38" t="n">
        <x:v>0.0633831089</x:v>
      </x:c>
      <x:c r="AK27" s="38" t="n">
        <x:v>-0.1269118166</x:v>
      </x:c>
      <x:c r="AL27" s="38" t="n">
        <x:v>-0.0379598746</x:v>
      </x:c>
      <x:c r="AM27" s="38" t="n">
        <x:v>-0.0605292783</x:v>
      </x:c>
      <x:c r="AN27" s="38" t="n">
        <x:v>0.0080149588</x:v>
      </x:c>
      <x:c r="AO27" s="38" t="n">
        <x:v>-0.075766283</x:v>
      </x:c>
      <x:c r="AP27" s="38" t="n">
        <x:v>0.0190569597</x:v>
      </x:c>
      <x:c r="AQ27" s="38" t="n">
        <x:v>-0.0045379166</x:v>
      </x:c>
      <x:c r="AR27" s="38" t="n">
        <x:v>0.0236346575</x:v>
      </x:c>
    </x:row>
    <x:row r="28" ht="19" customHeight="1">
      <x:c r="A28" s="39" t="d">
        <x:v>2022-03-28T00:00:00.000Z</x:v>
      </x:c>
      <x:c r="B28" s="38" t="n">
        <x:v>0.0356619829</x:v>
      </x:c>
      <x:c r="C28" s="38" t="n">
        <x:v>0.0908654284</x:v>
      </x:c>
      <x:c r="D28" s="38" t="n">
        <x:v>0.0388340375</x:v>
      </x:c>
      <x:c r="E28" s="38" t="n">
        <x:v>0.0501219304</x:v>
      </x:c>
      <x:c r="F28" s="38" t="n">
        <x:v>-0.0198636231</x:v>
      </x:c>
      <x:c r="G28" s="38" t="n">
        <x:v>0.0741770633</x:v>
      </x:c>
      <x:c r="H28" s="38" t="n">
        <x:v>0.0860314744</x:v>
      </x:c>
      <x:c r="I28" s="38" t="n">
        <x:v>0.0445277812</x:v>
      </x:c>
      <x:c r="J28" s="38" t="n">
        <x:v>-0.1005975775</x:v>
      </x:c>
      <x:c r="K28" s="38" t="n">
        <x:v>0.1213531835</x:v>
      </x:c>
      <x:c r="L28" s="38" t="n">
        <x:v>0.0663316629</x:v>
      </x:c>
      <x:c r="M28" s="38" t="n">
        <x:v>0.0690662775</x:v>
      </x:c>
      <x:c r="N28" s="38" t="n">
        <x:v>0.0785705852</x:v>
      </x:c>
      <x:c r="O28" s="38" t="n">
        <x:v>-0.0282596465</x:v>
      </x:c>
      <x:c r="P28" s="38" t="n">
        <x:v>0.0770026118</x:v>
      </x:c>
      <x:c r="Q28" s="38" t="n">
        <x:v>0.1098035317</x:v>
      </x:c>
      <x:c r="R28" s="38" t="n">
        <x:v>-0.0087761028</x:v>
      </x:c>
      <x:c r="S28" s="38" t="n">
        <x:v>0.149777015</x:v>
      </x:c>
      <x:c r="T28" s="38" t="n">
        <x:v>0.1911389255</x:v>
      </x:c>
      <x:c r="U28" s="38" t="n">
        <x:v>0.0063068232</x:v>
      </x:c>
      <x:c r="V28" s="38" t="n">
        <x:v>0.0236808475</x:v>
      </x:c>
      <x:c r="W28" s="38" t="n">
        <x:v>0.0076556915</x:v>
      </x:c>
      <x:c r="X28" s="38" t="n">
        <x:v>-0.0537698406</x:v>
      </x:c>
      <x:c r="Y28" s="38" t="n">
        <x:v>0.085602496</x:v>
      </x:c>
      <x:c r="Z28" s="38" t="n">
        <x:v>0.0533678714</x:v>
      </x:c>
      <x:c r="AA28" s="38" t="n">
        <x:v>0.05598324</x:v>
      </x:c>
      <x:c r="AB28" s="38" t="n">
        <x:v>-0.1204923925</x:v>
      </x:c>
      <x:c r="AC28" s="38" t="n">
        <x:v>-0.0002389663</x:v>
      </x:c>
      <x:c r="AD28" s="38" t="n">
        <x:v>-0.0088529687</x:v>
      </x:c>
      <x:c r="AE28" s="38" t="n">
        <x:v>-0.0004383107</x:v>
      </x:c>
      <x:c r="AF28" s="38" t="n">
        <x:v>0.0395946858</x:v>
      </x:c>
      <x:c r="AG28" s="38" t="n">
        <x:v>-0.0543441118</x:v>
      </x:c>
      <x:c r="AH28" s="38" t="n">
        <x:v>-0.0015061374</x:v>
      </x:c>
      <x:c r="AI28" s="38" t="n">
        <x:v>0.0796189088</x:v>
      </x:c>
      <x:c r="AJ28" s="38" t="n">
        <x:v>0.086229011</x:v>
      </x:c>
      <x:c r="AK28" s="38" t="n">
        <x:v>0.107641577</x:v>
      </x:c>
      <x:c r="AL28" s="38" t="n">
        <x:v>0.0484163103</x:v>
      </x:c>
      <x:c r="AM28" s="38" t="n">
        <x:v>0.044947917</x:v>
      </x:c>
      <x:c r="AN28" s="38" t="n">
        <x:v>0.0674779483</x:v>
      </x:c>
      <x:c r="AO28" s="38" t="n">
        <x:v>-0.0485383541</x:v>
      </x:c>
      <x:c r="AP28" s="38" t="n">
        <x:v>0.0092003394</x:v>
      </x:c>
      <x:c r="AQ28" s="38" t="n">
        <x:v>0.03715698</x:v>
      </x:c>
      <x:c r="AR28" s="38" t="n">
        <x:v>0.0581422147</x:v>
      </x:c>
    </x:row>
    <x:row r="29" ht="19" customHeight="1">
      <x:c r="A29" s="39" t="d">
        <x:v>2022-04-25T00:00:00.000Z</x:v>
      </x:c>
      <x:c r="B29" s="38" t="n">
        <x:v>0.0490510854</x:v>
      </x:c>
      <x:c r="C29" s="38" t="n">
        <x:v>-0.0622367064</x:v>
      </x:c>
      <x:c r="D29" s="38" t="n">
        <x:v>-0.0179920809</x:v>
      </x:c>
      <x:c r="E29" s="38" t="n">
        <x:v>-0.0078046899</x:v>
      </x:c>
      <x:c r="F29" s="38" t="n">
        <x:v>-0.1539933936</x:v>
      </x:c>
      <x:c r="G29" s="38" t="n">
        <x:v>-0.0683124293</x:v>
      </x:c>
      <x:c r="H29" s="38" t="n">
        <x:v>-0.2065094829</x:v>
      </x:c>
      <x:c r="I29" s="38" t="n">
        <x:v>-0.0492141445</x:v>
      </x:c>
      <x:c r="J29" s="38" t="n">
        <x:v>-0.064771282</x:v>
      </x:c>
      <x:c r="K29" s="38" t="n">
        <x:v>0.0722290048</x:v>
      </x:c>
      <x:c r="L29" s="38" t="n">
        <x:v>-0.0226421546</x:v>
      </x:c>
      <x:c r="M29" s="38" t="n">
        <x:v>-0.0411029101</x:v>
      </x:c>
      <x:c r="N29" s="38" t="n">
        <x:v>-0.0916087312</x:v>
      </x:c>
      <x:c r="O29" s="38" t="n">
        <x:v>0.0694192341</x:v>
      </x:c>
      <x:c r="P29" s="38" t="n">
        <x:v>-0.1800999229</x:v>
      </x:c>
      <x:c r="Q29" s="38" t="n">
        <x:v>-0.3102748475</x:v>
      </x:c>
      <x:c r="R29" s="38" t="n">
        <x:v>-0.0671235361</x:v>
      </x:c>
      <x:c r="S29" s="38" t="n">
        <x:v>-0.270904189</x:v>
      </x:c>
      <x:c r="T29" s="38" t="n">
        <x:v>-0.2052349753</x:v>
      </x:c>
      <x:c r="U29" s="38" t="n">
        <x:v>-0.1627367521</x:v>
      </x:c>
      <x:c r="V29" s="38" t="n">
        <x:v>-0.5067569278</x:v>
      </x:c>
      <x:c r="W29" s="38" t="n">
        <x:v>-0.1326763514</x:v>
      </x:c>
      <x:c r="X29" s="38" t="n">
        <x:v>-0.0822904494</x:v>
      </x:c>
      <x:c r="Y29" s="38" t="n">
        <x:v>-0.0960873731</x:v>
      </x:c>
      <x:c r="Z29" s="38" t="n">
        <x:v>-0.0522754715</x:v>
      </x:c>
      <x:c r="AA29" s="38" t="n">
        <x:v>0.0559698793</x:v>
      </x:c>
      <x:c r="AB29" s="38" t="n">
        <x:v>-0.2811315659</x:v>
      </x:c>
      <x:c r="AC29" s="38" t="n">
        <x:v>0.030224256</x:v>
      </x:c>
      <x:c r="AD29" s="38" t="n">
        <x:v>-0.116821815</x:v>
      </x:c>
      <x:c r="AE29" s="38" t="n">
        <x:v>-0.04175959</x:v>
      </x:c>
      <x:c r="AF29" s="38" t="n">
        <x:v>-0.1865928506</x:v>
      </x:c>
      <x:c r="AG29" s="38" t="n">
        <x:v>0.0366119184</x:v>
      </x:c>
      <x:c r="AH29" s="38" t="n">
        <x:v>-0.176813359</x:v>
      </x:c>
      <x:c r="AI29" s="38" t="n">
        <x:v>-0.0013887561</x:v>
      </x:c>
      <x:c r="AJ29" s="38" t="n">
        <x:v>-0.0559151376</x:v>
      </x:c>
      <x:c r="AK29" s="38" t="n">
        <x:v>-0.0724822312</x:v>
      </x:c>
      <x:c r="AL29" s="38" t="n">
        <x:v>-0.0818174898</x:v>
      </x:c>
      <x:c r="AM29" s="38" t="n">
        <x:v>-0.1545703782</x:v>
      </x:c>
      <x:c r="AN29" s="38" t="n">
        <x:v>-0.0583656458</x:v>
      </x:c>
      <x:c r="AO29" s="38" t="n">
        <x:v>-0.0037206238</x:v>
      </x:c>
      <x:c r="AP29" s="38" t="n">
        <x:v>0.0205282653</x:v>
      </x:c>
      <x:c r="AQ29" s="38" t="n">
        <x:v>0.0095188305</x:v>
      </x:c>
      <x:c r="AR29" s="38" t="n">
        <x:v>-0.064791605</x:v>
      </x:c>
    </x:row>
    <x:row r="30" ht="19" customHeight="1">
      <x:c r="A30" s="39" t="d">
        <x:v>2022-05-23T00:00:00.000Z</x:v>
      </x:c>
      <x:c r="B30" s="38" t="n">
        <x:v>0.0383401671</x:v>
      </x:c>
      <x:c r="C30" s="38" t="n">
        <x:v>0.0995781204</x:v>
      </x:c>
      <x:c r="D30" s="38" t="n">
        <x:v>0.0395619093</x:v>
      </x:c>
      <x:c r="E30" s="38" t="n">
        <x:v>0.0207589062</x:v>
      </x:c>
      <x:c r="F30" s="38" t="n">
        <x:v>-0.0159469689</x:v>
      </x:c>
      <x:c r="G30" s="38" t="n">
        <x:v>-0.0283894435</x:v>
      </x:c>
      <x:c r="H30" s="38" t="n">
        <x:v>-0.0582221923</x:v>
      </x:c>
      <x:c r="I30" s="38" t="n">
        <x:v>0.0635450526</x:v>
      </x:c>
      <x:c r="J30" s="38" t="n">
        <x:v>0.05495489</x:v>
      </x:c>
      <x:c r="K30" s="38" t="n">
        <x:v>0.1339561507</x:v>
      </x:c>
      <x:c r="L30" s="38" t="n">
        <x:v>-0.0056936359</x:v>
      </x:c>
      <x:c r="M30" s="38" t="n">
        <x:v>-0.0210914529</x:v>
      </x:c>
      <x:c r="N30" s="38" t="n">
        <x:v>-0.0401264401</x:v>
      </x:c>
      <x:c r="O30" s="38" t="n">
        <x:v>0.1216751832</x:v>
      </x:c>
      <x:c r="P30" s="38" t="n">
        <x:v>-0.021008988</x:v>
      </x:c>
      <x:c r="Q30" s="38" t="n">
        <x:v>0.1899172734</x:v>
      </x:c>
      <x:c r="R30" s="38" t="n">
        <x:v>-0.0706621215</x:v>
      </x:c>
      <x:c r="S30" s="38" t="n">
        <x:v>-0.2897712613</x:v>
      </x:c>
      <x:c r="T30" s="38" t="n">
        <x:v>0.0717005826</x:v>
      </x:c>
      <x:c r="U30" s="38" t="n">
        <x:v>-0.068808381</x:v>
      </x:c>
      <x:c r="V30" s="38" t="n">
        <x:v>0.01910878</x:v>
      </x:c>
      <x:c r="W30" s="38" t="n">
        <x:v>0.0800441558</x:v>
      </x:c>
      <x:c r="X30" s="38" t="n">
        <x:v>0.0553178082</x:v>
      </x:c>
      <x:c r="Y30" s="38" t="n">
        <x:v>-0.0446199063</x:v>
      </x:c>
      <x:c r="Z30" s="38" t="n">
        <x:v>0.08704171</x:v>
      </x:c>
      <x:c r="AA30" s="38" t="n">
        <x:v>0.0159218954</x:v>
      </x:c>
      <x:c r="AB30" s="38" t="n">
        <x:v>-0.3044063807</x:v>
      </x:c>
      <x:c r="AC30" s="38" t="n">
        <x:v>-0.0583717866</x:v>
      </x:c>
      <x:c r="AD30" s="38" t="n">
        <x:v>-0.0290927571</x:v>
      </x:c>
      <x:c r="AE30" s="38" t="n">
        <x:v>0.0185777979</x:v>
      </x:c>
      <x:c r="AF30" s="38" t="n">
        <x:v>-0.0902413266</x:v>
      </x:c>
      <x:c r="AG30" s="38" t="n">
        <x:v>0.0103061185</x:v>
      </x:c>
      <x:c r="AH30" s="38" t="n">
        <x:v>0.1363341619</x:v>
      </x:c>
      <x:c r="AI30" s="38" t="n">
        <x:v>0.0803067923</x:v>
      </x:c>
      <x:c r="AJ30" s="38" t="n">
        <x:v>-0.0000954729</x:v>
      </x:c>
      <x:c r="AK30" s="38" t="n">
        <x:v>0.0181677549</x:v>
      </x:c>
      <x:c r="AL30" s="38" t="n">
        <x:v>-0.0100791509</x:v>
      </x:c>
      <x:c r="AM30" s="38" t="n">
        <x:v>-0.0120783418</x:v>
      </x:c>
      <x:c r="AN30" s="38" t="n">
        <x:v>-0.0928643833</x:v>
      </x:c>
      <x:c r="AO30" s="38" t="n">
        <x:v>0.0201923344</x:v>
      </x:c>
      <x:c r="AP30" s="38" t="n">
        <x:v>0.0008258983</x:v>
      </x:c>
      <x:c r="AQ30" s="38" t="n">
        <x:v>0.0075426381</x:v>
      </x:c>
      <x:c r="AR30" s="38" t="n">
        <x:v>-0.0088388854</x:v>
      </x:c>
    </x:row>
    <x:row r="31" ht="19" customHeight="1">
      <x:c r="A31" s="39" t="d">
        <x:v>2022-06-20T00:00:00.000Z</x:v>
      </x:c>
      <x:c r="B31" s="38" t="n">
        <x:v>-0.0848594715</x:v>
      </x:c>
      <x:c r="C31" s="38" t="n">
        <x:v>-0.2311162125</x:v>
      </x:c>
      <x:c r="D31" s="38" t="n">
        <x:v>-0.0782873401</x:v>
      </x:c>
      <x:c r="E31" s="38" t="n">
        <x:v>-0.0703720812</x:v>
      </x:c>
      <x:c r="F31" s="38" t="n">
        <x:v>-0.0862865076</x:v>
      </x:c>
      <x:c r="G31" s="38" t="n">
        <x:v>-0.0415792008</x:v>
      </x:c>
      <x:c r="H31" s="38" t="n">
        <x:v>0.0087730554</x:v>
      </x:c>
      <x:c r="I31" s="38" t="n">
        <x:v>-0.0760696721</x:v>
      </x:c>
      <x:c r="J31" s="38" t="n">
        <x:v>-0.1263459086</x:v>
      </x:c>
      <x:c r="K31" s="38" t="n">
        <x:v>-0.183807661</x:v>
      </x:c>
      <x:c r="L31" s="38" t="n">
        <x:v>-0.1073085217</x:v>
      </x:c>
      <x:c r="M31" s="38" t="n">
        <x:v>-0.1357110184</x:v>
      </x:c>
      <x:c r="N31" s="38" t="n">
        <x:v>-0.0254522431</x:v>
      </x:c>
      <x:c r="O31" s="38" t="n">
        <x:v>-0.2161991813</x:v>
      </x:c>
      <x:c r="P31" s="38" t="n">
        <x:v>0.0197803891</x:v>
      </x:c>
      <x:c r="Q31" s="38" t="n">
        <x:v>-0.0445335879</x:v>
      </x:c>
      <x:c r="R31" s="38" t="n">
        <x:v>0.041893414</x:v>
      </x:c>
      <x:c r="S31" s="38" t="n">
        <x:v>-0.0988857507</x:v>
      </x:c>
      <x:c r="T31" s="38" t="n">
        <x:v>-0.0179641828</x:v>
      </x:c>
      <x:c r="U31" s="38" t="n">
        <x:v>-0.0495356602</x:v>
      </x:c>
      <x:c r="V31" s="38" t="n">
        <x:v>-0.0173917313</x:v>
      </x:c>
      <x:c r="W31" s="38" t="n">
        <x:v>-0.0848855986</x:v>
      </x:c>
      <x:c r="X31" s="38" t="n">
        <x:v>-0.17544575</x:v>
      </x:c>
      <x:c r="Y31" s="38" t="n">
        <x:v>-0.0464570554</x:v>
      </x:c>
      <x:c r="Z31" s="38" t="n">
        <x:v>-0.0284766457</x:v>
      </x:c>
      <x:c r="AA31" s="38" t="n">
        <x:v>0.0126798923</x:v>
      </x:c>
      <x:c r="AB31" s="38" t="n">
        <x:v>-0.1595254688</x:v>
      </x:c>
      <x:c r="AC31" s="38" t="n">
        <x:v>-0.0230679475</x:v>
      </x:c>
      <x:c r="AD31" s="38" t="n">
        <x:v>-0.0978684676</x:v>
      </x:c>
      <x:c r="AE31" s="38" t="n">
        <x:v>-0.0834060619</x:v>
      </x:c>
      <x:c r="AF31" s="38" t="n">
        <x:v>0.0525711308</x:v>
      </x:c>
      <x:c r="AG31" s="38" t="n">
        <x:v>0.0033836058</x:v>
      </x:c>
      <x:c r="AH31" s="38" t="n">
        <x:v>-0.1242881071</x:v>
      </x:c>
      <x:c r="AI31" s="38" t="n">
        <x:v>0.0050999596</x:v>
      </x:c>
      <x:c r="AJ31" s="38" t="n">
        <x:v>-0.0607382247</x:v>
      </x:c>
      <x:c r="AK31" s="38" t="n">
        <x:v>-0.0513235723</x:v>
      </x:c>
      <x:c r="AL31" s="38" t="n">
        <x:v>-0.0158430351</x:v>
      </x:c>
      <x:c r="AM31" s="38" t="n">
        <x:v>0.0380170615</x:v>
      </x:c>
      <x:c r="AN31" s="38" t="n">
        <x:v>0.022044139</x:v>
      </x:c>
      <x:c r="AO31" s="38" t="n">
        <x:v>-0.0617603797</x:v>
      </x:c>
      <x:c r="AP31" s="38" t="n">
        <x:v>-0.0142963059</x:v>
      </x:c>
      <x:c r="AQ31" s="38" t="n">
        <x:v>0.0051084236</x:v>
      </x:c>
      <x:c r="AR31" s="38" t="n">
        <x:v>-0.1058926903</x:v>
      </x:c>
    </x:row>
    <x:row r="32" ht="19" customHeight="1">
      <x:c r="A32" s="39" t="d">
        <x:v>2022-07-18T00:00:00.000Z</x:v>
      </x:c>
      <x:c r="B32" s="38" t="n">
        <x:v>-0.0131901635</x:v>
      </x:c>
      <x:c r="C32" s="38" t="n">
        <x:v>-0.1258747084</x:v>
      </x:c>
      <x:c r="D32" s="38" t="n">
        <x:v>0.0062604594</x:v>
      </x:c>
      <x:c r="E32" s="38" t="n">
        <x:v>-0.0084181809</x:v>
      </x:c>
      <x:c r="F32" s="38" t="n">
        <x:v>0.0386626868</x:v>
      </x:c>
      <x:c r="G32" s="38" t="n">
        <x:v>0.0107335097</x:v>
      </x:c>
      <x:c r="H32" s="38" t="n">
        <x:v>0.0391513456</x:v>
      </x:c>
      <x:c r="I32" s="38" t="n">
        <x:v>0.0744046282</x:v>
      </x:c>
      <x:c r="J32" s="38" t="n">
        <x:v>0.0278515801</x:v>
      </x:c>
      <x:c r="K32" s="38" t="n">
        <x:v>0.0006791057</x:v>
      </x:c>
      <x:c r="L32" s="38" t="n">
        <x:v>0.013904065</x:v>
      </x:c>
      <x:c r="M32" s="38" t="n">
        <x:v>-0.0140474325</x:v>
      </x:c>
      <x:c r="N32" s="38" t="n">
        <x:v>0.09307676</x:v>
      </x:c>
      <x:c r="O32" s="38" t="n">
        <x:v>0.002495702</x:v>
      </x:c>
      <x:c r="P32" s="38" t="n">
        <x:v>-0.0225388848</x:v>
      </x:c>
      <x:c r="Q32" s="38" t="n">
        <x:v>-0.1555728431</x:v>
      </x:c>
      <x:c r="R32" s="38" t="n">
        <x:v>-0.020895449</x:v>
      </x:c>
      <x:c r="S32" s="38" t="n">
        <x:v>-0.002880333</x:v>
      </x:c>
      <x:c r="T32" s="38" t="n">
        <x:v>0.098250232</x:v>
      </x:c>
      <x:c r="U32" s="38" t="n">
        <x:v>0.0471724316</x:v>
      </x:c>
      <x:c r="V32" s="38" t="n">
        <x:v>0.1130676014</x:v>
      </x:c>
      <x:c r="W32" s="38" t="n">
        <x:v>0.0631530348</x:v>
      </x:c>
      <x:c r="X32" s="38" t="n">
        <x:v>0.0388863656</x:v>
      </x:c>
      <x:c r="Y32" s="38" t="n">
        <x:v>-0.1743404353</x:v>
      </x:c>
      <x:c r="Z32" s="38" t="n">
        <x:v>-0.0324830924</x:v>
      </x:c>
      <x:c r="AA32" s="38" t="n">
        <x:v>-0.0161081994</x:v>
      </x:c>
      <x:c r="AB32" s="38" t="n">
        <x:v>-0.3554317421</x:v>
      </x:c>
      <x:c r="AC32" s="38" t="n">
        <x:v>-0.002185158</x:v>
      </x:c>
      <x:c r="AD32" s="38" t="n">
        <x:v>0.0511980072</x:v>
      </x:c>
      <x:c r="AE32" s="38" t="n">
        <x:v>-0.0163489199</x:v>
      </x:c>
      <x:c r="AF32" s="38" t="n">
        <x:v>0.0871478398</x:v>
      </x:c>
      <x:c r="AG32" s="38" t="n">
        <x:v>-0.0244561036</x:v>
      </x:c>
      <x:c r="AH32" s="38" t="n">
        <x:v>0.0091350152</x:v>
      </x:c>
      <x:c r="AI32" s="38" t="n">
        <x:v>0.0075045088</x:v>
      </x:c>
      <x:c r="AJ32" s="38" t="n">
        <x:v>-0.0050032272</x:v>
      </x:c>
      <x:c r="AK32" s="38" t="n">
        <x:v>0.0459238053</x:v>
      </x:c>
      <x:c r="AL32" s="38" t="n">
        <x:v>-0.0218087994</x:v>
      </x:c>
      <x:c r="AM32" s="38" t="n">
        <x:v>-0.0700253576</x:v>
      </x:c>
      <x:c r="AN32" s="38" t="n">
        <x:v>0.0702070795</x:v>
      </x:c>
      <x:c r="AO32" s="38" t="n">
        <x:v>0.0628055894</x:v>
      </x:c>
      <x:c r="AP32" s="38" t="n">
        <x:v>-0.0182538546</x:v>
      </x:c>
      <x:c r="AQ32" s="38" t="n">
        <x:v>-0.0450324089</x:v>
      </x:c>
      <x:c r="AR32" s="38" t="n">
        <x:v>0.0212734084</x:v>
      </x:c>
    </x:row>
    <x:row r="33" ht="19" customHeight="1">
      <x:c r="A33" s="39" t="d">
        <x:v>2022-08-15T00:00:00.000Z</x:v>
      </x:c>
      <x:c r="B33" s="38" t="n">
        <x:v>0.0742529818</x:v>
      </x:c>
      <x:c r="C33" s="38" t="n">
        <x:v>0.2865016408</x:v>
      </x:c>
      <x:c r="D33" s="38" t="n">
        <x:v>0.0908565687</x:v>
      </x:c>
      <x:c r="E33" s="38" t="n">
        <x:v>0.0913990401</x:v>
      </x:c>
      <x:c r="F33" s="38" t="n">
        <x:v>0.1246280959</x:v>
      </x:c>
      <x:c r="G33" s="38" t="n">
        <x:v>0.1718857729</x:v>
      </x:c>
      <x:c r="H33" s="38" t="n">
        <x:v>0.0966319578</x:v>
      </x:c>
      <x:c r="I33" s="38" t="n">
        <x:v>0.1128189667</x:v>
      </x:c>
      <x:c r="J33" s="38" t="n">
        <x:v>0.0318679845</x:v>
      </x:c>
      <x:c r="K33" s="38" t="n">
        <x:v>0.1109536276</x:v>
      </x:c>
      <x:c r="L33" s="38" t="n">
        <x:v>0.161560752</x:v>
      </x:c>
      <x:c r="M33" s="38" t="n">
        <x:v>0.113502716</x:v>
      </x:c>
      <x:c r="N33" s="38" t="n">
        <x:v>0.1379672639</x:v>
      </x:c>
      <x:c r="O33" s="38" t="n">
        <x:v>0.0075458758</x:v>
      </x:c>
      <x:c r="P33" s="38" t="n">
        <x:v>0.0358531917</x:v>
      </x:c>
      <x:c r="Q33" s="38" t="n">
        <x:v>0.0812382438</x:v>
      </x:c>
      <x:c r="R33" s="38" t="n">
        <x:v>-0.0094323097</x:v>
      </x:c>
      <x:c r="S33" s="38" t="n">
        <x:v>0.2249748749</x:v>
      </x:c>
      <x:c r="T33" s="38" t="n">
        <x:v>-0.0896171636</x:v>
      </x:c>
      <x:c r="U33" s="38" t="n">
        <x:v>0.1963138403</x:v>
      </x:c>
      <x:c r="V33" s="38" t="n">
        <x:v>0.0714708303</x:v>
      </x:c>
      <x:c r="W33" s="38" t="n">
        <x:v>-0.076798552</x:v>
      </x:c>
      <x:c r="X33" s="38" t="n">
        <x:v>-0.0101898096</x:v>
      </x:c>
      <x:c r="Y33" s="38" t="n">
        <x:v>-0.132060687</x:v>
      </x:c>
      <x:c r="Z33" s="38" t="n">
        <x:v>0.1087705963</x:v>
      </x:c>
      <x:c r="AA33" s="38" t="n">
        <x:v>-0.0200576582</x:v>
      </x:c>
      <x:c r="AB33" s="38" t="n">
        <x:v>0.0710052664</x:v>
      </x:c>
      <x:c r="AC33" s="38" t="n">
        <x:v>0.0364765951</x:v>
      </x:c>
      <x:c r="AD33" s="38" t="n">
        <x:v>0.1781920245</x:v>
      </x:c>
      <x:c r="AE33" s="38" t="n">
        <x:v>0.0606078786</x:v>
      </x:c>
      <x:c r="AF33" s="38" t="n">
        <x:v>0.0235905597</x:v>
      </x:c>
      <x:c r="AG33" s="38" t="n">
        <x:v>0.0959683126</x:v>
      </x:c>
      <x:c r="AH33" s="38" t="n">
        <x:v>0.0679063753</x:v>
      </x:c>
      <x:c r="AI33" s="38" t="n">
        <x:v>-0.0120120313</x:v>
      </x:c>
      <x:c r="AJ33" s="38" t="n">
        <x:v>-0.0318451265</x:v>
      </x:c>
      <x:c r="AK33" s="38" t="n">
        <x:v>-0.0062893102</x:v>
      </x:c>
      <x:c r="AL33" s="38" t="n">
        <x:v>0.0768300207</x:v>
      </x:c>
      <x:c r="AM33" s="38" t="n">
        <x:v>0.0658439067</x:v>
      </x:c>
      <x:c r="AN33" s="38" t="n">
        <x:v>0.037787673</x:v>
      </x:c>
      <x:c r="AO33" s="38" t="n">
        <x:v>0.037333482</x:v>
      </x:c>
      <x:c r="AP33" s="38" t="n">
        <x:v>0.0449498171</x:v>
      </x:c>
      <x:c r="AQ33" s="38" t="n">
        <x:v>-0.0130957661</x:v>
      </x:c>
      <x:c r="AR33" s="38" t="n">
        <x:v>0.0309698576</x:v>
      </x:c>
    </x:row>
    <x:row r="34" ht="19" customHeight="1">
      <x:c r="A34" s="39" t="d">
        <x:v>2022-09-12T00:00:00.000Z</x:v>
      </x:c>
      <x:c r="B34" s="38" t="n">
        <x:v>0.0019152294</x:v>
      </x:c>
      <x:c r="C34" s="38" t="n">
        <x:v>0.0932885508</x:v>
      </x:c>
      <x:c r="D34" s="38" t="n">
        <x:v>-0.0360067598</x:v>
      </x:c>
      <x:c r="E34" s="38" t="n">
        <x:v>-0.0424178539</x:v>
      </x:c>
      <x:c r="F34" s="38" t="n">
        <x:v>-0.0840879194</x:v>
      </x:c>
      <x:c r="G34" s="38" t="n">
        <x:v>0.0102171644</x:v>
      </x:c>
      <x:c r="H34" s="38" t="n">
        <x:v>-0.0907209243</x:v>
      </x:c>
      <x:c r="I34" s="38" t="n">
        <x:v>-0.0414480622</x:v>
      </x:c>
      <x:c r="J34" s="38" t="n">
        <x:v>-0.196176195</x:v>
      </x:c>
      <x:c r="K34" s="38" t="n">
        <x:v>-0.1020944503</x:v>
      </x:c>
      <x:c r="L34" s="38" t="n">
        <x:v>-0.0392156036</x:v>
      </x:c>
      <x:c r="M34" s="38" t="n">
        <x:v>-0.0390729554</x:v>
      </x:c>
      <x:c r="N34" s="38" t="n">
        <x:v>-0.0727527644</x:v>
      </x:c>
      <x:c r="O34" s="38" t="n">
        <x:v>-0.1996660929</x:v>
      </x:c>
      <x:c r="P34" s="38" t="n">
        <x:v>0.1191973309</x:v>
      </x:c>
      <x:c r="Q34" s="38" t="n">
        <x:v>-0.0343968714</x:v>
      </x:c>
      <x:c r="R34" s="38" t="n">
        <x:v>-0.0390602443</x:v>
      </x:c>
      <x:c r="S34" s="38" t="n">
        <x:v>-0.1219115899</x:v>
      </x:c>
      <x:c r="T34" s="38" t="n">
        <x:v>-0.047543882</x:v>
      </x:c>
      <x:c r="U34" s="38" t="n">
        <x:v>-0.0801572258</x:v>
      </x:c>
      <x:c r="V34" s="38" t="n">
        <x:v>-0.0034535204</x:v>
      </x:c>
      <x:c r="W34" s="38" t="n">
        <x:v>-0.0918093319</x:v>
      </x:c>
      <x:c r="X34" s="38" t="n">
        <x:v>-0.1092113173</x:v>
      </x:c>
      <x:c r="Y34" s="38" t="n">
        <x:v>0.0140399814</x:v>
      </x:c>
      <x:c r="Z34" s="38" t="n">
        <x:v>-0.0165619379</x:v>
      </x:c>
      <x:c r="AA34" s="38" t="n">
        <x:v>0.0068379943</x:v>
      </x:c>
      <x:c r="AB34" s="38" t="n">
        <x:v>-0.1218798666</x:v>
      </x:c>
      <x:c r="AC34" s="38" t="n">
        <x:v>-0.0641892976</x:v>
      </x:c>
      <x:c r="AD34" s="38" t="n">
        <x:v>-0.0612039588</x:v>
      </x:c>
      <x:c r="AE34" s="38" t="n">
        <x:v>-0.0969026471</x:v>
      </x:c>
      <x:c r="AF34" s="38" t="n">
        <x:v>-0.0979821975</x:v>
      </x:c>
      <x:c r="AG34" s="38" t="n">
        <x:v>-0.0076769632</x:v>
      </x:c>
      <x:c r="AH34" s="38" t="n">
        <x:v>-0.1826811343</x:v>
      </x:c>
      <x:c r="AI34" s="38" t="n">
        <x:v>-0.0354659026</x:v>
      </x:c>
      <x:c r="AJ34" s="38" t="n">
        <x:v>-0.0654195087</x:v>
      </x:c>
      <x:c r="AK34" s="38" t="n">
        <x:v>-0.0684626027</x:v>
      </x:c>
      <x:c r="AL34" s="38" t="n">
        <x:v>-0.1261303913</x:v>
      </x:c>
      <x:c r="AM34" s="38" t="n">
        <x:v>-0.1058473014</x:v>
      </x:c>
      <x:c r="AN34" s="38" t="n">
        <x:v>-0.0768686231</x:v>
      </x:c>
      <x:c r="AO34" s="38" t="n">
        <x:v>-0.1175145873</x:v>
      </x:c>
      <x:c r="AP34" s="38" t="n">
        <x:v>-0.0670403054</x:v>
      </x:c>
      <x:c r="AQ34" s="38" t="n">
        <x:v>-0.0027871438</x:v>
      </x:c>
      <x:c r="AR34" s="38" t="n">
        <x:v>-0.0634159547</x:v>
      </x:c>
    </x:row>
    <x:row r="35" ht="19" customHeight="1">
      <x:c r="A35" s="39" t="d">
        <x:v>2022-10-10T00:00:00.000Z</x:v>
      </x:c>
      <x:c r="B35" s="38" t="n">
        <x:v>-0.1306603502</x:v>
      </x:c>
      <x:c r="C35" s="38" t="n">
        <x:v>0.1107329864</x:v>
      </x:c>
      <x:c r="D35" s="38" t="n">
        <x:v>-0.1503095364</x:v>
      </x:c>
      <x:c r="E35" s="38" t="n">
        <x:v>-0.1172729529</x:v>
      </x:c>
      <x:c r="F35" s="38" t="n">
        <x:v>-0.1115981832</x:v>
      </x:c>
      <x:c r="G35" s="38" t="n">
        <x:v>-0.0947485742</x:v>
      </x:c>
      <x:c r="H35" s="38" t="n">
        <x:v>-0.1183227521</x:v>
      </x:c>
      <x:c r="I35" s="38" t="n">
        <x:v>0.012451818</x:v>
      </x:c>
      <x:c r="J35" s="38" t="n">
        <x:v>-0.1501265738</x:v>
      </x:c>
      <x:c r="K35" s="38" t="n">
        <x:v>0.0723785</x:v>
      </x:c>
      <x:c r="L35" s="38" t="n">
        <x:v>-0.0045780563</x:v>
      </x:c>
      <x:c r="M35" s="38" t="n">
        <x:v>-0.0766569937</x:v>
      </x:c>
      <x:c r="N35" s="38" t="n">
        <x:v>-0.0129896153</x:v>
      </x:c>
      <x:c r="O35" s="38" t="n">
        <x:v>-0.0808144503</x:v>
      </x:c>
      <x:c r="P35" s="38" t="n">
        <x:v>0</x:v>
      </x:c>
      <x:c r="Q35" s="38" t="n">
        <x:v>-0.1756939261</x:v>
      </x:c>
      <x:c r="R35" s="38" t="n">
        <x:v>-0.0889964193</x:v>
      </x:c>
      <x:c r="S35" s="38" t="n">
        <x:v>-0.2079235712</x:v>
      </x:c>
      <x:c r="T35" s="38" t="n">
        <x:v>-0.0225271103</x:v>
      </x:c>
      <x:c r="U35" s="38" t="n">
        <x:v>0.0076399796</x:v>
      </x:c>
      <x:c r="V35" s="38" t="n">
        <x:v>-0.0352710438</x:v>
      </x:c>
      <x:c r="W35" s="38" t="n">
        <x:v>-0.106237627</x:v>
      </x:c>
      <x:c r="X35" s="38" t="n">
        <x:v>-0.0002905703</x:v>
      </x:c>
      <x:c r="Y35" s="38" t="n">
        <x:v>-0.0575830054</x:v>
      </x:c>
      <x:c r="Z35" s="38" t="n">
        <x:v>-0.0605353144</x:v>
      </x:c>
      <x:c r="AA35" s="38" t="n">
        <x:v>-0.1186991569</x:v>
      </x:c>
      <x:c r="AB35" s="38" t="n">
        <x:v>-0.0528361746</x:v>
      </x:c>
      <x:c r="AC35" s="38" t="n">
        <x:v>-0.0821007163</x:v>
      </x:c>
      <x:c r="AD35" s="38" t="n">
        <x:v>-0.1900049474</x:v>
      </x:c>
      <x:c r="AE35" s="38" t="n">
        <x:v>-0.029992993</x:v>
      </x:c>
      <x:c r="AF35" s="38" t="n">
        <x:v>-0.065752016</x:v>
      </x:c>
      <x:c r="AG35" s="38" t="n">
        <x:v>-0.0321421834</x:v>
      </x:c>
      <x:c r="AH35" s="38" t="n">
        <x:v>-0.256253893</x:v>
      </x:c>
      <x:c r="AI35" s="38" t="n">
        <x:v>0.0575375711</x:v>
      </x:c>
      <x:c r="AJ35" s="38" t="n">
        <x:v>-0.1884699308</x:v>
      </x:c>
      <x:c r="AK35" s="38" t="n">
        <x:v>-0.032449104</x:v>
      </x:c>
      <x:c r="AL35" s="38" t="n">
        <x:v>-0.0559720634</x:v>
      </x:c>
      <x:c r="AM35" s="38" t="n">
        <x:v>-0.0512445785</x:v>
      </x:c>
      <x:c r="AN35" s="38" t="n">
        <x:v>-0.0845550158</x:v>
      </x:c>
      <x:c r="AO35" s="38" t="n">
        <x:v>0.0013627081</x:v>
      </x:c>
      <x:c r="AP35" s="38" t="n">
        <x:v>-0.0652038038</x:v>
      </x:c>
      <x:c r="AQ35" s="38" t="n">
        <x:v>-0.0154770078</x:v>
      </x:c>
      <x:c r="AR35" s="38" t="n">
        <x:v>-0.0063974058</x:v>
      </x:c>
    </x:row>
    <x:row r="36" ht="19" customHeight="1">
      <x:c r="A36" s="39" t="d">
        <x:v>2022-11-07T00:00:00.000Z</x:v>
      </x:c>
      <x:c r="B36" s="38" t="n">
        <x:v>0.0974957015</x:v>
      </x:c>
      <x:c r="C36" s="38" t="n">
        <x:v>0.1783648442</x:v>
      </x:c>
      <x:c r="D36" s="38" t="n">
        <x:v>0.0695869032</x:v>
      </x:c>
      <x:c r="E36" s="38" t="n">
        <x:v>0.0920914866</x:v>
      </x:c>
      <x:c r="F36" s="38" t="n">
        <x:v>0.0049062155</x:v>
      </x:c>
      <x:c r="G36" s="38" t="n">
        <x:v>-0.0011341843</x:v>
      </x:c>
      <x:c r="H36" s="38" t="n">
        <x:v>-0.0488465039</x:v>
      </x:c>
      <x:c r="I36" s="38" t="n">
        <x:v>0.1512905655</x:v>
      </x:c>
      <x:c r="J36" s="38" t="n">
        <x:v>0.084625054</x:v>
      </x:c>
      <x:c r="K36" s="38" t="n">
        <x:v>0.1330332475</x:v>
      </x:c>
      <x:c r="L36" s="38" t="n">
        <x:v>0.0395092702</x:v>
      </x:c>
      <x:c r="M36" s="38" t="n">
        <x:v>-0.0133139134</x:v>
      </x:c>
      <x:c r="N36" s="38" t="n">
        <x:v>0.103518113</x:v>
      </x:c>
      <x:c r="O36" s="38" t="n">
        <x:v>0.1365423704</x:v>
      </x:c>
      <x:c r="P36" s="38" t="n">
        <x:v>0.1715230136</x:v>
      </x:c>
      <x:c r="Q36" s="38" t="n">
        <x:v>-0.0122181643</x:v>
      </x:c>
      <x:c r="R36" s="38" t="n">
        <x:v>0.0116553538</x:v>
      </x:c>
      <x:c r="S36" s="38" t="n">
        <x:v>0.1340378224</x:v>
      </x:c>
      <x:c r="T36" s="38" t="n">
        <x:v>0.2033319096</x:v>
      </x:c>
      <x:c r="U36" s="38" t="n">
        <x:v>0.3537752728</x:v>
      </x:c>
      <x:c r="V36" s="38" t="n">
        <x:v>0.1927559761</x:v>
      </x:c>
      <x:c r="W36" s="38" t="n">
        <x:v>0.1029851042</x:v>
      </x:c>
      <x:c r="X36" s="38" t="n">
        <x:v>0.1414996616</x:v>
      </x:c>
      <x:c r="Y36" s="38" t="n">
        <x:v>0.1102896308</x:v>
      </x:c>
      <x:c r="Z36" s="38" t="n">
        <x:v>0.0709310136</x:v>
      </x:c>
      <x:c r="AA36" s="38" t="n">
        <x:v>-0.0163542529</x:v>
      </x:c>
      <x:c r="AB36" s="38" t="n">
        <x:v>-0.0145993255</x:v>
      </x:c>
      <x:c r="AC36" s="38" t="n">
        <x:v>0.1051261557</x:v>
      </x:c>
      <x:c r="AD36" s="38" t="n">
        <x:v>0.180204898</x:v>
      </x:c>
      <x:c r="AE36" s="38" t="n">
        <x:v>0.1612563005</x:v>
      </x:c>
      <x:c r="AF36" s="38" t="n">
        <x:v>0.2385595048</x:v>
      </x:c>
      <x:c r="AG36" s="38" t="n">
        <x:v>0.0162405149</x:v>
      </x:c>
      <x:c r="AH36" s="38" t="n">
        <x:v>0.2137225465</x:v>
      </x:c>
      <x:c r="AI36" s="38" t="n">
        <x:v>0.0507821838</x:v>
      </x:c>
      <x:c r="AJ36" s="38" t="n">
        <x:v>0.1768918334</x:v>
      </x:c>
      <x:c r="AK36" s="38" t="n">
        <x:v>0.0580612131</x:v>
      </x:c>
      <x:c r="AL36" s="38" t="n">
        <x:v>0.0647649788</x:v>
      </x:c>
      <x:c r="AM36" s="38" t="n">
        <x:v>-0.0012902486</x:v>
      </x:c>
      <x:c r="AN36" s="38" t="n">
        <x:v>0.1056980175</x:v>
      </x:c>
      <x:c r="AO36" s="38" t="n">
        <x:v>0.1082461682</x:v>
      </x:c>
      <x:c r="AP36" s="38" t="n">
        <x:v>0.0905780524</x:v>
      </x:c>
      <x:c r="AQ36" s="38" t="n">
        <x:v>0.0238275616</x:v>
      </x:c>
      <x:c r="AR36" s="38" t="n">
        <x:v>0.1057410332</x:v>
      </x:c>
    </x:row>
    <x:row r="37" ht="19" customHeight="1">
      <x:c r="A37" s="39" t="d">
        <x:v>2022-12-05T00:00:00.000Z</x:v>
      </x:c>
      <x:c r="B37" s="38" t="n">
        <x:v>-0.008074913</x:v>
      </x:c>
      <x:c r="C37" s="38" t="n">
        <x:v>-0.1278400175</x:v>
      </x:c>
      <x:c r="D37" s="38" t="n">
        <x:v>0.0595818023</x:v>
      </x:c>
      <x:c r="E37" s="38" t="n">
        <x:v>0.0461866755</x:v>
      </x:c>
      <x:c r="F37" s="38" t="n">
        <x:v>-0.0145661536</x:v>
      </x:c>
      <x:c r="G37" s="38" t="n">
        <x:v>0.0110526267</x:v>
      </x:c>
      <x:c r="H37" s="38" t="n">
        <x:v>-0.1038634947</x:v>
      </x:c>
      <x:c r="I37" s="38" t="n">
        <x:v>-0.0055615945</x:v>
      </x:c>
      <x:c r="J37" s="38" t="n">
        <x:v>-0.0455431292</x:v>
      </x:c>
      <x:c r="K37" s="38" t="n">
        <x:v>-0.1251391251</x:v>
      </x:c>
      <x:c r="L37" s="38" t="n">
        <x:v>-0.0311416748</x:v>
      </x:c>
      <x:c r="M37" s="38" t="n">
        <x:v>0.0017545951</x:v>
      </x:c>
      <x:c r="N37" s="38" t="n">
        <x:v>0.0179858502</x:v>
      </x:c>
      <x:c r="O37" s="38" t="n">
        <x:v>-0.0902162879</x:v>
      </x:c>
      <x:c r="P37" s="38" t="n">
        <x:v>-0.1008420768</x:v>
      </x:c>
      <x:c r="Q37" s="38" t="n">
        <x:v>-0.0988238014</x:v>
      </x:c>
      <x:c r="R37" s="38" t="n">
        <x:v>0.0266347514</x:v>
      </x:c>
      <x:c r="S37" s="38" t="n">
        <x:v>-0.0872764034</x:v>
      </x:c>
      <x:c r="T37" s="38" t="n">
        <x:v>0.0297071726</x:v>
      </x:c>
      <x:c r="U37" s="38" t="n">
        <x:v>-0.0686602565</x:v>
      </x:c>
      <x:c r="V37" s="38" t="n">
        <x:v>0.0825095211</x:v>
      </x:c>
      <x:c r="W37" s="38" t="n">
        <x:v>0.0315658706</x:v>
      </x:c>
      <x:c r="X37" s="38" t="n">
        <x:v>-0.1098631848</x:v>
      </x:c>
      <x:c r="Y37" s="38" t="n">
        <x:v>0.0075276819</x:v>
      </x:c>
      <x:c r="Z37" s="38" t="n">
        <x:v>0.0207472388</x:v>
      </x:c>
      <x:c r="AA37" s="38" t="n">
        <x:v>0.0760277247</x:v>
      </x:c>
      <x:c r="AB37" s="38" t="n">
        <x:v>-0.2334833894</x:v>
      </x:c>
      <x:c r="AC37" s="38" t="n">
        <x:v>0.0574087368</x:v>
      </x:c>
      <x:c r="AD37" s="38" t="n">
        <x:v>-0.0715891936</x:v>
      </x:c>
      <x:c r="AE37" s="38" t="n">
        <x:v>0.046060614</x:v>
      </x:c>
      <x:c r="AF37" s="38" t="n">
        <x:v>0.0096662252</x:v>
      </x:c>
      <x:c r="AG37" s="38" t="n">
        <x:v>0.0256533428</x:v>
      </x:c>
      <x:c r="AH37" s="38" t="n">
        <x:v>-0.0451550527</x:v>
      </x:c>
      <x:c r="AI37" s="38" t="n">
        <x:v>0.0228553477</x:v>
      </x:c>
      <x:c r="AJ37" s="38" t="n">
        <x:v>-0.0522519006</x:v>
      </x:c>
      <x:c r="AK37" s="38" t="n">
        <x:v>0.0244504929</x:v>
      </x:c>
      <x:c r="AL37" s="38" t="n">
        <x:v>-0.0034076513</x:v>
      </x:c>
      <x:c r="AM37" s="38" t="n">
        <x:v>-0.0318512709</x:v>
      </x:c>
      <x:c r="AN37" s="38" t="n">
        <x:v>-0.0547302577</x:v>
      </x:c>
      <x:c r="AO37" s="38" t="n">
        <x:v>0.0197547864</x:v>
      </x:c>
      <x:c r="AP37" s="38" t="n">
        <x:v>0.0305680062</x:v>
      </x:c>
      <x:c r="AQ37" s="38" t="n">
        <x:v>0.0370888951</x:v>
      </x:c>
      <x:c r="AR37" s="38" t="n">
        <x:v>-0.0090990073</x:v>
      </x:c>
    </x:row>
    <x:row r="38" ht="19" customHeight="1">
      <x:c r="A38" s="39" t="d">
        <x:v>2023-01-02T00:00:00.000Z</x:v>
      </x:c>
      <x:c r="B38" s="38" t="n">
        <x:v>-0.0428493621</x:v>
      </x:c>
      <x:c r="C38" s="38" t="n">
        <x:v>0.1785528479</x:v>
      </x:c>
      <x:c r="D38" s="38" t="n">
        <x:v>-0.0004422519</x:v>
      </x:c>
      <x:c r="E38" s="38" t="n">
        <x:v>-0.0699154355</x:v>
      </x:c>
      <x:c r="F38" s="38" t="n">
        <x:v>0.0049223871</x:v>
      </x:c>
      <x:c r="G38" s="38" t="n">
        <x:v>-0.072458978</x:v>
      </x:c>
      <x:c r="H38" s="38" t="n">
        <x:v>-0.029341167</x:v>
      </x:c>
      <x:c r="I38" s="38" t="n">
        <x:v>-0.0500576397</x:v>
      </x:c>
      <x:c r="J38" s="38" t="n">
        <x:v>0.0392640266</x:v>
      </x:c>
      <x:c r="K38" s="38" t="n">
        <x:v>0.0910907245</x:v>
      </x:c>
      <x:c r="L38" s="38" t="n">
        <x:v>-0.1335158522</x:v>
      </x:c>
      <x:c r="M38" s="38" t="n">
        <x:v>0.0110484477</x:v>
      </x:c>
      <x:c r="N38" s="38" t="n">
        <x:v>-0.1134548415</x:v>
      </x:c>
      <x:c r="O38" s="38" t="n">
        <x:v>0.0342082415</x:v>
      </x:c>
      <x:c r="P38" s="38" t="n">
        <x:v>0.0680228439</x:v>
      </x:c>
      <x:c r="Q38" s="38" t="n">
        <x:v>-0.1613597291</x:v>
      </x:c>
      <x:c r="R38" s="38" t="n">
        <x:v>0.0044130093</x:v>
      </x:c>
      <x:c r="S38" s="38" t="n">
        <x:v>-0.1652196355</x:v>
      </x:c>
      <x:c r="T38" s="38" t="n">
        <x:v>0.0143199381</x:v>
      </x:c>
      <x:c r="U38" s="38" t="n">
        <x:v>0.0115164039</x:v>
      </x:c>
      <x:c r="V38" s="38" t="n">
        <x:v>-0.011981557</x:v>
      </x:c>
      <x:c r="W38" s="38" t="n">
        <x:v>0.066577832</x:v>
      </x:c>
      <x:c r="X38" s="38" t="n">
        <x:v>0.0310011392</x:v>
      </x:c>
      <x:c r="Y38" s="38" t="n">
        <x:v>0.1085260294</x:v>
      </x:c>
      <x:c r="Z38" s="38" t="n">
        <x:v>0.0344805031</x:v>
      </x:c>
      <x:c r="AA38" s="38" t="n">
        <x:v>0.1260349815</x:v>
      </x:c>
      <x:c r="AB38" s="38" t="n">
        <x:v>-0.2271316117</x:v>
      </x:c>
      <x:c r="AC38" s="38" t="n">
        <x:v>0.0168030319</x:v>
      </x:c>
      <x:c r="AD38" s="38" t="n">
        <x:v>-0.0397753274</x:v>
      </x:c>
      <x:c r="AE38" s="38" t="n">
        <x:v>0.0555792507</x:v>
      </x:c>
      <x:c r="AF38" s="38" t="n">
        <x:v>0.1458901365</x:v>
      </x:c>
      <x:c r="AG38" s="38" t="n">
        <x:v>-0.0119729032</x:v>
      </x:c>
      <x:c r="AH38" s="38" t="n">
        <x:v>-0.05966318</x:v>
      </x:c>
      <x:c r="AI38" s="38" t="n">
        <x:v>0.0045992838</x:v>
      </x:c>
      <x:c r="AJ38" s="38" t="n">
        <x:v>0.0389217542</x:v>
      </x:c>
      <x:c r="AK38" s="38" t="n">
        <x:v>-0.0105394652</x:v>
      </x:c>
      <x:c r="AL38" s="38" t="n">
        <x:v>-0.0744259163</x:v>
      </x:c>
      <x:c r="AM38" s="38" t="n">
        <x:v>-0.0520419911</x:v>
      </x:c>
      <x:c r="AN38" s="38" t="n">
        <x:v>-0.0002651079</x:v>
      </x:c>
      <x:c r="AO38" s="38" t="n">
        <x:v>-0.0078944614</x:v>
      </x:c>
      <x:c r="AP38" s="38" t="n">
        <x:v>0.0035081958</x:v>
      </x:c>
      <x:c r="AQ38" s="38" t="n">
        <x:v>0.0216317212</x:v>
      </x:c>
      <x:c r="AR38" s="38" t="n">
        <x:v>0.0336011224</x:v>
      </x:c>
    </x:row>
    <x:row r="39" ht="19" customHeight="1">
      <x:c r="A39" s="39" t="d">
        <x:v>2023-01-30T00:00:00.000Z</x:v>
      </x:c>
      <x:c r="B39" s="38" t="n">
        <x:v>0.0141157674</x:v>
      </x:c>
      <x:c r="C39" s="38" t="n">
        <x:v>0.044674663</x:v>
      </x:c>
      <x:c r="D39" s="38" t="n">
        <x:v>-0.0405804193</x:v>
      </x:c>
      <x:c r="E39" s="38" t="n">
        <x:v>0.0032103041</x:v>
      </x:c>
      <x:c r="F39" s="38" t="n">
        <x:v>0.1424002974</x:v>
      </x:c>
      <x:c r="G39" s="38" t="n">
        <x:v>0.1632410791</x:v>
      </x:c>
      <x:c r="H39" s="38" t="n">
        <x:v>0.1586430268</x:v>
      </x:c>
      <x:c r="I39" s="38" t="n">
        <x:v>0.0628847996</x:v>
      </x:c>
      <x:c r="J39" s="38" t="n">
        <x:v>0.2055310891</x:v>
      </x:c>
      <x:c r="K39" s="38" t="n">
        <x:v>0.0278509021</x:v>
      </x:c>
      <x:c r="L39" s="38" t="n">
        <x:v>0.0154521587</x:v>
      </x:c>
      <x:c r="M39" s="38" t="n">
        <x:v>0.0608458386</x:v>
      </x:c>
      <x:c r="N39" s="38" t="n">
        <x:v>0.0345286699</x:v>
      </x:c>
      <x:c r="O39" s="38" t="n">
        <x:v>0.1311659092</x:v>
      </x:c>
      <x:c r="P39" s="38" t="n">
        <x:v>-0.0761923564</x:v>
      </x:c>
      <x:c r="Q39" s="38" t="n">
        <x:v>0.2101214239</x:v>
      </x:c>
      <x:c r="R39" s="38" t="n">
        <x:v>0.00718974</x:v>
      </x:c>
      <x:c r="S39" s="38" t="n">
        <x:v>0.3449577617</x:v>
      </x:c>
      <x:c r="T39" s="38" t="n">
        <x:v>-0.0347741542</x:v>
      </x:c>
      <x:c r="U39" s="38" t="n">
        <x:v>0.1282674433</x:v>
      </x:c>
      <x:c r="V39" s="38" t="n">
        <x:v>0.128176788</x:v>
      </x:c>
      <x:c r="W39" s="38" t="n">
        <x:v>0.0462705539</x:v>
      </x:c>
      <x:c r="X39" s="38" t="n">
        <x:v>0.082007232</x:v>
      </x:c>
      <x:c r="Y39" s="38" t="n">
        <x:v>-0.0479719661</x:v>
      </x:c>
      <x:c r="Z39" s="38" t="n">
        <x:v>0.0108659238</x:v>
      </x:c>
      <x:c r="AA39" s="38" t="n">
        <x:v>-0.1160977731</x:v>
      </x:c>
      <x:c r="AB39" s="38" t="n">
        <x:v>0.4534489463</x:v>
      </x:c>
      <x:c r="AC39" s="38" t="n">
        <x:v>-0.060661845</x:v>
      </x:c>
      <x:c r="AD39" s="38" t="n">
        <x:v>0.0436184841</x:v>
      </x:c>
      <x:c r="AE39" s="38" t="n">
        <x:v>-0.0403979909</x:v>
      </x:c>
      <x:c r="AF39" s="38" t="n">
        <x:v>-0.0288898422</x:v>
      </x:c>
      <x:c r="AG39" s="38" t="n">
        <x:v>-0.0509080016</x:v>
      </x:c>
      <x:c r="AH39" s="38" t="n">
        <x:v>0.2572622484</x:v>
      </x:c>
      <x:c r="AI39" s="38" t="n">
        <x:v>-0.0588763704</x:v>
      </x:c>
      <x:c r="AJ39" s="38" t="n">
        <x:v>0.0718743552</x:v>
      </x:c>
      <x:c r="AK39" s="38" t="n">
        <x:v>-0.0031637011</x:v>
      </x:c>
      <x:c r="AL39" s="38" t="n">
        <x:v>0.1199369739</x:v>
      </x:c>
      <x:c r="AM39" s="38" t="n">
        <x:v>0.1576241958</x:v>
      </x:c>
      <x:c r="AN39" s="38" t="n">
        <x:v>0.0569442928</x:v>
      </x:c>
      <x:c r="AO39" s="38" t="n">
        <x:v>0.0372777338</x:v>
      </x:c>
      <x:c r="AP39" s="38" t="n">
        <x:v>-0.0501793682</x:v>
      </x:c>
      <x:c r="AQ39" s="38" t="n">
        <x:v>-0.0785858995</x:v>
      </x:c>
      <x:c r="AR39" s="38" t="n">
        <x:v>-0.0281080871</x:v>
      </x:c>
    </x:row>
    <x:row r="40" ht="19" customHeight="1">
      <x:c r="A40" s="39" t="d">
        <x:v>2023-02-27T00:00:00.000Z</x:v>
      </x:c>
      <x:c r="B40" s="38" t="n">
        <x:v>-0.0583104627</x:v>
      </x:c>
      <x:c r="C40" s="38" t="n">
        <x:v>0.1919706562</x:v>
      </x:c>
      <x:c r="D40" s="38" t="n">
        <x:v>-0.0211715533</x:v>
      </x:c>
      <x:c r="E40" s="38" t="n">
        <x:v>-0.0158591796</x:v>
      </x:c>
      <x:c r="F40" s="38" t="n">
        <x:v>-0.0793878825</x:v>
      </x:c>
      <x:c r="G40" s="38" t="n">
        <x:v>-0.1004326718</x:v>
      </x:c>
      <x:c r="H40" s="38" t="n">
        <x:v>-0.0752397232</x:v>
      </x:c>
      <x:c r="I40" s="38" t="n">
        <x:v>0.1851235501</x:v>
      </x:c>
      <x:c r="J40" s="38" t="n">
        <x:v>-0.0819970335</x:v>
      </x:c>
      <x:c r="K40" s="38" t="n">
        <x:v>0.0671614159</x:v>
      </x:c>
      <x:c r="L40" s="38" t="n">
        <x:v>0.0064007732</x:v>
      </x:c>
      <x:c r="M40" s="38" t="n">
        <x:v>-0.0015890907</x:v>
      </x:c>
      <x:c r="N40" s="38" t="n">
        <x:v>0.0086188342</x:v>
      </x:c>
      <x:c r="O40" s="38" t="n">
        <x:v>-0.1001071954</x:v>
      </x:c>
      <x:c r="P40" s="38" t="n">
        <x:v>-0.0151045133</x:v>
      </x:c>
      <x:c r="Q40" s="38" t="n">
        <x:v>0.1133151227</x:v>
      </x:c>
      <x:c r="R40" s="38" t="n">
        <x:v>0.0424281898</x:v>
      </x:c>
      <x:c r="S40" s="38" t="n">
        <x:v>0.0312059947</x:v>
      </x:c>
      <x:c r="T40" s="38" t="n">
        <x:v>-0.1672725878</x:v>
      </x:c>
      <x:c r="U40" s="38" t="n">
        <x:v>0.0954586485</x:v>
      </x:c>
      <x:c r="V40" s="38" t="n">
        <x:v>-0.1310269881</x:v>
      </x:c>
      <x:c r="W40" s="38" t="n">
        <x:v>-0.0623578325</x:v>
      </x:c>
      <x:c r="X40" s="38" t="n">
        <x:v>-0.0830169943</x:v>
      </x:c>
      <x:c r="Y40" s="38" t="n">
        <x:v>-0.095752759</x:v>
      </x:c>
      <x:c r="Z40" s="38" t="n">
        <x:v>0.0578945909</x:v>
      </x:c>
      <x:c r="AA40" s="38" t="n">
        <x:v>-0.0280056765</x:v>
      </x:c>
      <x:c r="AB40" s="38" t="n">
        <x:v>-0.1410736351</x:v>
      </x:c>
      <x:c r="AC40" s="38" t="n">
        <x:v>-0.0102812055</x:v>
      </x:c>
      <x:c r="AD40" s="38" t="n">
        <x:v>0.0436694144</x:v>
      </x:c>
      <x:c r="AE40" s="38" t="n">
        <x:v>-0.0583578078</x:v>
      </x:c>
      <x:c r="AF40" s="38" t="n">
        <x:v>0.0379558096</x:v>
      </x:c>
      <x:c r="AG40" s="38" t="n">
        <x:v>0.0111167139</x:v>
      </x:c>
      <x:c r="AH40" s="38" t="n">
        <x:v>-0.0478959449</x:v>
      </x:c>
      <x:c r="AI40" s="38" t="n">
        <x:v>-0.0523376592</x:v>
      </x:c>
      <x:c r="AJ40" s="38" t="n">
        <x:v>0.0012574745</x:v>
      </x:c>
      <x:c r="AK40" s="38" t="n">
        <x:v>0.005482531</x:v>
      </x:c>
      <x:c r="AL40" s="38" t="n">
        <x:v>-0.0082659385</x:v>
      </x:c>
      <x:c r="AM40" s="38" t="n">
        <x:v>-0.0986094643</x:v>
      </x:c>
      <x:c r="AN40" s="38" t="n">
        <x:v>-0.0701745562</x:v>
      </x:c>
      <x:c r="AO40" s="38" t="n">
        <x:v>-0.0922229563</x:v>
      </x:c>
      <x:c r="AP40" s="38" t="n">
        <x:v>-0.0057426098</x:v>
      </x:c>
      <x:c r="AQ40" s="38" t="n">
        <x:v>-0.052097674</x:v>
      </x:c>
      <x:c r="AR40" s="38" t="n">
        <x:v>0.0111432919</x:v>
      </x:c>
    </x:row>
    <x:row r="41" ht="19" customHeight="1">
      <x:c r="A41" s="39" t="d">
        <x:v>2023-03-27T00:00:00.000Z</x:v>
      </x:c>
      <x:c r="B41" s="38" t="n">
        <x:v>0.1087523028</x:v>
      </x:c>
      <x:c r="C41" s="38" t="n">
        <x:v>0.0223281405</x:v>
      </x:c>
      <x:c r="D41" s="38" t="n">
        <x:v>0.0187931575</x:v>
      </x:c>
      <x:c r="E41" s="38" t="n">
        <x:v>0.0223480891</x:v>
      </x:c>
      <x:c r="F41" s="38" t="n">
        <x:v>-0.0089381844</x:v>
      </x:c>
      <x:c r="G41" s="38" t="n">
        <x:v>0.1098812873</x:v>
      </x:c>
      <x:c r="H41" s="38" t="n">
        <x:v>0.0754462628</x:v>
      </x:c>
      <x:c r="I41" s="38" t="n">
        <x:v>-0.0294203407</x:v>
      </x:c>
      <x:c r="J41" s="38" t="n">
        <x:v>0.0312277968</x:v>
      </x:c>
      <x:c r="K41" s="38" t="n">
        <x:v>-0.0099596727</x:v>
      </x:c>
      <x:c r="L41" s="38" t="n">
        <x:v>-0.153852395</x:v>
      </x:c>
      <x:c r="M41" s="38" t="n">
        <x:v>-0.095466415</x:v>
      </x:c>
      <x:c r="N41" s="38" t="n">
        <x:v>-0.0381233155</x:v>
      </x:c>
      <x:c r="O41" s="38" t="n">
        <x:v>-0.0214886809</x:v>
      </x:c>
      <x:c r="P41" s="38" t="n">
        <x:v>-0.0555428202</x:v>
      </x:c>
      <x:c r="Q41" s="38" t="n">
        <x:v>0.0934014754</x:v>
      </x:c>
      <x:c r="R41" s="38" t="n">
        <x:v>0.0348524946</x:v>
      </x:c>
      <x:c r="S41" s="38" t="n">
        <x:v>0.0011561801</x:v>
      </x:c>
      <x:c r="T41" s="38" t="n">
        <x:v>0.062321518</x:v>
      </x:c>
      <x:c r="U41" s="38" t="n">
        <x:v>0.0155824073</x:v>
      </x:c>
      <x:c r="V41" s="38" t="n">
        <x:v>0.0817461688</x:v>
      </x:c>
      <x:c r="W41" s="38" t="n">
        <x:v>0.0161191991</x:v>
      </x:c>
      <x:c r="X41" s="38" t="n">
        <x:v>0.0541564334</x:v>
      </x:c>
      <x:c r="Y41" s="38" t="n">
        <x:v>0.0905811104</x:v>
      </x:c>
      <x:c r="Z41" s="38" t="n">
        <x:v>-0.0156731066</x:v>
      </x:c>
      <x:c r="AA41" s="38" t="n">
        <x:v>-0.0730031815</x:v>
      </x:c>
      <x:c r="AB41" s="38" t="n">
        <x:v>-0.150711214</x:v>
      </x:c>
      <x:c r="AC41" s="38" t="n">
        <x:v>0.0476083759</x:v>
      </x:c>
      <x:c r="AD41" s="38" t="n">
        <x:v>-0.03329613</x:v>
      </x:c>
      <x:c r="AE41" s="38" t="n">
        <x:v>0.0448168153</x:v>
      </x:c>
      <x:c r="AF41" s="38" t="n">
        <x:v>-0.0111651082</x:v>
      </x:c>
      <x:c r="AG41" s="38" t="n">
        <x:v>-0.0480644906</x:v>
      </x:c>
      <x:c r="AH41" s="38" t="n">
        <x:v>0.164061809</x:v>
      </x:c>
      <x:c r="AI41" s="38" t="n">
        <x:v>0.0672839894</x:v>
      </x:c>
      <x:c r="AJ41" s="38" t="n">
        <x:v>-0.043870769</x:v>
      </x:c>
      <x:c r="AK41" s="38" t="n">
        <x:v>0.01647553</x:v>
      </x:c>
      <x:c r="AL41" s="38" t="n">
        <x:v>0.1082944253</x:v>
      </x:c>
      <x:c r="AM41" s="38" t="n">
        <x:v>0.0910401426</x:v>
      </x:c>
      <x:c r="AN41" s="38" t="n">
        <x:v>0.0396002399</x:v>
      </x:c>
      <x:c r="AO41" s="38" t="n">
        <x:v>-0.0035667415</x:v>
      </x:c>
      <x:c r="AP41" s="38" t="n">
        <x:v>0.044788446</x:v>
      </x:c>
      <x:c r="AQ41" s="38" t="n">
        <x:v>0.0056485515</x:v>
      </x:c>
      <x:c r="AR41" s="38" t="n">
        <x:v>-0.0105513522</x:v>
      </x:c>
    </x:row>
    <x:row r="42" ht="19" customHeight="1">
      <x:c r="A42" s="39" t="d">
        <x:v>2023-04-24T00:00:00.000Z</x:v>
      </x:c>
      <x:c r="B42" s="38" t="n">
        <x:v>-0.0052842367</x:v>
      </x:c>
      <x:c r="C42" s="38" t="n">
        <x:v>0.0501544623</x:v>
      </x:c>
      <x:c r="D42" s="38" t="n">
        <x:v>0.0140845652</x:v>
      </x:c>
      <x:c r="E42" s="38" t="n">
        <x:v>-0.0013425586</x:v>
      </x:c>
      <x:c r="F42" s="38" t="n">
        <x:v>0.0211294756</x:v>
      </x:c>
      <x:c r="G42" s="38" t="n">
        <x:v>0.1724285763</x:v>
      </x:c>
      <x:c r="H42" s="38" t="n">
        <x:v>0.0186932054</x:v>
      </x:c>
      <x:c r="I42" s="38" t="n">
        <x:v>0.0215841226</x:v>
      </x:c>
      <x:c r="J42" s="38" t="n">
        <x:v>-0.1064345268</x:v>
      </x:c>
      <x:c r="K42" s="38" t="n">
        <x:v>-0.1776828697</x:v>
      </x:c>
      <x:c r="L42" s="38" t="n">
        <x:v>-0.0114102575</x:v>
      </x:c>
      <x:c r="M42" s="38" t="n">
        <x:v>-0.0561337027</x:v>
      </x:c>
      <x:c r="N42" s="38" t="n">
        <x:v>-0.2027724989</x:v>
      </x:c>
      <x:c r="O42" s="38" t="n">
        <x:v>-0.0809691053</x:v>
      </x:c>
      <x:c r="P42" s="38" t="n">
        <x:v>-0.3856358049</x:v>
      </x:c>
      <x:c r="Q42" s="38" t="n">
        <x:v>-0.1956855225</x:v>
      </x:c>
      <x:c r="R42" s="38" t="n">
        <x:v>-0.0275325438</x:v>
      </x:c>
      <x:c r="S42" s="38" t="n">
        <x:v>-0.2442514494</x:v>
      </x:c>
      <x:c r="T42" s="38" t="n">
        <x:v>-0.1306950799</x:v>
      </x:c>
      <x:c r="U42" s="38" t="n">
        <x:v>-0.0586644529</x:v>
      </x:c>
      <x:c r="V42" s="38" t="n">
        <x:v>-0.0415968782</x:v>
      </x:c>
      <x:c r="W42" s="38" t="n">
        <x:v>0.0858054831</x:v>
      </x:c>
      <x:c r="X42" s="38" t="n">
        <x:v>0.0600782132</x:v>
      </x:c>
      <x:c r="Y42" s="38" t="n">
        <x:v>-0.0303536517</x:v>
      </x:c>
      <x:c r="Z42" s="38" t="n">
        <x:v>-0.0424322779</x:v>
      </x:c>
      <x:c r="AA42" s="38" t="n">
        <x:v>0.0045274206</x:v>
      </x:c>
      <x:c r="AB42" s="38" t="n">
        <x:v>-0.1208512024</x:v>
      </x:c>
      <x:c r="AC42" s="38" t="n">
        <x:v>0.0511823332</x:v>
      </x:c>
      <x:c r="AD42" s="38" t="n">
        <x:v>-0.0419345557</x:v>
      </x:c>
      <x:c r="AE42" s="38" t="n">
        <x:v>-0.0962348236</x:v>
      </x:c>
      <x:c r="AF42" s="38" t="n">
        <x:v>-0.02434802</x:v>
      </x:c>
      <x:c r="AG42" s="38" t="n">
        <x:v>-0.023693623</x:v>
      </x:c>
      <x:c r="AH42" s="38" t="n">
        <x:v>-0.0833526726</x:v>
      </x:c>
      <x:c r="AI42" s="38" t="n">
        <x:v>0.1283523997</x:v>
      </x:c>
      <x:c r="AJ42" s="38" t="n">
        <x:v>0.0902109146</x:v>
      </x:c>
      <x:c r="AK42" s="38" t="n">
        <x:v>-0.1361348619</x:v>
      </x:c>
      <x:c r="AL42" s="38" t="n">
        <x:v>0.0575281862</x:v>
      </x:c>
      <x:c r="AM42" s="38" t="n">
        <x:v>0.0308989861</x:v>
      </x:c>
      <x:c r="AN42" s="38" t="n">
        <x:v>0.0114699919</x:v>
      </x:c>
      <x:c r="AO42" s="38" t="n">
        <x:v>0.0164375354</x:v>
      </x:c>
      <x:c r="AP42" s="38" t="n">
        <x:v>0.0303535535</x:v>
      </x:c>
      <x:c r="AQ42" s="38" t="n">
        <x:v>0.0493248678</x:v>
      </x:c>
      <x:c r="AR42" s="38" t="n">
        <x:v>0.0560827406</x:v>
      </x:c>
    </x:row>
    <x:row r="43" ht="19" customHeight="1">
      <x:c r="A43" s="39" t="d">
        <x:v>2023-05-22T00:00:00.000Z</x:v>
      </x:c>
      <x:c r="B43" s="38" t="n">
        <x:v>0.0223760295</x:v>
      </x:c>
      <x:c r="C43" s="38" t="n">
        <x:v>0.0117470627</x:v>
      </x:c>
      <x:c r="D43" s="38" t="n">
        <x:v>-0.0985028851</x:v>
      </x:c>
      <x:c r="E43" s="38" t="n">
        <x:v>-0.0874661677</x:v>
      </x:c>
      <x:c r="F43" s="38" t="n">
        <x:v>-0.1367059429</x:v>
      </x:c>
      <x:c r="G43" s="38" t="n">
        <x:v>0.0015050334</x:v>
      </x:c>
      <x:c r="H43" s="38" t="n">
        <x:v>0.1192418532</x:v>
      </x:c>
      <x:c r="I43" s="38" t="n">
        <x:v>0.0043366861</x:v>
      </x:c>
      <x:c r="J43" s="38" t="n">
        <x:v>0.0532852408</x:v>
      </x:c>
      <x:c r="K43" s="38" t="n">
        <x:v>0.001620375</x:v>
      </x:c>
      <x:c r="L43" s="38" t="n">
        <x:v>-0.113673868</x:v>
      </x:c>
      <x:c r="M43" s="38" t="n">
        <x:v>-0.198324002</x:v>
      </x:c>
      <x:c r="N43" s="38" t="n">
        <x:v>-0.0058764123</x:v>
      </x:c>
      <x:c r="O43" s="38" t="n">
        <x:v>0.130429764</x:v>
      </x:c>
      <x:c r="P43" s="38" t="n">
        <x:v>0.228189401</x:v>
      </x:c>
      <x:c r="Q43" s="38" t="n">
        <x:v>0.1211574848</x:v>
      </x:c>
      <x:c r="R43" s="38" t="n">
        <x:v>-0.0460086247</x:v>
      </x:c>
      <x:c r="S43" s="38" t="n">
        <x:v>0.2399614823</x:v>
      </x:c>
      <x:c r="T43" s="38" t="n">
        <x:v>-0.0470265916</x:v>
      </x:c>
      <x:c r="U43" s="38" t="n">
        <x:v>-0.0712126287</x:v>
      </x:c>
      <x:c r="V43" s="38" t="n">
        <x:v>0.1267239856</x:v>
      </x:c>
      <x:c r="W43" s="38" t="n">
        <x:v>-0.0428355492</x:v>
      </x:c>
      <x:c r="X43" s="38" t="n">
        <x:v>0.1269872557</x:v>
      </x:c>
      <x:c r="Y43" s="38" t="n">
        <x:v>-0.1400492597</x:v>
      </x:c>
      <x:c r="Z43" s="38" t="n">
        <x:v>-0.0547247196</x:v>
      </x:c>
      <x:c r="AA43" s="38" t="n">
        <x:v>0.0359276661</x:v>
      </x:c>
      <x:c r="AB43" s="38" t="n">
        <x:v>0.5329273462</x:v>
      </x:c>
      <x:c r="AC43" s="38" t="n">
        <x:v>-0.0666881282</x:v>
      </x:c>
      <x:c r="AD43" s="38" t="n">
        <x:v>0.0160509448</x:v>
      </x:c>
      <x:c r="AE43" s="38" t="n">
        <x:v>0.0630296166</x:v>
      </x:c>
      <x:c r="AF43" s="38" t="n">
        <x:v>-0.0140619123</x:v>
      </x:c>
      <x:c r="AG43" s="38" t="n">
        <x:v>0.0039569056</x:v>
      </x:c>
      <x:c r="AH43" s="38" t="n">
        <x:v>0.3221143807</x:v>
      </x:c>
      <x:c r="AI43" s="38" t="n">
        <x:v>0.0691459222</x:v>
      </x:c>
      <x:c r="AJ43" s="38" t="n">
        <x:v>-0.0610791805</x:v>
      </x:c>
      <x:c r="AK43" s="38" t="n">
        <x:v>-0.0379412581</x:v>
      </x:c>
      <x:c r="AL43" s="38" t="n">
        <x:v>0.0753916827</x:v>
      </x:c>
      <x:c r="AM43" s="38" t="n">
        <x:v>0.1366615706</x:v>
      </x:c>
      <x:c r="AN43" s="38" t="n">
        <x:v>0.0092334913</x:v>
      </x:c>
      <x:c r="AO43" s="38" t="n">
        <x:v>-0.0238066404</x:v>
      </x:c>
      <x:c r="AP43" s="38" t="n">
        <x:v>-0.0573034521</x:v>
      </x:c>
      <x:c r="AQ43" s="38" t="n">
        <x:v>-0.0469887474</x:v>
      </x:c>
      <x:c r="AR43" s="38" t="n">
        <x:v>-0.0224381407</x:v>
      </x:c>
    </x:row>
    <x:row r="44" ht="19" customHeight="1">
      <x:c r="A44" s="39" t="d">
        <x:v>2023-06-19T00:00:00.000Z</x:v>
      </x:c>
      <x:c r="B44" s="38" t="n">
        <x:v>0.0319696127</x:v>
      </x:c>
      <x:c r="C44" s="38" t="n">
        <x:v>0.0893841428</x:v>
      </x:c>
      <x:c r="D44" s="38" t="n">
        <x:v>0.0139018257</x:v>
      </x:c>
      <x:c r="E44" s="38" t="n">
        <x:v>0.0031616787</x:v>
      </x:c>
      <x:c r="F44" s="38" t="n">
        <x:v>-0.0020014858</x:v>
      </x:c>
      <x:c r="G44" s="38" t="n">
        <x:v>-0.0123461876</x:v>
      </x:c>
      <x:c r="H44" s="38" t="n">
        <x:v>0.0687115817</x:v>
      </x:c>
      <x:c r="I44" s="38" t="n">
        <x:v>0.063262946</x:v>
      </x:c>
      <x:c r="J44" s="38" t="n">
        <x:v>-0.0196873716</x:v>
      </x:c>
      <x:c r="K44" s="38" t="n">
        <x:v>-0.0208004034</x:v>
      </x:c>
      <x:c r="L44" s="38" t="n">
        <x:v>0.107502062</x:v>
      </x:c>
      <x:c r="M44" s="38" t="n">
        <x:v>0.0465227417</x:v>
      </x:c>
      <x:c r="N44" s="38" t="n">
        <x:v>0.0407202001</x:v>
      </x:c>
      <x:c r="O44" s="38" t="n">
        <x:v>-0.0443228933</x:v>
      </x:c>
      <x:c r="P44" s="38" t="n">
        <x:v>-0.0162902827</x:v>
      </x:c>
      <x:c r="Q44" s="38" t="n">
        <x:v>0.0652666924</x:v>
      </x:c>
      <x:c r="R44" s="38" t="n">
        <x:v>0.0315429805</x:v>
      </x:c>
      <x:c r="S44" s="38" t="n">
        <x:v>0.0338686181</x:v>
      </x:c>
      <x:c r="T44" s="38" t="n">
        <x:v>-0.0587824804</x:v>
      </x:c>
      <x:c r="U44" s="38" t="n">
        <x:v>-0.0302233673</x:v>
      </x:c>
      <x:c r="V44" s="38" t="n">
        <x:v>0.1045744182</x:v>
      </x:c>
      <x:c r="W44" s="38" t="n">
        <x:v>0.0142448244</x:v>
      </x:c>
      <x:c r="X44" s="38" t="n">
        <x:v>-0.1156040149</x:v>
      </x:c>
      <x:c r="Y44" s="38" t="n">
        <x:v>0.0295743508</x:v>
      </x:c>
      <x:c r="Z44" s="38" t="n">
        <x:v>0.0304420647</x:v>
      </x:c>
      <x:c r="AA44" s="38" t="n">
        <x:v>-0.0180402361</x:v>
      </x:c>
      <x:c r="AB44" s="38" t="n">
        <x:v>0.1779375037</x:v>
      </x:c>
      <x:c r="AC44" s="38" t="n">
        <x:v>0.0193492643</x:v>
      </x:c>
      <x:c r="AD44" s="38" t="n">
        <x:v>0.1375974811</x:v>
      </x:c>
      <x:c r="AE44" s="38" t="n">
        <x:v>0.0755739609</x:v>
      </x:c>
      <x:c r="AF44" s="38" t="n">
        <x:v>0.0080858154</x:v>
      </x:c>
      <x:c r="AG44" s="38" t="n">
        <x:v>0.0696472783</x:v>
      </x:c>
      <x:c r="AH44" s="38" t="n">
        <x:v>-0.1336450917</x:v>
      </x:c>
      <x:c r="AI44" s="38" t="n">
        <x:v>0.0694510003</x:v>
      </x:c>
      <x:c r="AJ44" s="38" t="n">
        <x:v>0.0339857744</x:v>
      </x:c>
      <x:c r="AK44" s="38" t="n">
        <x:v>-0.0092905001</x:v>
      </x:c>
      <x:c r="AL44" s="38" t="n">
        <x:v>0.0059252728</x:v>
      </x:c>
      <x:c r="AM44" s="38" t="n">
        <x:v>-0.017080278</x:v>
      </x:c>
      <x:c r="AN44" s="38" t="n">
        <x:v>0.0309440454</x:v>
      </x:c>
      <x:c r="AO44" s="38" t="n">
        <x:v>0.031643311</x:v>
      </x:c>
      <x:c r="AP44" s="38" t="n">
        <x:v>0.0214291626</x:v>
      </x:c>
      <x:c r="AQ44" s="38" t="n">
        <x:v>0.064686915</x:v>
      </x:c>
      <x:c r="AR44" s="38" t="n">
        <x:v>0.0415118732</x:v>
      </x:c>
    </x:row>
    <x:row r="45" ht="19" customHeight="1">
      <x:c r="A45" s="39" t="d">
        <x:v>2023-07-17T00:00:00.000Z</x:v>
      </x:c>
      <x:c r="B45" s="38" t="n">
        <x:v>0.1150583633</x:v>
      </x:c>
      <x:c r="C45" s="38" t="n">
        <x:v>0.1085982006</x:v>
      </x:c>
      <x:c r="D45" s="38" t="n">
        <x:v>0.0488214656</x:v>
      </x:c>
      <x:c r="E45" s="38" t="n">
        <x:v>0.0643024879</x:v>
      </x:c>
      <x:c r="F45" s="38" t="n">
        <x:v>-0.009891218</x:v>
      </x:c>
      <x:c r="G45" s="38" t="n">
        <x:v>0.0251078344</x:v>
      </x:c>
      <x:c r="H45" s="38" t="n">
        <x:v>0.0048686894</x:v>
      </x:c>
      <x:c r="I45" s="38" t="n">
        <x:v>0.0244434022</x:v>
      </x:c>
      <x:c r="J45" s="38" t="n">
        <x:v>-0.0111564249</x:v>
      </x:c>
      <x:c r="K45" s="38" t="n">
        <x:v>0.0941049488</x:v>
      </x:c>
      <x:c r="L45" s="38" t="n">
        <x:v>0.1069352034</x:v>
      </x:c>
      <x:c r="M45" s="38" t="n">
        <x:v>0.0927712548</x:v>
      </x:c>
      <x:c r="N45" s="38" t="n">
        <x:v>0.0155510457</x:v>
      </x:c>
      <x:c r="O45" s="38" t="n">
        <x:v>0.0108873784</x:v>
      </x:c>
      <x:c r="P45" s="38" t="n">
        <x:v>0.0112576761</x:v>
      </x:c>
      <x:c r="Q45" s="38" t="n">
        <x:v>0.2196732056</x:v>
      </x:c>
      <x:c r="R45" s="38" t="n">
        <x:v>0.0385655908</x:v>
      </x:c>
      <x:c r="S45" s="38" t="n">
        <x:v>0.0458233006</x:v>
      </x:c>
      <x:c r="T45" s="38" t="n">
        <x:v>0.0610342049</x:v>
      </x:c>
      <x:c r="U45" s="38" t="n">
        <x:v>-0.0447344453</x:v>
      </x:c>
      <x:c r="V45" s="38" t="n">
        <x:v>0.0077015214</x:v>
      </x:c>
      <x:c r="W45" s="38" t="n">
        <x:v>0.0702114629</x:v>
      </x:c>
      <x:c r="X45" s="38" t="n">
        <x:v>0.0070969463</x:v>
      </x:c>
      <x:c r="Y45" s="38" t="n">
        <x:v>0.0362315893</x:v>
      </x:c>
      <x:c r="Z45" s="38" t="n">
        <x:v>-0.0607133112</x:v>
      </x:c>
      <x:c r="AA45" s="38" t="n">
        <x:v>0</x:v>
      </x:c>
      <x:c r="AB45" s="38" t="n">
        <x:v>0.5530346283</x:v>
      </x:c>
      <x:c r="AC45" s="38" t="n">
        <x:v>0.033869385</x:v>
      </x:c>
      <x:c r="AD45" s="38" t="n">
        <x:v>-0.0060679585</x:v>
      </x:c>
      <x:c r="AE45" s="38" t="n">
        <x:v>0.0412886165</x:v>
      </x:c>
      <x:c r="AF45" s="38" t="n">
        <x:v>0.0288649171</x:v>
      </x:c>
      <x:c r="AG45" s="38" t="n">
        <x:v>0.0614047364</x:v>
      </x:c>
      <x:c r="AH45" s="38" t="n">
        <x:v>0.0080168668</x:v>
      </x:c>
      <x:c r="AI45" s="38" t="n">
        <x:v>0.006548604</x:v>
      </x:c>
      <x:c r="AJ45" s="38" t="n">
        <x:v>0.0716871195</x:v>
      </x:c>
      <x:c r="AK45" s="38" t="n">
        <x:v>-0.0095176529</x:v>
      </x:c>
      <x:c r="AL45" s="38" t="n">
        <x:v>0.0242934678</x:v>
      </x:c>
      <x:c r="AM45" s="38" t="n">
        <x:v>-0.0180397694</x:v>
      </x:c>
      <x:c r="AN45" s="38" t="n">
        <x:v>0.0582085869</x:v>
      </x:c>
      <x:c r="AO45" s="38" t="n">
        <x:v>0.0596529712</x:v>
      </x:c>
      <x:c r="AP45" s="38" t="n">
        <x:v>0.0188999559</x:v>
      </x:c>
      <x:c r="AQ45" s="38" t="n">
        <x:v>0.0264440294</x:v>
      </x:c>
      <x:c r="AR45" s="38" t="n">
        <x:v>0.0290853544</x:v>
      </x:c>
    </x:row>
    <x:row r="46" ht="19" customHeight="1">
      <x:c r="A46" s="39" t="d">
        <x:v>2023-08-14T00:00:00.000Z</x:v>
      </x:c>
      <x:c r="B46" s="38" t="n">
        <x:v>0.0492525035</x:v>
      </x:c>
      <x:c r="C46" s="38" t="n">
        <x:v>-0.0417822425</x:v>
      </x:c>
      <x:c r="D46" s="38" t="n">
        <x:v>-0.0922336275</x:v>
      </x:c>
      <x:c r="E46" s="38" t="n">
        <x:v>-0.069977315</x:v>
      </x:c>
      <x:c r="F46" s="38" t="n">
        <x:v>-0.0134674834</x:v>
      </x:c>
      <x:c r="G46" s="38" t="n">
        <x:v>-0.1210249256</x:v>
      </x:c>
      <x:c r="H46" s="38" t="n">
        <x:v>0.0233814883</x:v>
      </x:c>
      <x:c r="I46" s="38" t="n">
        <x:v>0.0679949677</x:v>
      </x:c>
      <x:c r="J46" s="38" t="n">
        <x:v>0.0731175992</x:v>
      </x:c>
      <x:c r="K46" s="38" t="n">
        <x:v>0.0865309999</x:v>
      </x:c>
      <x:c r="L46" s="38" t="n">
        <x:v>0.0049175995</x:v>
      </x:c>
      <x:c r="M46" s="38" t="n">
        <x:v>-0.0424179925</x:v>
      </x:c>
      <x:c r="N46" s="38" t="n">
        <x:v>-0.0352722049</x:v>
      </x:c>
      <x:c r="O46" s="38" t="n">
        <x:v>0.03527016</x:v>
      </x:c>
      <x:c r="P46" s="38" t="n">
        <x:v>0.0129742978</x:v>
      </x:c>
      <x:c r="Q46" s="38" t="n">
        <x:v>-0.3812178285</x:v>
      </x:c>
      <x:c r="R46" s="38" t="n">
        <x:v>0.0704041061</x:v>
      </x:c>
      <x:c r="S46" s="38" t="n">
        <x:v>-0.1156826737</x:v>
      </x:c>
      <x:c r="T46" s="38" t="n">
        <x:v>-0.2087527565</x:v>
      </x:c>
      <x:c r="U46" s="38" t="n">
        <x:v>0.1013742428</x:v>
      </x:c>
      <x:c r="V46" s="38" t="n">
        <x:v>-0.0527771445</x:v>
      </x:c>
      <x:c r="W46" s="38" t="n">
        <x:v>0.0618969328</x:v>
      </x:c>
      <x:c r="X46" s="38" t="n">
        <x:v>-0.0304664369</x:v>
      </x:c>
      <x:c r="Y46" s="38" t="n">
        <x:v>-0.1177667518</x:v>
      </x:c>
      <x:c r="Z46" s="38" t="n">
        <x:v>0.0706156664</x:v>
      </x:c>
      <x:c r="AA46" s="38" t="n">
        <x:v>0.013950834</x:v>
      </x:c>
      <x:c r="AB46" s="38" t="n">
        <x:v>-0.5003439773</x:v>
      </x:c>
      <x:c r="AC46" s="38" t="n">
        <x:v>-0.0024404009</x:v>
      </x:c>
      <x:c r="AD46" s="38" t="n">
        <x:v>-0.1353635392</x:v>
      </x:c>
      <x:c r="AE46" s="38" t="n">
        <x:v>-0.01450464</x:v>
      </x:c>
      <x:c r="AF46" s="38" t="n">
        <x:v>0.0647568326</x:v>
      </x:c>
      <x:c r="AG46" s="38" t="n">
        <x:v>-0.0514152003</x:v>
      </x:c>
      <x:c r="AH46" s="38" t="n">
        <x:v>-0.0485861316</x:v>
      </x:c>
      <x:c r="AI46" s="38" t="n">
        <x:v>0.1623552937</x:v>
      </x:c>
      <x:c r="AJ46" s="38" t="n">
        <x:v>-0.0060312299</x:v>
      </x:c>
      <x:c r="AK46" s="38" t="n">
        <x:v>-0.0237802241</x:v>
      </x:c>
      <x:c r="AL46" s="38" t="n">
        <x:v>-0.0770204501</x:v>
      </x:c>
      <x:c r="AM46" s="38" t="n">
        <x:v>0.0574747659</x:v>
      </x:c>
      <x:c r="AN46" s="38" t="n">
        <x:v>-0.0223921846</x:v>
      </x:c>
      <x:c r="AO46" s="38" t="n">
        <x:v>0.0203568993</x:v>
      </x:c>
      <x:c r="AP46" s="38" t="n">
        <x:v>-0.0230800677</x:v>
      </x:c>
      <x:c r="AQ46" s="38" t="n">
        <x:v>0.0128280667</x:v>
      </x:c>
      <x:c r="AR46" s="38" t="n">
        <x:v>0.0186114716</x:v>
      </x:c>
    </x:row>
    <x:row r="47" ht="19" customHeight="1">
      <x:c r="A47" s="39" t="d">
        <x:v>2023-09-11T00:00:00.000Z</x:v>
      </x:c>
      <x:c r="B47" s="38" t="n">
        <x:v>0.0942598953</x:v>
      </x:c>
      <x:c r="C47" s="38" t="n">
        <x:v>0.0787060055</x:v>
      </x:c>
      <x:c r="D47" s="38" t="n">
        <x:v>0.0124303381</x:v>
      </x:c>
      <x:c r="E47" s="38" t="n">
        <x:v>0.0281812804</x:v>
      </x:c>
      <x:c r="F47" s="38" t="n">
        <x:v>-0.0042938108</x:v>
      </x:c>
      <x:c r="G47" s="38" t="n">
        <x:v>0.0326209473</x:v>
      </x:c>
      <x:c r="H47" s="38" t="n">
        <x:v>0.0508069286</x:v>
      </x:c>
      <x:c r="I47" s="38" t="n">
        <x:v>0.0583175997</x:v>
      </x:c>
      <x:c r="J47" s="38" t="n">
        <x:v>-0.0090790571</x:v>
      </x:c>
      <x:c r="K47" s="38" t="n">
        <x:v>0.0706419067</x:v>
      </x:c>
      <x:c r="L47" s="38" t="n">
        <x:v>0.0366908026</x:v>
      </x:c>
      <x:c r="M47" s="38" t="n">
        <x:v>0.0395451106</x:v>
      </x:c>
      <x:c r="N47" s="38" t="n">
        <x:v>-0.0650715278</x:v>
      </x:c>
      <x:c r="O47" s="38" t="n">
        <x:v>0.089842423</x:v>
      </x:c>
      <x:c r="P47" s="38" t="n">
        <x:v>0.122509055</x:v>
      </x:c>
      <x:c r="Q47" s="38" t="n">
        <x:v>-0.2875449088</x:v>
      </x:c>
      <x:c r="R47" s="38" t="n">
        <x:v>0.0198381486</x:v>
      </x:c>
      <x:c r="S47" s="38" t="n">
        <x:v>0.0602052573</x:v>
      </x:c>
      <x:c r="T47" s="38" t="n">
        <x:v>0.116418545</x:v>
      </x:c>
      <x:c r="U47" s="38" t="n">
        <x:v>0.029150962</x:v>
      </x:c>
      <x:c r="V47" s="38" t="n">
        <x:v>-0.018357066</x:v>
      </x:c>
      <x:c r="W47" s="38" t="n">
        <x:v>-0.0089365822</x:v>
      </x:c>
      <x:c r="X47" s="38" t="n">
        <x:v>0.0914166148</x:v>
      </x:c>
      <x:c r="Y47" s="38" t="n">
        <x:v>0.0626210874</x:v>
      </x:c>
      <x:c r="Z47" s="38" t="n">
        <x:v>0.034197248</x:v>
      </x:c>
      <x:c r="AA47" s="38" t="n">
        <x:v>-0.0094096014</x:v>
      </x:c>
      <x:c r="AB47" s="38" t="n">
        <x:v>-0.076972317</x:v>
      </x:c>
      <x:c r="AC47" s="38" t="n">
        <x:v>0.0058910193</x:v>
      </x:c>
      <x:c r="AD47" s="38" t="n">
        <x:v>0.0512916356</x:v>
      </x:c>
      <x:c r="AE47" s="38" t="n">
        <x:v>0.0108158397</x:v>
      </x:c>
      <x:c r="AF47" s="38" t="n">
        <x:v>-0.0827103554</x:v>
      </x:c>
      <x:c r="AG47" s="38" t="n">
        <x:v>-0.0295584818</x:v>
      </x:c>
      <x:c r="AH47" s="38" t="n">
        <x:v>-0.0370971113</x:v>
      </x:c>
      <x:c r="AI47" s="38" t="n">
        <x:v>0.050505083</x:v>
      </x:c>
      <x:c r="AJ47" s="38" t="n">
        <x:v>0.0371163216</x:v>
      </x:c>
      <x:c r="AK47" s="38" t="n">
        <x:v>0.030054625</x:v>
      </x:c>
      <x:c r="AL47" s="38" t="n">
        <x:v>0.0411891841</x:v>
      </x:c>
      <x:c r="AM47" s="38" t="n">
        <x:v>0.0727797891</x:v>
      </x:c>
      <x:c r="AN47" s="38" t="n">
        <x:v>0.0219301287</x:v>
      </x:c>
      <x:c r="AO47" s="38" t="n">
        <x:v>-0.0116682049</x:v>
      </x:c>
      <x:c r="AP47" s="38" t="n">
        <x:v>-0.0414261842</x:v>
      </x:c>
      <x:c r="AQ47" s="38" t="n">
        <x:v>-0.0570945169</x:v>
      </x:c>
      <x:c r="AR47" s="38" t="n">
        <x:v>0.0411724834</x:v>
      </x:c>
    </x:row>
    <x:row r="48" ht="19" customHeight="1">
      <x:c r="A48" s="39" t="d">
        <x:v>2023-10-09T00:00:00.000Z</x:v>
      </x:c>
      <x:c r="B48" s="38" t="n">
        <x:v>-0.0326184849</x:v>
      </x:c>
      <x:c r="C48" s="38" t="n">
        <x:v>0.1311636607</x:v>
      </x:c>
      <x:c r="D48" s="38" t="n">
        <x:v>-0.0708998808</x:v>
      </x:c>
      <x:c r="E48" s="38" t="n">
        <x:v>-0.0496828386</x:v>
      </x:c>
      <x:c r="F48" s="38" t="n">
        <x:v>-0.0142299478</x:v>
      </x:c>
      <x:c r="G48" s="38" t="n">
        <x:v>-0.0697565011</x:v>
      </x:c>
      <x:c r="H48" s="38" t="n">
        <x:v>-0.0771676747</x:v>
      </x:c>
      <x:c r="I48" s="38" t="n">
        <x:v>-0.1639957788</x:v>
      </x:c>
      <x:c r="J48" s="38" t="n">
        <x:v>0.0801309893</x:v>
      </x:c>
      <x:c r="K48" s="38" t="n">
        <x:v>-0.1286773126</x:v>
      </x:c>
      <x:c r="L48" s="38" t="n">
        <x:v>0.0289036437</x:v>
      </x:c>
      <x:c r="M48" s="38" t="n">
        <x:v>-0.0488376009</x:v>
      </x:c>
      <x:c r="N48" s="38" t="n">
        <x:v>-0.0275846409</x:v>
      </x:c>
      <x:c r="O48" s="38" t="n">
        <x:v>0.0462387485</x:v>
      </x:c>
      <x:c r="P48" s="38" t="n">
        <x:v>-0.0911316221</x:v>
      </x:c>
      <x:c r="Q48" s="38" t="n">
        <x:v>-0.057420648</x:v>
      </x:c>
      <x:c r="R48" s="38" t="n">
        <x:v>0.0579510634</x:v>
      </x:c>
      <x:c r="S48" s="38" t="n">
        <x:v>-0.0253841025</x:v>
      </x:c>
      <x:c r="T48" s="38" t="n">
        <x:v>-0.1507213991</x:v>
      </x:c>
      <x:c r="U48" s="38" t="n">
        <x:v>0.0429949253</x:v>
      </x:c>
      <x:c r="V48" s="38" t="n">
        <x:v>-0.1078818936</x:v>
      </x:c>
      <x:c r="W48" s="38" t="n">
        <x:v>-0.0273140221</x:v>
      </x:c>
      <x:c r="X48" s="38" t="n">
        <x:v>-0.0078312335</x:v>
      </x:c>
      <x:c r="Y48" s="38" t="n">
        <x:v>-0.0221838679</x:v>
      </x:c>
      <x:c r="Z48" s="38" t="n">
        <x:v>0.1093214261</x:v>
      </x:c>
      <x:c r="AA48" s="38" t="n">
        <x:v>-0.00480661</x:v>
      </x:c>
      <x:c r="AB48" s="38" t="n">
        <x:v>-0.0869756367</x:v>
      </x:c>
      <x:c r="AC48" s="38" t="n">
        <x:v>-0.057906758</x:v>
      </x:c>
      <x:c r="AD48" s="38" t="n">
        <x:v>-0.064425687</x:v>
      </x:c>
      <x:c r="AE48" s="38" t="n">
        <x:v>-0.0345750715</x:v>
      </x:c>
      <x:c r="AF48" s="38" t="n">
        <x:v>-0.1161817684</x:v>
      </x:c>
      <x:c r="AG48" s="38" t="n">
        <x:v>0.0593803543</x:v>
      </x:c>
      <x:c r="AH48" s="38" t="n">
        <x:v>0.0342623804</x:v>
      </x:c>
      <x:c r="AI48" s="38" t="n">
        <x:v>0.0556638512</x:v>
      </x:c>
      <x:c r="AJ48" s="38" t="n">
        <x:v>0.0090455279</x:v>
      </x:c>
      <x:c r="AK48" s="38" t="n">
        <x:v>-0.1110958338</x:v>
      </x:c>
      <x:c r="AL48" s="38" t="n">
        <x:v>-0.0074396328</x:v>
      </x:c>
      <x:c r="AM48" s="38" t="n">
        <x:v>-0.0002862273</x:v>
      </x:c>
      <x:c r="AN48" s="38" t="n">
        <x:v>0.0183433833</x:v>
      </x:c>
      <x:c r="AO48" s="38" t="n">
        <x:v>-0.0945659267</x:v>
      </x:c>
      <x:c r="AP48" s="38" t="n">
        <x:v>-0.0896385268</x:v>
      </x:c>
      <x:c r="AQ48" s="38" t="n">
        <x:v>-0.0284123986</x:v>
      </x:c>
      <x:c r="AR48" s="38" t="n">
        <x:v>-0.0628074259</x:v>
      </x:c>
    </x:row>
    <x:row r="49" ht="19" customHeight="1">
      <x:c r="A49" s="39" t="d">
        <x:v>2023-11-06T00:00:00.000Z</x:v>
      </x:c>
      <x:c r="B49" s="38" t="n">
        <x:v>0.0856909679</x:v>
      </x:c>
      <x:c r="C49" s="38" t="n">
        <x:v>-0.1485509601</x:v>
      </x:c>
      <x:c r="D49" s="38" t="n">
        <x:v>0.0536164057</x:v>
      </x:c>
      <x:c r="E49" s="38" t="n">
        <x:v>0.0320864805</x:v>
      </x:c>
      <x:c r="F49" s="38" t="n">
        <x:v>0.0452847104</x:v>
      </x:c>
      <x:c r="G49" s="38" t="n">
        <x:v>0.1737053401</x:v>
      </x:c>
      <x:c r="H49" s="38" t="n">
        <x:v>0.1005229834</x:v>
      </x:c>
      <x:c r="I49" s="38" t="n">
        <x:v>0.1663243193</x:v>
      </x:c>
      <x:c r="J49" s="38" t="n">
        <x:v>0.0564955117</x:v>
      </x:c>
      <x:c r="K49" s="38" t="n">
        <x:v>-0.0270965872</x:v>
      </x:c>
      <x:c r="L49" s="38" t="n">
        <x:v>-0.0610191961</x:v>
      </x:c>
      <x:c r="M49" s="38" t="n">
        <x:v>-0.1201655278</x:v>
      </x:c>
      <x:c r="N49" s="38" t="n">
        <x:v>0.101418101</x:v>
      </x:c>
      <x:c r="O49" s="38" t="n">
        <x:v>-0.015387983</x:v>
      </x:c>
      <x:c r="P49" s="38" t="n">
        <x:v>-0.0356829988</x:v>
      </x:c>
      <x:c r="Q49" s="38" t="n">
        <x:v>0.0936708238</x:v>
      </x:c>
      <x:c r="R49" s="38" t="n">
        <x:v>-0.0103690052</x:v>
      </x:c>
      <x:c r="S49" s="38" t="n">
        <x:v>0.0308146613</x:v>
      </x:c>
      <x:c r="T49" s="38" t="n">
        <x:v>-0.3377651946</x:v>
      </x:c>
      <x:c r="U49" s="38" t="n">
        <x:v>0.0115479268</x:v>
      </x:c>
      <x:c r="V49" s="38" t="n">
        <x:v>0.2283542972</x:v>
      </x:c>
      <x:c r="W49" s="38" t="n">
        <x:v>-0.044200441</x:v>
      </x:c>
      <x:c r="X49" s="38" t="n">
        <x:v>0.0848675662</x:v>
      </x:c>
      <x:c r="Y49" s="38" t="n">
        <x:v>-0.1418602926</x:v>
      </x:c>
      <x:c r="Z49" s="38" t="n">
        <x:v>0.0343989553</x:v>
      </x:c>
      <x:c r="AA49" s="38" t="n">
        <x:v>-0.1303292213</x:v>
      </x:c>
      <x:c r="AB49" s="38" t="n">
        <x:v>-0.2615147224</x:v>
      </x:c>
      <x:c r="AC49" s="38" t="n">
        <x:v>0.0515296508</x:v>
      </x:c>
      <x:c r="AD49" s="38" t="n">
        <x:v>-0.1644773465</x:v>
      </x:c>
      <x:c r="AE49" s="38" t="n">
        <x:v>-0.0319626099</x:v>
      </x:c>
      <x:c r="AF49" s="38" t="n">
        <x:v>0.0613655449</x:v>
      </x:c>
      <x:c r="AG49" s="38" t="n">
        <x:v>0.0223607943</x:v>
      </x:c>
      <x:c r="AH49" s="38" t="n">
        <x:v>0.1204806711</x:v>
      </x:c>
      <x:c r="AI49" s="38" t="n">
        <x:v>-0.0189819033</x:v>
      </x:c>
      <x:c r="AJ49" s="38" t="n">
        <x:v>0.0096704075</x:v>
      </x:c>
      <x:c r="AK49" s="38" t="n">
        <x:v>0.0043858467</x:v>
      </x:c>
      <x:c r="AL49" s="38" t="n">
        <x:v>0.1200472748</x:v>
      </x:c>
      <x:c r="AM49" s="38" t="n">
        <x:v>-0.0352341776</x:v>
      </x:c>
      <x:c r="AN49" s="38" t="n">
        <x:v>0.0197451655</x:v>
      </x:c>
      <x:c r="AO49" s="38" t="n">
        <x:v>-0.0011274576</x:v>
      </x:c>
      <x:c r="AP49" s="38" t="n">
        <x:v>0.0696961974</x:v>
      </x:c>
      <x:c r="AQ49" s="38" t="n">
        <x:v>-0.0629624557</x:v>
      </x:c>
      <x:c r="AR49" s="38" t="n">
        <x:v>0.0156779105</x:v>
      </x:c>
    </x:row>
    <x:row r="50" ht="19" customHeight="1">
      <x:c r="A50" s="39" t="d">
        <x:v>2023-12-04T00:00:00.000Z</x:v>
      </x:c>
      <x:c r="B50" s="38" t="n">
        <x:v>0.070224845</x:v>
      </x:c>
      <x:c r="C50" s="38" t="n">
        <x:v>0.1286118648</x:v>
      </x:c>
      <x:c r="D50" s="38" t="n">
        <x:v>0.024933994</x:v>
      </x:c>
      <x:c r="E50" s="38" t="n">
        <x:v>0.0668856684</x:v>
      </x:c>
      <x:c r="F50" s="38" t="n">
        <x:v>0.0541074118</x:v>
      </x:c>
      <x:c r="G50" s="38" t="n">
        <x:v>0.0567227253</x:v>
      </x:c>
      <x:c r="H50" s="38" t="n">
        <x:v>0.0268259675</x:v>
      </x:c>
      <x:c r="I50" s="38" t="n">
        <x:v>0.034792373</x:v>
      </x:c>
      <x:c r="J50" s="38" t="n">
        <x:v>0.1080738546</x:v>
      </x:c>
      <x:c r="K50" s="38" t="n">
        <x:v>0.0087493159</x:v>
      </x:c>
      <x:c r="L50" s="38" t="n">
        <x:v>-0.0334029035</x:v>
      </x:c>
      <x:c r="M50" s="38" t="n">
        <x:v>0.0162940898</x:v>
      </x:c>
      <x:c r="N50" s="38" t="n">
        <x:v>-0.0169317414</x:v>
      </x:c>
      <x:c r="O50" s="38" t="n">
        <x:v>0.0622990134</x:v>
      </x:c>
      <x:c r="P50" s="38" t="n">
        <x:v>0.178290631</x:v>
      </x:c>
      <x:c r="Q50" s="38" t="n">
        <x:v>0.2110629806</x:v>
      </x:c>
      <x:c r="R50" s="38" t="n">
        <x:v>-0.0206907894</x:v>
      </x:c>
      <x:c r="S50" s="38" t="n">
        <x:v>0.2084113561</x:v>
      </x:c>
      <x:c r="T50" s="38" t="n">
        <x:v>0.1383220499</x:v>
      </x:c>
      <x:c r="U50" s="38" t="n">
        <x:v>0.0821189608</x:v>
      </x:c>
      <x:c r="V50" s="38" t="n">
        <x:v>0.0146331005</x:v>
      </x:c>
      <x:c r="W50" s="38" t="n">
        <x:v>0.0045732543</x:v>
      </x:c>
      <x:c r="X50" s="38" t="n">
        <x:v>-0.005380956</x:v>
      </x:c>
      <x:c r="Y50" s="38" t="n">
        <x:v>0.1448778465</x:v>
      </x:c>
      <x:c r="Z50" s="38" t="n">
        <x:v>0.0049049774</x:v>
      </x:c>
      <x:c r="AA50" s="38" t="n">
        <x:v>0.0112340478</x:v>
      </x:c>
      <x:c r="AB50" s="38" t="n">
        <x:v>0.5767480157</x:v>
      </x:c>
      <x:c r="AC50" s="38" t="n">
        <x:v>-0.0426906692</x:v>
      </x:c>
      <x:c r="AD50" s="38" t="n">
        <x:v>0.1115375963</x:v>
      </x:c>
      <x:c r="AE50" s="38" t="n">
        <x:v>0.0163381312</x:v>
      </x:c>
      <x:c r="AF50" s="38" t="n">
        <x:v>0.2210246543</x:v>
      </x:c>
      <x:c r="AG50" s="38" t="n">
        <x:v>0.0774630249</x:v>
      </x:c>
      <x:c r="AH50" s="38" t="n">
        <x:v>0.0844433954</x:v>
      </x:c>
      <x:c r="AI50" s="38" t="n">
        <x:v>0.0024410136</x:v>
      </x:c>
      <x:c r="AJ50" s="38" t="n">
        <x:v>0.0274552923</x:v>
      </x:c>
      <x:c r="AK50" s="38" t="n">
        <x:v>-0.0940488047</x:v>
      </x:c>
      <x:c r="AL50" s="38" t="n">
        <x:v>0.0144455233</x:v>
      </x:c>
      <x:c r="AM50" s="38" t="n">
        <x:v>0.0181374178</x:v>
      </x:c>
      <x:c r="AN50" s="38" t="n">
        <x:v>0.057313608</x:v>
      </x:c>
      <x:c r="AO50" s="38" t="n">
        <x:v>0.1210049706</x:v>
      </x:c>
      <x:c r="AP50" s="38" t="n">
        <x:v>0.0411596164</x:v>
      </x:c>
      <x:c r="AQ50" s="38" t="n">
        <x:v>0.0561343948</x:v>
      </x:c>
      <x:c r="AR50" s="38" t="n">
        <x:v>0.0072419525</x:v>
      </x:c>
    </x:row>
    <x:row r="51" ht="19" customHeight="1">
      <x:c r="A51" s="39" t="d">
        <x:v>2024-01-01T00:00:00.000Z</x:v>
      </x:c>
      <x:c r="B51" s="38" t="n">
        <x:v>0.0500542537</x:v>
      </x:c>
      <x:c r="C51" s="38" t="n">
        <x:v>-0.0204475422</x:v>
      </x:c>
      <x:c r="D51" s="38" t="n">
        <x:v>0.0555089208</x:v>
      </x:c>
      <x:c r="E51" s="38" t="n">
        <x:v>0.0192192332</x:v>
      </x:c>
      <x:c r="F51" s="38" t="n">
        <x:v>-0.0214334245</x:v>
      </x:c>
      <x:c r="G51" s="38" t="n">
        <x:v>-0.0138772159</x:v>
      </x:c>
      <x:c r="H51" s="38" t="n">
        <x:v>-0.0152766615</x:v>
      </x:c>
      <x:c r="I51" s="38" t="n">
        <x:v>0.0098888076</x:v>
      </x:c>
      <x:c r="J51" s="38" t="n">
        <x:v>0.0046393071</x:v>
      </x:c>
      <x:c r="K51" s="38" t="n">
        <x:v>0.051008153</x:v>
      </x:c>
      <x:c r="L51" s="38" t="n">
        <x:v>0.0595779647</x:v>
      </x:c>
      <x:c r="M51" s="38" t="n">
        <x:v>0.0421351303</x:v>
      </x:c>
      <x:c r="N51" s="38" t="n">
        <x:v>0.1007821487</x:v>
      </x:c>
      <x:c r="O51" s="38" t="n">
        <x:v>0.045879326</x:v>
      </x:c>
      <x:c r="P51" s="38" t="n">
        <x:v>0.1908514226</x:v>
      </x:c>
      <x:c r="Q51" s="38" t="n">
        <x:v>0.1327055378</x:v>
      </x:c>
      <x:c r="R51" s="38" t="n">
        <x:v>-0.0366974994</x:v>
      </x:c>
      <x:c r="S51" s="38" t="n">
        <x:v>-0.0165349462</x:v>
      </x:c>
      <x:c r="T51" s="38" t="n">
        <x:v>0.3328408895</x:v>
      </x:c>
      <x:c r="U51" s="38" t="n">
        <x:v>0.0334159889</x:v>
      </x:c>
      <x:c r="V51" s="38" t="n">
        <x:v>0.0448776528</x:v>
      </x:c>
      <x:c r="W51" s="38" t="n">
        <x:v>0.0294475337</x:v>
      </x:c>
      <x:c r="X51" s="38" t="n">
        <x:v>0.1113915724</x:v>
      </x:c>
      <x:c r="Y51" s="38" t="n">
        <x:v>0.0325391108</x:v>
      </x:c>
      <x:c r="Z51" s="38" t="n">
        <x:v>0.0097517463</x:v>
      </x:c>
      <x:c r="AA51" s="38" t="n">
        <x:v>-0.1074087647</x:v>
      </x:c>
      <x:c r="AB51" s="38" t="n">
        <x:v>-0.1076676749</x:v>
      </x:c>
      <x:c r="AC51" s="38" t="n">
        <x:v>0.015912244</x:v>
      </x:c>
      <x:c r="AD51" s="38" t="n">
        <x:v>0.0753922783</x:v>
      </x:c>
      <x:c r="AE51" s="38" t="n">
        <x:v>0.0663978833</x:v>
      </x:c>
      <x:c r="AF51" s="38" t="n">
        <x:v>0.0178626292</x:v>
      </x:c>
      <x:c r="AG51" s="38" t="n">
        <x:v>0.0230392192</x:v>
      </x:c>
      <x:c r="AH51" s="38" t="n">
        <x:v>0.0740919731</x:v>
      </x:c>
      <x:c r="AI51" s="38" t="n">
        <x:v>0.0345602786</x:v>
      </x:c>
      <x:c r="AJ51" s="38" t="n">
        <x:v>0.0093091659</x:v>
      </x:c>
      <x:c r="AK51" s="38" t="n">
        <x:v>0.0805873158</x:v>
      </x:c>
      <x:c r="AL51" s="38" t="n">
        <x:v>-0.0179110895</x:v>
      </x:c>
      <x:c r="AM51" s="38" t="n">
        <x:v>0.0056056714</x:v>
      </x:c>
      <x:c r="AN51" s="38" t="n">
        <x:v>0.0963116802</x:v>
      </x:c>
      <x:c r="AO51" s="38" t="n">
        <x:v>0.0504684391</x:v>
      </x:c>
      <x:c r="AP51" s="38" t="n">
        <x:v>0.0183794135</x:v>
      </x:c>
      <x:c r="AQ51" s="38" t="n">
        <x:v>0.0436164418</x:v>
      </x:c>
      <x:c r="AR51" s="38" t="n">
        <x:v>0.0357026766</x:v>
      </x:c>
    </x:row>
    <x:row r="52" ht="19" customHeight="1">
      <x:c r="A52" s="39" t="d">
        <x:v>2024-01-29T00:00:00.000Z</x:v>
      </x:c>
      <x:c r="B52" s="38" t="n">
        <x:v>0.1493598033</x:v>
      </x:c>
      <x:c r="C52" s="38" t="n">
        <x:v>0.0815490459</x:v>
      </x:c>
      <x:c r="D52" s="38" t="n">
        <x:v>-0.0695704987</x:v>
      </x:c>
      <x:c r="E52" s="38" t="n">
        <x:v>-0.0340705619</x:v>
      </x:c>
      <x:c r="F52" s="38" t="n">
        <x:v>0.0689401822</x:v>
      </x:c>
      <x:c r="G52" s="38" t="n">
        <x:v>0.1195123765</x:v>
      </x:c>
      <x:c r="H52" s="38" t="n">
        <x:v>0.1747170598</x:v>
      </x:c>
      <x:c r="I52" s="38" t="n">
        <x:v>0.1727592495</x:v>
      </x:c>
      <x:c r="J52" s="38" t="n">
        <x:v>0.0897981558</x:v>
      </x:c>
      <x:c r="K52" s="38" t="n">
        <x:v>0.076878274</x:v>
      </x:c>
      <x:c r="L52" s="38" t="n">
        <x:v>-0.0609674662</x:v>
      </x:c>
      <x:c r="M52" s="38" t="n">
        <x:v>-0.100805943</x:v>
      </x:c>
      <x:c r="N52" s="38" t="n">
        <x:v>-0.0102151968</x:v>
      </x:c>
      <x:c r="O52" s="38" t="n">
        <x:v>0.1561784271</x:v>
      </x:c>
      <x:c r="P52" s="38" t="n">
        <x:v>0.0776026997</x:v>
      </x:c>
      <x:c r="Q52" s="38" t="n">
        <x:v>0.0117049793</x:v>
      </x:c>
      <x:c r="R52" s="38" t="n">
        <x:v>0.0377336791</x:v>
      </x:c>
      <x:c r="S52" s="38" t="n">
        <x:v>0.0834100349</x:v>
      </x:c>
      <x:c r="T52" s="38" t="n">
        <x:v>-0.1359850821</x:v>
      </x:c>
      <x:c r="U52" s="38" t="n">
        <x:v>0.053047538</x:v>
      </x:c>
      <x:c r="V52" s="38" t="n">
        <x:v>0.1818438844</x:v>
      </x:c>
      <x:c r="W52" s="38" t="n">
        <x:v>0.0483905239</x:v>
      </x:c>
      <x:c r="X52" s="38" t="n">
        <x:v>0.0370914546</x:v>
      </x:c>
      <x:c r="Y52" s="38" t="n">
        <x:v>-0.1653516673</x:v>
      </x:c>
      <x:c r="Z52" s="38" t="n">
        <x:v>0.1142191277</x:v>
      </x:c>
      <x:c r="AA52" s="38" t="n">
        <x:v>-0.0063997834</x:v>
      </x:c>
      <x:c r="AB52" s="38" t="n">
        <x:v>-0.0170336255</x:v>
      </x:c>
      <x:c r="AC52" s="38" t="n">
        <x:v>0.0792193342</x:v>
      </x:c>
      <x:c r="AD52" s="38" t="n">
        <x:v>0.0251446143</x:v>
      </x:c>
      <x:c r="AE52" s="38" t="n">
        <x:v>-0.1124698408</x:v>
      </x:c>
      <x:c r="AF52" s="38" t="n">
        <x:v>-0.1802294067</x:v>
      </x:c>
      <x:c r="AG52" s="38" t="n">
        <x:v>0.0638957211</x:v>
      </x:c>
      <x:c r="AH52" s="38" t="n">
        <x:v>0.2583539626</x:v>
      </x:c>
      <x:c r="AI52" s="38" t="n">
        <x:v>0.0794396391</x:v>
      </x:c>
      <x:c r="AJ52" s="38" t="n">
        <x:v>-0.0069547531</x:v>
      </x:c>
      <x:c r="AK52" s="38" t="n">
        <x:v>0.0414827863</x:v>
      </x:c>
      <x:c r="AL52" s="38" t="n">
        <x:v>0.1161909925</x:v>
      </x:c>
      <x:c r="AM52" s="38" t="n">
        <x:v>0.0497440726</x:v>
      </x:c>
      <x:c r="AN52" s="38" t="n">
        <x:v>0.083015994</x:v>
      </x:c>
      <x:c r="AO52" s="38" t="n">
        <x:v>0.0424559912</x:v>
      </x:c>
      <x:c r="AP52" s="38" t="n">
        <x:v>0.0150535744</x:v>
      </x:c>
      <x:c r="AQ52" s="38" t="n">
        <x:v>-0.0295901973</x:v>
      </x:c>
      <x:c r="AR52" s="38" t="n">
        <x:v>0.0692158813</x:v>
      </x:c>
    </x:row>
    <x:row r="53" ht="19" customHeight="1">
      <x:c r="A53" s="39" t="d">
        <x:v>2024-02-26T00:00:00.000Z</x:v>
      </x:c>
      <x:c r="B53" s="38" t="n">
        <x:v>0.2126232411</x:v>
      </x:c>
      <x:c r="C53" s="38" t="n">
        <x:v>0.1609037476</x:v>
      </x:c>
      <x:c r="D53" s="38" t="n">
        <x:v>0.0941091895</x:v>
      </x:c>
      <x:c r="E53" s="38" t="n">
        <x:v>0.010878826</x:v>
      </x:c>
      <x:c r="F53" s="38" t="n">
        <x:v>0.1497751613</x:v>
      </x:c>
      <x:c r="G53" s="38" t="n">
        <x:v>0.0842842725</x:v>
      </x:c>
      <x:c r="H53" s="38" t="n">
        <x:v>0.038634607</x:v>
      </x:c>
      <x:c r="I53" s="38" t="n">
        <x:v>0.323898729</x:v>
      </x:c>
      <x:c r="J53" s="38" t="n">
        <x:v>0.1102116844</x:v>
      </x:c>
      <x:c r="K53" s="38" t="n">
        <x:v>0.0407493017</x:v>
      </x:c>
      <x:c r="L53" s="38" t="n">
        <x:v>0.0862345196</x:v>
      </x:c>
      <x:c r="M53" s="38" t="n">
        <x:v>0.0255447762</x:v>
      </x:c>
      <x:c r="N53" s="38" t="n">
        <x:v>-0.0907818911</x:v>
      </x:c>
      <x:c r="O53" s="38" t="n">
        <x:v>0.105855349</x:v>
      </x:c>
      <x:c r="P53" s="38" t="n">
        <x:v>0.091730234</x:v>
      </x:c>
      <x:c r="Q53" s="38" t="n">
        <x:v>0.0757164763</x:v>
      </x:c>
      <x:c r="R53" s="38" t="n">
        <x:v>0.0627438087</x:v>
      </x:c>
      <x:c r="S53" s="38" t="n">
        <x:v>0.2001419728</x:v>
      </x:c>
      <x:c r="T53" s="38" t="n">
        <x:v>-0.0267314408</x:v>
      </x:c>
      <x:c r="U53" s="38" t="n">
        <x:v>0.2121625224</x:v>
      </x:c>
      <x:c r="V53" s="38" t="n">
        <x:v>0.0975274728</x:v>
      </x:c>
      <x:c r="W53" s="38" t="n">
        <x:v>-0.0549757039</x:v>
      </x:c>
      <x:c r="X53" s="38" t="n">
        <x:v>0.1007710592</x:v>
      </x:c>
      <x:c r="Y53" s="38" t="n">
        <x:v>-0.078565411</x:v>
      </x:c>
      <x:c r="Z53" s="38" t="n">
        <x:v>0.0408758442</x:v>
      </x:c>
      <x:c r="AA53" s="38" t="n">
        <x:v>0.0320614389</x:v>
      </x:c>
      <x:c r="AB53" s="38" t="n">
        <x:v>-0.2289268521</x:v>
      </x:c>
      <x:c r="AC53" s="38" t="n">
        <x:v>0.0050585847</x:v>
      </x:c>
      <x:c r="AD53" s="38" t="n">
        <x:v>0.0546775343</x:v>
      </x:c>
      <x:c r="AE53" s="38" t="n">
        <x:v>0.010217095</x:v>
      </x:c>
      <x:c r="AF53" s="38" t="n">
        <x:v>-0.0483423088</x:v>
      </x:c>
      <x:c r="AG53" s="38" t="n">
        <x:v>0.0949253071</x:v>
      </x:c>
      <x:c r="AH53" s="38" t="n">
        <x:v>0.1387607775</x:v>
      </x:c>
      <x:c r="AI53" s="38" t="n">
        <x:v>0.168753042</x:v>
      </x:c>
      <x:c r="AJ53" s="38" t="n">
        <x:v>0.0627953708</x:v>
      </x:c>
      <x:c r="AK53" s="38" t="n">
        <x:v>0.0029669086</x:v>
      </x:c>
      <x:c r="AL53" s="38" t="n">
        <x:v>0.0128696385</x:v>
      </x:c>
      <x:c r="AM53" s="38" t="n">
        <x:v>-0.0395497159</x:v>
      </x:c>
      <x:c r="AN53" s="38" t="n">
        <x:v>0.0577932485</x:v>
      </x:c>
      <x:c r="AO53" s="38" t="n">
        <x:v>0.0774536267</x:v>
      </x:c>
      <x:c r="AP53" s="38" t="n">
        <x:v>-0.0177447593</x:v>
      </x:c>
      <x:c r="AQ53" s="38" t="n">
        <x:v>0.0444488204</x:v>
      </x:c>
      <x:c r="AR53" s="38" t="n">
        <x:v>0.0432605499</x:v>
      </x:c>
    </x:row>
    <x:row r="54" ht="19" customHeight="1">
      <x:c r="A54" s="39" t="d">
        <x:v>2024-03-25T00:00:00.000Z</x:v>
      </x:c>
      <x:c r="B54" s="38" t="n">
        <x:v>0.2660690986</x:v>
      </x:c>
      <x:c r="C54" s="38" t="n">
        <x:v>0.1044652682</x:v>
      </x:c>
      <x:c r="D54" s="38" t="n">
        <x:v>0.0138807898</x:v>
      </x:c>
      <x:c r="E54" s="38" t="n">
        <x:v>0.0540811076</x:v>
      </x:c>
      <x:c r="F54" s="38" t="n">
        <x:v>0.0951137921</x:v>
      </x:c>
      <x:c r="G54" s="38" t="n">
        <x:v>0.0833895269</x:v>
      </x:c>
      <x:c r="H54" s="38" t="n">
        <x:v>0.0128868705</x:v>
      </x:c>
      <x:c r="I54" s="38" t="n">
        <x:v>0.0119544127</x:v>
      </x:c>
      <x:c r="J54" s="38" t="n">
        <x:v>-0.0375505302</x:v>
      </x:c>
      <x:c r="K54" s="38" t="n">
        <x:v>0.1872518943</x:v>
      </x:c>
      <x:c r="L54" s="38" t="n">
        <x:v>0.0091668954</x:v>
      </x:c>
      <x:c r="M54" s="38" t="n">
        <x:v>0.0525113517</x:v>
      </x:c>
      <x:c r="N54" s="38" t="n">
        <x:v>-0.0255134646</x:v>
      </x:c>
      <x:c r="O54" s="38" t="n">
        <x:v>0.063617344</x:v>
      </x:c>
      <x:c r="P54" s="38" t="n">
        <x:v>-0.0091598015</x:v>
      </x:c>
      <x:c r="Q54" s="38" t="n">
        <x:v>-0.0061462317</x:v>
      </x:c>
      <x:c r="R54" s="38" t="n">
        <x:v>-0.0136878189</x:v>
      </x:c>
      <x:c r="S54" s="38" t="n">
        <x:v>-0.0336029149</x:v>
      </x:c>
      <x:c r="T54" s="38" t="n">
        <x:v>0.1221613692</x:v>
      </x:c>
      <x:c r="U54" s="38" t="n">
        <x:v>-0.0046736926</x:v>
      </x:c>
      <x:c r="V54" s="38" t="n">
        <x:v>-0.0209471941</x:v>
      </x:c>
      <x:c r="W54" s="38" t="n">
        <x:v>0.0136591512</x:v>
      </x:c>
      <x:c r="X54" s="38" t="n">
        <x:v>0.2302692484</x:v>
      </x:c>
      <x:c r="Y54" s="38" t="n">
        <x:v>0.131642665</x:v>
      </x:c>
      <x:c r="Z54" s="38" t="n">
        <x:v>0.1030258522</x:v>
      </x:c>
      <x:c r="AA54" s="38" t="n">
        <x:v>0.0561494855</x:v>
      </x:c>
      <x:c r="AB54" s="38" t="n">
        <x:v>0.0229190178</x:v>
      </x:c>
      <x:c r="AC54" s="38" t="n">
        <x:v>0.0226543714</x:v>
      </x:c>
      <x:c r="AD54" s="38" t="n">
        <x:v>0.0690379267</x:v>
      </x:c>
      <x:c r="AE54" s="38" t="n">
        <x:v>0.1474532937</x:v>
      </x:c>
      <x:c r="AF54" s="38" t="n">
        <x:v>-0.0381663174</x:v>
      </x:c>
      <x:c r="AG54" s="38" t="n">
        <x:v>-0.0036273133</x:v>
      </x:c>
      <x:c r="AH54" s="38" t="n">
        <x:v>-0.1238254811</x:v>
      </x:c>
      <x:c r="AI54" s="38" t="n">
        <x:v>-0.0057047625</x:v>
      </x:c>
      <x:c r="AJ54" s="38" t="n">
        <x:v>0.0082745514</x:v>
      </x:c>
      <x:c r="AK54" s="38" t="n">
        <x:v>-0.0060265583</x:v>
      </x:c>
      <x:c r="AL54" s="38" t="n">
        <x:v>0.013355194</x:v>
      </x:c>
      <x:c r="AM54" s="38" t="n">
        <x:v>0.1024935222</x:v>
      </x:c>
      <x:c r="AN54" s="38" t="n">
        <x:v>-0.0242668657</x:v>
      </x:c>
      <x:c r="AO54" s="38" t="n">
        <x:v>0.0040111787</x:v>
      </x:c>
      <x:c r="AP54" s="38" t="n">
        <x:v>0.0377681372</x:v>
      </x:c>
      <x:c r="AQ54" s="38" t="n">
        <x:v>-0.0262506287</x:v>
      </x:c>
      <x:c r="AR54" s="38" t="n">
        <x:v>0.034667994</x:v>
      </x:c>
    </x:row>
    <x:row r="55" ht="19" customHeight="1">
      <x:c r="A55" s="39" t="d">
        <x:v>2024-04-22T00:00:00.000Z</x:v>
      </x:c>
      <x:c r="B55" s="38" t="n">
        <x:v>0.0464974329</x:v>
      </x:c>
      <x:c r="C55" s="38" t="n">
        <x:v>0.0426716835</x:v>
      </x:c>
      <x:c r="D55" s="38" t="n">
        <x:v>-0.0106364089</x:v>
      </x:c>
      <x:c r="E55" s="38" t="n">
        <x:v>0.0083854272</x:v>
      </x:c>
      <x:c r="F55" s="38" t="n">
        <x:v>-0.0889315117</x:v>
      </x:c>
      <x:c r="G55" s="38" t="n">
        <x:v>0.0998416355</x:v>
      </x:c>
      <x:c r="H55" s="38" t="n">
        <x:v>-0.0045807693</x:v>
      </x:c>
      <x:c r="I55" s="38" t="n">
        <x:v>-0.0550176325</x:v>
      </x:c>
      <x:c r="J55" s="38" t="n">
        <x:v>-0.0849745459</x:v>
      </x:c>
      <x:c r="K55" s="38" t="n">
        <x:v>-0.0315346227</x:v>
      </x:c>
      <x:c r="L55" s="38" t="n">
        <x:v>-0.0426811382</x:v>
      </x:c>
      <x:c r="M55" s="38" t="n">
        <x:v>-0.0357404415</x:v>
      </x:c>
      <x:c r="N55" s="38" t="n">
        <x:v>-0.0131729999</x:v>
      </x:c>
      <x:c r="O55" s="38" t="n">
        <x:v>0.048502243</x:v>
      </x:c>
      <x:c r="P55" s="38" t="n">
        <x:v>-0.1155267545</x:v>
      </x:c>
      <x:c r="Q55" s="38" t="n">
        <x:v>-0.1415451613</x:v>
      </x:c>
      <x:c r="R55" s="38" t="n">
        <x:v>-0.0221452522</x:v>
      </x:c>
      <x:c r="S55" s="38" t="n">
        <x:v>-0.103615242</x:v>
      </x:c>
      <x:c r="T55" s="38" t="n">
        <x:v>0.0142613148</x:v>
      </x:c>
      <x:c r="U55" s="38" t="n">
        <x:v>-0.0162447513</x:v>
      </x:c>
      <x:c r="V55" s="38" t="n">
        <x:v>-0.0856439151</x:v>
      </x:c>
      <x:c r="W55" s="38" t="n">
        <x:v>-0.1187677588</x:v>
      </x:c>
      <x:c r="X55" s="38" t="n">
        <x:v>-0.0284376356</x:v>
      </x:c>
      <x:c r="Y55" s="38" t="n">
        <x:v>0.1907658647</x:v>
      </x:c>
      <x:c r="Z55" s="38" t="n">
        <x:v>0.0068455064</x:v>
      </x:c>
      <x:c r="AA55" s="38" t="n">
        <x:v>0.7703346173</x:v>
      </x:c>
      <x:c r="AB55" s="38" t="n">
        <x:v>-0.1480433739</x:v>
      </x:c>
      <x:c r="AC55" s="38" t="n">
        <x:v>0.0005445917</x:v>
      </x:c>
      <x:c r="AD55" s="38" t="n">
        <x:v>-0.0407873906</x:v>
      </x:c>
      <x:c r="AE55" s="38" t="n">
        <x:v>-0.0348193352</x:v>
      </x:c>
      <x:c r="AF55" s="38" t="n">
        <x:v>-0.1554971395</x:v>
      </x:c>
      <x:c r="AG55" s="38" t="n">
        <x:v>-0.0553601665</x:v>
      </x:c>
      <x:c r="AH55" s="38" t="n">
        <x:v>-0.1485071315</x:v>
      </x:c>
      <x:c r="AI55" s="38" t="n">
        <x:v>-0.0638290467</x:v>
      </x:c>
      <x:c r="AJ55" s="38" t="n">
        <x:v>0.0103996709</x:v>
      </x:c>
      <x:c r="AK55" s="38" t="n">
        <x:v>0.0465332262</x:v>
      </x:c>
      <x:c r="AL55" s="38" t="n">
        <x:v>-0.0377833523</x:v>
      </x:c>
      <x:c r="AM55" s="38" t="n">
        <x:v>0.1414578645</x:v>
      </x:c>
      <x:c r="AN55" s="38" t="n">
        <x:v>-0.0033811469</x:v>
      </x:c>
      <x:c r="AO55" s="38" t="n">
        <x:v>-0.1466802957</x:v>
      </x:c>
      <x:c r="AP55" s="38" t="n">
        <x:v>0.0098852966</x:v>
      </x:c>
      <x:c r="AQ55" s="38" t="n">
        <x:v>-0.0859588803</x:v>
      </x:c>
      <x:c r="AR55" s="38" t="n">
        <x:v>-0.0485941136</x:v>
      </x:c>
    </x:row>
    <x:row r="56" ht="19" customHeight="1">
      <x:c r="A56" s="39" t="d">
        <x:v>2024-05-20T00:00:00.000Z</x:v>
      </x:c>
      <x:c r="B56" s="38" t="n">
        <x:v>0.3736769925</x:v>
      </x:c>
      <x:c r="C56" s="38" t="n">
        <x:v>0.0322457287</x:v>
      </x:c>
      <x:c r="D56" s="38" t="n">
        <x:v>0.0576081839</x:v>
      </x:c>
      <x:c r="E56" s="38" t="n">
        <x:v>0.038660798</x:v>
      </x:c>
      <x:c r="F56" s="38" t="n">
        <x:v>-0.1126479602</x:v>
      </x:c>
      <x:c r="G56" s="38" t="n">
        <x:v>-0.0122693343</x:v>
      </x:c>
      <x:c r="H56" s="38" t="n">
        <x:v>0.0069004483</x:v>
      </x:c>
      <x:c r="I56" s="38" t="n">
        <x:v>0.138840749</x:v>
      </x:c>
      <x:c r="J56" s="38" t="n">
        <x:v>0.0995794635</x:v>
      </x:c>
      <x:c r="K56" s="38" t="n">
        <x:v>-0.0226628078</x:v>
      </x:c>
      <x:c r="L56" s="38" t="n">
        <x:v>-0.0273578483</x:v>
      </x:c>
      <x:c r="M56" s="38" t="n">
        <x:v>0.1247713951</x:v>
      </x:c>
      <x:c r="N56" s="38" t="n">
        <x:v>-0.018429839</x:v>
      </x:c>
      <x:c r="O56" s="38" t="n">
        <x:v>0.0519501237</x:v>
      </x:c>
      <x:c r="P56" s="38" t="n">
        <x:v>-0.0453721984</x:v>
      </x:c>
      <x:c r="Q56" s="38" t="n">
        <x:v>0.0846565247</x:v>
      </x:c>
      <x:c r="R56" s="38" t="n">
        <x:v>0.0205671709</x:v>
      </x:c>
      <x:c r="S56" s="38" t="n">
        <x:v>-0.1879557511</x:v>
      </x:c>
      <x:c r="T56" s="38" t="n">
        <x:v>0.477316092</x:v>
      </x:c>
      <x:c r="U56" s="38" t="n">
        <x:v>-0.0837873488</x:v>
      </x:c>
      <x:c r="V56" s="38" t="n">
        <x:v>0.1560556047</x:v>
      </x:c>
      <x:c r="W56" s="38" t="n">
        <x:v>-0.0008560548</x:v>
      </x:c>
      <x:c r="X56" s="38" t="n">
        <x:v>0.1321071794</x:v>
      </x:c>
      <x:c r="Y56" s="38" t="n">
        <x:v>-0.0194842118</x:v>
      </x:c>
      <x:c r="Z56" s="38" t="n">
        <x:v>-0.0220102734</x:v>
      </x:c>
      <x:c r="AA56" s="38" t="n">
        <x:v>-0.0600029241</x:v>
      </x:c>
      <x:c r="AB56" s="38" t="n">
        <x:v>-0.0051712307</x:v>
      </x:c>
      <x:c r="AC56" s="38" t="n">
        <x:v>0.0272210292</x:v>
      </x:c>
      <x:c r="AD56" s="38" t="n">
        <x:v>-0.042294986</x:v>
      </x:c>
      <x:c r="AE56" s="38" t="n">
        <x:v>0.0767250558</x:v>
      </x:c>
      <x:c r="AF56" s="38" t="n">
        <x:v>0.0470151123</x:v>
      </x:c>
      <x:c r="AG56" s="38" t="n">
        <x:v>-0.0857700076</x:v>
      </x:c>
      <x:c r="AH56" s="38" t="n">
        <x:v>0.0609172445</x:v>
      </x:c>
      <x:c r="AI56" s="38" t="n">
        <x:v>0.1075201435</x:v>
      </x:c>
      <x:c r="AJ56" s="38" t="n">
        <x:v>0.0804302776</x:v>
      </x:c>
      <x:c r="AK56" s="38" t="n">
        <x:v>0.0586969238</x:v>
      </x:c>
      <x:c r="AL56" s="38" t="n">
        <x:v>0.0647182623</x:v>
      </x:c>
      <x:c r="AM56" s="38" t="n">
        <x:v>0.0192830449</x:v>
      </x:c>
      <x:c r="AN56" s="38" t="n">
        <x:v>0.1152906041</x:v>
      </x:c>
      <x:c r="AO56" s="38" t="n">
        <x:v>-0.0333022724</x:v>
      </x:c>
      <x:c r="AP56" s="38" t="n">
        <x:v>0.0046238844</x:v>
      </x:c>
      <x:c r="AQ56" s="38" t="n">
        <x:v>0.0150899549</x:v>
      </x:c>
      <x:c r="AR56" s="38" t="n">
        <x:v>0.0144351903</x:v>
      </x:c>
    </x:row>
    <x:row r="57" ht="19" customHeight="1">
      <x:c r="A57" s="39" t="d">
        <x:v>2024-06-17T00:00:00.000Z</x:v>
      </x:c>
      <x:c r="B57" s="38" t="n">
        <x:v>-0.1774972405</x:v>
      </x:c>
      <x:c r="C57" s="38" t="n">
        <x:v>-0.0425999075</x:v>
      </x:c>
      <x:c r="D57" s="38" t="n">
        <x:v>-0.0243458011</x:v>
      </x:c>
      <x:c r="E57" s="38" t="n">
        <x:v>-0.0345786786</x:v>
      </x:c>
      <x:c r="F57" s="38" t="n">
        <x:v>0.0055788157</x:v>
      </x:c>
      <x:c r="G57" s="38" t="n">
        <x:v>0.0206489598</x:v>
      </x:c>
      <x:c r="H57" s="38" t="n">
        <x:v>0.0502786594</x:v>
      </x:c>
      <x:c r="I57" s="38" t="n">
        <x:v>-0.0881848248</x:v>
      </x:c>
      <x:c r="J57" s="38" t="n">
        <x:v>0.1080418907</x:v>
      </x:c>
      <x:c r="K57" s="38" t="n">
        <x:v>-0.0795153878</x:v>
      </x:c>
      <x:c r="L57" s="38" t="n">
        <x:v>-0.0652171628</x:v>
      </x:c>
      <x:c r="M57" s="38" t="n">
        <x:v>-0.14755019</x:v>
      </x:c>
      <x:c r="N57" s="38" t="n">
        <x:v>0.0013699584</x:v>
      </x:c>
      <x:c r="O57" s="38" t="n">
        <x:v>0.014229149</x:v>
      </x:c>
      <x:c r="P57" s="38" t="n">
        <x:v>-0.0221240786</x:v>
      </x:c>
      <x:c r="Q57" s="38" t="n">
        <x:v>-0.0742634169</x:v>
      </x:c>
      <x:c r="R57" s="38" t="n">
        <x:v>-0.1051349246</x:v>
      </x:c>
      <x:c r="S57" s="38" t="n">
        <x:v>0.0550264692</x:v>
      </x:c>
      <x:c r="T57" s="38" t="n">
        <x:v>-0.2480755174</x:v>
      </x:c>
      <x:c r="U57" s="38" t="n">
        <x:v>0.0213603593</x:v>
      </x:c>
      <x:c r="V57" s="38" t="n">
        <x:v>0.065943326</x:v>
      </x:c>
      <x:c r="W57" s="38" t="n">
        <x:v>-0.0017387066</x:v>
      </x:c>
      <x:c r="X57" s="38" t="n">
        <x:v>0.0834131341</x:v>
      </x:c>
      <x:c r="Y57" s="38" t="n">
        <x:v>0.0140982018</x:v>
      </x:c>
      <x:c r="Z57" s="38" t="n">
        <x:v>0.0285280319</x:v>
      </x:c>
      <x:c r="AA57" s="38" t="n">
        <x:v>0.0356350302</x:v>
      </x:c>
      <x:c r="AB57" s="38" t="n">
        <x:v>-0.084870529</x:v>
      </x:c>
      <x:c r="AC57" s="38" t="n">
        <x:v>0.0196033496</x:v>
      </x:c>
      <x:c r="AD57" s="38" t="n">
        <x:v>-0.0297598191</x:v>
      </x:c>
      <x:c r="AE57" s="38" t="n">
        <x:v>0.1493465005</x:v>
      </x:c>
      <x:c r="AF57" s="38" t="n">
        <x:v>0.0129686511</x:v>
      </x:c>
      <x:c r="AG57" s="38" t="n">
        <x:v>-0.0264237956</x:v>
      </x:c>
      <x:c r="AH57" s="38" t="n">
        <x:v>-0.0349534401</x:v>
      </x:c>
      <x:c r="AI57" s="38" t="n">
        <x:v>0.1009525119</x:v>
      </x:c>
      <x:c r="AJ57" s="38" t="n">
        <x:v>0.0159272682</x:v>
      </x:c>
      <x:c r="AK57" s="38" t="n">
        <x:v>-0.0503957729</x:v>
      </x:c>
      <x:c r="AL57" s="38" t="n">
        <x:v>0.0497722173</x:v>
      </x:c>
      <x:c r="AM57" s="38" t="n">
        <x:v>0.0304842865</x:v>
      </x:c>
      <x:c r="AN57" s="38" t="n">
        <x:v>0.0519414086</x:v>
      </x:c>
      <x:c r="AO57" s="38" t="n">
        <x:v>0.1084277952</x:v>
      </x:c>
      <x:c r="AP57" s="38" t="n">
        <x:v>0.0223992991</x:v>
      </x:c>
      <x:c r="AQ57" s="38" t="n">
        <x:v>0.0134342839</x:v>
      </x:c>
      <x:c r="AR57" s="38" t="n">
        <x:v>0.0060369965</x:v>
      </x:c>
    </x:row>
    <x:row r="58" ht="19" customHeight="1">
      <x:c r="A58" s="39" t="d">
        <x:v>2024-07-15T00:00:00.000Z</x:v>
      </x:c>
      <x:c r="B58" s="38" t="n">
        <x:v>-0.1441872539</x:v>
      </x:c>
      <x:c r="C58" s="38" t="n">
        <x:v>0.1381867874</x:v>
      </x:c>
      <x:c r="D58" s="38" t="n">
        <x:v>0.0765317938</x:v>
      </x:c>
      <x:c r="E58" s="38" t="n">
        <x:v>0.0488808641</x:v>
      </x:c>
      <x:c r="F58" s="38" t="n">
        <x:v>-0.0694653429</x:v>
      </x:c>
      <x:c r="G58" s="38" t="n">
        <x:v>-0.2056739785</x:v>
      </x:c>
      <x:c r="H58" s="38" t="n">
        <x:v>-0.0361872894</x:v>
      </x:c>
      <x:c r="I58" s="38" t="n">
        <x:v>-0.0438836679</x:v>
      </x:c>
      <x:c r="J58" s="38" t="n">
        <x:v>-0.0049516625</x:v>
      </x:c>
      <x:c r="K58" s="38" t="n">
        <x:v>-0.0142544013</x:v>
      </x:c>
      <x:c r="L58" s="38" t="n">
        <x:v>-0.021409393</x:v>
      </x:c>
      <x:c r="M58" s="38" t="n">
        <x:v>-0.0112361014</x:v>
      </x:c>
      <x:c r="N58" s="38" t="n">
        <x:v>0.048250689</x:v>
      </x:c>
      <x:c r="O58" s="38" t="n">
        <x:v>-0.0925589752</x:v>
      </x:c>
      <x:c r="P58" s="38" t="n">
        <x:v>0.0633471665</x:v>
      </x:c>
      <x:c r="Q58" s="38" t="n">
        <x:v>-0.0353072348</x:v>
      </x:c>
      <x:c r="R58" s="38" t="n">
        <x:v>0.0308270724</x:v>
      </x:c>
      <x:c r="S58" s="38" t="n">
        <x:v>0.0104072234</x:v>
      </x:c>
      <x:c r="T58" s="38" t="n">
        <x:v>-0.1091090521</x:v>
      </x:c>
      <x:c r="U58" s="38" t="n">
        <x:v>0.0653274714</x:v>
      </x:c>
      <x:c r="V58" s="38" t="n">
        <x:v>-0.0905931387</x:v>
      </x:c>
      <x:c r="W58" s="38" t="n">
        <x:v>0.0553387752</x:v>
      </x:c>
      <x:c r="X58" s="38" t="n">
        <x:v>-0.2252238926</x:v>
      </x:c>
      <x:c r="Y58" s="38" t="n">
        <x:v>0.1203151329</x:v>
      </x:c>
      <x:c r="Z58" s="38" t="n">
        <x:v>0.0542114729</x:v>
      </x:c>
      <x:c r="AA58" s="38" t="n">
        <x:v>-0.0700290779</x:v>
      </x:c>
      <x:c r="AB58" s="38" t="n">
        <x:v>0.2830942807</x:v>
      </x:c>
      <x:c r="AC58" s="38" t="n">
        <x:v>0.0047669604</x:v>
      </x:c>
      <x:c r="AD58" s="38" t="n">
        <x:v>0.1880378843</x:v>
      </x:c>
      <x:c r="AE58" s="38" t="n">
        <x:v>-0.0240579117</x:v>
      </x:c>
      <x:c r="AF58" s="38" t="n">
        <x:v>0.0197620221</x:v>
      </x:c>
      <x:c r="AG58" s="38" t="n">
        <x:v>0.0641244756</x:v>
      </x:c>
      <x:c r="AH58" s="38" t="n">
        <x:v>-0.069851317</x:v>
      </x:c>
      <x:c r="AI58" s="38" t="n">
        <x:v>-0.0343325686</x:v>
      </x:c>
      <x:c r="AJ58" s="38" t="n">
        <x:v>0.0549455621</x:v>
      </x:c>
      <x:c r="AK58" s="38" t="n">
        <x:v>-0.0092642756</x:v>
      </x:c>
      <x:c r="AL58" s="38" t="n">
        <x:v>-0.0323391886</x:v>
      </x:c>
      <x:c r="AM58" s="38" t="n">
        <x:v>-0.0124806611</x:v>
      </x:c>
      <x:c r="AN58" s="38" t="n">
        <x:v>-0.0136638752</x:v>
      </x:c>
      <x:c r="AO58" s="38" t="n">
        <x:v>0.023795895</x:v>
      </x:c>
      <x:c r="AP58" s="38" t="n">
        <x:v>0.0445483571</x:v>
      </x:c>
      <x:c r="AQ58" s="38" t="n">
        <x:v>0.0443157468</x:v>
      </x:c>
      <x:c r="AR58" s="38" t="n">
        <x:v>0.066658206</x:v>
      </x:c>
    </x:row>
    <x:row r="59" ht="19" customHeight="1">
      <x:c r="A59" s="39" t="d">
        <x:v>2024-08-12T00:00:00.000Z</x:v>
      </x:c>
      <x:c r="B59" s="38" t="n">
        <x:v>0.0424356674</x:v>
      </x:c>
      <x:c r="C59" s="38" t="n">
        <x:v>0.036792312</x:v>
      </x:c>
      <x:c r="D59" s="38" t="n">
        <x:v>0.0562501133</x:v>
      </x:c>
      <x:c r="E59" s="38" t="n">
        <x:v>0.082778378</x:v>
      </x:c>
      <x:c r="F59" s="38" t="n">
        <x:v>-0.0799297605</x:v>
      </x:c>
      <x:c r="G59" s="38" t="n">
        <x:v>-0.0231720791</x:v>
      </x:c>
      <x:c r="H59" s="38" t="n">
        <x:v>-0.0386911931</x:v>
      </x:c>
      <x:c r="I59" s="38" t="n">
        <x:v>0.0964291007</x:v>
      </x:c>
      <x:c r="J59" s="38" t="n">
        <x:v>-0.0101102506</x:v>
      </x:c>
      <x:c r="K59" s="38" t="n">
        <x:v>0.0190924039</x:v>
      </x:c>
      <x:c r="L59" s="38" t="n">
        <x:v>0.1460713242</x:v>
      </x:c>
      <x:c r="M59" s="38" t="n">
        <x:v>-0.0885121476</x:v>
      </x:c>
      <x:c r="N59" s="38" t="n">
        <x:v>0.0237722918</x:v>
      </x:c>
      <x:c r="O59" s="38" t="n">
        <x:v>-0.0990091212</x:v>
      </x:c>
      <x:c r="P59" s="38" t="n">
        <x:v>0.0304098597</x:v>
      </x:c>
      <x:c r="Q59" s="38" t="n">
        <x:v>0.1545405061</x:v>
      </x:c>
      <x:c r="R59" s="38" t="n">
        <x:v>0.0452180847</x:v>
      </x:c>
      <x:c r="S59" s="38" t="n">
        <x:v>0.053039465</x:v>
      </x:c>
      <x:c r="T59" s="38" t="n">
        <x:v>-0.3820943538</x:v>
      </x:c>
      <x:c r="U59" s="38" t="n">
        <x:v>0.2202334351</x:v>
      </x:c>
      <x:c r="V59" s="38" t="n">
        <x:v>0.0715412309</x:v>
      </x:c>
      <x:c r="W59" s="38" t="n">
        <x:v>-0.0132498801</x:v>
      </x:c>
      <x:c r="X59" s="38" t="n">
        <x:v>-0.0647821626</x:v>
      </x:c>
      <x:c r="Y59" s="38" t="n">
        <x:v>0.0758343427</x:v>
      </x:c>
      <x:c r="Z59" s="38" t="n">
        <x:v>0.0833961913</x:v>
      </x:c>
      <x:c r="AA59" s="38" t="n">
        <x:v>-0.1252097225</x:v>
      </x:c>
      <x:c r="AB59" s="38" t="n">
        <x:v>0.3226516972</x:v>
      </x:c>
      <x:c r="AC59" s="38" t="n">
        <x:v>-0.0004784203</x:v>
      </x:c>
      <x:c r="AD59" s="38" t="n">
        <x:v>-0.3097397541</x:v>
      </x:c>
      <x:c r="AE59" s="38" t="n">
        <x:v>-0.1062110854</x:v>
      </x:c>
      <x:c r="AF59" s="38" t="n">
        <x:v>0.0020425906</x:v>
      </x:c>
      <x:c r="AG59" s="38" t="n">
        <x:v>0.0307405952</x:v>
      </x:c>
      <x:c r="AH59" s="38" t="n">
        <x:v>-0.0230999894</x:v>
      </x:c>
      <x:c r="AI59" s="38" t="n">
        <x:v>0.0850387321</x:v>
      </x:c>
      <x:c r="AJ59" s="38" t="n">
        <x:v>0.0940892737</x:v>
      </x:c>
      <x:c r="AK59" s="38" t="n">
        <x:v>0.1263898277</x:v>
      </x:c>
      <x:c r="AL59" s="38" t="n">
        <x:v>-0.0479557355</x:v>
      </x:c>
      <x:c r="AM59" s="38" t="n">
        <x:v>-0.0991358257</x:v>
      </x:c>
      <x:c r="AN59" s="38" t="n">
        <x:v>0.0452486747</x:v>
      </x:c>
      <x:c r="AO59" s="38" t="n">
        <x:v>-0.0041138645</x:v>
      </x:c>
      <x:c r="AP59" s="38" t="n">
        <x:v>0.0664293378</x:v>
      </x:c>
      <x:c r="AQ59" s="38" t="n">
        <x:v>0.0343560634</x:v>
      </x:c>
      <x:c r="AR59" s="38" t="n">
        <x:v>0.0262233043</x:v>
      </x:c>
    </x:row>
    <x:row r="60" ht="19" customHeight="1">
      <x:c r="A60" s="39" t="d">
        <x:v>2024-09-09T00:00:00.000Z</x:v>
      </x:c>
      <x:c r="B60" s="38" t="n">
        <x:v>0.0875815923</x:v>
      </x:c>
      <x:c r="C60" s="38" t="n">
        <x:v>-0.0572900424</x:v>
      </x:c>
      <x:c r="D60" s="38" t="n">
        <x:v>0.0837391279</x:v>
      </x:c>
      <x:c r="E60" s="38" t="n">
        <x:v>0.0903451188</x:v>
      </x:c>
      <x:c r="F60" s="38" t="n">
        <x:v>0.0161823844</x:v>
      </x:c>
      <x:c r="G60" s="38" t="n">
        <x:v>0.0782893926</x:v>
      </x:c>
      <x:c r="H60" s="38" t="n">
        <x:v>0.0604062481</x:v>
      </x:c>
      <x:c r="I60" s="38" t="n">
        <x:v>0.0587034623</x:v>
      </x:c>
      <x:c r="J60" s="38" t="n">
        <x:v>0.00456846</x:v>
      </x:c>
      <x:c r="K60" s="38" t="n">
        <x:v>-0.1276557691</x:v>
      </x:c>
      <x:c r="L60" s="38" t="n">
        <x:v>-0.0264655831</x:v>
      </x:c>
      <x:c r="M60" s="38" t="n">
        <x:v>-0.0009958363</x:v>
      </x:c>
      <x:c r="N60" s="38" t="n">
        <x:v>-0.0077088614</x:v>
      </x:c>
      <x:c r="O60" s="38" t="n">
        <x:v>0.0174982956</x:v>
      </x:c>
      <x:c r="P60" s="38" t="n">
        <x:v>-0.1773591642</x:v>
      </x:c>
      <x:c r="Q60" s="38" t="n">
        <x:v>0.083145805</x:v>
      </x:c>
      <x:c r="R60" s="38" t="n">
        <x:v>0.0560177484</x:v>
      </x:c>
      <x:c r="S60" s="38" t="n">
        <x:v>-0.0548291088</x:v>
      </x:c>
      <x:c r="T60" s="38" t="n">
        <x:v>-0.2799188064</x:v>
      </x:c>
      <x:c r="U60" s="38" t="n">
        <x:v>0.0182977615</x:v>
      </x:c>
      <x:c r="V60" s="38" t="n">
        <x:v>0.0390425571</x:v>
      </x:c>
      <x:c r="W60" s="38" t="n">
        <x:v>-0.0020584718</x:v>
      </x:c>
      <x:c r="X60" s="38" t="n">
        <x:v>-0.1964659928</x:v>
      </x:c>
      <x:c r="Y60" s="38" t="n">
        <x:v>0.0840986319</x:v>
      </x:c>
      <x:c r="Z60" s="38" t="n">
        <x:v>0.0928319164</x:v>
      </x:c>
      <x:c r="AA60" s="38" t="n">
        <x:v>0.311968602</x:v>
      </x:c>
      <x:c r="AB60" s="38" t="n">
        <x:v>0.037957721</x:v>
      </x:c>
      <x:c r="AC60" s="38" t="n">
        <x:v>0.0421489722</x:v>
      </x:c>
      <x:c r="AD60" s="38" t="n">
        <x:v>0.0197689307</x:v>
      </x:c>
      <x:c r="AE60" s="38" t="n">
        <x:v>-0.0988588814</x:v>
      </x:c>
      <x:c r="AF60" s="38" t="n">
        <x:v>-0.1607932915</x:v>
      </x:c>
      <x:c r="AG60" s="38" t="n">
        <x:v>-0.0341080449</x:v>
      </x:c>
      <x:c r="AH60" s="38" t="n">
        <x:v>0.0290209355</x:v>
      </x:c>
      <x:c r="AI60" s="38" t="n">
        <x:v>0.0020056816</x:v>
      </x:c>
      <x:c r="AJ60" s="38" t="n">
        <x:v>0.1312096277</x:v>
      </x:c>
      <x:c r="AK60" s="38" t="n">
        <x:v>0.0452150768</x:v>
      </x:c>
      <x:c r="AL60" s="38" t="n">
        <x:v>0.0332377336</x:v>
      </x:c>
      <x:c r="AM60" s="38" t="n">
        <x:v>-0.0384251106</x:v>
      </x:c>
      <x:c r="AN60" s="38" t="n">
        <x:v>0.059191121</x:v>
      </x:c>
      <x:c r="AO60" s="38" t="n">
        <x:v>0.0633179919</x:v>
      </x:c>
      <x:c r="AP60" s="38" t="n">
        <x:v>0.0448874711</x:v>
      </x:c>
      <x:c r="AQ60" s="38" t="n">
        <x:v>0.0527353193</x:v>
      </x:c>
      <x:c r="AR60" s="38" t="n">
        <x:v>0.0080904611</x:v>
      </x:c>
    </x:row>
    <x:row r="61" ht="19" customHeight="1">
      <x:c r="A61" s="39" t="d">
        <x:v>2024-10-07T00:00:00.000Z</x:v>
      </x:c>
      <x:c r="B61" s="38" t="n">
        <x:v>0.4532663342</x:v>
      </x:c>
      <x:c r="C61" s="38" t="n">
        <x:v>0.0478584521</x:v>
      </x:c>
      <x:c r="D61" s="38" t="n">
        <x:v>-0.069079886</x:v>
      </x:c>
      <x:c r="E61" s="38" t="n">
        <x:v>0.0325275596</x:v>
      </x:c>
      <x:c r="F61" s="38" t="n">
        <x:v>0.0457800302</x:v>
      </x:c>
      <x:c r="G61" s="38" t="n">
        <x:v>0.0520622051</x:v>
      </x:c>
      <x:c r="H61" s="38" t="n">
        <x:v>0.01465991</x:v>
      </x:c>
      <x:c r="I61" s="38" t="n">
        <x:v>0.2107092553</x:v>
      </x:c>
      <x:c r="J61" s="38" t="n">
        <x:v>0.0935219972</x:v>
      </x:c>
      <x:c r="K61" s="38" t="n">
        <x:v>0.0689989253</x:v>
      </x:c>
      <x:c r="L61" s="38" t="n">
        <x:v>0.1225899876</x:v>
      </x:c>
      <x:c r="M61" s="38" t="n">
        <x:v>0.0701311523</x:v>
      </x:c>
      <x:c r="N61" s="38" t="n">
        <x:v>0.0166493824</x:v>
      </x:c>
      <x:c r="O61" s="38" t="n">
        <x:v>-0.002544963</x:v>
      </x:c>
      <x:c r="P61" s="38" t="n">
        <x:v>0.091895992</x:v>
      </x:c>
      <x:c r="Q61" s="38" t="n">
        <x:v>0.101755655</x:v>
      </x:c>
      <x:c r="R61" s="38" t="n">
        <x:v>0.0254601056</x:v>
      </x:c>
      <x:c r="S61" s="38" t="n">
        <x:v>0.2047241152</x:v>
      </x:c>
      <x:c r="T61" s="38" t="n">
        <x:v>-0.1867663018</x:v>
      </x:c>
      <x:c r="U61" s="38" t="n">
        <x:v>0.1607553618</x:v>
      </x:c>
      <x:c r="V61" s="38" t="n">
        <x:v>0.0427960956</x:v>
      </x:c>
      <x:c r="W61" s="38" t="n">
        <x:v>0.0587851142</x:v>
      </x:c>
      <x:c r="X61" s="38" t="n">
        <x:v>0.1888274378</x:v>
      </x:c>
      <x:c r="Y61" s="38" t="n">
        <x:v>0.0128988831</x:v>
      </x:c>
      <x:c r="Z61" s="38" t="n">
        <x:v>-0.005884793</x:v>
      </x:c>
      <x:c r="AA61" s="38" t="n">
        <x:v>0.0533283537</x:v>
      </x:c>
      <x:c r="AB61" s="38" t="n">
        <x:v>0.2505361613</x:v>
      </x:c>
      <x:c r="AC61" s="38" t="n">
        <x:v>-0.0204555989</x:v>
      </x:c>
      <x:c r="AD61" s="38" t="n">
        <x:v>0.0033089085</x:v>
      </x:c>
      <x:c r="AE61" s="38" t="n">
        <x:v>0.2288314718</x:v>
      </x:c>
      <x:c r="AF61" s="38" t="n">
        <x:v>-0.0441187776</x:v>
      </x:c>
      <x:c r="AG61" s="38" t="n">
        <x:v>-0.0097909316</x:v>
      </x:c>
      <x:c r="AH61" s="38" t="n">
        <x:v>0.1149870359</x:v>
      </x:c>
      <x:c r="AI61" s="38" t="n">
        <x:v>0.0106247272</x:v>
      </x:c>
      <x:c r="AJ61" s="38" t="n">
        <x:v>-0.0423350847</x:v>
      </x:c>
      <x:c r="AK61" s="38" t="n">
        <x:v>0.0441425881</x:v>
      </x:c>
      <x:c r="AL61" s="38" t="n">
        <x:v>-0.0397911846</x:v>
      </x:c>
      <x:c r="AM61" s="38" t="n">
        <x:v>0.042563358</x:v>
      </x:c>
      <x:c r="AN61" s="38" t="n">
        <x:v>-0.035284921</x:v>
      </x:c>
      <x:c r="AO61" s="38" t="n">
        <x:v>0.0952045258</x:v>
      </x:c>
      <x:c r="AP61" s="38" t="n">
        <x:v>-0.030821026</x:v>
      </x:c>
      <x:c r="AQ61" s="38" t="n">
        <x:v>-0.0293216618</x:v>
      </x:c>
      <x:c r="AR61" s="38" t="n">
        <x:v>0.0327761941</x:v>
      </x:c>
    </x:row>
    <x:row r="62" ht="19" customHeight="1">
      <x:c r="A62" s="39" t="d">
        <x:v>2024-11-04T00:00:00.000Z</x:v>
      </x:c>
      <x:c r="B62" s="38" t="n">
        <x:v>0.1490706633</x:v>
      </x:c>
      <x:c r="C62" s="38" t="n">
        <x:v>-0.0422363323</x:v>
      </x:c>
      <x:c r="D62" s="38" t="n">
        <x:v>-0.0111455082</x:v>
      </x:c>
      <x:c r="E62" s="38" t="n">
        <x:v>0.1573032157</x:v>
      </x:c>
      <x:c r="F62" s="38" t="n">
        <x:v>0.0606442126</x:v>
      </x:c>
      <x:c r="G62" s="38" t="n">
        <x:v>0.0032622146</x:v>
      </x:c>
      <x:c r="H62" s="38" t="n">
        <x:v>0.1168804394</x:v>
      </x:c>
      <x:c r="I62" s="38" t="n">
        <x:v>0.1266926021</x:v>
      </x:c>
      <x:c r="J62" s="38" t="n">
        <x:v>-0.0561462968</x:v>
      </x:c>
      <x:c r="K62" s="38" t="n">
        <x:v>-0.0484996258</x:v>
      </x:c>
      <x:c r="L62" s="38" t="n">
        <x:v>-0.0572578386</x:v>
      </x:c>
      <x:c r="M62" s="38" t="n">
        <x:v>-0.0179551</x:v>
      </x:c>
      <x:c r="N62" s="38" t="n">
        <x:v>0.0409640637</x:v>
      </x:c>
      <x:c r="O62" s="38" t="n">
        <x:v>0.0842621001</x:v>
      </x:c>
      <x:c r="P62" s="38" t="n">
        <x:v>-0.0429458063</x:v>
      </x:c>
      <x:c r="Q62" s="38" t="n">
        <x:v>-0.1588063417</x:v>
      </x:c>
      <x:c r="R62" s="38" t="n">
        <x:v>0.021091818</x:v>
      </x:c>
      <x:c r="S62" s="38" t="n">
        <x:v>-0.0287834534</x:v>
      </x:c>
      <x:c r="T62" s="38" t="n">
        <x:v>-0.2621267668</x:v>
      </x:c>
      <x:c r="U62" s="38" t="n">
        <x:v>0.3914608248</x:v>
      </x:c>
      <x:c r="V62" s="38" t="n">
        <x:v>0.1140842444</x:v>
      </x:c>
      <x:c r="W62" s="38" t="n">
        <x:v>0.0745386502</x:v>
      </x:c>
      <x:c r="X62" s="38" t="n">
        <x:v>0.0545130426</x:v>
      </x:c>
      <x:c r="Y62" s="38" t="n">
        <x:v>-0.2238886542</x:v>
      </x:c>
      <x:c r="Z62" s="38" t="n">
        <x:v>0.0345130241</x:v>
      </x:c>
      <x:c r="AA62" s="38" t="n">
        <x:v>0.0290742273</x:v>
      </x:c>
      <x:c r="AB62" s="38" t="n">
        <x:v>0.6512574116</x:v>
      </x:c>
      <x:c r="AC62" s="38" t="n">
        <x:v>-0.0168732248</x:v>
      </x:c>
      <x:c r="AD62" s="38" t="n">
        <x:v>0.0437644624</x:v>
      </x:c>
      <x:c r="AE62" s="38" t="n">
        <x:v>0.0768461422</x:v>
      </x:c>
      <x:c r="AF62" s="38" t="n">
        <x:v>0.0052216442</x:v>
      </x:c>
      <x:c r="AG62" s="38" t="n">
        <x:v>-0.2955311892</x:v>
      </x:c>
      <x:c r="AH62" s="38" t="n">
        <x:v>-0.1513975276</x:v>
      </x:c>
      <x:c r="AI62" s="38" t="n">
        <x:v>-0.1366488016</x:v>
      </x:c>
      <x:c r="AJ62" s="38" t="n">
        <x:v>0.118485499</x:v>
      </x:c>
      <x:c r="AK62" s="38" t="n">
        <x:v>0.059354992</x:v>
      </x:c>
      <x:c r="AL62" s="38" t="n">
        <x:v>0.0177578671</x:v>
      </x:c>
      <x:c r="AM62" s="38" t="n">
        <x:v>0.1060047048</x:v>
      </x:c>
      <x:c r="AN62" s="38" t="n">
        <x:v>0.0731768811</x:v>
      </x:c>
      <x:c r="AO62" s="38" t="n">
        <x:v>-0.0175709363</x:v>
      </x:c>
      <x:c r="AP62" s="38" t="n">
        <x:v>-0.1014241351</x:v>
      </x:c>
      <x:c r="AQ62" s="38" t="n">
        <x:v>-0.0452687556</x:v>
      </x:c>
      <x:c r="AR62" s="38" t="n">
        <x:v>0.0082974137</x:v>
      </x:c>
    </x:row>
    <x:row r="63" ht="19" customHeight="1">
      <x:c r="A63" s="39" t="d">
        <x:v>2024-12-02T00:00:00.000Z</x:v>
      </x:c>
      <x:c r="B63" s="38" t="n">
        <x:v>0.145643113</x:v>
      </x:c>
      <x:c r="C63" s="38" t="n">
        <x:v>0.1828642773</x:v>
      </x:c>
      <x:c r="D63" s="38" t="n">
        <x:v>-0.0069486324</x:v>
      </x:c>
      <x:c r="E63" s="38" t="n">
        <x:v>0.0306564655</x:v>
      </x:c>
      <x:c r="F63" s="38" t="n">
        <x:v>0.199826129</x:v>
      </x:c>
      <x:c r="G63" s="38" t="n">
        <x:v>0.1289860156</x:v>
      </x:c>
      <x:c r="H63" s="38" t="n">
        <x:v>0.105266508</x:v>
      </x:c>
      <x:c r="I63" s="38" t="n">
        <x:v>0.0894795271</x:v>
      </x:c>
      <x:c r="J63" s="38" t="n">
        <x:v>-0.0749366343</x:v>
      </x:c>
      <x:c r="K63" s="38" t="n">
        <x:v>-0.0376396998</x:v>
      </x:c>
      <x:c r="L63" s="38" t="n">
        <x:v>0.0738556799</x:v>
      </x:c>
      <x:c r="M63" s="38" t="n">
        <x:v>-0.0098417118</x:v>
      </x:c>
      <x:c r="N63" s="38" t="n">
        <x:v>0.0352941855</x:v>
      </x:c>
      <x:c r="O63" s="38" t="n">
        <x:v>0.0252083045</x:v>
      </x:c>
      <x:c r="P63" s="38" t="n">
        <x:v>0.0818650965</x:v>
      </x:c>
      <x:c r="Q63" s="38" t="n">
        <x:v>0.0515677147</x:v>
      </x:c>
      <x:c r="R63" s="38" t="n">
        <x:v>0.0716797275</x:v>
      </x:c>
      <x:c r="S63" s="38" t="n">
        <x:v>0.2591987038</x:v>
      </x:c>
      <x:c r="T63" s="38" t="n">
        <x:v>-0.0636173406</x:v>
      </x:c>
      <x:c r="U63" s="38" t="n">
        <x:v>0.1592403213</x:v>
      </x:c>
      <x:c r="V63" s="38" t="n">
        <x:v>0.196588571</x:v>
      </x:c>
      <x:c r="W63" s="38" t="n">
        <x:v>-0.021203712</x:v>
      </x:c>
      <x:c r="X63" s="38" t="n">
        <x:v>-0.1224195885</x:v>
      </x:c>
      <x:c r="Y63" s="38" t="n">
        <x:v>-0.1036705042</x:v>
      </x:c>
      <x:c r="Z63" s="38" t="n">
        <x:v>-0.0327586547</x:v>
      </x:c>
      <x:c r="AA63" s="38" t="n">
        <x:v>-0.2792153847</x:v>
      </x:c>
      <x:c r="AB63" s="38" t="n">
        <x:v>-0.0589827864</x:v>
      </x:c>
      <x:c r="AC63" s="38" t="n">
        <x:v>0.0434573879</x:v>
      </x:c>
      <x:c r="AD63" s="38" t="n">
        <x:v>-0.0520229978</x:v>
      </x:c>
      <x:c r="AE63" s="38" t="n">
        <x:v>0.1009314758</x:v>
      </x:c>
      <x:c r="AF63" s="38" t="n">
        <x:v>0.0178825154</x:v>
      </x:c>
      <x:c r="AG63" s="38" t="n">
        <x:v>-0.0832611508</x:v>
      </x:c>
      <x:c r="AH63" s="38" t="n">
        <x:v>-0.0793690086</x:v>
      </x:c>
      <x:c r="AI63" s="38" t="n">
        <x:v>-0.0050648751</x:v>
      </x:c>
      <x:c r="AJ63" s="38" t="n">
        <x:v>-0.0555536002</x:v>
      </x:c>
      <x:c r="AK63" s="38" t="n">
        <x:v>-0.0856959732</x:v>
      </x:c>
      <x:c r="AL63" s="38" t="n">
        <x:v>0.0614155274</x:v>
      </x:c>
      <x:c r="AM63" s="38" t="n">
        <x:v>-0.0250421203</x:v>
      </x:c>
      <x:c r="AN63" s="38" t="n">
        <x:v>0.0612363493</x:v>
      </x:c>
      <x:c r="AO63" s="38" t="n">
        <x:v>0.0802884988</x:v>
      </x:c>
      <x:c r="AP63" s="38" t="n">
        <x:v>-0.0175241795</x:v>
      </x:c>
      <x:c r="AQ63" s="38" t="n">
        <x:v>-0.0393917829</x:v>
      </x:c>
      <x:c r="AR63" s="38" t="n">
        <x:v>0.0184397535</x:v>
      </x:c>
    </x:row>
    <x:row r="64" ht="19" customHeight="1">
      <x:c r="A64" s="39" t="d">
        <x:v>2024-12-30T00:00:00.000Z</x:v>
      </x:c>
      <x:c r="B64" s="38" t="n">
        <x:v>0.0201833873</x:v>
      </x:c>
      <x:c r="C64" s="38" t="n">
        <x:v>-0.0269870268</x:v>
      </x:c>
      <x:c r="D64" s="38" t="n">
        <x:v>-0.0498247688</x:v>
      </x:c>
      <x:c r="E64" s="38" t="n">
        <x:v>0.0145417574</x:v>
      </x:c>
      <x:c r="F64" s="38" t="n">
        <x:v>-0.0547750951</x:v>
      </x:c>
      <x:c r="G64" s="38" t="n">
        <x:v>-0.1123174597</x:v>
      </x:c>
      <x:c r="H64" s="38" t="n">
        <x:v>-0.015504724</x:v>
      </x:c>
      <x:c r="I64" s="38" t="n">
        <x:v>-0.1263334547</x:v>
      </x:c>
      <x:c r="J64" s="38" t="n">
        <x:v>-0.1138524532</x:v>
      </x:c>
      <x:c r="K64" s="38" t="n">
        <x:v>-0.0699383844</x:v>
      </x:c>
      <x:c r="L64" s="38" t="n">
        <x:v>0.0009745108</x:v>
      </x:c>
      <x:c r="M64" s="38" t="n">
        <x:v>-0.0134493932</x:v>
      </x:c>
      <x:c r="N64" s="38" t="n">
        <x:v>-0.1137133124</x:v>
      </x:c>
      <x:c r="O64" s="38" t="n">
        <x:v>-0.1277122364</x:v>
      </x:c>
      <x:c r="P64" s="38" t="n">
        <x:v>0.0666910903</x:v>
      </x:c>
      <x:c r="Q64" s="38" t="n">
        <x:v>-0.1446113991</x:v>
      </x:c>
      <x:c r="R64" s="38" t="n">
        <x:v>0.0002448284</x:v>
      </x:c>
      <x:c r="S64" s="38" t="n">
        <x:v>0.0191499644</x:v>
      </x:c>
      <x:c r="T64" s="38" t="n">
        <x:v>-0.0642861455</x:v>
      </x:c>
      <x:c r="U64" s="38" t="n">
        <x:v>-0.1658379577</x:v>
      </x:c>
      <x:c r="V64" s="38" t="n">
        <x:v>-0.0728589504</x:v>
      </x:c>
      <x:c r="W64" s="38" t="n">
        <x:v>-0.167285017</x:v>
      </x:c>
      <x:c r="X64" s="38" t="n">
        <x:v>-0.1442788074</x:v>
      </x:c>
      <x:c r="Y64" s="38" t="n">
        <x:v>-0.0933303113</x:v>
      </x:c>
      <x:c r="Z64" s="38" t="n">
        <x:v>-0.0612025311</x:v>
      </x:c>
      <x:c r="AA64" s="38" t="n">
        <x:v>-0.022869397</x:v>
      </x:c>
      <x:c r="AB64" s="38" t="n">
        <x:v>-0.2287837283</x:v>
      </x:c>
      <x:c r="AC64" s="38" t="n">
        <x:v>-0.0631696519</x:v>
      </x:c>
      <x:c r="AD64" s="38" t="n">
        <x:v>-0.0761358315</x:v>
      </x:c>
      <x:c r="AE64" s="38" t="n">
        <x:v>-0.1070318533</x:v>
      </x:c>
      <x:c r="AF64" s="38" t="n">
        <x:v>0.1215819783</x:v>
      </x:c>
      <x:c r="AG64" s="38" t="n">
        <x:v>0.0008516519</x:v>
      </x:c>
      <x:c r="AH64" s="38" t="n">
        <x:v>-0.1234768408</x:v>
      </x:c>
      <x:c r="AI64" s="38" t="n">
        <x:v>-0.0685121992</x:v>
      </x:c>
      <x:c r="AJ64" s="38" t="n">
        <x:v>-0.0531659616</x:v>
      </x:c>
      <x:c r="AK64" s="38" t="n">
        <x:v>0.0678163629</x:v>
      </x:c>
      <x:c r="AL64" s="38" t="n">
        <x:v>-0.057465775</x:v>
      </x:c>
      <x:c r="AM64" s="38" t="n">
        <x:v>0.1162940085</x:v>
      </x:c>
      <x:c r="AN64" s="38" t="n">
        <x:v>-0.0981509447</x:v>
      </x:c>
      <x:c r="AO64" s="38" t="n">
        <x:v>-0.1267699825</x:v>
      </x:c>
      <x:c r="AP64" s="38" t="n">
        <x:v>-0.015460551</x:v>
      </x:c>
      <x:c r="AQ64" s="38" t="n">
        <x:v>-0.0429768267</x:v>
      </x:c>
      <x:c r="AR64" s="38" t="n">
        <x:v>-0.0451638363</x:v>
      </x:c>
    </x:row>
    <x:row r="65" ht="19" customHeight="1">
      <x:c r="A65" s="39" t="d">
        <x:v>2025-01-27T00:00:00.000Z</x:v>
      </x:c>
      <x:c r="B65" s="38" t="n">
        <x:v>0.0428795193</x:v>
      </x:c>
      <x:c r="C65" s="38" t="n">
        <x:v>-0.0050835147</x:v>
      </x:c>
      <x:c r="D65" s="38" t="n">
        <x:v>0.0828228407</x:v>
      </x:c>
      <x:c r="E65" s="38" t="n">
        <x:v>0.0696980512</x:v>
      </x:c>
      <x:c r="F65" s="38" t="n">
        <x:v>0.0211710296</x:v>
      </x:c>
      <x:c r="G65" s="38" t="n">
        <x:v>-0.0285719185</x:v>
      </x:c>
      <x:c r="H65" s="38" t="n">
        <x:v>0.0729906749</x:v>
      </x:c>
      <x:c r="I65" s="38" t="n">
        <x:v>-0.0333020262</x:v>
      </x:c>
      <x:c r="J65" s="38" t="n">
        <x:v>0.0971491499</x:v>
      </x:c>
      <x:c r="K65" s="38" t="n">
        <x:v>0.0950712859</x:v>
      </x:c>
      <x:c r="L65" s="38" t="n">
        <x:v>0.0511574144</x:v>
      </x:c>
      <x:c r="M65" s="38" t="n">
        <x:v>0.1218927545</x:v>
      </x:c>
      <x:c r="N65" s="38" t="n">
        <x:v>0.1576476641</x:v>
      </x:c>
      <x:c r="O65" s="38" t="n">
        <x:v>0.0204979009</x:v>
      </x:c>
      <x:c r="P65" s="38" t="n">
        <x:v>-0.0898115242</x:v>
      </x:c>
      <x:c r="Q65" s="38" t="n">
        <x:v>0.1867518194</x:v>
      </x:c>
      <x:c r="R65" s="38" t="n">
        <x:v>0.021414035</x:v>
      </x:c>
      <x:c r="S65" s="38" t="n">
        <x:v>0.2343025772</x:v>
      </x:c>
      <x:c r="T65" s="38" t="n">
        <x:v>-0.0845350705</x:v>
      </x:c>
      <x:c r="U65" s="38" t="n">
        <x:v>0.1019646312</x:v>
      </x:c>
      <x:c r="V65" s="38" t="n">
        <x:v>0.128822754</x:v>
      </x:c>
      <x:c r="W65" s="38" t="n">
        <x:v>-0.1301399023</x:v>
      </x:c>
      <x:c r="X65" s="38" t="n">
        <x:v>0.0188989376</x:v>
      </x:c>
      <x:c r="Y65" s="38" t="n">
        <x:v>0.142643389</x:v>
      </x:c>
      <x:c r="Z65" s="38" t="n">
        <x:v>0.0453909945</x:v>
      </x:c>
      <x:c r="AA65" s="38" t="n">
        <x:v>-0.5452064138</x:v>
      </x:c>
      <x:c r="AB65" s="38" t="n">
        <x:v>0.0128966789</x:v>
      </x:c>
      <x:c r="AC65" s="38" t="n">
        <x:v>0.0140827853</x:v>
      </x:c>
      <x:c r="AD65" s="38" t="n">
        <x:v>0.0250342509</x:v>
      </x:c>
      <x:c r="AE65" s="38" t="n">
        <x:v>-0.0365979481</x:v>
      </x:c>
      <x:c r="AF65" s="38" t="n">
        <x:v>0.047748589</x:v>
      </x:c>
      <x:c r="AG65" s="38" t="n">
        <x:v>0.0595295672</x:v>
      </x:c>
      <x:c r="AH65" s="38" t="n">
        <x:v>-0.0975731981</x:v>
      </x:c>
      <x:c r="AI65" s="38" t="n">
        <x:v>0.0456417036</x:v>
      </x:c>
      <x:c r="AJ65" s="38" t="n">
        <x:v>0.1015897426</x:v>
      </x:c>
      <x:c r="AK65" s="38" t="n">
        <x:v>0.0330197486</x:v>
      </x:c>
      <x:c r="AL65" s="38" t="n">
        <x:v>-0.024703866</x:v>
      </x:c>
      <x:c r="AM65" s="38" t="n">
        <x:v>0.0772201712</x:v>
      </x:c>
      <x:c r="AN65" s="38" t="n">
        <x:v>0.0834206066</x:v>
      </x:c>
      <x:c r="AO65" s="38" t="n">
        <x:v>0.0711189905</x:v>
      </x:c>
      <x:c r="AP65" s="38" t="n">
        <x:v>0.0345155712</x:v>
      </x:c>
      <x:c r="AQ65" s="38" t="n">
        <x:v>0.0671241245</x:v>
      </x:c>
      <x:c r="AR65" s="38" t="n">
        <x:v>0.0409370448</x:v>
      </x:c>
    </x:row>
    <x:row r="66" ht="19" customHeight="1">
      <x:c r="A66" s="39" t="d">
        <x:v>2025-02-24T00:00:00.000Z</x:v>
      </x:c>
      <x:c r="B66" s="38" t="n">
        <x:v>-0.2899232366</x:v>
      </x:c>
      <x:c r="C66" s="38" t="n">
        <x:v>-0.0767178023</x:v>
      </x:c>
      <x:c r="D66" s="38" t="n">
        <x:v>0.1071643417</x:v>
      </x:c>
      <x:c r="E66" s="38" t="n">
        <x:v>0.1030463009</x:v>
      </x:c>
      <x:c r="F66" s="38" t="n">
        <x:v>0.0082651546</x:v>
      </x:c>
      <x:c r="G66" s="38" t="n">
        <x:v>-0.0988580563</x:v>
      </x:c>
      <x:c r="H66" s="38" t="n">
        <x:v>-0.1431847245</x:v>
      </x:c>
      <x:c r="I66" s="38" t="n">
        <x:v>-0.2331734418</x:v>
      </x:c>
      <x:c r="J66" s="38" t="n">
        <x:v>0.0709454702</x:v>
      </x:c>
      <x:c r="K66" s="38" t="n">
        <x:v>-0.0218098367</x:v>
      </x:c>
      <x:c r="L66" s="38" t="n">
        <x:v>-0.1561028139</x:v>
      </x:c>
      <x:c r="M66" s="38" t="n">
        <x:v>0.0177874384</x:v>
      </x:c>
      <x:c r="N66" s="38" t="n">
        <x:v>-0.0161941939</x:v>
      </x:c>
      <x:c r="O66" s="38" t="n">
        <x:v>-0.0077188365</x:v>
      </x:c>
      <x:c r="P66" s="38" t="n">
        <x:v>0.2292704415</x:v>
      </x:c>
      <x:c r="Q66" s="38" t="n">
        <x:v>0.0411672056</x:v>
      </x:c>
      <x:c r="R66" s="38" t="n">
        <x:v>0.0891846746</x:v>
      </x:c>
      <x:c r="S66" s="38" t="n">
        <x:v>0.0616383536</x:v>
      </x:c>
      <x:c r="T66" s="38" t="n">
        <x:v>-0.306056108</x:v>
      </x:c>
      <x:c r="U66" s="38" t="n">
        <x:v>-0.2665224162</x:v>
      </x:c>
      <x:c r="V66" s="38" t="n">
        <x:v>0.0049191969</x:v>
      </x:c>
      <x:c r="W66" s="38" t="n">
        <x:v>0.0809171361</x:v>
      </x:c>
      <x:c r="X66" s="38" t="n">
        <x:v>0.0327589334</x:v>
      </x:c>
      <x:c r="Y66" s="38" t="n">
        <x:v>0.003553688</x:v>
      </x:c>
      <x:c r="Z66" s="38" t="n">
        <x:v>0.170764625</x:v>
      </x:c>
      <x:c r="AA66" s="38" t="n">
        <x:v>-0.3566414444</x:v>
      </x:c>
      <x:c r="AB66" s="38" t="n">
        <x:v>0.037118538</x:v>
      </x:c>
      <x:c r="AC66" s="38" t="n">
        <x:v>0.0585410271</x:v>
      </x:c>
      <x:c r="AD66" s="38" t="n">
        <x:v>-0.0276882779</x:v>
      </x:c>
      <x:c r="AE66" s="38" t="n">
        <x:v>-0.0853166164</x:v>
      </x:c>
      <x:c r="AF66" s="38" t="n">
        <x:v>-0.0136379223</x:v>
      </x:c>
      <x:c r="AG66" s="38" t="n">
        <x:v>-0.1376515257</x:v>
      </x:c>
      <x:c r="AH66" s="38" t="n">
        <x:v>-0.1892631504</x:v>
      </x:c>
      <x:c r="AI66" s="38" t="n">
        <x:v>0.1626880389</x:v>
      </x:c>
      <x:c r="AJ66" s="38" t="n">
        <x:v>0.1546200799</x:v>
      </x:c>
      <x:c r="AK66" s="38" t="n">
        <x:v>0.0624486422</x:v>
      </x:c>
      <x:c r="AL66" s="38" t="n">
        <x:v>-0.0538548579</x:v>
      </x:c>
      <x:c r="AM66" s="38" t="n">
        <x:v>-0.2290240495</x:v>
      </x:c>
      <x:c r="AN66" s="38" t="n">
        <x:v>0.0872834199</x:v>
      </x:c>
      <x:c r="AO66" s="38" t="n">
        <x:v>-0.04820159</x:v>
      </x:c>
      <x:c r="AP66" s="38" t="n">
        <x:v>0.1455784897</x:v>
      </x:c>
      <x:c r="AQ66" s="38" t="n">
        <x:v>0.1129733314</x:v>
      </x:c>
      <x:c r="AR66" s="38" t="n">
        <x:v>0.1165473929</x:v>
      </x:c>
    </x:row>
    <x:row r="67" ht="19" customHeight="1">
      <x:c r="A67" s="39" t="d">
        <x:v>2025-03-24T00:00:00.000Z</x:v>
      </x:c>
      <x:c r="B67" s="38" t="n">
        <x:v>-0.1465156714</x:v>
      </x:c>
      <x:c r="C67" s="38" t="n">
        <x:v>-0.0857961864</x:v>
      </x:c>
      <x:c r="D67" s="38" t="n">
        <x:v>0.0109784565</x:v>
      </x:c>
      <x:c r="E67" s="38" t="n">
        <x:v>-0.0434024164</x:v>
      </x:c>
      <x:c r="F67" s="38" t="n">
        <x:v>-0.1911425805</x:v>
      </x:c>
      <x:c r="G67" s="38" t="n">
        <x:v>-0.1004878692</x:v>
      </x:c>
      <x:c r="H67" s="38" t="n">
        <x:v>-0.1242080967</x:v>
      </x:c>
      <x:c r="I67" s="38" t="n">
        <x:v>-0.1451858668</x:v>
      </x:c>
      <x:c r="J67" s="38" t="n">
        <x:v>-0.22386043</x:v>
      </x:c>
      <x:c r="K67" s="38" t="n">
        <x:v>0.0073502252</x:v>
      </x:c>
      <x:c r="L67" s="38" t="n">
        <x:v>-0.0588977273</x:v>
      </x:c>
      <x:c r="M67" s="38" t="n">
        <x:v>-0.05669227</x:v>
      </x:c>
      <x:c r="N67" s="38" t="n">
        <x:v>-0.0537209707</x:v>
      </x:c>
      <x:c r="O67" s="38" t="n">
        <x:v>-0.2391581092</x:v>
      </x:c>
      <x:c r="P67" s="38" t="n">
        <x:v>-0.0156868559</x:v>
      </x:c>
      <x:c r="Q67" s="38" t="n">
        <x:v>-0.2908460718</x:v>
      </x:c>
      <x:c r="R67" s="38" t="n">
        <x:v>0.048425377</x:v>
      </x:c>
      <x:c r="S67" s="38" t="n">
        <x:v>-0.3013909298</x:v>
      </x:c>
      <x:c r="T67" s="38" t="n">
        <x:v>0.0066232649</x:v>
      </x:c>
      <x:c r="U67" s="38" t="n">
        <x:v>0.0157079758</x:v>
      </x:c>
      <x:c r="V67" s="38" t="n">
        <x:v>-0.0627132076</x:v>
      </x:c>
      <x:c r="W67" s="38" t="n">
        <x:v>0.0262304711</x:v>
      </x:c>
      <x:c r="X67" s="38" t="n">
        <x:v>-0.0732730679</x:v>
      </x:c>
      <x:c r="Y67" s="38" t="n">
        <x:v>0.155875248</x:v>
      </x:c>
      <x:c r="Z67" s="38" t="n">
        <x:v>-0.0143872488</x:v>
      </x:c>
      <x:c r="AA67" s="38" t="n">
        <x:v>0.2675860791</x:v>
      </x:c>
      <x:c r="AB67" s="38" t="n">
        <x:v>-0.4413056163</x:v>
      </x:c>
      <x:c r="AC67" s="38" t="n">
        <x:v>-0.0436771268</x:v>
      </x:c>
      <x:c r="AD67" s="38" t="n">
        <x:v>0.0226712659</x:v>
      </x:c>
      <x:c r="AE67" s="38" t="n">
        <x:v>-0.2810942217</x:v>
      </x:c>
      <x:c r="AF67" s="38" t="n">
        <x:v>-0.009749272</x:v>
      </x:c>
      <x:c r="AG67" s="38" t="n">
        <x:v>0.2010542091</x:v>
      </x:c>
      <x:c r="AH67" s="38" t="n">
        <x:v>0.0425216349</x:v>
      </x:c>
      <x:c r="AI67" s="38" t="n">
        <x:v>-0.1448046283</x:v>
      </x:c>
      <x:c r="AJ67" s="38" t="n">
        <x:v>-0.0007534821</x:v>
      </x:c>
      <x:c r="AK67" s="38" t="n">
        <x:v>0.1053151107</x:v>
      </x:c>
      <x:c r="AL67" s="38" t="n">
        <x:v>-0.060265151</x:v>
      </x:c>
      <x:c r="AM67" s="38" t="n">
        <x:v>-0.1248916986</x:v>
      </x:c>
      <x:c r="AN67" s="38" t="n">
        <x:v>-0.1547038444</x:v>
      </x:c>
      <x:c r="AO67" s="38" t="n">
        <x:v>-0.1229008596</x:v>
      </x:c>
      <x:c r="AP67" s="38" t="n">
        <x:v>-0.0057998194</x:v>
      </x:c>
      <x:c r="AQ67" s="38" t="n">
        <x:v>-0.01024054</x:v>
      </x:c>
      <x:c r="AR67" s="38" t="n">
        <x:v>0.0308347951</x:v>
      </x:c>
    </x:row>
    <x:row r="68" ht="19" customHeight="1">
      <x:c r="A68" s="39" t="d">
        <x:v>2025-04-21T00:00:00.000Z</x:v>
      </x:c>
      <x:c r="B68" s="38" t="n">
        <x:v>0.080540274</x:v>
      </x:c>
      <x:c r="C68" s="38" t="n">
        <x:v>0.0144597492</x:v>
      </x:c>
      <x:c r="D68" s="38" t="n">
        <x:v>-0.0026830917</x:v>
      </x:c>
      <x:c r="E68" s="38" t="n">
        <x:v>0.0030837883</x:v>
      </x:c>
      <x:c r="F68" s="38" t="n">
        <x:v>-0.1078551336</x:v>
      </x:c>
      <x:c r="G68" s="38" t="n">
        <x:v>0.0479328538</x:v>
      </x:c>
      <x:c r="H68" s="38" t="n">
        <x:v>-0.0254688785</x:v>
      </x:c>
      <x:c r="I68" s="38" t="n">
        <x:v>0.2657570686</x:v>
      </x:c>
      <x:c r="J68" s="38" t="n">
        <x:v>-0.0345205228</x:v>
      </x:c>
      <x:c r="K68" s="38" t="n">
        <x:v>-0.1873878546</x:v>
      </x:c>
      <x:c r="L68" s="38" t="n">
        <x:v>0.0180599246</x:v>
      </x:c>
      <x:c r="M68" s="38" t="n">
        <x:v>0.1131470556</x:v>
      </x:c>
      <x:c r="N68" s="38" t="n">
        <x:v>0.0200032758</x:v>
      </x:c>
      <x:c r="O68" s="38" t="n">
        <x:v>0.0051229803</x:v>
      </x:c>
      <x:c r="P68" s="38" t="n">
        <x:v>0.0774354537</x:v>
      </x:c>
      <x:c r="Q68" s="38" t="n">
        <x:v>-0.1374266054</x:v>
      </x:c>
      <x:c r="R68" s="38" t="n">
        <x:v>0.0201198209</x:v>
      </x:c>
      <x:c r="S68" s="38" t="n">
        <x:v>0.0671825275</x:v>
      </x:c>
      <x:c r="T68" s="38" t="n">
        <x:v>-0.1744888778</x:v>
      </x:c>
      <x:c r="U68" s="38" t="n">
        <x:v>0.1577277295</x:v>
      </x:c>
      <x:c r="V68" s="38" t="n">
        <x:v>0.2152000235</x:v>
      </x:c>
      <x:c r="W68" s="38" t="n">
        <x:v>-0.0888117054</x:v>
      </x:c>
      <x:c r="X68" s="38" t="n">
        <x:v>-0.1325951182</x:v>
      </x:c>
      <x:c r="Y68" s="38" t="n">
        <x:v>0.1498689352</x:v>
      </x:c>
      <x:c r="Z68" s="38" t="n">
        <x:v>-0.0659216889</x:v>
      </x:c>
      <x:c r="AA68" s="38" t="n">
        <x:v>-0.2791115586</x:v>
      </x:c>
      <x:c r="AB68" s="38" t="n">
        <x:v>0.0377511937</x:v>
      </x:c>
      <x:c r="AC68" s="38" t="n">
        <x:v>-0.0474341591</x:v>
      </x:c>
      <x:c r="AD68" s="38" t="n">
        <x:v>0.0422106436</x:v>
      </x:c>
      <x:c r="AE68" s="38" t="n">
        <x:v>0.0366189572</x:v>
      </x:c>
      <x:c r="AF68" s="38" t="n">
        <x:v>0.0344298955</x:v>
      </x:c>
      <x:c r="AG68" s="38" t="n">
        <x:v>0.1253443443</x:v>
      </x:c>
      <x:c r="AH68" s="38" t="n">
        <x:v>-0.0857028837</x:v>
      </x:c>
      <x:c r="AI68" s="38" t="n">
        <x:v>0.094747337</x:v>
      </x:c>
      <x:c r="AJ68" s="38" t="n">
        <x:v>-0.0560594225</x:v>
      </x:c>
      <x:c r="AK68" s="38" t="n">
        <x:v>-0.0562227298</x:v>
      </x:c>
      <x:c r="AL68" s="38" t="n">
        <x:v>0.0441382706</x:v>
      </x:c>
      <x:c r="AM68" s="38" t="n">
        <x:v>0.0628844542</x:v>
      </x:c>
      <x:c r="AN68" s="38" t="n">
        <x:v>0.0649373481</x:v>
      </x:c>
      <x:c r="AO68" s="38" t="n">
        <x:v>-0.0020755714</x:v>
      </x:c>
      <x:c r="AP68" s="38" t="n">
        <x:v>0.0282109438</x:v>
      </x:c>
      <x:c r="AQ68" s="38" t="n">
        <x:v>-0.0747805456</x:v>
      </x:c>
      <x:c r="AR68" s="38" t="n">
        <x:v>0.0114628689</x:v>
      </x:c>
    </x:row>
    <x:row r="69" ht="19" customHeight="1">
      <x:c r="A69" s="39" t="d">
        <x:v>2025-05-19T00:00:00.000Z</x:v>
      </x:c>
      <x:c r="B69" s="38" t="n">
        <x:v>0.293747019</x:v>
      </x:c>
      <x:c r="C69" s="38" t="n">
        <x:v>0.0472982903</x:v>
      </x:c>
      <x:c r="D69" s="38" t="n">
        <x:v>-0.0369429239</x:v>
      </x:c>
      <x:c r="E69" s="38" t="n">
        <x:v>-0.0187145081</x:v>
      </x:c>
      <x:c r="F69" s="38" t="n">
        <x:v>0.2577412466</x:v>
      </x:c>
      <x:c r="G69" s="38" t="n">
        <x:v>-0.0296836403</x:v>
      </x:c>
      <x:c r="H69" s="38" t="n">
        <x:v>0.081361757</x:v>
      </x:c>
      <x:c r="I69" s="38" t="n">
        <x:v>0.2271533367</x:v>
      </x:c>
      <x:c r="J69" s="38" t="n">
        <x:v>0.4095307648</x:v>
      </x:c>
      <x:c r="K69" s="38" t="n">
        <x:v>0.1714280134</x:v>
      </x:c>
      <x:c r="L69" s="38" t="n">
        <x:v>0.172495835</x:v>
      </x:c>
      <x:c r="M69" s="38" t="n">
        <x:v>0.1307365912</x:v>
      </x:c>
      <x:c r="N69" s="38" t="n">
        <x:v>0.0956950607</x:v>
      </x:c>
      <x:c r="O69" s="38" t="n">
        <x:v>0.2741415759</x:v>
      </x:c>
      <x:c r="P69" s="38" t="n">
        <x:v>-0.0174249057</x:v>
      </x:c>
      <x:c r="Q69" s="38" t="n">
        <x:v>-0.1242909142</x:v>
      </x:c>
      <x:c r="R69" s="38" t="n">
        <x:v>0.0853746288</x:v>
      </x:c>
      <x:c r="S69" s="38" t="n">
        <x:v>0.35295489</x:v>
      </x:c>
      <x:c r="T69" s="38" t="n">
        <x:v>-0.0474537318</x:v>
      </x:c>
      <x:c r="U69" s="38" t="n">
        <x:v>0.2533716511</x:v>
      </x:c>
      <x:c r="V69" s="38" t="n">
        <x:v>0.096971258</x:v>
      </x:c>
      <x:c r="W69" s="38" t="n">
        <x:v>0.0239533188</x:v>
      </x:c>
      <x:c r="X69" s="38" t="n">
        <x:v>0.207891027</x:v>
      </x:c>
      <x:c r="Y69" s="38" t="n">
        <x:v>-0.0071247884</x:v>
      </x:c>
      <x:c r="Z69" s="38" t="n">
        <x:v>0.0599133428</x:v>
      </x:c>
      <x:c r="AA69" s="38" t="n">
        <x:v>0.1081032808</x:v>
      </x:c>
      <x:c r="AB69" s="38" t="n">
        <x:v>-0.0962746805</x:v>
      </x:c>
      <x:c r="AC69" s="38" t="n">
        <x:v>0.0391408264</x:v>
      </x:c>
      <x:c r="AD69" s="38" t="n">
        <x:v>0.0606120069</x:v>
      </x:c>
      <x:c r="AE69" s="38" t="n">
        <x:v>0.0927023056</x:v>
      </x:c>
      <x:c r="AF69" s="38" t="n">
        <x:v>0.1698915754</x:v>
      </x:c>
      <x:c r="AG69" s="38" t="n">
        <x:v>-0.0076814064</x:v>
      </x:c>
      <x:c r="AH69" s="38" t="n">
        <x:v>0.1747190667</x:v>
      </x:c>
      <x:c r="AI69" s="38" t="n">
        <x:v>-0.2809064427</x:v>
      </x:c>
      <x:c r="AJ69" s="38" t="n">
        <x:v>0.0258362473</x:v>
      </x:c>
      <x:c r="AK69" s="38" t="n">
        <x:v>0.1016638988</x:v>
      </x:c>
      <x:c r="AL69" s="38" t="n">
        <x:v>0.1858265044</x:v>
      </x:c>
      <x:c r="AM69" s="38" t="n">
        <x:v>0.0520838008</x:v>
      </x:c>
      <x:c r="AN69" s="38" t="n">
        <x:v>0.0434438886</x:v>
      </x:c>
      <x:c r="AO69" s="38" t="n">
        <x:v>0.0188262189</x:v>
      </x:c>
      <x:c r="AP69" s="38" t="n">
        <x:v>-0.002575788</x:v>
      </x:c>
      <x:c r="AQ69" s="38" t="n">
        <x:v>-0.0140968183</x:v>
      </x:c>
      <x:c r="AR69" s="38" t="n">
        <x:v>-0.0702882775</x:v>
      </x:c>
    </x:row>
    <x:row r="70" ht="19" customHeight="1">
      <x:c r="A70" s="39" t="d">
        <x:v>2025-06-16T00:00:00.000Z</x:v>
      </x:c>
      <x:c r="B70" s="38" t="n">
        <x:v>0.2125294656</x:v>
      </x:c>
      <x:c r="C70" s="38" t="n">
        <x:v>0.0348178165</x:v>
      </x:c>
      <x:c r="D70" s="38" t="n">
        <x:v>-0.0148040454</x:v>
      </x:c>
      <x:c r="E70" s="38" t="n">
        <x:v>-0.0302808818</x:v>
      </x:c>
      <x:c r="F70" s="38" t="n">
        <x:v>0.0933091147</x:v>
      </x:c>
      <x:c r="G70" s="38" t="n">
        <x:v>0.0557449368</x:v>
      </x:c>
      <x:c r="H70" s="38" t="n">
        <x:v>0.0567999426</x:v>
      </x:c>
      <x:c r="I70" s="38" t="n">
        <x:v>0.0787208482</x:v>
      </x:c>
      <x:c r="J70" s="38" t="n">
        <x:v>0.2008038839</x:v>
      </x:c>
      <x:c r="K70" s="38" t="n">
        <x:v>0.1248603276</x:v>
      </x:c>
      <x:c r="L70" s="38" t="n">
        <x:v>0.162677732</x:v>
      </x:c>
      <x:c r="M70" s="38" t="n">
        <x:v>0.0282296787</x:v>
      </x:c>
      <x:c r="N70" s="38" t="n">
        <x:v>-0.0215440434</x:v>
      </x:c>
      <x:c r="O70" s="38" t="n">
        <x:v>0.2261078117</x:v>
      </x:c>
      <x:c r="P70" s="38" t="n">
        <x:v>0.1179402303</x:v>
      </x:c>
      <x:c r="Q70" s="38" t="n">
        <x:v>-0.0305146559</x:v>
      </x:c>
      <x:c r="R70" s="38" t="n">
        <x:v>-0.0423042285</x:v>
      </x:c>
      <x:c r="S70" s="38" t="n">
        <x:v>0.1691760874</x:v>
      </x:c>
      <x:c r="T70" s="38" t="n">
        <x:v>-0.0185029055</x:v>
      </x:c>
      <x:c r="U70" s="38" t="n">
        <x:v>0.0816746606</x:v>
      </x:c>
      <x:c r="V70" s="38" t="n">
        <x:v>0.0510535012</x:v>
      </x:c>
      <x:c r="W70" s="38" t="n">
        <x:v>0.000388322</x:v>
      </x:c>
      <x:c r="X70" s="38" t="n">
        <x:v>0.3759585418</x:v>
      </x:c>
      <x:c r="Y70" s="38" t="n">
        <x:v>0.1160660183</x:v>
      </x:c>
      <x:c r="Z70" s="38" t="n">
        <x:v>-0.0760243785</x:v>
      </x:c>
      <x:c r="AA70" s="38" t="n">
        <x:v>0.0865080825</x:v>
      </x:c>
      <x:c r="AB70" s="38" t="n">
        <x:v>0.3326785289</x:v>
      </x:c>
      <x:c r="AC70" s="38" t="n">
        <x:v>-0.0559442943</x:v>
      </x:c>
      <x:c r="AD70" s="38" t="n">
        <x:v>0.029432643</x:v>
      </x:c>
      <x:c r="AE70" s="38" t="n">
        <x:v>0.050690276</x:v>
      </x:c>
      <x:c r="AF70" s="38" t="n">
        <x:v>-0.024128087</x:v>
      </x:c>
      <x:c r="AG70" s="38" t="n">
        <x:v>0.0653255426</x:v>
      </x:c>
      <x:c r="AH70" s="38" t="n">
        <x:v>0.201877667</x:v>
      </x:c>
      <x:c r="AI70" s="38" t="n">
        <x:v>0.0890398801</x:v>
      </x:c>
      <x:c r="AJ70" s="38" t="n">
        <x:v>0.0184726243</x:v>
      </x:c>
      <x:c r="AK70" s="38" t="n">
        <x:v>-0.0537772032</x:v>
      </x:c>
      <x:c r="AL70" s="38" t="n">
        <x:v>0.0786916599</x:v>
      </x:c>
      <x:c r="AM70" s="38" t="n">
        <x:v>-0.0130180251</x:v>
      </x:c>
      <x:c r="AN70" s="38" t="n">
        <x:v>-0.0380286406</x:v>
      </x:c>
      <x:c r="AO70" s="38" t="n">
        <x:v>-0.040964916</x:v>
      </x:c>
      <x:c r="AP70" s="38" t="n">
        <x:v>-0.0463737736</x:v>
      </x:c>
      <x:c r="AQ70" s="38" t="n">
        <x:v>-0.0164536919</x:v>
      </x:c>
      <x:c r="AR70" s="38" t="n">
        <x:v>-0.0504860693</x:v>
      </x:c>
    </x:row>
    <x:row r="71" ht="19" customHeight="1">
      <x:c r="A71" s="39" t="d">
        <x:v>2025-07-14T00:00:00.000Z</x:v>
      </x:c>
      <x:c r="B71" s="38" t="n">
        <x:v>0.056886716</x:v>
      </x:c>
      <x:c r="C71" s="38" t="n">
        <x:v>-0.1859065377</x:v>
      </x:c>
      <x:c r="D71" s="38" t="n">
        <x:v>0.0734660686</x:v>
      </x:c>
      <x:c r="E71" s="38" t="n">
        <x:v>0.0882399685</x:v>
      </x:c>
      <x:c r="F71" s="38" t="n">
        <x:v>0.0488947918</x:v>
      </x:c>
      <x:c r="G71" s="38" t="n">
        <x:v>0.0293022236</x:v>
      </x:c>
      <x:c r="H71" s="38" t="n">
        <x:v>0.1026103805</x:v>
      </x:c>
      <x:c r="I71" s="38" t="n">
        <x:v>0.139806996</x:v>
      </x:c>
      <x:c r="J71" s="38" t="n">
        <x:v>0.1832799797</x:v>
      </x:c>
      <x:c r="K71" s="38" t="n">
        <x:v>0.0478041218</x:v>
      </x:c>
      <x:c r="L71" s="38" t="n">
        <x:v>-0.1089604003</x:v>
      </x:c>
      <x:c r="M71" s="38" t="n">
        <x:v>-0.008098458</x:v>
      </x:c>
      <x:c r="N71" s="38" t="n">
        <x:v>0.0139449151</x:v>
      </x:c>
      <x:c r="O71" s="38" t="n">
        <x:v>0.1863346448</x:v>
      </x:c>
      <x:c r="P71" s="38" t="n">
        <x:v>-0.0548868643</x:v>
      </x:c>
      <x:c r="Q71" s="38" t="n">
        <x:v>0.1032983729</x:v>
      </x:c>
      <x:c r="R71" s="38" t="n">
        <x:v>0.0035183049</x:v>
      </x:c>
      <x:c r="S71" s="38" t="n">
        <x:v>0.1303954851</x:v>
      </x:c>
      <x:c r="T71" s="38" t="n">
        <x:v>0.2557059901</x:v>
      </x:c>
      <x:c r="U71" s="38" t="n">
        <x:v>-0.0376451913</x:v>
      </x:c>
      <x:c r="V71" s="38" t="n">
        <x:v>-0.0246979929</x:v>
      </x:c>
      <x:c r="W71" s="38" t="n">
        <x:v>0.0127984531</x:v>
      </x:c>
      <x:c r="X71" s="38" t="n">
        <x:v>-0.1039919499</x:v>
      </x:c>
      <x:c r="Y71" s="38" t="n">
        <x:v>-0.0009341734</x:v>
      </x:c>
      <x:c r="Z71" s="38" t="n">
        <x:v>-0.0829228749</x:v>
      </x:c>
      <x:c r="AA71" s="38" t="n">
        <x:v>0.29775227</x:v>
      </x:c>
      <x:c r="AB71" s="38" t="n">
        <x:v>0.4087815875</x:v>
      </x:c>
      <x:c r="AC71" s="38" t="n">
        <x:v>-0.0251793885</x:v>
      </x:c>
      <x:c r="AD71" s="38" t="n">
        <x:v>0.071269889</x:v>
      </x:c>
      <x:c r="AE71" s="38" t="n">
        <x:v>0.2196857047</x:v>
      </x:c>
      <x:c r="AF71" s="38" t="n">
        <x:v>0.1946146963</x:v>
      </x:c>
      <x:c r="AG71" s="38" t="n">
        <x:v>0.1109786688</x:v>
      </x:c>
      <x:c r="AH71" s="38" t="n">
        <x:v>0.2749858787</x:v>
      </x:c>
      <x:c r="AI71" s="38" t="n">
        <x:v>0.0159120243</x:v>
      </x:c>
      <x:c r="AJ71" s="38" t="n">
        <x:v>0.0684486561</x:v>
      </x:c>
      <x:c r="AK71" s="38" t="n">
        <x:v>-0.1046240914</x:v>
      </x:c>
      <x:c r="AL71" s="38" t="n">
        <x:v>0.0899325576</x:v>
      </x:c>
      <x:c r="AM71" s="38" t="n">
        <x:v>0.1425296808</x:v>
      </x:c>
      <x:c r="AN71" s="38" t="n">
        <x:v>-0.0413092105</x:v>
      </x:c>
      <x:c r="AO71" s="38" t="n">
        <x:v>0.0375059705</x:v>
      </x:c>
      <x:c r="AP71" s="38" t="n">
        <x:v>0.0198002399</x:v>
      </x:c>
      <x:c r="AQ71" s="38" t="n">
        <x:v>0.1207200377</x:v>
      </x:c>
      <x:c r="AR71" s="38" t="n">
        <x:v>-0.0313409836</x:v>
      </x:c>
    </x:row>
    <x:row r="72" ht="19" customHeight="1">
      <x:c r="A72" s="39" t="d">
        <x:v>2025-08-11T00:00:00.000Z</x:v>
      </x:c>
      <x:c r="B72" s="38" t="n">
        <x:v>0.0305192617</x:v>
      </x:c>
      <x:c r="C72" s="38" t="n">
        <x:v>-0.0980882405</x:v>
      </x:c>
      <x:c r="D72" s="38" t="n">
        <x:v>0.0690202664</x:v>
      </x:c>
      <x:c r="E72" s="38" t="n">
        <x:v>0.0518674874</x:v>
      </x:c>
      <x:c r="F72" s="38" t="n">
        <x:v>-0.0702302518</x:v>
      </x:c>
      <x:c r="G72" s="38" t="n">
        <x:v>-0.2793177395</x:v>
      </x:c>
      <x:c r="H72" s="38" t="n">
        <x:v>0.0295568054</x:v>
      </x:c>
      <x:c r="I72" s="38" t="n">
        <x:v>0.2848201961</x:v>
      </x:c>
      <x:c r="J72" s="38" t="n">
        <x:v>0.0487037013</x:v>
      </x:c>
      <x:c r="K72" s="38" t="n">
        <x:v>-0.0799291632</x:v>
      </x:c>
      <x:c r="L72" s="38" t="n">
        <x:v>-0.0958890351</x:v>
      </x:c>
      <x:c r="M72" s="38" t="n">
        <x:v>-0.0678091458</x:v>
      </x:c>
      <x:c r="N72" s="38" t="n">
        <x:v>0.0165346306</x:v>
      </x:c>
      <x:c r="O72" s="38" t="n">
        <x:v>0.1361922585</x:v>
      </x:c>
      <x:c r="P72" s="38" t="n">
        <x:v>0.2132529577</x:v>
      </x:c>
      <x:c r="Q72" s="38" t="n">
        <x:v>0.069224944</x:v>
      </x:c>
      <x:c r="R72" s="38" t="n">
        <x:v>-0.0039204644</x:v>
      </x:c>
      <x:c r="S72" s="38" t="n">
        <x:v>0.0246495001</x:v>
      </x:c>
      <x:c r="T72" s="38" t="n">
        <x:v>-0.1508632085</x:v>
      </x:c>
      <x:c r="U72" s="38" t="n">
        <x:v>-0.0033777091</x:v>
      </x:c>
      <x:c r="V72" s="38" t="n">
        <x:v>0.0334650428</x:v>
      </x:c>
      <x:c r="W72" s="38" t="n">
        <x:v>-0.0442112592</x:v>
      </x:c>
      <x:c r="X72" s="38" t="n">
        <x:v>0.075971389</x:v>
      </x:c>
      <x:c r="Y72" s="38" t="n">
        <x:v>0.2415066541</x:v>
      </x:c>
      <x:c r="Z72" s="38" t="n">
        <x:v>0.0041341501</x:v>
      </x:c>
      <x:c r="AA72" s="38" t="n">
        <x:v>0.0765396911</x:v>
      </x:c>
      <x:c r="AB72" s="38" t="n">
        <x:v>-0.277162391</x:v>
      </x:c>
      <x:c r="AC72" s="38" t="n">
        <x:v>-0.006593713</x:v>
      </x:c>
      <x:c r="AD72" s="38" t="n">
        <x:v>0.0525569946</x:v>
      </x:c>
      <x:c r="AE72" s="38" t="n">
        <x:v>0.0032616649</x:v>
      </x:c>
      <x:c r="AF72" s="38" t="n">
        <x:v>0.0351381935</x:v>
      </x:c>
      <x:c r="AG72" s="38" t="n">
        <x:v>0.0622834264</x:v>
      </x:c>
      <x:c r="AH72" s="38" t="n">
        <x:v>0.169371458</x:v>
      </x:c>
      <x:c r="AI72" s="38" t="n">
        <x:v>-0.1290214338</x:v>
      </x:c>
      <x:c r="AJ72" s="38" t="n">
        <x:v>0.0390620624</x:v>
      </x:c>
      <x:c r="AK72" s="38" t="n">
        <x:v>-0.1543723066</x:v>
      </x:c>
      <x:c r="AL72" s="38" t="n">
        <x:v>0.0270880521</x:v>
      </x:c>
      <x:c r="AM72" s="38" t="n">
        <x:v>0.1336686132</x:v>
      </x:c>
      <x:c r="AN72" s="38" t="n">
        <x:v>0.032152153</x:v>
      </x:c>
      <x:c r="AO72" s="38" t="n">
        <x:v>0.1454261421</x:v>
      </x:c>
      <x:c r="AP72" s="38" t="n">
        <x:v>0.001381102</x:v>
      </x:c>
      <x:c r="AQ72" s="38" t="n">
        <x:v>0.1048927304</x:v>
      </x:c>
      <x:c r="AR72" s="38" t="n">
        <x:v>0.009858638</x:v>
      </x:c>
    </x:row>
    <x:row r="73" ht="19" customHeight="1">
      <x:c r="A73" s="39" t="d">
        <x:v>2025-09-08T00:00:00.000Z</x:v>
      </x:c>
      <x:c r="B73" s="38" t="n">
        <x:v>0.0850183949</x:v>
      </x:c>
      <x:c r="C73" s="38" t="n">
        <x:v>-0.2101153598</x:v>
      </x:c>
      <x:c r="D73" s="38" t="n">
        <x:v>-0.0319520334</x:v>
      </x:c>
      <x:c r="E73" s="38" t="n">
        <x:v>0.0182381207</x:v>
      </x:c>
      <x:c r="F73" s="38" t="n">
        <x:v>0.0068903142</x:v>
      </x:c>
      <x:c r="G73" s="38" t="n">
        <x:v>-0.1832766126</x:v>
      </x:c>
      <x:c r="H73" s="38" t="n">
        <x:v>-0.0175409292</x:v>
      </x:c>
      <x:c r="I73" s="38" t="n">
        <x:v>0.1421035906</x:v>
      </x:c>
      <x:c r="J73" s="38" t="n">
        <x:v>0.3332516422</x:v>
      </x:c>
      <x:c r="K73" s="38" t="n">
        <x:v>0.1900885677</x:v>
      </x:c>
      <x:c r="L73" s="38" t="n">
        <x:v>-0.0044021232</x:v>
      </x:c>
      <x:c r="M73" s="38" t="n">
        <x:v>-0.0044126544</x:v>
      </x:c>
      <x:c r="N73" s="38" t="n">
        <x:v>0.0105632774</x:v>
      </x:c>
      <x:c r="O73" s="38" t="n">
        <x:v>0.3696709112</x:v>
      </x:c>
      <x:c r="P73" s="38" t="n">
        <x:v>-0.0194540076</x:v>
      </x:c>
      <x:c r="Q73" s="38" t="n">
        <x:v>0.1951967974</x:v>
      </x:c>
      <x:c r="R73" s="38" t="n">
        <x:v>-0.0539408535</x:v>
      </x:c>
      <x:c r="S73" s="38" t="n">
        <x:v>0.135291098</x:v>
      </x:c>
      <x:c r="T73" s="38" t="n">
        <x:v>-0.2453949702</x:v>
      </x:c>
      <x:c r="U73" s="38" t="n">
        <x:v>0.0034996022</x:v>
      </x:c>
      <x:c r="V73" s="38" t="n">
        <x:v>-0.0582018379</x:v>
      </x:c>
      <x:c r="W73" s="38" t="n">
        <x:v>-0.0163991258</x:v>
      </x:c>
      <x:c r="X73" s="38" t="n">
        <x:v>0.3677499986</x:v>
      </x:c>
      <x:c r="Y73" s="38" t="n">
        <x:v>0.1916396712</x:v>
      </x:c>
      <x:c r="Z73" s="38" t="n">
        <x:v>0.0063788839</x:v>
      </x:c>
      <x:c r="AA73" s="38" t="n">
        <x:v>0.0027266329</x:v>
      </x:c>
      <x:c r="AB73" s="38" t="n">
        <x:v>-0.0222116137</x:v>
      </x:c>
      <x:c r="AC73" s="38" t="n">
        <x:v>0.0317060429</x:v>
      </x:c>
      <x:c r="AD73" s="38" t="n">
        <x:v>0.0290319442</x:v>
      </x:c>
      <x:c r="AE73" s="38" t="n">
        <x:v>0.2180044066</x:v>
      </x:c>
      <x:c r="AF73" s="38" t="n">
        <x:v>-0.1198229821</x:v>
      </x:c>
      <x:c r="AG73" s="38" t="n">
        <x:v>0.0506147505</x:v>
      </x:c>
      <x:c r="AH73" s="38" t="n">
        <x:v>-0.1577734943</x:v>
      </x:c>
      <x:c r="AI73" s="38" t="n">
        <x:v>0.1040326654</x:v>
      </x:c>
      <x:c r="AJ73" s="38" t="n">
        <x:v>0.0524806098</x:v>
      </x:c>
      <x:c r="AK73" s="38" t="n">
        <x:v>0.0995781926</x:v>
      </x:c>
      <x:c r="AL73" s="38" t="n">
        <x:v>-0.0255870645</x:v>
      </x:c>
      <x:c r="AM73" s="38" t="n">
        <x:v>0.2338425644</x:v>
      </x:c>
      <x:c r="AN73" s="38" t="n">
        <x:v>-0.0059681667</x:v>
      </x:c>
      <x:c r="AO73" s="38" t="n">
        <x:v>0.0872313568</x:v>
      </x:c>
      <x:c r="AP73" s="38" t="n">
        <x:v>-0.0594421251</x:v>
      </x:c>
      <x:c r="AQ73" s="38" t="n">
        <x:v>0.0214221609</x:v>
      </x:c>
      <x:c r="AR73" s="38" t="n">
        <x:v>0.0476454225</x:v>
      </x:c>
    </x:row>
    <x:row r="74" ht="19" customHeight="1">
      <x:c r="A74" s="39" t="d">
        <x:v>2025-10-06T00:00:00.000Z</x:v>
      </x:c>
      <x:c r="B74" s="38" t="n">
        <x:v>-0.0880816772</x:v>
      </x:c>
      <x:c r="C74" s="38" t="n">
        <x:v>0.0564464347</x:v>
      </x:c>
      <x:c r="D74" s="38" t="n">
        <x:v>0.0949559307</x:v>
      </x:c>
      <x:c r="E74" s="38" t="n">
        <x:v>0.0759904748</x:v>
      </x:c>
      <x:c r="F74" s="38" t="n">
        <x:v>-0.085311389</x:v>
      </x:c>
      <x:c r="G74" s="38" t="n">
        <x:v>0.0430275423</x:v>
      </x:c>
      <x:c r="H74" s="38" t="n">
        <x:v>-0.0751822581</x:v>
      </x:c>
      <x:c r="I74" s="38" t="n">
        <x:v>0.1127717782</x:v>
      </x:c>
      <x:c r="J74" s="38" t="n">
        <x:v>0.131654336</x:v>
      </x:c>
      <x:c r="K74" s="38" t="n">
        <x:v>0.011715451</x:v>
      </x:c>
      <x:c r="L74" s="38" t="n">
        <x:v>0.0280412966</x:v>
      </x:c>
      <x:c r="M74" s="38" t="n">
        <x:v>0.0702005936</x:v>
      </x:c>
      <x:c r="N74" s="38" t="n">
        <x:v>-0.0698994719</x:v>
      </x:c>
      <x:c r="O74" s="38" t="n">
        <x:v>0.2369564485</x:v>
      </x:c>
      <x:c r="P74" s="38" t="n">
        <x:v>0.0978439499</x:v>
      </x:c>
      <x:c r="Q74" s="38" t="n">
        <x:v>0.0621936525</x:v>
      </x:c>
      <x:c r="R74" s="38" t="n">
        <x:v>0.048628088</x:v>
      </x:c>
      <x:c r="S74" s="38" t="n">
        <x:v>-0.0488916813</x:v>
      </x:c>
      <x:c r="T74" s="38" t="n">
        <x:v>0.1873334839</x:v>
      </x:c>
      <x:c r="U74" s="38" t="n">
        <x:v>-0.1032625713</x:v>
      </x:c>
      <x:c r="V74" s="38" t="n">
        <x:v>0.0372624249</x:v>
      </x:c>
      <x:c r="W74" s="38" t="n">
        <x:v>-0.1485285483</x:v>
      </x:c>
      <x:c r="X74" s="38" t="n">
        <x:v>0.2052423242</x:v>
      </x:c>
      <x:c r="Y74" s="38" t="n">
        <x:v>0.1016682403</x:v>
      </x:c>
      <x:c r="Z74" s="38" t="n">
        <x:v>-0.0475264707</x:v>
      </x:c>
      <x:c r="AA74" s="38" t="n">
        <x:v>0.6578875083</x:v>
      </x:c>
      <x:c r="AB74" s="38" t="n">
        <x:v>-0.3704156364</x:v>
      </x:c>
      <x:c r="AC74" s="38" t="n">
        <x:v>-0.0757241589</x:v>
      </x:c>
      <x:c r="AD74" s="38" t="n">
        <x:v>-0.0331681651</x:v>
      </x:c>
      <x:c r="AE74" s="38" t="n">
        <x:v>-0.0115770774</x:v>
      </x:c>
      <x:c r="AF74" s="38" t="n">
        <x:v>-0.0346359802</x:v>
      </x:c>
      <x:c r="AG74" s="38" t="n">
        <x:v>0.0421132421</x:v>
      </x:c>
      <x:c r="AH74" s="38" t="n">
        <x:v>0.4310919035</x:v>
      </x:c>
      <x:c r="AI74" s="38" t="n">
        <x:v>0.1395306169</x:v>
      </x:c>
      <x:c r="AJ74" s="38" t="n">
        <x:v>-0.0270041725</x:v>
      </x:c>
      <x:c r="AK74" s="38" t="n">
        <x:v>0.2342486051</x:v>
      </x:c>
      <x:c r="AL74" s="38" t="n">
        <x:v>0.0029450427</x:v>
      </x:c>
      <x:c r="AM74" s="38" t="n">
        <x:v>-0.0251338578</x:v>
      </x:c>
      <x:c r="AN74" s="38" t="n">
        <x:v>-0.0566326083</x:v>
      </x:c>
      <x:c r="AO74" s="38" t="n">
        <x:v>-0.1669405149</x:v>
      </x:c>
      <x:c r="AP74" s="38" t="n">
        <x:v>0.0114693276</x:v>
      </x:c>
      <x:c r="AQ74" s="38" t="n">
        <x:v>0.0974085706</x:v>
      </x:c>
      <x:c r="AR74" s="38" t="n">
        <x:v>-0.013303514</x:v>
      </x:c>
    </x:row>
    <x:row r="75" ht="19" customHeight="1">
      <x:c r="A75" s="39" t="d">
        <x:v>2025-11-03T00:00:00.000Z</x:v>
      </x:c>
      <x:c r="B75" s="38" t="n">
        <x:v>-0.0434647777</x:v>
      </x:c>
      <x:c r="C75" s="38" t="n">
        <x:v>0.3711550596</x:v>
      </x:c>
      <x:c r="D75" s="38" t="n">
        <x:v>0.0529618985</x:v>
      </x:c>
      <x:c r="E75" s="38" t="n">
        <x:v>0.0288493178</x:v>
      </x:c>
      <x:c r="F75" s="38" t="n">
        <x:v>0.0202738184</x:v>
      </x:c>
      <x:c r="G75" s="38" t="n">
        <x:v>-0.379277047</x:v>
      </x:c>
      <x:c r="H75" s="38" t="n">
        <x:v>0.1752686622</x:v>
      </x:c>
      <x:c r="I75" s="38" t="n">
        <x:v>0.22651007</x:v>
      </x:c>
      <x:c r="J75" s="38" t="n">
        <x:v>0.3807428495</x:v>
      </x:c>
      <x:c r="K75" s="38" t="n">
        <x:v>0.1518871187</x:v>
      </x:c>
      <x:c r="L75" s="38" t="n">
        <x:v>-0.0902158889</x:v>
      </x:c>
      <x:c r="M75" s="38" t="n">
        <x:v>-0.0729663907</x:v>
      </x:c>
      <x:c r="N75" s="38" t="n">
        <x:v>-0.259573691</x:v>
      </x:c>
      <x:c r="O75" s="38" t="n">
        <x:v>0.4961125826</x:v>
      </x:c>
      <x:c r="P75" s="38" t="n">
        <x:v>-0.0834354511</x:v>
      </x:c>
      <x:c r="Q75" s="38" t="n">
        <x:v>0.4068166639</x:v>
      </x:c>
      <x:c r="R75" s="38" t="n">
        <x:v>0.0265120717</x:v>
      </x:c>
      <x:c r="S75" s="38" t="n">
        <x:v>0.1223831318</x:v>
      </x:c>
      <x:c r="T75" s="38" t="n">
        <x:v>-0.1283206222</x:v>
      </x:c>
      <x:c r="U75" s="38" t="n">
        <x:v>-0.2219246707</x:v>
      </x:c>
      <x:c r="V75" s="38" t="n">
        <x:v>-0.1442403762</x:v>
      </x:c>
      <x:c r="W75" s="38" t="n">
        <x:v>-0.1068908623</x:v>
      </x:c>
      <x:c r="X75" s="38" t="n">
        <x:v>0.3885280289</x:v>
      </x:c>
      <x:c r="Y75" s="38" t="n">
        <x:v>-0.0298718364</x:v>
      </x:c>
      <x:c r="Z75" s="38" t="n">
        <x:v>-0.143109129</x:v>
      </x:c>
      <x:c r="AA75" s="38" t="n">
        <x:v>0.1797471359</x:v>
      </x:c>
      <x:c r="AB75" s="38" t="n">
        <x:v>-0.330753606</x:v>
      </x:c>
      <x:c r="AC75" s="38" t="n">
        <x:v>-0.0162548886</x:v>
      </x:c>
      <x:c r="AD75" s="38" t="n">
        <x:v>0.2272284794</x:v>
      </x:c>
      <x:c r="AE75" s="38" t="n">
        <x:v>-0.0571189479</x:v>
      </x:c>
      <x:c r="AF75" s="38" t="n">
        <x:v>-0.1144609549</x:v>
      </x:c>
      <x:c r="AG75" s="38" t="n">
        <x:v>0.1290748963</x:v>
      </x:c>
      <x:c r="AH75" s="38" t="n">
        <x:v>0.1196395229</x:v>
      </x:c>
      <x:c r="AI75" s="38" t="n">
        <x:v>0.148851844</x:v>
      </x:c>
      <x:c r="AJ75" s="38" t="n">
        <x:v>0.1966355423</x:v>
      </x:c>
      <x:c r="AK75" s="38" t="n">
        <x:v>0.3614682978</x:v>
      </x:c>
      <x:c r="AL75" s="38" t="n">
        <x:v>-0.0403639469</x:v>
      </x:c>
      <x:c r="AM75" s="38" t="n">
        <x:v>0.2363979339</x:v>
      </x:c>
      <x:c r="AN75" s="38" t="n">
        <x:v>-0.0092543677</x:v>
      </x:c>
      <x:c r="AO75" s="38" t="n">
        <x:v>-0.017871826</x:v>
      </x:c>
      <x:c r="AP75" s="38" t="n">
        <x:v>0.073400176</x:v>
      </x:c>
      <x:c r="AQ75" s="38" t="n">
        <x:v>-0.0316426295</x:v>
      </x:c>
      <x:c r="AR75" s="38" t="n">
        <x:v>0.0289071912</x:v>
      </x:c>
    </x:row>
    <x:row r="76" ht="19" customHeight="1">
      <x:c r="A76" s="39" t="d">
        <x:v>2025-12-01T00:00:00.000Z</x:v>
      </x:c>
      <x:c r="B76" s="38" t="n">
        <x:v>-0.1943939573</x:v>
      </x:c>
      <x:c r="C76" s="38" t="n">
        <x:v>0.0819630064</x:v>
      </x:c>
      <x:c r="D76" s="38" t="n">
        <x:v>-0.0360381877</x:v>
      </x:c>
      <x:c r="E76" s="38" t="n">
        <x:v>-0.035569581</x:v>
      </x:c>
      <x:c r="F76" s="38" t="n">
        <x:v>-0.0734787367</x:v>
      </x:c>
      <x:c r="G76" s="38" t="n">
        <x:v>0.151593104</x:v>
      </x:c>
      <x:c r="H76" s="38" t="n">
        <x:v>-0.0916280316</x:v>
      </x:c>
      <x:c r="I76" s="38" t="n">
        <x:v>0.0698257255</x:v>
      </x:c>
      <x:c r="J76" s="38" t="n">
        <x:v>-0.0029271015</x:v>
      </x:c>
      <x:c r="K76" s="38" t="n">
        <x:v>-0.0031757738</x:v>
      </x:c>
      <x:c r="L76" s="38" t="n">
        <x:v>-0.0670567345</x:v>
      </x:c>
      <x:c r="M76" s="38" t="n">
        <x:v>0.0861403017</x:v>
      </x:c>
      <x:c r="N76" s="38" t="n">
        <x:v>0.1064564067</x:v>
      </x:c>
      <x:c r="O76" s="38" t="n">
        <x:v>0.0533115963</x:v>
      </x:c>
      <x:c r="P76" s="38" t="n">
        <x:v>0.0557250238</x:v>
      </x:c>
      <x:c r="Q76" s="38" t="n">
        <x:v>-0.0352094358</x:v>
      </x:c>
      <x:c r="R76" s="38" t="n">
        <x:v>-0.0300087935</x:v>
      </x:c>
      <x:c r="S76" s="38" t="n">
        <x:v>-0.2146767513</x:v>
      </x:c>
      <x:c r="T76" s="38" t="n">
        <x:v>0.1766933934</x:v>
      </x:c>
      <x:c r="U76" s="38" t="n">
        <x:v>-0.1304985656</x:v>
      </x:c>
      <x:c r="V76" s="38" t="n">
        <x:v>-0.1403809088</x:v>
      </x:c>
      <x:c r="W76" s="38" t="n">
        <x:v>-0.0021349378</x:v>
      </x:c>
      <x:c r="X76" s="38" t="n">
        <x:v>-0.004298126</x:v>
      </x:c>
      <x:c r="Y76" s="38" t="n">
        <x:v>0.1116124672</x:v>
      </x:c>
      <x:c r="Z76" s="38" t="n">
        <x:v>0.0372524666</x:v>
      </x:c>
      <x:c r="AA76" s="38" t="n">
        <x:v>0.1540082663</x:v>
      </x:c>
      <x:c r="AB76" s="38" t="n">
        <x:v>0.2794378935</x:v>
      </x:c>
      <x:c r="AC76" s="38" t="n">
        <x:v>-0.0354617872</x:v>
      </x:c>
      <x:c r="AD76" s="38" t="n">
        <x:v>-0.0200135981</x:v>
      </x:c>
      <x:c r="AE76" s="38" t="n">
        <x:v>-0.0074838746</x:v>
      </x:c>
      <x:c r="AF76" s="38" t="n">
        <x:v>0.053572611</x:v>
      </x:c>
      <x:c r="AG76" s="38" t="n">
        <x:v>-0.0172394491</x:v>
      </x:c>
      <x:c r="AH76" s="38" t="n">
        <x:v>-0.1006466097</x:v>
      </x:c>
      <x:c r="AI76" s="38" t="n">
        <x:v>0.1318222539</x:v>
      </x:c>
      <x:c r="AJ76" s="38" t="n">
        <x:v>0.1096917877</x:v>
      </x:c>
      <x:c r="AK76" s="38" t="n">
        <x:v>-0.1742152337</x:v>
      </x:c>
      <x:c r="AL76" s="38" t="n">
        <x:v>-0.037941813</x:v>
      </x:c>
      <x:c r="AM76" s="38" t="n">
        <x:v>0.2066729935</x:v>
      </x:c>
      <x:c r="AN76" s="38" t="n">
        <x:v>-0.0450476273</x:v>
      </x:c>
      <x:c r="AO76" s="38" t="n">
        <x:v>-0.0569386325</x:v>
      </x:c>
      <x:c r="AP76" s="38" t="n">
        <x:v>-0.0012068158</x:v>
      </x:c>
      <x:c r="AQ76" s="38" t="n">
        <x:v>0.1246395819</x:v>
      </x:c>
      <x:c r="AR76" s="38" t="n">
        <x:v>0.0153521649</x:v>
      </x:c>
    </x:row>
    <x:row r="77" ht="19" customHeight="1">
      <x:c r="A77" s="39" t="d">
        <x:v>2025-12-29T00:00:00.000Z</x:v>
      </x:c>
      <x:c r="B77" s="38" t="n">
        <x:v>-0.0152080045</x:v>
      </x:c>
      <x:c r="C77" s="38" t="n">
        <x:v>-0.061448329</x:v>
      </x:c>
      <x:c r="D77" s="38" t="n">
        <x:v>-0.0219368003</x:v>
      </x:c>
      <x:c r="E77" s="38" t="n">
        <x:v>-0.0056636164</x:v>
      </x:c>
      <x:c r="F77" s="38" t="n">
        <x:v>0.0992535516</x:v>
      </x:c>
      <x:c r="G77" s="38" t="n">
        <x:v>0.1471753239</x:v>
      </x:c>
      <x:c r="H77" s="38" t="n">
        <x:v>-0.0196600404</x:v>
      </x:c>
      <x:c r="I77" s="38" t="n">
        <x:v>0.0031874521</x:v>
      </x:c>
      <x:c r="J77" s="38" t="n">
        <x:v>0.0495959688</x:v>
      </x:c>
      <x:c r="K77" s="38" t="n">
        <x:v>-0.0769860592</x:v>
      </x:c>
      <x:c r="L77" s="38" t="n">
        <x:v>0.0421363419</x:v>
      </x:c>
      <x:c r="M77" s="38" t="n">
        <x:v>0.0675752627</x:v>
      </x:c>
      <x:c r="N77" s="38" t="n">
        <x:v>0.0279835723</x:v>
      </x:c>
      <x:c r="O77" s="38" t="n">
        <x:v>0.1562254996</x:v>
      </x:c>
      <x:c r="P77" s="38" t="n">
        <x:v>0.0554772516</x:v>
      </x:c>
      <x:c r="Q77" s="38" t="n">
        <x:v>0.0203813531</x:v>
      </x:c>
      <x:c r="R77" s="38" t="n">
        <x:v>0.0002905191</x:v>
      </x:c>
      <x:c r="S77" s="38" t="n">
        <x:v>-0.036748523</x:v>
      </x:c>
      <x:c r="T77" s="38" t="n">
        <x:v>0.1598221714</x:v>
      </x:c>
      <x:c r="U77" s="38" t="n">
        <x:v>0.0331906753</x:v>
      </x:c>
      <x:c r="V77" s="38" t="n">
        <x:v>-0.1432365165</x:v>
      </x:c>
      <x:c r="W77" s="38" t="n">
        <x:v>0.1161251649</x:v>
      </x:c>
      <x:c r="X77" s="38" t="n">
        <x:v>0.4221168928</x:v>
      </x:c>
      <x:c r="Y77" s="38" t="n">
        <x:v>0.1777655617</x:v>
      </x:c>
      <x:c r="Z77" s="38" t="n">
        <x:v>0.0178330825</x:v>
      </x:c>
      <x:c r="AA77" s="38" t="n">
        <x:v>-0.1287285757</x:v>
      </x:c>
      <x:c r="AB77" s="38" t="n">
        <x:v>-0.029081727</x:v>
      </x:c>
      <x:c r="AC77" s="38" t="n">
        <x:v>-0.0172197701</x:v>
      </x:c>
      <x:c r="AD77" s="38" t="n">
        <x:v>0.0347857738</x:v>
      </x:c>
      <x:c r="AE77" s="38" t="n">
        <x:v>0.0612020618</x:v>
      </x:c>
      <x:c r="AF77" s="38" t="n">
        <x:v>0.178440918</x:v>
      </x:c>
      <x:c r="AG77" s="38" t="n">
        <x:v>0.2045848148</x:v>
      </x:c>
      <x:c r="AH77" s="38" t="n">
        <x:v>0.036867395</x:v>
      </x:c>
      <x:c r="AI77" s="38" t="n">
        <x:v>0.0991778149</x:v>
      </x:c>
      <x:c r="AJ77" s="38" t="n">
        <x:v>-0.1314498761</x:v>
      </x:c>
      <x:c r="AK77" s="38" t="n">
        <x:v>0.1035328672</x:v>
      </x:c>
      <x:c r="AL77" s="38" t="n">
        <x:v>-0.0316295788</x:v>
      </x:c>
      <x:c r="AM77" s="38" t="n">
        <x:v>-0.0274870876</x:v>
      </x:c>
      <x:c r="AN77" s="38" t="n">
        <x:v>-0.067980006</x:v>
      </x:c>
      <x:c r="AO77" s="38" t="n">
        <x:v>-0.0371343199</x:v>
      </x:c>
      <x:c r="AP77" s="38" t="n">
        <x:v>-0.0187163649</x:v>
      </x:c>
      <x:c r="AQ77" s="38" t="n">
        <x:v>0.0391861651</x:v>
      </x:c>
      <x:c r="AR77" s="38" t="n">
        <x:v>-0.0221361365</x:v>
      </x:c>
    </x:row>
    <x:row r="78" ht="19" customHeight="1">
      <x:c r="A78" s="39" t="d">
        <x:v>2026-01-26T00:00:00.000Z</x:v>
      </x:c>
      <x:c r="B78" s="38" t="n">
        <x:v>-0.0638151392</x:v>
      </x:c>
      <x:c r="C78" s="38" t="n">
        <x:v>0.3219112191</x:v>
      </x:c>
      <x:c r="D78" s="38" t="n">
        <x:v>0.050573981</x:v>
      </x:c>
      <x:c r="E78" s="38" t="n">
        <x:v>0.0321057662</x:v>
      </x:c>
      <x:c r="F78" s="38" t="n">
        <x:v>0.0126903452</x:v>
      </x:c>
      <x:c r="G78" s="38" t="n">
        <x:v>0.0542389965</x:v>
      </x:c>
      <x:c r="H78" s="38" t="n">
        <x:v>0.0824844337</x:v>
      </x:c>
      <x:c r="I78" s="38" t="n">
        <x:v>0.1939113642</x:v>
      </x:c>
      <x:c r="J78" s="38" t="n">
        <x:v>0.5238753567</x:v>
      </x:c>
      <x:c r="K78" s="38" t="n">
        <x:v>0.1396131378</x:v>
      </x:c>
      <x:c r="L78" s="38" t="n">
        <x:v>0.2271974453</x:v>
      </x:c>
      <x:c r="M78" s="38" t="n">
        <x:v>0.1302990107</x:v>
      </x:c>
      <x:c r="N78" s="38" t="n">
        <x:v>0.0501780291</x:v>
      </x:c>
      <x:c r="O78" s="38" t="n">
        <x:v>0.4314331684</x:v>
      </x:c>
      <x:c r="P78" s="38" t="n">
        <x:v>0.0875133976</x:v>
      </x:c>
      <x:c r="Q78" s="38" t="n">
        <x:v>0.1810451952</x:v>
      </x:c>
      <x:c r="R78" s="38" t="n">
        <x:v>0.1041285043</x:v>
      </x:c>
      <x:c r="S78" s="38" t="n">
        <x:v>-0.1501824779</x:v>
      </x:c>
      <x:c r="T78" s="38" t="n">
        <x:v>0.5346386106</x:v>
      </x:c>
      <x:c r="U78" s="38" t="n">
        <x:v>-0.2293619004</x:v>
      </x:c>
      <x:c r="V78" s="38" t="n">
        <x:v>-0.1290729919</x:v>
      </x:c>
      <x:c r="W78" s="38" t="n">
        <x:v>0.1254220633</x:v>
      </x:c>
      <x:c r="X78" s="38" t="n">
        <x:v>0.4112501076</x:v>
      </x:c>
      <x:c r="Y78" s="38" t="n">
        <x:v>0.1565310765</x:v>
      </x:c>
      <x:c r="Z78" s="38" t="n">
        <x:v>-0.0294298891</x:v>
      </x:c>
      <x:c r="AA78" s="38" t="n">
        <x:v>0.2870383166</x:v>
      </x:c>
      <x:c r="AB78" s="38" t="n">
        <x:v>-0.2328785771</x:v>
      </x:c>
      <x:c r="AC78" s="38" t="n">
        <x:v>0.1126749654</x:v>
      </x:c>
      <x:c r="AD78" s="38" t="n">
        <x:v>0.059540886</x:v>
      </x:c>
      <x:c r="AE78" s="38" t="n">
        <x:v>-0.1742466422</x:v>
      </x:c>
      <x:c r="AF78" s="38" t="n">
        <x:v>0.0386928365</x:v>
      </x:c>
      <x:c r="AG78" s="38" t="n">
        <x:v>0.2764578433</x:v>
      </x:c>
      <x:c r="AH78" s="38" t="n">
        <x:v>0.0864906223</x:v>
      </x:c>
      <x:c r="AI78" s="38" t="n">
        <x:v>-0.0612451696</x:v>
      </x:c>
      <x:c r="AJ78" s="38" t="n">
        <x:v>0.0113545131</x:v>
      </x:c>
      <x:c r="AK78" s="38" t="n">
        <x:v>-0.0185530569</x:v>
      </x:c>
      <x:c r="AL78" s="38" t="n">
        <x:v>-0.1418063201</x:v>
      </x:c>
      <x:c r="AM78" s="38" t="n">
        <x:v>0.1050275256</x:v>
      </x:c>
      <x:c r="AN78" s="38" t="n">
        <x:v>0.1455356308</x:v>
      </x:c>
      <x:c r="AO78" s="38" t="n">
        <x:v>0.1199066443</x:v>
      </x:c>
      <x:c r="AP78" s="38" t="n">
        <x:v>0.1186966558</x:v>
      </x:c>
      <x:c r="AQ78" s="38" t="n">
        <x:v>0.1375051579</x:v>
      </x:c>
      <x:c r="AR78" s="38" t="n">
        <x:v>-0.0501128758</x:v>
      </x:c>
    </x:row>
    <x:row r="79" ht="19" customHeight="1">
      <x:c r="A79" s="39" t="d">
        <x:v>2026-02-23T00:00:00.000Z</x:v>
      </x:c>
      <x:c r="B79" s="38" t="n">
        <x:v>0.1424594139</x:v>
      </x:c>
      <x:c r="C79" s="38" t="n">
        <x:v>-0.0708041111</x:v>
      </x:c>
      <x:c r="D79" s="38" t="n">
        <x:v>0.1806547237</x:v>
      </x:c>
      <x:c r="E79" s="38" t="n">
        <x:v>0.1783640917</x:v>
      </x:c>
      <x:c r="F79" s="38" t="n">
        <x:v>-0.0940445832</x:v>
      </x:c>
      <x:c r="G79" s="38" t="n">
        <x:v>-0.0660083669</x:v>
      </x:c>
      <x:c r="H79" s="38" t="n">
        <x:v>-0.1987573346</x:v>
      </x:c>
      <x:c r="I79" s="38" t="n">
        <x:v>0.3414289766</x:v>
      </x:c>
      <x:c r="J79" s="38" t="n">
        <x:v>0.0005596526</x:v>
      </x:c>
      <x:c r="K79" s="38" t="n">
        <x:v>0.1924712913</x:v>
      </x:c>
      <x:c r="L79" s="38" t="n">
        <x:v>0.1077619836</x:v>
      </x:c>
      <x:c r="M79" s="38" t="n">
        <x:v>0.1307339573</x:v>
      </x:c>
      <x:c r="N79" s="38" t="n">
        <x:v>0.1146338313</x:v>
      </x:c>
      <x:c r="O79" s="38" t="n">
        <x:v>0.1694281758</x:v>
      </x:c>
      <x:c r="P79" s="38" t="n">
        <x:v>0.0490076653</x:v>
      </x:c>
      <x:c r="Q79" s="38" t="n">
        <x:v>0.022147993</x:v>
      </x:c>
      <x:c r="R79" s="38" t="n">
        <x:v>0.1523628883</x:v>
      </x:c>
      <x:c r="S79" s="38" t="n">
        <x:v>-0.0449324203</x:v>
      </x:c>
      <x:c r="T79" s="38" t="n">
        <x:v>0.2970619718</x:v>
      </x:c>
      <x:c r="U79" s="38" t="n">
        <x:v>0.1746779297</x:v>
      </x:c>
      <x:c r="V79" s="38" t="n">
        <x:v>0.2162693028</x:v>
      </x:c>
      <x:c r="W79" s="38" t="n">
        <x:v>0.0606676196</x:v>
      </x:c>
      <x:c r="X79" s="38" t="n">
        <x:v>-0.0092344447</x:v>
      </x:c>
      <x:c r="Y79" s="38" t="n">
        <x:v>0.2220478519</x:v>
      </x:c>
      <x:c r="Z79" s="38" t="n">
        <x:v>0.0408559892</x:v>
      </x:c>
      <x:c r="AA79" s="38" t="n">
        <x:v>0.007981272</x:v>
      </x:c>
      <x:c r="AB79" s="38" t="n">
        <x:v>-0.556403086</x:v>
      </x:c>
      <x:c r="AC79" s="38" t="n">
        <x:v>0.1473431337</x:v>
      </x:c>
      <x:c r="AD79" s="38" t="n">
        <x:v>0.0392436538</x:v>
      </x:c>
      <x:c r="AE79" s="38" t="n">
        <x:v>-0.0035398006</x:v>
      </x:c>
      <x:c r="AF79" s="38" t="n">
        <x:v>-0.0408465762</x:v>
      </x:c>
      <x:c r="AG79" s="38" t="n">
        <x:v>0.0892461033</x:v>
      </x:c>
      <x:c r="AH79" s="38" t="n">
        <x:v>-0.2549754412</x:v>
      </x:c>
      <x:c r="AI79" s="38" t="n">
        <x:v>0.024157368</x:v>
      </x:c>
      <x:c r="AJ79" s="38" t="n">
        <x:v>0.1498704505</x:v>
      </x:c>
      <x:c r="AK79" s="38" t="n">
        <x:v>0.2782376819</x:v>
      </x:c>
      <x:c r="AL79" s="38" t="n">
        <x:v>-0.1354847145</x:v>
      </x:c>
      <x:c r="AM79" s="38" t="n">
        <x:v>-0.1229765421</x:v>
      </x:c>
      <x:c r="AN79" s="38" t="n">
        <x:v>0.1100864362</x:v>
      </x:c>
      <x:c r="AO79" s="38" t="n">
        <x:v>0.0247013621</x:v>
      </x:c>
      <x:c r="AP79" s="38" t="n">
        <x:v>0.1314606147</x:v>
      </x:c>
      <x:c r="AQ79" s="38" t="n">
        <x:v>0.143672804</x:v>
      </x:c>
      <x:c r="AR79" s="38" t="n">
        <x:v>0.0754331316</x:v>
      </x:c>
    </x:row>
    <x:row r="80" ht="19" customHeight="1">
      <x:c r="A80" s="39" t="d">
        <x:v>2026-03-23T00:00:00.000Z</x:v>
      </x:c>
      <x:c r="B80" s="38" t="n">
        <x:v>-0.170607414</x:v>
      </x:c>
      <x:c r="C80" s="38" t="n">
        <x:v>0.387305066</x:v>
      </x:c>
      <x:c r="D80" s="38" t="n">
        <x:v>-0.043510789</x:v>
      </x:c>
      <x:c r="E80" s="38" t="n">
        <x:v>0.0394058562</x:v>
      </x:c>
      <x:c r="F80" s="38" t="n">
        <x:v>-0.2121708276</x:v>
      </x:c>
      <x:c r="G80" s="38" t="n">
        <x:v>-0.2892038192</x:v>
      </x:c>
      <x:c r="H80" s="38" t="n">
        <x:v>-0.0804025102</x:v>
      </x:c>
      <x:c r="I80" s="38" t="n">
        <x:v>-0.0683155596</x:v>
      </x:c>
      <x:c r="J80" s="38" t="n">
        <x:v>-0.1061471855</x:v>
      </x:c>
      <x:c r="K80" s="38" t="n">
        <x:v>0.3354362564</x:v>
      </x:c>
      <x:c r="L80" s="38" t="n">
        <x:v>0.4867748597</x:v>
      </x:c>
      <x:c r="M80" s="38" t="n">
        <x:v>0.0118783054</x:v>
      </x:c>
      <x:c r="N80" s="38" t="n">
        <x:v>-0.2079545788</x:v>
      </x:c>
      <x:c r="O80" s="38" t="n">
        <x:v>-0.0235092267</x:v>
      </x:c>
      <x:c r="P80" s="38" t="n">
        <x:v>-0.1134606461</x:v>
      </x:c>
      <x:c r="Q80" s="38" t="n">
        <x:v>0.5759807236</x:v>
      </x:c>
      <x:c r="R80" s="38" t="n">
        <x:v>-0.0930672454</x:v>
      </x:c>
      <x:c r="S80" s="38" t="n">
        <x:v>0.2542012104</x:v>
      </x:c>
      <x:c r="T80" s="38" t="n">
        <x:v>-0.1200815843</x:v>
      </x:c>
      <x:c r="U80" s="38" t="n">
        <x:v>-0.3586130359</x:v>
      </x:c>
      <x:c r="V80" s="38" t="n">
        <x:v>-0.0457338022</x:v>
      </x:c>
      <x:c r="W80" s="38" t="n">
        <x:v>-0.1370115452</x:v>
      </x:c>
      <x:c r="X80" s="38" t="n">
        <x:v>-0.2215793403</x:v>
      </x:c>
      <x:c r="Y80" s="38" t="n">
        <x:v>-0.3697282315</x:v>
      </x:c>
      <x:c r="Z80" s="38" t="n">
        <x:v>-0.1109455224</x:v>
      </x:c>
      <x:c r="AA80" s="38" t="n">
        <x:v>0.3961697262</x:v>
      </x:c>
      <x:c r="AB80" s="38" t="n">
        <x:v>-0.1461349623</x:v>
      </x:c>
      <x:c r="AC80" s="38" t="n">
        <x:v>-0.2444317638</x:v>
      </x:c>
      <x:c r="AD80" s="38" t="n">
        <x:v>-0.3310313314</x:v>
      </x:c>
      <x:c r="AE80" s="38" t="n">
        <x:v>0.1779829794</x:v>
      </x:c>
      <x:c r="AF80" s="38" t="n">
        <x:v>-0.2739854473</x:v>
      </x:c>
      <x:c r="AG80" s="38" t="n">
        <x:v>-0.2347831089</x:v>
      </x:c>
      <x:c r="AH80" s="38" t="n">
        <x:v>0.0136608804</x:v>
      </x:c>
      <x:c r="AI80" s="38" t="n">
        <x:v>-0.2786063582</x:v>
      </x:c>
      <x:c r="AJ80" s="38" t="n">
        <x:v>-0.0869806338</x:v>
      </x:c>
      <x:c r="AK80" s="38" t="n">
        <x:v>0.0511224924</x:v>
      </x:c>
      <x:c r="AL80" s="38" t="n">
        <x:v>-0.1482500041</x:v>
      </x:c>
      <x:c r="AM80" s="38" t="n">
        <x:v>-0.1962567947</x:v>
      </x:c>
      <x:c r="AN80" s="38" t="n">
        <x:v>-0.0416768431</x:v>
      </x:c>
      <x:c r="AO80" s="38" t="n">
        <x:v>-0.2499274343</x:v>
      </x:c>
      <x:c r="AP80" s="38" t="n">
        <x:v>-0.1042947081</x:v>
      </x:c>
      <x:c r="AQ80" s="38" t="n">
        <x:v>-0.0503892101</x:v>
      </x:c>
      <x:c r="AR80" s="38" t="n">
        <x:v>-0.115666921</x:v>
      </x:c>
    </x:row>
    <x:row r="81" ht="19" customHeight="1">
      <x:c r="A81" s="39" t="d">
        <x:v>2026-04-20T00:00:00.000Z</x:v>
      </x:c>
      <x:c r="B81" s="38" t="n">
        <x:v>0.0868435644</x:v>
      </x:c>
      <x:c r="C81" s="38" t="n">
        <x:v>-0.0716420091</x:v>
      </x:c>
      <x:c r="D81" s="38" t="n">
        <x:v>0.0547364759</x:v>
      </x:c>
      <x:c r="E81" s="38" t="n">
        <x:v>0.0526664131</x:v>
      </x:c>
      <x:c r="F81" s="38" t="n">
        <x:v>0.1635629787</x:v>
      </x:c>
      <x:c r="G81" s="38" t="n">
        <x:v>0.1613129597</x:v>
      </x:c>
      <x:c r="H81" s="38" t="n">
        <x:v>0.4396853229</x:v>
      </x:c>
      <x:c r="I81" s="38" t="n">
        <x:v>0.3653761703</x:v>
      </x:c>
      <x:c r="J81" s="38" t="n">
        <x:v>0.6783768658</x:v>
      </x:c>
      <x:c r="K81" s="38" t="n">
        <x:v>-0.1180177782</x:v>
      </x:c>
      <x:c r="L81" s="38" t="n">
        <x:v>-0.1890015744</x:v>
      </x:c>
      <x:c r="M81" s="38" t="n">
        <x:v>-0.0754942737</x:v>
      </x:c>
      <x:c r="N81" s="38" t="n">
        <x:v>-0.1220459214</x:v>
      </x:c>
      <x:c r="O81" s="38" t="n">
        <x:v>0.6001402255</x:v>
      </x:c>
      <x:c r="P81" s="38" t="n">
        <x:v>0.0864557012</x:v>
      </x:c>
      <x:c r="Q81" s="38" t="n">
        <x:v>0.2449096406</x:v>
      </x:c>
      <x:c r="R81" s="38" t="n">
        <x:v>-0.0471641768</x:v>
      </x:c>
      <x:c r="S81" s="38" t="n">
        <x:v>0.0309180143</x:v>
      </x:c>
      <x:c r="T81" s="38" t="n">
        <x:v>0.0365231784</x:v>
      </x:c>
      <x:c r="U81" s="38" t="n">
        <x:v>-0.1242942654</x:v>
      </x:c>
      <x:c r="V81" s="38" t="n">
        <x:v>-0.0166744061</x:v>
      </x:c>
      <x:c r="W81" s="38" t="n">
        <x:v>-0.0250366783</x:v>
      </x:c>
      <x:c r="X81" s="38" t="n">
        <x:v>0.5166896263</x:v>
      </x:c>
      <x:c r="Y81" s="38" t="n">
        <x:v>0.2619577046</x:v>
      </x:c>
      <x:c r="Z81" s="38" t="n">
        <x:v>0.016864858</x:v>
      </x:c>
      <x:c r="AA81" s="38" t="n">
        <x:v>0.6879418269</x:v>
      </x:c>
      <x:c r="AB81" s="38" t="n">
        <x:v>0.4721090733</x:v>
      </x:c>
      <x:c r="AC81" s="38" t="n">
        <x:v>0.0706174342</x:v>
      </x:c>
      <x:c r="AD81" s="38" t="n">
        <x:v>0.1332113546</x:v>
      </x:c>
      <x:c r="AE81" s="38" t="n">
        <x:v>0.2541256054</x:v>
      </x:c>
      <x:c r="AF81" s="38" t="n">
        <x:v>0.3112944509</x:v>
      </x:c>
      <x:c r="AG81" s="38" t="n">
        <x:v>-0.095076334</x:v>
      </x:c>
      <x:c r="AH81" s="38" t="n">
        <x:v>0.8506314282</x:v>
      </x:c>
      <x:c r="AI81" s="38" t="n">
        <x:v>0.0101616843</x:v>
      </x:c>
      <x:c r="AJ81" s="38" t="n">
        <x:v>0.1004859236</x:v>
      </x:c>
      <x:c r="AK81" s="38" t="n">
        <x:v>0.4235954497</x:v>
      </x:c>
      <x:c r="AL81" s="38" t="n">
        <x:v>0.2725199786</x:v>
      </x:c>
      <x:c r="AM81" s="38" t="n">
        <x:v>0.3559996166</x:v>
      </x:c>
      <x:c r="AN81" s="38" t="n">
        <x:v>0.0428259562</x:v>
      </x:c>
      <x:c r="AO81" s="38" t="n">
        <x:v>0.0678074755</x:v>
      </x:c>
      <x:c r="AP81" s="38" t="n">
        <x:v>0.018906195</x:v>
      </x:c>
      <x:c r="AQ81" s="38" t="n">
        <x:v>-0.0866567878</x:v>
      </x:c>
      <x:c r="AR81" s="38" t="n">
        <x:v>0.0027707262</x:v>
      </x:c>
    </x:row>
    <x:row r="82" ht="19" customHeight="1">
      <x:c r="A82" s="39" t="d">
        <x:v>2026-05-18T00:00:00.000Z</x:v>
      </x:c>
      <x:c r="B82" s="38" t="n">
        <x:v>-0.0800308211</x:v>
      </x:c>
      <x:c r="C82" s="38" t="n">
        <x:v>0.0981244305</x:v>
      </x:c>
      <x:c r="D82" s="38" t="n">
        <x:v>-0.0259484905</x:v>
      </x:c>
      <x:c r="E82" s="38" t="n">
        <x:v>-0.0087771024</x:v>
      </x:c>
      <x:c r="F82" s="38" t="n">
        <x:v>0.0061770458</x:v>
      </x:c>
      <x:c r="G82" s="38" t="n">
        <x:v>-0.0624671587</x:v>
      </x:c>
      <x:c r="H82" s="38" t="n">
        <x:v>0.0139500732</x:v>
      </x:c>
      <x:c r="I82" s="38" t="n">
        <x:v>0.091876543</x:v>
      </x:c>
      <x:c r="J82" s="38" t="n">
        <x:v>0.5185618138</x:v>
      </x:c>
      <x:c r="K82" s="38" t="n">
        <x:v>0.080598002</x:v>
      </x:c>
      <x:c r="L82" s="38" t="n">
        <x:v>0.0165440327</x:v>
      </x:c>
      <x:c r="M82" s="38" t="n">
        <x:v>-0.0322665678</x:v>
      </x:c>
      <x:c r="N82" s="38" t="n">
        <x:v>0.0098942251</x:v>
      </x:c>
      <x:c r="O82" s="38" t="n">
        <x:v>0.2877320825</x:v>
      </x:c>
      <x:c r="P82" s="38" t="n">
        <x:v>0.1185711781</x:v>
      </x:c>
      <x:c r="Q82" s="38" t="n">
        <x:v>0.8087011623</x:v>
      </x:c>
      <x:c r="R82" s="38" t="n">
        <x:v>0.0339942336</x:v>
      </x:c>
      <x:c r="S82" s="38" t="n">
        <x:v>0.0682756085</x:v>
      </x:c>
      <x:c r="T82" s="38" t="n">
        <x:v>-0.125295654</x:v>
      </x:c>
      <x:c r="U82" s="38" t="n">
        <x:v>-0.045086848</x:v>
      </x:c>
      <x:c r="V82" s="38" t="n">
        <x:v>-0.0673545085</x:v>
      </x:c>
      <x:c r="W82" s="38" t="n">
        <x:v>-0.1414857793</x:v>
      </x:c>
      <x:c r="X82" s="38" t="n">
        <x:v>0.6562404537</x:v>
      </x:c>
      <x:c r="Y82" s="38" t="n">
        <x:v>-0.1817941198</x:v>
      </x:c>
      <x:c r="Z82" s="38" t="n">
        <x:v>-0.0109428762</x:v>
      </x:c>
      <x:c r="AA82" s="38" t="n">
        <x:v>-0.2065043331</x:v>
      </x:c>
      <x:c r="AB82" s="38" t="n">
        <x:v>-0.2527936012</x:v>
      </x:c>
      <x:c r="AC82" s="38" t="n">
        <x:v>-0.0405821228</x:v>
      </x:c>
      <x:c r="AD82" s="38" t="n">
        <x:v>0.3172092635</x:v>
      </x:c>
      <x:c r="AE82" s="38" t="n">
        <x:v>0.4581048376</x:v>
      </x:c>
      <x:c r="AF82" s="38" t="n">
        <x:v>-0.0944072916</x:v>
      </x:c>
      <x:c r="AG82" s="38" t="n">
        <x:v>-0.1807244067</x:v>
      </x:c>
      <x:c r="AH82" s="38" t="n">
        <x:v>0.4695267301</x:v>
      </x:c>
      <x:c r="AI82" s="38" t="n">
        <x:v>0.2985110499</x:v>
      </x:c>
      <x:c r="AJ82" s="38" t="n">
        <x:v>0.0608581888</x:v>
      </x:c>
      <x:c r="AK82" s="38" t="n">
        <x:v>0.6212599068</x:v>
      </x:c>
      <x:c r="AL82" s="38" t="n">
        <x:v>-0.0193467817</x:v>
      </x:c>
      <x:c r="AM82" s="38" t="n">
        <x:v>0.1685181077</x:v>
      </x:c>
      <x:c r="AN82" s="38" t="n">
        <x:v>0.0289088796</x:v>
      </x:c>
      <x:c r="AO82" s="38" t="n">
        <x:v>-0.1116918726</x:v>
      </x:c>
      <x:c r="AP82" s="38" t="n">
        <x:v>0.0974234003</x:v>
      </x:c>
      <x:c r="AQ82" s="38" t="n">
        <x:v>0.0470263332</x:v>
      </x:c>
      <x:c r="AR82" s="38" t="n">
        <x:v>0.056682358</x:v>
      </x:c>
    </x:row>
    <x:row r="83" ht="19" customHeight="1">
      <x:c r="A83" s="39" t="d">
        <x:v>2026-06-15T00:00:00.000Z</x:v>
      </x:c>
      <x:c r="B83" s="38" t="n">
        <x:v>0.0752784602</x:v>
      </x:c>
      <x:c r="C83" s="38" t="n">
        <x:v>-0.1535602554</x:v>
      </x:c>
      <x:c r="D83" s="38" t="n">
        <x:v>-0.0484390383</x:v>
      </x:c>
      <x:c r="E83" s="38" t="n">
        <x:v>-0.0185851604</x:v>
      </x:c>
      <x:c r="F83" s="38" t="n">
        <x:v>0.013852259</x:v>
      </x:c>
      <x:c r="G83" s="38" t="n">
        <x:v>-0.0197008737</x:v>
      </x:c>
      <x:c r="H83" s="38" t="n">
        <x:v>-0.138356334</x:v>
      </x:c>
      <x:c r="I83" s="38" t="n">
        <x:v>0.1181107498</x:v>
      </x:c>
      <x:c r="J83" s="38" t="n">
        <x:v>0.443132093</x:v>
      </x:c>
      <x:c r="K83" s="38" t="n">
        <x:v>-0.0710419278</x:v>
      </x:c>
      <x:c r="L83" s="38" t="n">
        <x:v>-0.2696980396</x:v>
      </x:c>
      <x:c r="M83" s="38" t="n">
        <x:v>-0.1762040489</x:v>
      </x:c>
      <x:c r="N83" s="38" t="n">
        <x:v>0.1398707553</x:v>
      </x:c>
      <x:c r="O83" s="38" t="n">
        <x:v>0.696554973</x:v>
      </x:c>
      <x:c r="P83" s="38" t="n">
        <x:v>-0.1093368014</x:v>
      </x:c>
      <x:c r="Q83" s="38" t="n">
        <x:v>0.1438555084</x:v>
      </x:c>
      <x:c r="R83" s="38" t="n">
        <x:v>-0.2609345326</x:v>
      </x:c>
      <x:c r="S83" s="38" t="n">
        <x:v>0.0577180075</x:v>
      </x:c>
      <x:c r="T83" s="38" t="n">
        <x:v>0.5001867706</x:v>
      </x:c>
      <x:c r="U83" s="38" t="n">
        <x:v>0.1488967409</x:v>
      </x:c>
      <x:c r="V83" s="38" t="n">
        <x:v>-0.2180055072</x:v>
      </x:c>
      <x:c r="W83" s="38" t="n">
        <x:v>-0.1881195906</x:v>
      </x:c>
      <x:c r="X83" s="38" t="n">
        <x:v>0.6634857721</x:v>
      </x:c>
      <x:c r="Y83" s="38" t="n">
        <x:v>-0.0548871155</x:v>
      </x:c>
      <x:c r="Z83" s="38" t="n">
        <x:v>0.042684209</x:v>
      </x:c>
      <x:c r="AA83" s="38" t="n">
        <x:v>0.284844421</x:v>
      </x:c>
      <x:c r="AB83" s="38" t="n">
        <x:v>0.2045991365</x:v>
      </x:c>
      <x:c r="AC83" s="38" t="n">
        <x:v>0.064886648</x:v>
      </x:c>
      <x:c r="AD83" s="38" t="n">
        <x:v>-0.0966649438</x:v>
      </x:c>
      <x:c r="AE83" s="38" t="n">
        <x:v>0.3788150144</x:v>
      </x:c>
      <x:c r="AF83" s="38" t="n">
        <x:v>0.0269719456</x:v>
      </x:c>
      <x:c r="AG83" s="38" t="n">
        <x:v>-0.1802948443</x:v>
      </x:c>
      <x:c r="AH83" s="38" t="n">
        <x:v>0.2242244189</x:v>
      </x:c>
      <x:c r="AI83" s="38" t="n">
        <x:v>0.0499667706</x:v>
      </x:c>
      <x:c r="AJ83" s="38" t="n">
        <x:v>-0.0725141598</x:v>
      </x:c>
      <x:c r="AK83" s="38" t="n">
        <x:v>-0.2205018821</x:v>
      </x:c>
      <x:c r="AL83" s="38" t="n">
        <x:v>-0.158191833</x:v>
      </x:c>
      <x:c r="AM83" s="38" t="n">
        <x:v>-0.0631058793</x:v>
      </x:c>
      <x:c r="AN83" s="38" t="n">
        <x:v>-0.1249662774</x:v>
      </x:c>
      <x:c r="AO83" s="38" t="n">
        <x:v>0.1175730616</x:v>
      </x:c>
      <x:c r="AP83" s="38" t="n">
        <x:v>-0.0314758051</x:v>
      </x:c>
      <x:c r="AQ83" s="38" t="n">
        <x:v>-0.0321747952</x:v>
      </x:c>
      <x:c r="AR83" s="38" t="n">
        <x:v>0.0101634027</x:v>
      </x:c>
    </x:row>
    <x:row r="84" ht="19" customHeight="1">
      <x:c r="A84" s="39" t="d">
        <x:v>2026-07-13T00:00:00.000Z</x:v>
      </x:c>
      <x:c r="B84" s="38" t="n">
        <x:v>-0.0827582749</x:v>
      </x:c>
      <x:c r="C84" s="38" t="n">
        <x:v>-0.1116383088</x:v>
      </x:c>
      <x:c r="D84" s="38" t="n">
        <x:v>0.0559374692</x:v>
      </x:c>
      <x:c r="E84" s="38" t="n">
        <x:v>0.031006744</x:v>
      </x:c>
      <x:c r="F84" s="38" t="n">
        <x:v>-0.0883481659</x:v>
      </x:c>
      <x:c r="G84" s="38" t="n">
        <x:v>0.0951758144</x:v>
      </x:c>
      <x:c r="H84" s="38" t="n">
        <x:v>0.0188661656</x:v>
      </x:c>
      <x:c r="I84" s="38" t="n">
        <x:v>-0.2636586143</x:v>
      </x:c>
      <x:c r="J84" s="38" t="n">
        <x:v>-0.499422883</x:v>
      </x:c>
      <x:c r="K84" s="38" t="n">
        <x:v>0.4414398616</x:v>
      </x:c>
      <x:c r="L84" s="38" t="n">
        <x:v>0.2697662126</x:v>
      </x:c>
      <x:c r="M84" s="38" t="n">
        <x:v>0.1257066985</x:v>
      </x:c>
      <x:c r="N84" s="38" t="n">
        <x:v>-0.0495531747</x:v>
      </x:c>
      <x:c r="O84" s="38" t="n">
        <x:v>-0.7299996911</x:v>
      </x:c>
      <x:c r="P84" s="38" t="n">
        <x:v>0.2005840793</x:v>
      </x:c>
      <x:c r="Q84" s="38" t="n">
        <x:v>-0.6147623806</x:v>
      </x:c>
      <x:c r="R84" s="38" t="n">
        <x:v>-0.0088386004</x:v>
      </x:c>
      <x:c r="S84" s="38" t="n">
        <x:v>0.3502308926</x:v>
      </x:c>
      <x:c r="T84" s="38" t="n">
        <x:v>-0.055569251</x:v>
      </x:c>
      <x:c r="U84" s="38" t="n">
        <x:v>0.3047688179</x:v>
      </x:c>
      <x:c r="V84" s="38" t="n">
        <x:v>-0.1883501414</x:v>
      </x:c>
      <x:c r="W84" s="38" t="n">
        <x:v>0.1182208653</x:v>
      </x:c>
      <x:c r="X84" s="38" t="n">
        <x:v>-0.4724700925</x:v>
      </x:c>
      <x:c r="Y84" s="38" t="n">
        <x:v>-0.2382389158</x:v>
      </x:c>
      <x:c r="Z84" s="38" t="n">
        <x:v>0.0250913018</x:v>
      </x:c>
      <x:c r="AA84" s="38" t="n">
        <x:v>0.4049458529</x:v>
      </x:c>
      <x:c r="AB84" s="38" t="n">
        <x:v>-0.154072193</x:v>
      </x:c>
      <x:c r="AC84" s="38" t="n">
        <x:v>-0.0043493341</x:v>
      </x:c>
      <x:c r="AD84" s="38" t="n">
        <x:v>0.0196250937</x:v>
      </x:c>
      <x:c r="AE84" s="38" t="n">
        <x:v>-0.0557023776</x:v>
      </x:c>
      <x:c r="AF84" s="38" t="n">
        <x:v>-0.0649882549</x:v>
      </x:c>
      <x:c r="AG84" s="38" t="n">
        <x:v>-0.0960184555</x:v>
      </x:c>
      <x:c r="AH84" s="38" t="n">
        <x:v>-0.1316037153</x:v>
      </x:c>
      <x:c r="AI84" s="38" t="n">
        <x:v>0.1155289701</x:v>
      </x:c>
      <x:c r="AJ84" s="38" t="n">
        <x:v>0.2662666193</x:v>
      </x:c>
      <x:c r="AK84" s="38" t="n">
        <x:v>-0.4693536771</x:v>
      </x:c>
      <x:c r="AL84" s="38" t="n">
        <x:v>0.0609120728</x:v>
      </x:c>
      <x:c r="AM84" s="38" t="n">
        <x:v>-0.0971621903</x:v>
      </x:c>
      <x:c r="AN84" s="38" t="n">
        <x:v>-0.0182594331</x:v>
      </x:c>
      <x:c r="AO84" s="38" t="n">
        <x:v>0.0222688894</x:v>
      </x:c>
      <x:c r="AP84" s="38" t="n">
        <x:v>0.0440335761</x:v>
      </x:c>
      <x:c r="AQ84" s="38" t="n">
        <x:v>0.167361</x:v>
      </x:c>
      <x:c r="AR84" s="38" t="n">
        <x:v>0.0048302825</x:v>
      </x:c>
    </x:row>
    <x:row r="85" ht="19" customHeight="1">
      <x:c r="A85" s="39" t="d">
        <x:v>2026-08-10T00:00:00.000Z</x:v>
      </x:c>
      <x:c r="B85" s="38" t="n">
        <x:v>-0.0797728912</x:v>
      </x:c>
      <x:c r="C85" s="38" t="n">
        <x:v>0.1074150071</x:v>
      </x:c>
      <x:c r="D85" s="38" t="n">
        <x:v>-0.0715017669</x:v>
      </x:c>
      <x:c r="E85" s="38" t="n">
        <x:v>-0.0710610298</x:v>
      </x:c>
      <x:c r="F85" s="38" t="n">
        <x:v>0.1487690153</x:v>
      </x:c>
      <x:c r="G85" s="38" t="n">
        <x:v>-0.0458292821</x:v>
      </x:c>
      <x:c r="H85" s="38" t="n">
        <x:v>0.1001987869</x:v>
      </x:c>
      <x:c r="I85" s="38" t="n">
        <x:v>0.0969418172</x:v>
      </x:c>
      <x:c r="J85" s="38" t="n">
        <x:v>0.3507094502</x:v>
      </x:c>
      <x:c r="K85" s="38" t="n">
        <x:v>0.1693516199</x:v>
      </x:c>
      <x:c r="L85" s="38" t="n">
        <x:v>-0.0346000359</x:v>
      </x:c>
      <x:c r="M85" s="38" t="n">
        <x:v>0.0234631584</x:v>
      </x:c>
      <x:c r="N85" s="38" t="n">
        <x:v>-0.0067504251</x:v>
      </x:c>
      <x:c r="O85" s="38" t="n">
        <x:v>0.1061178556</x:v>
      </x:c>
      <x:c r="P85" s="38" t="n">
        <x:v>-0.0812768077</x:v>
      </x:c>
      <x:c r="Q85" s="38" t="n">
        <x:v>0.1466498678</x:v>
      </x:c>
      <x:c r="R85" s="38" t="n">
        <x:v>0.1593465578</x:v>
      </x:c>
      <x:c r="S85" s="38" t="n">
        <x:v>0.2130532066</x:v>
      </x:c>
      <x:c r="T85" s="38" t="n">
        <x:v>0.0397035707</x:v>
      </x:c>
      <x:c r="U85" s="38" t="n">
        <x:v>0.303276271</x:v>
      </x:c>
      <x:c r="V85" s="38" t="n">
        <x:v>0.2076346271</x:v>
      </x:c>
      <x:c r="W85" s="38" t="n">
        <x:v>0.1585380729</x:v>
      </x:c>
      <x:c r="X85" s="38" t="n">
        <x:v>0.2235813074</x:v>
      </x:c>
      <x:c r="Y85" s="38" t="n">
        <x:v>0.4507509107</x:v>
      </x:c>
      <x:c r="Z85" s="38" t="n">
        <x:v>0.0130886371</x:v>
      </x:c>
      <x:c r="AA85" s="38" t="n">
        <x:v>0.2989605974</x:v>
      </x:c>
      <x:c r="AB85" s="38" t="n">
        <x:v>0.0508415618</x:v>
      </x:c>
      <x:c r="AC85" s="38" t="n">
        <x:v>-0.0487537759</x:v>
      </x:c>
      <x:c r="AD85" s="38" t="n">
        <x:v>0.0340531353</x:v>
      </x:c>
      <x:c r="AE85" s="38" t="n">
        <x:v>0.4105268767</x:v>
      </x:c>
      <x:c r="AF85" s="38" t="n">
        <x:v>0.1311585201</x:v>
      </x:c>
      <x:c r="AG85" s="38" t="n">
        <x:v>0.3261411175</x:v>
      </x:c>
      <x:c r="AH85" s="38" t="n">
        <x:v>0.0610927946</x:v>
      </x:c>
      <x:c r="AI85" s="38" t="n">
        <x:v>0.0038456525</x:v>
      </x:c>
      <x:c r="AJ85" s="38" t="n">
        <x:v>-0.0472414825</x:v>
      </x:c>
      <x:c r="AK85" s="38" t="n">
        <x:v>0.1015545597</x:v>
      </x:c>
      <x:c r="AL85" s="38" t="n">
        <x:v>0.3800253133</x:v>
      </x:c>
      <x:c r="AM85" s="38" t="n">
        <x:v>-0.004160151</x:v>
      </x:c>
      <x:c r="AN85" s="38" t="n">
        <x:v>0.0378616985</x:v>
      </x:c>
      <x:c r="AO85" s="38" t="n">
        <x:v>-0.0000489794</x:v>
      </x:c>
      <x:c r="AP85" s="38" t="n">
        <x:v>0.1203927656</x:v>
      </x:c>
      <x:c r="AQ85" s="38" t="n">
        <x:v>0.047164254</x:v>
      </x:c>
      <x:c r="AR85" s="38" t="n">
        <x:v>0.0436792941</x:v>
      </x:c>
    </x:row>
  </x:sheetData>
  <x:pageMargins left="0.7" right="0.7" top="0.75" bottom="0.75" header="0.3" footer="0.3"/>
</x:worksheet>
</file>

<file path=xl/worksheets/sheet16.xml><?xml version="1.0" encoding="utf-8"?>
<x:worksheet xmlns:x="http://schemas.openxmlformats.org/spreadsheetml/2006/main">
  <x:sheetPr>
    <x:tabColor rgb="FFFFFFFF"/>
  </x:sheetPr>
  <x:sheetViews>
    <x:sheetView showGridLines="1" workbookViewId="0">
      <x:pane ySplit="5" topLeftCell="A6" activePane="bottomLeft" state="frozen"/>
    </x:sheetView>
  </x:sheetViews>
  <x:sheetFormatPr defaultRowHeight="15"/>
  <x:cols>
    <x:col min="1" max="1" width="15" hidden="0" customWidth="1"/>
    <x:col min="2" max="2" width="48" hidden="0" customWidth="1"/>
    <x:col min="3" max="3" width="28" hidden="0" customWidth="1"/>
    <x:col min="4" max="4" width="28" hidden="0" customWidth="1"/>
    <x:col min="5" max="5" width="28" hidden="0" customWidth="1"/>
  </x:cols>
  <x:sheetData>
    <x:row r="1" ht="19" customHeight="1">
      <x:c r="A1" s="23"/>
      <x:c r="B1" s="23"/>
      <x:c r="C1" s="23"/>
      <x:c r="D1" s="23"/>
      <x:c r="E1" s="23"/>
    </x:row>
    <x:row r="2" ht="19" customHeight="1">
      <x:c r="A2" s="34" t="str">
        <x:v>Company and factor assignments</x:v>
      </x:c>
      <x:c r="B2" s="23"/>
      <x:c r="C2" s="23"/>
      <x:c r="D2" s="23"/>
      <x:c r="E2" s="23"/>
    </x:row>
    <x:row r="3" ht="19" customHeight="1">
      <x:c r="A3" s="27"/>
      <x:c r="B3" s="23"/>
      <x:c r="C3" s="23"/>
      <x:c r="D3" s="23"/>
      <x:c r="E3" s="23"/>
    </x:row>
    <x:row r="4" ht="19" customHeight="1">
      <x:c r="A4" s="23"/>
      <x:c r="B4" s="23"/>
      <x:c r="C4" s="23"/>
      <x:c r="D4" s="23"/>
      <x:c r="E4" s="23"/>
    </x:row>
    <x:row r="5" ht="42" customHeight="1">
      <x:c r="A5" s="35" t="str">
        <x:v>ticker</x:v>
      </x:c>
      <x:c r="B5" s="35" t="str">
        <x:v>company_name</x:v>
      </x:c>
      <x:c r="C5" s="35" t="str">
        <x:v>country</x:v>
      </x:c>
      <x:c r="D5" s="35" t="str">
        <x:v>sector</x:v>
      </x:c>
      <x:c r="E5" s="35" t="str">
        <x:v>currency</x:v>
      </x:c>
    </x:row>
    <x:row r="6" ht="19" customHeight="1">
      <x:c r="A6" s="29" t="str">
        <x:v>VST</x:v>
      </x:c>
      <x:c r="B6" s="38" t="str">
        <x:v>Vistra Corp.</x:v>
      </x:c>
      <x:c r="C6" s="38" t="str">
        <x:v>United States</x:v>
      </x:c>
      <x:c r="D6" s="38" t="str">
        <x:v>Utilities</x:v>
      </x:c>
      <x:c r="E6" s="38" t="str">
        <x:v>USD</x:v>
      </x:c>
    </x:row>
    <x:row r="7" ht="19" customHeight="1">
      <x:c r="A7" s="29" t="str">
        <x:v>VIST</x:v>
      </x:c>
      <x:c r="B7" s="38" t="str">
        <x:v>Vista Energy, S.A.B. de C.V.</x:v>
      </x:c>
      <x:c r="C7" s="38" t="str">
        <x:v>Mexico</x:v>
      </x:c>
      <x:c r="D7" s="38" t="str">
        <x:v>Energy</x:v>
      </x:c>
      <x:c r="E7" s="38" t="str">
        <x:v>MXN</x:v>
      </x:c>
    </x:row>
    <x:row r="8" ht="19" customHeight="1">
      <x:c r="A8" s="29" t="str">
        <x:v>AEP</x:v>
      </x:c>
      <x:c r="B8" s="38" t="str">
        <x:v>American Electric Power Company, Inc.</x:v>
      </x:c>
      <x:c r="C8" s="38" t="str">
        <x:v>United States</x:v>
      </x:c>
      <x:c r="D8" s="38" t="str">
        <x:v>Utilities</x:v>
      </x:c>
      <x:c r="E8" s="38" t="str">
        <x:v>USD</x:v>
      </x:c>
    </x:row>
    <x:row r="9" ht="19" customHeight="1">
      <x:c r="A9" s="29" t="str">
        <x:v>ETR</x:v>
      </x:c>
      <x:c r="B9" s="38" t="str">
        <x:v>Entergy Corporation</x:v>
      </x:c>
      <x:c r="C9" s="38" t="str">
        <x:v>United States</x:v>
      </x:c>
      <x:c r="D9" s="38" t="str">
        <x:v>Utilities</x:v>
      </x:c>
      <x:c r="E9" s="38" t="str">
        <x:v>USD</x:v>
      </x:c>
    </x:row>
    <x:row r="10" ht="19" customHeight="1">
      <x:c r="A10" s="29" t="str">
        <x:v>DIS</x:v>
      </x:c>
      <x:c r="B10" s="38" t="str">
        <x:v>The Walt Disney Company</x:v>
      </x:c>
      <x:c r="C10" s="38" t="str">
        <x:v>United States</x:v>
      </x:c>
      <x:c r="D10" s="38" t="str">
        <x:v>Communication Services</x:v>
      </x:c>
      <x:c r="E10" s="38" t="str">
        <x:v>USD</x:v>
      </x:c>
    </x:row>
    <x:row r="11" ht="19" customHeight="1">
      <x:c r="A11" s="29" t="str">
        <x:v>CMG</x:v>
      </x:c>
      <x:c r="B11" s="38" t="str">
        <x:v>Chipotle Mexican Grill, Inc.</x:v>
      </x:c>
      <x:c r="C11" s="38" t="str">
        <x:v>United States</x:v>
      </x:c>
      <x:c r="D11" s="38" t="str">
        <x:v>Consumer Discretionary</x:v>
      </x:c>
      <x:c r="E11" s="38" t="str">
        <x:v>USD</x:v>
      </x:c>
    </x:row>
    <x:row r="12" ht="19" customHeight="1">
      <x:c r="A12" s="29" t="str">
        <x:v>AMZN</x:v>
      </x:c>
      <x:c r="B12" s="38" t="str">
        <x:v>Amazon.com, Inc.</x:v>
      </x:c>
      <x:c r="C12" s="38" t="str">
        <x:v>United States</x:v>
      </x:c>
      <x:c r="D12" s="38" t="str">
        <x:v>Consumer Discretionary</x:v>
      </x:c>
      <x:c r="E12" s="38" t="str">
        <x:v>USD</x:v>
      </x:c>
    </x:row>
    <x:row r="13" ht="19" customHeight="1">
      <x:c r="A13" s="29" t="str">
        <x:v>FIX</x:v>
      </x:c>
      <x:c r="B13" s="38" t="str">
        <x:v>Comfort Systems USA, Inc.</x:v>
      </x:c>
      <x:c r="C13" s="38" t="str">
        <x:v>United States</x:v>
      </x:c>
      <x:c r="D13" s="38" t="str">
        <x:v>Industrials</x:v>
      </x:c>
      <x:c r="E13" s="38" t="str">
        <x:v>USD</x:v>
      </x:c>
    </x:row>
    <x:row r="14" ht="19" customHeight="1">
      <x:c r="A14" s="29" t="str">
        <x:v>STX</x:v>
      </x:c>
      <x:c r="B14" s="38" t="str">
        <x:v>Seagate Technology Holdings plc</x:v>
      </x:c>
      <x:c r="C14" s="38" t="str">
        <x:v>Singapore</x:v>
      </x:c>
      <x:c r="D14" s="38" t="str">
        <x:v>Technology</x:v>
      </x:c>
      <x:c r="E14" s="38" t="str">
        <x:v>SGD</x:v>
      </x:c>
    </x:row>
    <x:row r="15" ht="19" customHeight="1">
      <x:c r="A15" s="29" t="str">
        <x:v>VLO</x:v>
      </x:c>
      <x:c r="B15" s="38" t="str">
        <x:v>Valero Energy Corporation</x:v>
      </x:c>
      <x:c r="C15" s="38" t="str">
        <x:v>United States</x:v>
      </x:c>
      <x:c r="D15" s="38" t="str">
        <x:v>Energy</x:v>
      </x:c>
      <x:c r="E15" s="38" t="str">
        <x:v>USD</x:v>
      </x:c>
    </x:row>
    <x:row r="16" ht="19" customHeight="1">
      <x:c r="A16" s="29" t="str">
        <x:v>CF</x:v>
      </x:c>
      <x:c r="B16" s="38" t="str">
        <x:v>CF Industries Holdings, Inc.</x:v>
      </x:c>
      <x:c r="C16" s="38" t="str">
        <x:v>United States</x:v>
      </x:c>
      <x:c r="D16" s="38" t="str">
        <x:v>Materials</x:v>
      </x:c>
      <x:c r="E16" s="38" t="str">
        <x:v>USD</x:v>
      </x:c>
    </x:row>
    <x:row r="17" ht="19" customHeight="1">
      <x:c r="A17" s="29" t="str">
        <x:v>NTR</x:v>
      </x:c>
      <x:c r="B17" s="38" t="str">
        <x:v>Nutrien Ltd.</x:v>
      </x:c>
      <x:c r="C17" s="38" t="str">
        <x:v>Canada</x:v>
      </x:c>
      <x:c r="D17" s="38" t="str">
        <x:v>Materials</x:v>
      </x:c>
      <x:c r="E17" s="38" t="str">
        <x:v>CAD</x:v>
      </x:c>
    </x:row>
    <x:row r="18" ht="19" customHeight="1">
      <x:c r="A18" s="29" t="str">
        <x:v>LNN</x:v>
      </x:c>
      <x:c r="B18" s="38" t="str">
        <x:v>Lindsay Corporation</x:v>
      </x:c>
      <x:c r="C18" s="38" t="str">
        <x:v>United States</x:v>
      </x:c>
      <x:c r="D18" s="38" t="str">
        <x:v>Industrials</x:v>
      </x:c>
      <x:c r="E18" s="38" t="str">
        <x:v>USD</x:v>
      </x:c>
    </x:row>
    <x:row r="19" ht="19" customHeight="1">
      <x:c r="A19" s="29" t="str">
        <x:v>WDC</x:v>
      </x:c>
      <x:c r="B19" s="38" t="str">
        <x:v>Western Digital Corporation</x:v>
      </x:c>
      <x:c r="C19" s="38" t="str">
        <x:v>United States</x:v>
      </x:c>
      <x:c r="D19" s="38" t="str">
        <x:v>Technology</x:v>
      </x:c>
      <x:c r="E19" s="38" t="str">
        <x:v>USD</x:v>
      </x:c>
    </x:row>
    <x:row r="20" ht="19" customHeight="1">
      <x:c r="A20" s="29" t="str">
        <x:v>ASND</x:v>
      </x:c>
      <x:c r="B20" s="38" t="str">
        <x:v>Ascendis Pharma A/S</x:v>
      </x:c>
      <x:c r="C20" s="38" t="str">
        <x:v>Denmark</x:v>
      </x:c>
      <x:c r="D20" s="38" t="str">
        <x:v>Health Care</x:v>
      </x:c>
      <x:c r="E20" s="38" t="str">
        <x:v>DKK</x:v>
      </x:c>
    </x:row>
    <x:row r="21" ht="19" customHeight="1">
      <x:c r="A21" s="29" t="str">
        <x:v>DOCN</x:v>
      </x:c>
      <x:c r="B21" s="38" t="str">
        <x:v>DigitalOcean Holdings, Inc.</x:v>
      </x:c>
      <x:c r="C21" s="38" t="str">
        <x:v>United States</x:v>
      </x:c>
      <x:c r="D21" s="38" t="str">
        <x:v>Technology</x:v>
      </x:c>
      <x:c r="E21" s="38" t="str">
        <x:v>USD</x:v>
      </x:c>
    </x:row>
    <x:row r="22" ht="19" customHeight="1">
      <x:c r="A22" s="29" t="str">
        <x:v>CME</x:v>
      </x:c>
      <x:c r="B22" s="38" t="str">
        <x:v>CME Group Inc.</x:v>
      </x:c>
      <x:c r="C22" s="38" t="str">
        <x:v>United States</x:v>
      </x:c>
      <x:c r="D22" s="38" t="str">
        <x:v>Financials</x:v>
      </x:c>
      <x:c r="E22" s="38" t="str">
        <x:v>USD</x:v>
      </x:c>
    </x:row>
    <x:row r="23" ht="19" customHeight="1">
      <x:c r="A23" s="29" t="str">
        <x:v>NET</x:v>
      </x:c>
      <x:c r="B23" s="38" t="str">
        <x:v>Cloudflare, Inc.</x:v>
      </x:c>
      <x:c r="C23" s="38" t="str">
        <x:v>United States</x:v>
      </x:c>
      <x:c r="D23" s="38" t="str">
        <x:v>Technology</x:v>
      </x:c>
      <x:c r="E23" s="38" t="str">
        <x:v>USD</x:v>
      </x:c>
    </x:row>
    <x:row r="24" ht="19" customHeight="1">
      <x:c r="A24" s="29" t="str">
        <x:v>MRNA</x:v>
      </x:c>
      <x:c r="B24" s="38" t="str">
        <x:v>Moderna, Inc.</x:v>
      </x:c>
      <x:c r="C24" s="38" t="str">
        <x:v>United States</x:v>
      </x:c>
      <x:c r="D24" s="38" t="str">
        <x:v>Health Care</x:v>
      </x:c>
      <x:c r="E24" s="38" t="str">
        <x:v>USD</x:v>
      </x:c>
    </x:row>
    <x:row r="25" ht="19" customHeight="1">
      <x:c r="A25" s="29" t="str">
        <x:v>AXON</x:v>
      </x:c>
      <x:c r="B25" s="38" t="str">
        <x:v>Axon Enterprise Inc</x:v>
      </x:c>
      <x:c r="C25" s="38" t="str">
        <x:v>United States</x:v>
      </x:c>
      <x:c r="D25" s="38" t="str">
        <x:v>Industrials</x:v>
      </x:c>
      <x:c r="E25" s="38" t="str">
        <x:v>USD</x:v>
      </x:c>
    </x:row>
    <x:row r="26" ht="19" customHeight="1">
      <x:c r="A26" s="29" t="str">
        <x:v>NFLX</x:v>
      </x:c>
      <x:c r="B26" s="38" t="str">
        <x:v>Netflix, Inc.</x:v>
      </x:c>
      <x:c r="C26" s="38" t="str">
        <x:v>United States</x:v>
      </x:c>
      <x:c r="D26" s="38" t="str">
        <x:v>Communication Services</x:v>
      </x:c>
      <x:c r="E26" s="38" t="str">
        <x:v>USD</x:v>
      </x:c>
    </x:row>
    <x:row r="27" ht="19" customHeight="1">
      <x:c r="A27" s="29" t="str">
        <x:v>CMCSA</x:v>
      </x:c>
      <x:c r="B27" s="38" t="str">
        <x:v>Comcast Corp</x:v>
      </x:c>
      <x:c r="C27" s="38" t="str">
        <x:v>United States</x:v>
      </x:c>
      <x:c r="D27" s="38" t="str">
        <x:v>Communication Services</x:v>
      </x:c>
      <x:c r="E27" s="38" t="str">
        <x:v>USD</x:v>
      </x:c>
    </x:row>
    <x:row r="28" ht="19" customHeight="1">
      <x:c r="A28" s="29" t="str">
        <x:v>MU</x:v>
      </x:c>
      <x:c r="B28" s="38" t="str">
        <x:v>Micron Technology, Inc.</x:v>
      </x:c>
      <x:c r="C28" s="38" t="str">
        <x:v>United States</x:v>
      </x:c>
      <x:c r="D28" s="38" t="str">
        <x:v>Technology</x:v>
      </x:c>
      <x:c r="E28" s="38" t="str">
        <x:v>USD</x:v>
      </x:c>
    </x:row>
    <x:row r="29" ht="19" customHeight="1">
      <x:c r="A29" s="29" t="str">
        <x:v>NEM</x:v>
      </x:c>
      <x:c r="B29" s="38" t="str">
        <x:v>Newmont Corporation</x:v>
      </x:c>
      <x:c r="C29" s="38" t="str">
        <x:v>United States</x:v>
      </x:c>
      <x:c r="D29" s="38" t="str">
        <x:v>Materials</x:v>
      </x:c>
      <x:c r="E29" s="38" t="str">
        <x:v>USD</x:v>
      </x:c>
    </x:row>
    <x:row r="30" ht="19" customHeight="1">
      <x:c r="A30" s="29" t="str">
        <x:v>PGR</x:v>
      </x:c>
      <x:c r="B30" s="38" t="str">
        <x:v>The Progressive Corporation</x:v>
      </x:c>
      <x:c r="C30" s="38" t="str">
        <x:v>United States</x:v>
      </x:c>
      <x:c r="D30" s="38" t="str">
        <x:v>Financials</x:v>
      </x:c>
      <x:c r="E30" s="38" t="str">
        <x:v>USD</x:v>
      </x:c>
    </x:row>
    <x:row r="31" ht="19" customHeight="1">
      <x:c r="A31" s="29" t="str">
        <x:v>ORKA</x:v>
      </x:c>
      <x:c r="B31" s="38" t="str">
        <x:v>Oruka Therapeutics, Inc.</x:v>
      </x:c>
      <x:c r="C31" s="38" t="str">
        <x:v>United States</x:v>
      </x:c>
      <x:c r="D31" s="38" t="str">
        <x:v>Health Care</x:v>
      </x:c>
      <x:c r="E31" s="38" t="str">
        <x:v>USD</x:v>
      </x:c>
    </x:row>
    <x:row r="32" ht="19" customHeight="1">
      <x:c r="A32" s="29" t="str">
        <x:v>UPST</x:v>
      </x:c>
      <x:c r="B32" s="38" t="str">
        <x:v>Upstart Holdings Inc.</x:v>
      </x:c>
      <x:c r="C32" s="38" t="str">
        <x:v>United States</x:v>
      </x:c>
      <x:c r="D32" s="38" t="str">
        <x:v>Financials</x:v>
      </x:c>
      <x:c r="E32" s="38" t="str">
        <x:v>USD</x:v>
      </x:c>
    </x:row>
    <x:row r="33" ht="19" customHeight="1">
      <x:c r="A33" s="29" t="str">
        <x:v>PG</x:v>
      </x:c>
      <x:c r="B33" s="38" t="str">
        <x:v>The Procter &amp; Gamble Company</x:v>
      </x:c>
      <x:c r="C33" s="38" t="str">
        <x:v>United States</x:v>
      </x:c>
      <x:c r="D33" s="38" t="str">
        <x:v>Consumer Staples</x:v>
      </x:c>
      <x:c r="E33" s="38" t="str">
        <x:v>USD</x:v>
      </x:c>
    </x:row>
    <x:row r="34" ht="19" customHeight="1">
      <x:c r="A34" s="29" t="str">
        <x:v>F</x:v>
      </x:c>
      <x:c r="B34" s="38" t="str">
        <x:v>Ford Motor Company</x:v>
      </x:c>
      <x:c r="C34" s="38" t="str">
        <x:v>United States</x:v>
      </x:c>
      <x:c r="D34" s="38" t="str">
        <x:v>Consumer Discretionary</x:v>
      </x:c>
      <x:c r="E34" s="38" t="str">
        <x:v>USD</x:v>
      </x:c>
    </x:row>
    <x:row r="35" ht="19" customHeight="1">
      <x:c r="A35" s="29" t="str">
        <x:v>HPE</x:v>
      </x:c>
      <x:c r="B35" s="38" t="str">
        <x:v>Hewlett Packard Enterprise Company</x:v>
      </x:c>
      <x:c r="C35" s="38" t="str">
        <x:v>United States</x:v>
      </x:c>
      <x:c r="D35" s="38" t="str">
        <x:v>Technology</x:v>
      </x:c>
      <x:c r="E35" s="38" t="str">
        <x:v>USD</x:v>
      </x:c>
    </x:row>
    <x:row r="36" ht="19" customHeight="1">
      <x:c r="A36" s="29" t="str">
        <x:v>BA</x:v>
      </x:c>
      <x:c r="B36" s="38" t="str">
        <x:v>The Boeing Company</x:v>
      </x:c>
      <x:c r="C36" s="38" t="str">
        <x:v>United States</x:v>
      </x:c>
      <x:c r="D36" s="38" t="str">
        <x:v>Industrials</x:v>
      </x:c>
      <x:c r="E36" s="38" t="str">
        <x:v>USD</x:v>
      </x:c>
    </x:row>
    <x:row r="37" ht="19" customHeight="1">
      <x:c r="A37" s="29" t="str">
        <x:v>HII</x:v>
      </x:c>
      <x:c r="B37" s="38" t="str">
        <x:v>Huntington Ingalls Industries, Inc.</x:v>
      </x:c>
      <x:c r="C37" s="38" t="str">
        <x:v>United States</x:v>
      </x:c>
      <x:c r="D37" s="38" t="str">
        <x:v>Industrials</x:v>
      </x:c>
      <x:c r="E37" s="38" t="str">
        <x:v>USD</x:v>
      </x:c>
    </x:row>
    <x:row r="38" ht="19" customHeight="1">
      <x:c r="A38" s="29" t="str">
        <x:v>AMD</x:v>
      </x:c>
      <x:c r="B38" s="38" t="str">
        <x:v>Advanced Micro Devices, Inc.</x:v>
      </x:c>
      <x:c r="C38" s="38" t="str">
        <x:v>United States</x:v>
      </x:c>
      <x:c r="D38" s="38" t="str">
        <x:v>Technology</x:v>
      </x:c>
      <x:c r="E38" s="38" t="str">
        <x:v>USD</x:v>
      </x:c>
    </x:row>
    <x:row r="39" ht="19" customHeight="1">
      <x:c r="A39" s="29" t="str">
        <x:v>LLY</x:v>
      </x:c>
      <x:c r="B39" s="38" t="str">
        <x:v>Eli Lilly and Company</x:v>
      </x:c>
      <x:c r="C39" s="38" t="str">
        <x:v>United States</x:v>
      </x:c>
      <x:c r="D39" s="38" t="str">
        <x:v>Health Care</x:v>
      </x:c>
      <x:c r="E39" s="38" t="str">
        <x:v>USD</x:v>
      </x:c>
    </x:row>
    <x:row r="40" ht="19" customHeight="1">
      <x:c r="A40" s="29" t="str">
        <x:v>WELL</x:v>
      </x:c>
      <x:c r="B40" s="38" t="str">
        <x:v>Welltower Inc</x:v>
      </x:c>
      <x:c r="C40" s="38" t="str">
        <x:v>United States</x:v>
      </x:c>
      <x:c r="D40" s="38" t="str">
        <x:v>Real Estate</x:v>
      </x:c>
      <x:c r="E40" s="38" t="str">
        <x:v>USD</x:v>
      </x:c>
    </x:row>
    <x:row r="41" ht="19" customHeight="1">
      <x:c r="A41" s="29" t="str">
        <x:v>NOK</x:v>
      </x:c>
      <x:c r="B41" s="38" t="str">
        <x:v>Nokia Oyj</x:v>
      </x:c>
      <x:c r="C41" s="38" t="str">
        <x:v>Finland</x:v>
      </x:c>
      <x:c r="D41" s="38" t="str">
        <x:v>Technology</x:v>
      </x:c>
      <x:c r="E41" s="38" t="str">
        <x:v>EUR</x:v>
      </x:c>
    </x:row>
    <x:row r="42" ht="19" customHeight="1">
      <x:c r="A42" s="29" t="str">
        <x:v>MSFT</x:v>
      </x:c>
      <x:c r="B42" s="38" t="str">
        <x:v>Microsoft Corporation</x:v>
      </x:c>
      <x:c r="C42" s="38" t="str">
        <x:v>United States</x:v>
      </x:c>
      <x:c r="D42" s="38" t="str">
        <x:v>Technology</x:v>
      </x:c>
      <x:c r="E42" s="38" t="str">
        <x:v>USD</x:v>
      </x:c>
    </x:row>
    <x:row r="43" ht="19" customHeight="1">
      <x:c r="A43" s="29" t="str">
        <x:v>GOOGL</x:v>
      </x:c>
      <x:c r="B43" s="38" t="str">
        <x:v>Alphabet Inc.</x:v>
      </x:c>
      <x:c r="C43" s="38" t="str">
        <x:v>United States</x:v>
      </x:c>
      <x:c r="D43" s="38" t="str">
        <x:v>Communication Services</x:v>
      </x:c>
      <x:c r="E43" s="38" t="str">
        <x:v>USD</x:v>
      </x:c>
    </x:row>
    <x:row r="44" ht="19" customHeight="1">
      <x:c r="A44" s="29" t="str">
        <x:v>COST</x:v>
      </x:c>
      <x:c r="B44" s="38" t="str">
        <x:v>Costco Wholesale Corporation</x:v>
      </x:c>
      <x:c r="C44" s="38" t="str">
        <x:v>United States</x:v>
      </x:c>
      <x:c r="D44" s="38" t="str">
        <x:v>Consumer Staples</x:v>
      </x:c>
      <x:c r="E44" s="38" t="str">
        <x:v>USD</x:v>
      </x:c>
    </x:row>
    <x:row r="45" ht="19" customHeight="1">
      <x:c r="A45" s="29" t="str">
        <x:v>HD</x:v>
      </x:c>
      <x:c r="B45" s="38" t="str">
        <x:v>The Home Depot, Inc.</x:v>
      </x:c>
      <x:c r="C45" s="38" t="str">
        <x:v>United States</x:v>
      </x:c>
      <x:c r="D45" s="38" t="str">
        <x:v>Consumer Discretionary</x:v>
      </x:c>
      <x:c r="E45" s="38" t="str">
        <x:v>USD</x:v>
      </x:c>
    </x:row>
    <x:row r="46" ht="19" customHeight="1">
      <x:c r="A46" s="29" t="str">
        <x:v>KO</x:v>
      </x:c>
      <x:c r="B46" s="38" t="str">
        <x:v>The Coca-Cola Company</x:v>
      </x:c>
      <x:c r="C46" s="38" t="str">
        <x:v>United States</x:v>
      </x:c>
      <x:c r="D46" s="38" t="str">
        <x:v>Consumer Staples</x:v>
      </x:c>
      <x:c r="E46" s="38" t="str">
        <x:v>USD</x:v>
      </x:c>
    </x:row>
    <x:row r="47" ht="19" customHeight="1">
      <x:c r="A47" s="29" t="str">
        <x:v>JNJ</x:v>
      </x:c>
      <x:c r="B47" s="38" t="str">
        <x:v>Johnson &amp; Johnson</x:v>
      </x:c>
      <x:c r="C47" s="38" t="str">
        <x:v>United States</x:v>
      </x:c>
      <x:c r="D47" s="38" t="str">
        <x:v>Health Care</x:v>
      </x:c>
      <x:c r="E47" s="38" t="str">
        <x:v>USD</x:v>
      </x:c>
    </x:row>
    <x:row r="48" ht="19" customHeight="1">
      <x:c r="A48" s="29" t="str">
        <x:v>BRK-B</x:v>
      </x:c>
      <x:c r="B48" s="38" t="str">
        <x:v>Berkshire Hathaway Inc.</x:v>
      </x:c>
      <x:c r="C48" s="38" t="str">
        <x:v>United States</x:v>
      </x:c>
      <x:c r="D48" s="38" t="str">
        <x:v>Financials</x:v>
      </x:c>
      <x:c r="E48" s="38" t="str">
        <x:v>USD</x:v>
      </x:c>
    </x:row>
  </x:sheetData>
  <x:pageMargins left="0.7" right="0.7" top="0.75" bottom="0.75" header="0.3" footer="0.3"/>
</x:worksheet>
</file>